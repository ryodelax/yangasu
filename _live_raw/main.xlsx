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commentsmeta4"/>
  <Override ContentType="application/binary" PartName="/xl/commentsmeta5"/>
  <Override ContentType="application/binary" PartName="/xl/commentsmeta2"/>
  <Override ContentType="application/binary" PartName="/xl/metadata"/>
  <Override ContentType="application/binary" PartName="/xl/commentsmeta3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ホーム" sheetId="1" r:id="rId4"/>
    <sheet state="hidden" name="★入金一覧" sheetId="2" r:id="rId5"/>
    <sheet state="hidden" name="銀行取込一覧" sheetId="3" r:id="rId6"/>
    <sheet state="visible" name="銀行一覧" sheetId="4" r:id="rId7"/>
    <sheet state="visible" name="案件一覧" sheetId="5" r:id="rId8"/>
    <sheet state="hidden" name="請求書発行" sheetId="6" r:id="rId9"/>
    <sheet state="hidden" name="クレカ・現金" sheetId="7" r:id="rId10"/>
    <sheet state="hidden" name="AI読み取り学習用" sheetId="8" r:id="rId11"/>
    <sheet state="hidden" name="データスクリーニング" sheetId="9" r:id="rId12"/>
    <sheet state="hidden" name="銀行要対応" sheetId="10" r:id="rId13"/>
    <sheet state="hidden" name="銀行照合済み" sheetId="11" r:id="rId14"/>
    <sheet state="hidden" name="銀行要確認メモ" sheetId="12" r:id="rId15"/>
    <sheet state="hidden" name="案件要対応" sheetId="13" r:id="rId16"/>
    <sheet state="hidden" name="案件照合済み" sheetId="14" r:id="rId17"/>
    <sheet state="hidden" name="請求書要対応" sheetId="15" r:id="rId18"/>
    <sheet state="hidden" name="取込失敗" sheetId="16" r:id="rId19"/>
    <sheet state="hidden" name="振込入金リスト一覧" sheetId="17" r:id="rId20"/>
    <sheet state="hidden" name="銀行データチェック用" sheetId="18" r:id="rId21"/>
    <sheet state="visible" name="銀行文字補正学習" sheetId="19" r:id="rId22"/>
    <sheet state="hidden" name="照合学習マスタ" sheetId="20" r:id="rId23"/>
    <sheet state="hidden" name="銀行入金一覧" sheetId="21" r:id="rId24"/>
    <sheet state="hidden" name="銀行出金一覧" sheetId="22" r:id="rId25"/>
    <sheet state="hidden" name="シート13" sheetId="23" r:id="rId26"/>
    <sheet state="visible" name="※名義対応表" sheetId="24" r:id="rId27"/>
    <sheet state="hidden" name="売上クロスチェック" sheetId="25" r:id="rId28"/>
    <sheet state="hidden" name="売掛入金見込み管理" sheetId="26" r:id="rId29"/>
    <sheet state="hidden" name="取込履歴" sheetId="27" r:id="rId30"/>
    <sheet state="hidden" name="bk_250503_入金一覧" sheetId="28" r:id="rId31"/>
    <sheet state="hidden" name="bk_250503_振込案件" sheetId="29" r:id="rId32"/>
    <sheet state="hidden" name="bk_250503_銀行照合" sheetId="30" r:id="rId33"/>
    <sheet state="hidden" name="bk_250503_請求書" sheetId="31" r:id="rId34"/>
    <sheet state="hidden" name="bk_250503_クレカ現金" sheetId="32" r:id="rId35"/>
  </sheets>
  <definedNames>
    <definedName hidden="1" localSheetId="3" name="_xlnm._FilterDatabase">'銀行一覧'!$A$7:$J$1200</definedName>
    <definedName hidden="1" localSheetId="4" name="_xlnm._FilterDatabase">'案件一覧'!$A$7:$O$1200</definedName>
    <definedName hidden="1" localSheetId="16" name="_xlnm._FilterDatabase">'振込入金リスト一覧'!$A$1:$EY$626</definedName>
    <definedName hidden="1" localSheetId="28" name="_xlnm._FilterDatabase">'bk_250503_振込案件'!$A$1:$EY$606</definedName>
  </definedNames>
  <calcPr/>
  <extLst>
    <ext uri="GoogleSheetsCustomDataVersion2">
      <go:sheetsCustomData xmlns:go="http://customooxmlschemas.google.com/" r:id="rId36" roundtripDataChecksum="JEmxgm01v5Mha3H+rS0FRvoeyTxIVdVizghLRMm/nH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">
      <text>
        <t xml:space="preserve">======
ID#AAAB8rObLw4
    (2026-06-03 03:26:16)
AI判定：金額欄の判読に自信なし（消費税が明示されていません）</t>
      </text>
    </comment>
    <comment authorId="0" ref="C7">
      <text>
        <t xml:space="preserve">======
ID#AAAB8rObLvc
    (2026-06-03 03:26:16)
AI判定：金額欄の判読に自信なし（税抜金額が明示されていません）</t>
      </text>
    </comment>
    <comment authorId="0" ref="C6">
      <text>
        <t xml:space="preserve">======
ID#AAAB8rObLu8
    (2026-06-03 03:26:16)
AI判定：金額欄の判読に自信なし</t>
      </text>
    </comment>
    <comment authorId="0" ref="D6">
      <text>
        <t xml:space="preserve">======
ID#AAAB8rObLtY
    (2026-06-03 03:26:16)
AI判定：金額欄の判読に自信なし</t>
      </text>
    </comment>
  </commentList>
  <extLst>
    <ext uri="GoogleSheetsCustomDataVersion2">
      <go:sheetsCustomData xmlns:go="http://customooxmlschemas.google.com/" r:id="rId1" roundtripDataSignature="AMtx7mjTTN7yu2idJNY6JCGKKUViDZcd7g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N125">
      <text>
        <t xml:space="preserve">======
ID#AAAB8rObLxA
    (2026-06-03 03:26:16)
AI判定理由: 会社名の表記ゆれを除くと同一と判断できる (サイセイカイ / 彩生会)</t>
      </text>
    </comment>
    <comment authorId="0" ref="EN65">
      <text>
        <t xml:space="preserve">======
ID#AAAB8rObLw0
    (2026-06-03 03:26:16)
AI判定理由: 会社名の表記ゆれを除くと同一と判断できる</t>
      </text>
    </comment>
    <comment authorId="0" ref="EN29">
      <text>
        <t xml:space="preserve">======
ID#AAAB8rObLwY
    (2026-06-03 03:26:16)
AI判定理由: 個人名の表記ゆれを除くと同一と判断できる</t>
      </text>
    </comment>
    <comment authorId="0" ref="EN92">
      <text>
        <t xml:space="preserve">======
ID#AAAB8rObLv8
    (2026-06-03 03:26:16)
AI判定理由: 会社名の表記ゆれを除くと同一と判断できる</t>
      </text>
    </comment>
    <comment authorId="0" ref="EN52">
      <text>
        <t xml:space="preserve">======
ID#AAAB8rObLwE
    (2026-06-03 03:26:16)
AI判定理由: 個人名と会社名の表記ゆれを除くと同一と判断できる (斎藤誠 / 斎藤コーポレーション 斎藤誠)</t>
      </text>
    </comment>
    <comment authorId="0" ref="EN127">
      <text>
        <t xml:space="preserve">======
ID#AAAB8rObLvs
    (2026-06-03 03:26:16)
AI判定理由: 会社名の表記ゆれを除くと同一と判断できる</t>
      </text>
    </comment>
    <comment authorId="0" ref="EN34">
      <text>
        <t xml:space="preserve">======
ID#AAAB8rObLvM
    (2026-06-03 03:26:16)
AI判定理由: 会社名と個人名の表記ゆれを除くと同一と判断できる (アクセ 高垣圭一朗)</t>
      </text>
    </comment>
    <comment authorId="0" ref="EN40">
      <text>
        <t xml:space="preserve">======
ID#AAAB8rObLu0
    (2026-06-03 03:26:16)
AI判定理由: 会社名の表記ゆれを除くと同一と判断できる (橋本商事 / ハシモトシヨウコ)</t>
      </text>
    </comment>
    <comment authorId="0" ref="EN91">
      <text>
        <t xml:space="preserve">======
ID#AAAB8rObLu4
    (2026-06-03 03:26:16)
AI判定理由: 会社名の表記ゆれを除くと同一と判断できる</t>
      </text>
    </comment>
    <comment authorId="0" ref="EN51">
      <text>
        <t xml:space="preserve">======
ID#AAAB8rObLuU
    (2026-06-03 03:26:16)
AI判定理由: 会社名の表記ゆれを除くと同一と判断できる (カーズドロップイン)</t>
      </text>
    </comment>
    <comment authorId="0" ref="EN82">
      <text>
        <t xml:space="preserve">======
ID#AAAB8rObLts
    (2026-06-03 03:26:16)
AI判定理由: 会社名の表記ゆれを除くと同一と判断できる (コンクエスト)</t>
      </text>
    </comment>
    <comment authorId="0" ref="EN88">
      <text>
        <t xml:space="preserve">======
ID#AAAB8rObLtQ
    (2026-06-03 03:26:16)
売掛金・諸口以外の科目でマッチしています</t>
      </text>
    </comment>
    <comment authorId="0" ref="EN126">
      <text>
        <t xml:space="preserve">======
ID#AAAB8rObLso
    (2026-06-03 03:26:16)
AI判定理由: 会社名の表記ゆれを除くと同一と判断できる (サイセイカイ / 彩生会)</t>
      </text>
    </comment>
    <comment authorId="0" ref="EN23">
      <text>
        <t xml:space="preserve">======
ID#AAAB8rObLss
    (2026-06-03 03:26:16)
売掛金・諸口以外の科目でマッチしています</t>
      </text>
    </comment>
    <comment authorId="0" ref="EN42">
      <text>
        <t xml:space="preserve">======
ID#AAAB8rObLsY
    (2026-06-03 03:26:16)
AI判定理由: 会社名の表記ゆれを除くと同一と判断できる</t>
      </text>
    </comment>
  </commentList>
  <extLst>
    <ext uri="GoogleSheetsCustomDataVersion2">
      <go:sheetsCustomData xmlns:go="http://customooxmlschemas.google.com/" r:id="rId1" roundtripDataSignature="AMtx7mijM2BozUBVZC1oxcw9sjIIWsW7fw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82">
      <text>
        <t xml:space="preserve">======
ID#AAAB8rObLyI
    (2026-06-03 03:26:16)
三井住友海上関連の一致候補未発見。返戻や端数精算の可能性。</t>
      </text>
    </comment>
    <comment authorId="0" ref="K109">
      <text>
        <t xml:space="preserve">======
ID#AAAB8rObLx4
    (2026-06-03 03:26:16)
文字化けの疑いあり</t>
      </text>
    </comment>
    <comment authorId="0" ref="G90">
      <text>
        <t xml:space="preserve">======
ID#AAAB8rObLxk
    (2026-06-03 03:26:16)
名義対応表に合同会社ソーラーエナジー・ブリッジ系あり。関連案件確認。</t>
      </text>
    </comment>
    <comment authorId="0" ref="G15">
      <text>
        <t xml:space="preserve">======
ID#AAAB8rObLxo
    (2026-06-03 03:26:16)
AI判定理由: 個人名と会社名の表記ゆれを除くと同一と判断できる (斎藤誠 / 斎藤コーポレーション 斎藤誠)</t>
      </text>
    </comment>
    <comment authorId="0" ref="K58">
      <text>
        <t xml:space="preserve">======
ID#AAAB8rObLxs
    (2026-06-03 03:26:16)
文字化けの疑いあり</t>
      </text>
    </comment>
    <comment authorId="0" ref="G89">
      <text>
        <t xml:space="preserve">======
ID#AAAB8rObLxw
    (2026-06-03 03:26:16)
同日売掛金 (有)ｱﾄﾘｴﾋﾟｭｱ様 ｸﾞﾚｶｰﾚ 110,000 あり。名義揺れ候補。</t>
      </text>
    </comment>
    <comment authorId="0" ref="K93">
      <text>
        <t xml:space="preserve">======
ID#AAAB8rObLxc
    (2026-06-03 03:26:16)
文字化けの疑いあり</t>
      </text>
    </comment>
    <comment authorId="0" ref="G62">
      <text>
        <t xml:space="preserve">======
ID#AAAB8rObLxY
    (2026-06-03 03:26:16)
カード集約入金。クレカ・現金側のVISA締め期間で確認。</t>
      </text>
    </comment>
    <comment authorId="0" ref="G9">
      <text>
        <t xml:space="preserve">======
ID#AAAB8rObLxU
    (2026-06-03 03:26:16)
AI判定理由: 個人名と会社名の表記ゆれを除くと同一と判断できる (斎藤誠 / 斎藤コーポレーション 斎藤誠)</t>
      </text>
    </comment>
    <comment authorId="0" ref="G2">
      <text>
        <t xml:space="preserve">======
ID#AAAB8rObLwk
    (2026-06-03 03:26:16)
AI判定理由: 個人名と会社名の表記ゆれを除くと同一と判断できる (斎藤誠 / 斎藤コーポレーション 斎藤誠)</t>
      </text>
    </comment>
    <comment authorId="0" ref="G10">
      <text>
        <t xml:space="preserve">======
ID#AAAB8rObLwo
    (2026-06-03 03:26:16)
AI判定理由: 個人名と会社名の表記ゆれを除くと同一と判断できる (斎藤誠 / 斎藤コーポレーション 斎藤誠)</t>
      </text>
    </comment>
    <comment authorId="0" ref="G23">
      <text>
        <t xml:space="preserve">======
ID#AAAB8rObLwc
    (2026-06-03 03:26:16)
三井住友海上系案件を確認。近傍候補はあるが単独一致なし。</t>
      </text>
    </comment>
    <comment authorId="0" ref="G91">
      <text>
        <t xml:space="preserve">======
ID#AAAB8rObLwM
    (2026-06-03 03:26:16)
名義対応表の橋本祥子系を確認。ソーラーエナジー案件と関連の可能性。</t>
      </text>
    </comment>
    <comment authorId="0" ref="G60">
      <text>
        <t xml:space="preserve">======
ID#AAAB8rObLv0
    (2026-06-03 03:26:16)
損保ジャパン関連案件を確認。既存自動消込案件はあるが金額一致なし。</t>
      </text>
    </comment>
    <comment authorId="0" ref="G65">
      <text>
        <t xml:space="preserve">======
ID#AAAB8rObLvk
    (2026-06-03 03:26:16)
彩生会候補あり。SB00024576=15,400、SB00024577=8,800だが合計不一致。別案件の可能性。</t>
      </text>
    </comment>
    <comment authorId="0" ref="G6">
      <text>
        <t xml:space="preserve">======
ID#AAAB8rObLvU
    (2026-06-03 03:26:16)
AI判定理由: 個人名と会社名の表記ゆれを除くと同一と判断できる (斎藤誠 / 斎藤コーポレーション 斎藤誠)</t>
      </text>
    </comment>
    <comment authorId="0" ref="G8">
      <text>
        <t xml:space="preserve">======
ID#AAAB8rObLvY
    (2026-06-03 03:26:16)
AI判定理由: 個人名と会社名の表記ゆれを除くと同一と判断できる (斎藤誠 / 斎藤コーポレーション 斎藤誠)</t>
      </text>
    </comment>
    <comment authorId="0" ref="K94">
      <text>
        <t xml:space="preserve">======
ID#AAAB8rObLvI
    (2026-06-03 03:26:16)
文字化けの疑いあり</t>
      </text>
    </comment>
    <comment authorId="0" ref="G18">
      <text>
        <t xml:space="preserve">======
ID#AAAB8rObLvQ
    (2026-06-03 03:26:16)
案件候補未発見。案件入金ではなく別入金の可能性あり。</t>
      </text>
    </comment>
    <comment authorId="0" ref="K92">
      <text>
        <t xml:space="preserve">======
ID#AAAB8rObLug
    (2026-06-03 03:26:16)
文字化けの疑いあり</t>
      </text>
    </comment>
    <comment authorId="0" ref="G93">
      <text>
        <t xml:space="preserve">======
ID#AAAB8rObLuk
    (2026-06-03 03:26:16)
上記 諸口110,000と同額。同一入金の名義揺れ候補。</t>
      </text>
    </comment>
    <comment authorId="0" ref="G92">
      <text>
        <t xml:space="preserve">======
ID#AAAB8rObLuY
    (2026-06-03 03:26:16)
同日同額でSB00024587が自動消込済。重複取込か二重入金を確認。</t>
      </text>
    </comment>
    <comment authorId="0" ref="G16">
      <text>
        <t xml:space="preserve">======
ID#AAAB8rObLuI
    (2026-06-03 03:26:16)
AI判定理由: 個人名と会社名の表記ゆれを除くと同一と判断できる (斎藤誠 / 斎藤コーポレーション 斎藤誠)</t>
      </text>
    </comment>
    <comment authorId="0" ref="G81">
      <text>
        <t xml:space="preserve">======
ID#AAAB8rObLuM
    (2026-06-03 03:26:16)
AI判定理由: 会社名の表記ゆれを除くと同一と判断できる
業務No: SB00024576, SB00024577
顧客No: KK00006682</t>
      </text>
    </comment>
    <comment authorId="0" ref="G25">
      <text>
        <t xml:space="preserve">======
ID#AAAB8rObLuQ
    (2026-06-03 03:26:16)
CH3536候補未発見。土肥潤一郎案件はあるが金額不一致。</t>
      </text>
    </comment>
    <comment authorId="0" ref="G14">
      <text>
        <t xml:space="preserve">======
ID#AAAB8rObLuA
    (2026-06-03 03:26:16)
案件候補 SB00024481 / KK00001934。売上総計267,360に対し差額8,662。カード手数料差か集約入金を確認。</t>
      </text>
    </comment>
    <comment authorId="0" ref="C92">
      <text>
        <t xml:space="preserve">======
ID#AAAB8rObLuE
    (2026-06-03 03:26:16)
文字化けの疑いあり</t>
      </text>
    </comment>
    <comment authorId="0" ref="G30">
      <text>
        <t xml:space="preserve">======
ID#AAAB8rObLtw
    (2026-06-03 03:26:16)
顧客候補 KK00001837。摘要に複数番号があり合算入金の可能性。</t>
      </text>
    </comment>
    <comment authorId="0" ref="G12">
      <text>
        <t xml:space="preserve">======
ID#AAAB8rObLtk
    (2026-06-03 03:26:16)
AI判定理由: 個人名と会社名の表記ゆれを除くと同一と判断できる (斎藤誠 / 斎藤コーポレーション 斎藤誠)</t>
      </text>
    </comment>
    <comment authorId="0" ref="G26">
      <text>
        <t xml:space="preserve">======
ID#AAAB8rObLtc
    (2026-06-03 03:26:16)
2026/03/10に同摘要150,000の自動消込あり。重複入金か2回目入金か確認。</t>
      </text>
    </comment>
    <comment authorId="0" ref="C93">
      <text>
        <t xml:space="preserve">======
ID#AAAB8rObLtM
    (2026-06-03 03:26:16)
文字化けの疑いあり</t>
      </text>
    </comment>
    <comment authorId="0" ref="C58">
      <text>
        <t xml:space="preserve">======
ID#AAAB8rObLtU
    (2026-06-03 03:26:16)
文字化けの疑いあり</t>
      </text>
    </comment>
    <comment authorId="0" ref="G17">
      <text>
        <t xml:space="preserve">======
ID#AAAB8rObLtI
    (2026-06-03 03:26:16)
AI判定理由: 個人名と会社名の表記ゆれを除くと同一と判断できる (斎藤誠 / 斎藤コーポレーション 斎藤誠)</t>
      </text>
    </comment>
    <comment authorId="0" ref="G5">
      <text>
        <t xml:space="preserve">======
ID#AAAB8rObLtE
    (2026-06-03 03:26:16)
AI判定理由: 個人名と会社名の表記ゆれを除くと同一と判断できる (斎藤誠 / 斎藤コーポレーション 斎藤誠)</t>
      </text>
    </comment>
    <comment authorId="0" ref="C109">
      <text>
        <t xml:space="preserve">======
ID#AAAB8rObLs0
    (2026-06-03 03:26:16)
文字化けの疑いあり</t>
      </text>
    </comment>
    <comment authorId="0" ref="G13">
      <text>
        <t xml:space="preserve">======
ID#AAAB8rObLsk
    (2026-06-03 03:26:16)
AI判定理由: 個人名と会社名の表記ゆれを除くと同一と判断できる (斎藤誠 / 斎藤コーポレーション 斎藤誠)</t>
      </text>
    </comment>
    <comment authorId="0" ref="G63">
      <text>
        <t xml:space="preserve">======
ID#AAAB8rObLsU
    (2026-06-03 03:26:16)
顧客候補 KK00003002。4,840 x 3件の合算候補。SB00024488 / SB00023864 / SB00024506を確認。</t>
      </text>
    </comment>
  </commentList>
  <extLst>
    <ext uri="GoogleSheetsCustomDataVersion2">
      <go:sheetsCustomData xmlns:go="http://customooxmlschemas.google.com/" r:id="rId1" roundtripDataSignature="AMtx7migwQhdWcuRSn/pONId9/IE/aicpg=="/>
    </ext>
  </extL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N127">
      <text>
        <t xml:space="preserve">======
ID#AAAB8rObLxI
    (2026-06-03 03:26:16)
AI判定理由: 会社名の表記ゆれを除くと同一と判断できる</t>
      </text>
    </comment>
    <comment authorId="0" ref="EN29">
      <text>
        <t xml:space="preserve">======
ID#AAAB8rObLw8
    (2026-06-03 03:26:16)
AI判定理由: 個人名の表記ゆれを除くと同一と判断できる</t>
      </text>
    </comment>
    <comment authorId="0" ref="EN125">
      <text>
        <t xml:space="preserve">======
ID#AAAB8rObLxE
    (2026-06-03 03:26:16)
AI判定理由: 会社名の表記ゆれを除くと同一と判断できる (サイセイカイ / 彩生会)</t>
      </text>
    </comment>
    <comment authorId="0" ref="EN126">
      <text>
        <t xml:space="preserve">======
ID#AAAB8rObLwQ
    (2026-06-03 03:26:16)
AI判定理由: 会社名の表記ゆれを除くと同一と判断できる (サイセイカイ / 彩生会)</t>
      </text>
    </comment>
    <comment authorId="0" ref="EN92">
      <text>
        <t xml:space="preserve">======
ID#AAAB8rObLwA
    (2026-06-03 03:26:16)
AI判定理由: 会社名の表記ゆれを除くと同一と判断できる</t>
      </text>
    </comment>
    <comment authorId="0" ref="EN82">
      <text>
        <t xml:space="preserve">======
ID#AAAB8rObLvw
    (2026-06-03 03:26:16)
AI判定理由: 会社名の表記ゆれを除くと同一と判断できる (コンクエスト)</t>
      </text>
    </comment>
    <comment authorId="0" ref="EN23">
      <text>
        <t xml:space="preserve">======
ID#AAAB8rObLvE
    (2026-06-03 03:26:16)
売掛金・諸口以外の科目でマッチしています</t>
      </text>
    </comment>
    <comment authorId="0" ref="EN65">
      <text>
        <t xml:space="preserve">======
ID#AAAB8rObLus
    (2026-06-03 03:26:16)
AI判定理由: 会社名の表記ゆれを除くと同一と判断できる</t>
      </text>
    </comment>
    <comment authorId="0" ref="EN51">
      <text>
        <t xml:space="preserve">======
ID#AAAB8rObLuc
    (2026-06-03 03:26:16)
AI判定理由: 会社名の表記ゆれを除くと同一と判断できる (カーズドロップイン)</t>
      </text>
    </comment>
    <comment authorId="0" ref="EN52">
      <text>
        <t xml:space="preserve">======
ID#AAAB8rObLt4
    (2026-06-03 03:26:16)
AI判定理由: 個人名と会社名の表記ゆれを除くと同一と判断できる (斎藤誠 / 斎藤コーポレーション 斎藤誠)</t>
      </text>
    </comment>
    <comment authorId="0" ref="EN42">
      <text>
        <t xml:space="preserve">======
ID#AAAB8rObLtg
    (2026-06-03 03:26:16)
AI判定理由: 会社名の表記ゆれを除くと同一と判断できる</t>
      </text>
    </comment>
    <comment authorId="0" ref="EN91">
      <text>
        <t xml:space="preserve">======
ID#AAAB8rObLto
    (2026-06-03 03:26:16)
AI判定理由: 会社名の表記ゆれを除くと同一と判断できる</t>
      </text>
    </comment>
    <comment authorId="0" ref="EN40">
      <text>
        <t xml:space="preserve">======
ID#AAAB8rObLs8
    (2026-06-03 03:26:16)
AI判定理由: 会社名の表記ゆれを除くと同一と判断できる (橋本商事 / ハシモトシヨウコ)</t>
      </text>
    </comment>
    <comment authorId="0" ref="EN88">
      <text>
        <t xml:space="preserve">======
ID#AAAB8rObLs4
    (2026-06-03 03:26:16)
売掛金・諸口以外の科目でマッチしています</t>
      </text>
    </comment>
    <comment authorId="0" ref="EN34">
      <text>
        <t xml:space="preserve">======
ID#AAAB8rObLsg
    (2026-06-03 03:26:16)
AI判定理由: 会社名と個人名の表記ゆれを除くと同一と判断できる (アクセ 高垣圭一朗)</t>
      </text>
    </comment>
  </commentList>
  <extLst>
    <ext uri="GoogleSheetsCustomDataVersion2">
      <go:sheetsCustomData xmlns:go="http://customooxmlschemas.google.com/" r:id="rId1" roundtripDataSignature="AMtx7mjX/KwoTNNbS7VoCIFogUrnOZ+WrA=="/>
    </ext>
  </extL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92">
      <text>
        <t xml:space="preserve">======
ID#AAAB8rObLyU
    (2026-06-03 03:26:16)
文字化けの疑いあり</t>
      </text>
    </comment>
    <comment authorId="0" ref="G5">
      <text>
        <t xml:space="preserve">======
ID#AAAB8rObLyM
    (2026-06-03 03:26:16)
AI判定理由: 個人名と会社名の表記ゆれを除くと同一と判断できる (斎藤誠 / 斎藤コーポレーション 斎藤誠)</t>
      </text>
    </comment>
    <comment authorId="0" ref="G81">
      <text>
        <t xml:space="preserve">======
ID#AAAB8rObLyQ
    (2026-06-03 03:26:16)
AI判定理由: 会社名の表記ゆれを除くと同一と判断できる
業務No: SB00024576, SB00024577
顧客No: KK00006682</t>
      </text>
    </comment>
    <comment authorId="0" ref="C93">
      <text>
        <t xml:space="preserve">======
ID#AAAB8rObLyA
    (2026-06-03 03:26:16)
文字化けの疑いあり</t>
      </text>
    </comment>
    <comment authorId="0" ref="K93">
      <text>
        <t xml:space="preserve">======
ID#AAAB8rObLyE
    (2026-06-03 03:26:16)
文字化けの疑いあり</t>
      </text>
    </comment>
    <comment authorId="0" ref="G15">
      <text>
        <t xml:space="preserve">======
ID#AAAB8rObLx0
    (2026-06-03 03:26:16)
AI判定理由: 個人名と会社名の表記ゆれを除くと同一と判断できる (斎藤誠 / 斎藤コーポレーション 斎藤誠)</t>
      </text>
    </comment>
    <comment authorId="0" ref="K94">
      <text>
        <t xml:space="preserve">======
ID#AAAB8rObLx8
    (2026-06-03 03:26:16)
文字化けの疑いあり</t>
      </text>
    </comment>
    <comment authorId="0" ref="G9">
      <text>
        <t xml:space="preserve">======
ID#AAAB8rObLxg
    (2026-06-03 03:26:16)
AI判定理由: 個人名と会社名の表記ゆれを除くと同一と判断できる (斎藤誠 / 斎藤コーポレーション 斎藤誠)</t>
      </text>
    </comment>
    <comment authorId="0" ref="K58">
      <text>
        <t xml:space="preserve">======
ID#AAAB8rObLxM
    (2026-06-03 03:26:16)
文字化けの疑いあり</t>
      </text>
    </comment>
    <comment authorId="0" ref="G16">
      <text>
        <t xml:space="preserve">======
ID#AAAB8rObLws
    (2026-06-03 03:26:16)
AI判定理由: 個人名と会社名の表記ゆれを除くと同一と判断できる (斎藤誠 / 斎藤コーポレーション 斎藤誠)</t>
      </text>
    </comment>
    <comment authorId="0" ref="G10">
      <text>
        <t xml:space="preserve">======
ID#AAAB8rObLww
    (2026-06-03 03:26:16)
AI判定理由: 個人名と会社名の表記ゆれを除くと同一と判断できる (斎藤誠 / 斎藤コーポレーション 斎藤誠)</t>
      </text>
    </comment>
    <comment authorId="0" ref="C58">
      <text>
        <t xml:space="preserve">======
ID#AAAB8rObLwU
    (2026-06-03 03:26:16)
文字化けの疑いあり</t>
      </text>
    </comment>
    <comment authorId="0" ref="G17">
      <text>
        <t xml:space="preserve">======
ID#AAAB8rObLwg
    (2026-06-03 03:26:16)
AI判定理由: 個人名と会社名の表記ゆれを除くと同一と判断できる (斎藤誠 / 斎藤コーポレーション 斎藤誠)</t>
      </text>
    </comment>
    <comment authorId="0" ref="G12">
      <text>
        <t xml:space="preserve">======
ID#AAAB8rObLwI
    (2026-06-03 03:26:16)
AI判定理由: 個人名と会社名の表記ゆれを除くと同一と判断できる (斎藤誠 / 斎藤コーポレーション 斎藤誠)</t>
      </text>
    </comment>
    <comment authorId="0" ref="K109">
      <text>
        <t xml:space="preserve">======
ID#AAAB8rObLvo
    (2026-06-03 03:26:16)
文字化けの疑いあり</t>
      </text>
    </comment>
    <comment authorId="0" ref="G8">
      <text>
        <t xml:space="preserve">======
ID#AAAB8rObLvg
    (2026-06-03 03:26:16)
AI判定理由: 個人名と会社名の表記ゆれを除くと同一と判断できる (斎藤誠 / 斎藤コーポレーション 斎藤誠)</t>
      </text>
    </comment>
    <comment authorId="0" ref="C109">
      <text>
        <t xml:space="preserve">======
ID#AAAB8rObLvA
    (2026-06-03 03:26:16)
文字化けの疑いあり</t>
      </text>
    </comment>
    <comment authorId="0" ref="G62">
      <text>
        <t xml:space="preserve">======
ID#AAAB8rObLuo
    (2026-06-03 03:26:16)
カード種別: VISA
期間: 2026/03 月末〆
照合額: 0</t>
      </text>
    </comment>
    <comment authorId="0" ref="G2">
      <text>
        <t xml:space="preserve">======
ID#AAAB8rObLt0
    (2026-06-03 03:26:16)
AI判定理由: 個人名と会社名の表記ゆれを除くと同一と判断できる (斎藤誠 / 斎藤コーポレーション 斎藤誠)</t>
      </text>
    </comment>
    <comment authorId="0" ref="C92">
      <text>
        <t xml:space="preserve">======
ID#AAAB8rObLtA
    (2026-06-03 03:26:16)
文字化けの疑いあり</t>
      </text>
    </comment>
    <comment authorId="0" ref="G13">
      <text>
        <t xml:space="preserve">======
ID#AAAB8rObLsw
    (2026-06-03 03:26:16)
AI判定理由: 個人名と会社名の表記ゆれを除くと同一と判断できる (斎藤誠 / 斎藤コーポレーション 斎藤誠)</t>
      </text>
    </comment>
    <comment authorId="0" ref="G6">
      <text>
        <t xml:space="preserve">======
ID#AAAB8rObLsc
    (2026-06-03 03:26:16)
AI判定理由: 個人名と会社名の表記ゆれを除くと同一と判断できる (斎藤誠 / 斎藤コーポレーション 斎藤誠)</t>
      </text>
    </comment>
  </commentList>
  <extLst>
    <ext uri="GoogleSheetsCustomDataVersion2">
      <go:sheetsCustomData xmlns:go="http://customooxmlschemas.google.com/" r:id="rId1" roundtripDataSignature="AMtx7mhU759sVKGPYU3VbRhSR4MWS/O1RQ=="/>
    </ext>
  </extL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7">
      <text>
        <t xml:space="preserve">======
ID#AAAB8rObLxQ
    (2026-06-03 03:26:16)
AI判定：金額欄の判読に自信なし（消費税が明示されていません）</t>
      </text>
    </comment>
    <comment authorId="0" ref="D6">
      <text>
        <t xml:space="preserve">======
ID#AAAB8rObLv4
    (2026-06-03 03:26:16)
AI判定：金額欄の判読に自信なし</t>
      </text>
    </comment>
    <comment authorId="0" ref="C7">
      <text>
        <t xml:space="preserve">======
ID#AAAB8rObLuw
    (2026-06-03 03:26:16)
AI判定：金額欄の判読に自信なし（税抜金額が明示されていません）</t>
      </text>
    </comment>
    <comment authorId="0" ref="C6">
      <text>
        <t xml:space="preserve">======
ID#AAAB8rObLt8
    (2026-06-03 03:26:16)
AI判定：金額欄の判読に自信なし</t>
      </text>
    </comment>
  </commentList>
  <extLst>
    <ext uri="GoogleSheetsCustomDataVersion2">
      <go:sheetsCustomData xmlns:go="http://customooxmlschemas.google.com/" r:id="rId1" roundtripDataSignature="AMtx7mjJErIBilb9LI2S5U6FGxUze5Qr3Q=="/>
    </ext>
  </extLst>
</comments>
</file>

<file path=xl/sharedStrings.xml><?xml version="1.0" encoding="utf-8"?>
<sst xmlns="http://schemas.openxmlformats.org/spreadsheetml/2006/main" count="14027" uniqueCount="1918">
  <si>
    <t>現場で見るのはこの3枚だけ</t>
  </si>
  <si>
    <t>1. 銀行文字補正学習  2. 銀行一覧  3. 案件一覧</t>
  </si>
  <si>
    <t>最終更新</t>
  </si>
  <si>
    <t/>
  </si>
  <si>
    <t>見る順番</t>
  </si>
  <si>
    <t>今の件数</t>
  </si>
  <si>
    <t>まず見る場所</t>
  </si>
  <si>
    <t>運用 &gt; 10. 日次一括実行</t>
  </si>
  <si>
    <t>CSV取込から照合までまとめて実行</t>
  </si>
  <si>
    <t>銀行 要確認</t>
  </si>
  <si>
    <t>銀行取込一覧</t>
  </si>
  <si>
    <t>CSVデータを正しく転記できたか確認</t>
  </si>
  <si>
    <t>相手摘要・金額・番号が読めているかを見る原本シート</t>
  </si>
  <si>
    <t>銀行 未照合</t>
  </si>
  <si>
    <t>銀行一覧</t>
  </si>
  <si>
    <t>実際に入金があったものを確認</t>
  </si>
  <si>
    <t>誰から / いつ / いくら入金があったかと照合状況を見る</t>
  </si>
  <si>
    <t>案件 要確認</t>
  </si>
  <si>
    <t>案件一覧</t>
  </si>
  <si>
    <t>案件の入金予定と入金実績を確認</t>
  </si>
  <si>
    <t>いつ / いくら / 誰から支払われる予定か、未入金かを確認</t>
  </si>
  <si>
    <t>案件 未入金</t>
  </si>
  <si>
    <t>案件 一部入金</t>
  </si>
  <si>
    <t>操作順</t>
  </si>
  <si>
    <t>案件 入金済</t>
  </si>
  <si>
    <t>1</t>
  </si>
  <si>
    <t>運用 &gt; 1. 取込</t>
  </si>
  <si>
    <t>CSVを読み込んで銀行取込一覧まで反映</t>
  </si>
  <si>
    <t>2</t>
  </si>
  <si>
    <t>相手摘要・金額・番号が想定どおりか確認</t>
  </si>
  <si>
    <t>3</t>
  </si>
  <si>
    <t>運用 &gt; 2. 照合</t>
  </si>
  <si>
    <t>案件との照合を実行</t>
  </si>
  <si>
    <t>4</t>
  </si>
  <si>
    <t>銀行一覧 / 案件一覧</t>
  </si>
  <si>
    <t>要確認・入金済み・未入金を確認</t>
  </si>
  <si>
    <t>ステータスの意味</t>
  </si>
  <si>
    <t>補足</t>
  </si>
  <si>
    <t>もう触らなくてよい</t>
  </si>
  <si>
    <t>hiddenシート</t>
  </si>
  <si>
    <t>学習・補正・raw保存用。通常は見なくてよい</t>
  </si>
  <si>
    <t>学習シート</t>
  </si>
  <si>
    <t>文字化けや名義ゆれを次回以降に生かすために使う</t>
  </si>
  <si>
    <t>要確認の判断理由</t>
  </si>
  <si>
    <t>銀行一覧の確認メモを見る</t>
  </si>
  <si>
    <t>入金合計</t>
  </si>
  <si>
    <t>現金</t>
  </si>
  <si>
    <t>クレカ</t>
  </si>
  <si>
    <t>振り込み</t>
  </si>
  <si>
    <t>売上</t>
  </si>
  <si>
    <t>未入金</t>
  </si>
  <si>
    <t>CSVから読み込んだ入金原本です。ここで摘要・金額・番号を確認し、その後に銀行一覧で照合状況を見ます。</t>
  </si>
  <si>
    <t>状態</t>
  </si>
  <si>
    <t>件数</t>
  </si>
  <si>
    <t>このシートの意味</t>
  </si>
  <si>
    <t>全件</t>
  </si>
  <si>
    <t>銀行CSVから読んだ入金行をそのまま正規化して表示</t>
  </si>
  <si>
    <t>要確認</t>
  </si>
  <si>
    <t>相手摘要を優先表示。末尾の SB / CH / PC / RA も確認対象</t>
  </si>
  <si>
    <t>対象外</t>
  </si>
  <si>
    <t>利息・借入など、案件照合の対象外もここでは確認可能</t>
  </si>
  <si>
    <t>日付</t>
  </si>
  <si>
    <t>表示摘要</t>
  </si>
  <si>
    <t>相手摘要</t>
  </si>
  <si>
    <t>自摘要</t>
  </si>
  <si>
    <t>相手科目</t>
  </si>
  <si>
    <t>金額</t>
  </si>
  <si>
    <t>区分</t>
  </si>
  <si>
    <t>ステータス</t>
  </si>
  <si>
    <t>顧客No</t>
  </si>
  <si>
    <t>業務No</t>
  </si>
  <si>
    <t>入金月</t>
  </si>
  <si>
    <t>番号</t>
  </si>
  <si>
    <t>取込ファイル</t>
  </si>
  <si>
    <t>銀行取込一覧から、案件照合の対象になる入金だけを抜き出して管理するシートです。</t>
  </si>
  <si>
    <t>この一覧の意味</t>
  </si>
  <si>
    <t>照合済み</t>
  </si>
  <si>
    <t>銀行取込一覧を元に、案件照合が必要な入金だけを表示</t>
  </si>
  <si>
    <t>相手摘要を優先表示。SB / CH / PC / RA を照合材料に使う</t>
  </si>
  <si>
    <t>未照合</t>
  </si>
  <si>
    <t>対象外はここに出さず、原本の銀行取込一覧で確認</t>
  </si>
  <si>
    <t>摘要</t>
  </si>
  <si>
    <t>確認メモ</t>
  </si>
  <si>
    <t>案件候補あり。売上総計267,360に対し差額8,662。カード手数料差か集約入金を確認。</t>
  </si>
  <si>
    <t>案件候補未発見。案件入金ではなく別入金の可能性あり。</t>
  </si>
  <si>
    <t>三井住友海上系案件を確認。近傍候補はあるが単独一致なし。</t>
  </si>
  <si>
    <t>CH3536候補未発見。土肥潤一郎案件はあるが金額不一致。</t>
  </si>
  <si>
    <t>2026/03/10に同摘要150,000の自動消込あり。重複入金か2回目入金か確認。</t>
  </si>
  <si>
    <t>顧客候補あり。摘要に複数番号があり合算入金の可能性。</t>
  </si>
  <si>
    <t>損保ジャパン関連案件を確認。既存自動消込案件はあるが金額一致なし。</t>
  </si>
  <si>
    <t>カード集約入金。クレカ・現金側のVISA締め期間で確認。</t>
  </si>
  <si>
    <t>4,840 x 3件の合算候補。キムラユニティ案件3件を確認。</t>
  </si>
  <si>
    <t>彩生会候補あり。15,400+8,800=24,200で不一致、別案件の可能性。</t>
  </si>
  <si>
    <t>三井住友海上関連の一致候補未発見。返戻や端数精算の可能性。</t>
  </si>
  <si>
    <t>同日同額でSB00024587が自動消込済。重複取込か二重入金を確認。</t>
  </si>
  <si>
    <t>同日売掛金(有)ｱﾄﾘｴﾋﾟｭｱ様 ｸﾞﾚｶｰﾚ 110,000あり。名義揺れ候補。</t>
  </si>
  <si>
    <t>名義対応表に合同会社ソーラーエナジー・ブリッジ系あり。関連案件確認。</t>
  </si>
  <si>
    <t>名義対応表の橋本祥子系を確認。ソーラーエナジー案件と関連の可能性。</t>
  </si>
  <si>
    <t>上記 諸口110,000と同額。同一入金の名義揺れ候補。</t>
  </si>
  <si>
    <t>SB00024585 は案件リスト未登録。案件CSVの追加入力または番号記載漏れを確認。</t>
  </si>
  <si>
    <t>SB00024593 は案件リスト未登録。案件CSVの追加入力または番号記載漏れを確認。</t>
  </si>
  <si>
    <t>オリコ集約入金。クレカ・現金側の締め期間で確認。</t>
  </si>
  <si>
    <t>CH00003844 候補だが案件リスト未登録。請求書発行または案件ソースを確認。</t>
  </si>
  <si>
    <t>保険会社系の入金候補。請求書発行・保険請求案件を確認。</t>
  </si>
  <si>
    <t>案件リスト上に SB00024529 が存在せず、live では別案件番号の可能性。案件ソースを確認。</t>
  </si>
  <si>
    <t>CH00003839 候補だが案件リスト未登録。請求書発行または案件ソースを確認。</t>
  </si>
  <si>
    <t>SB00024556 は案件リスト未登録。案件CSVの追加入力または番号記載漏れを確認。</t>
  </si>
  <si>
    <t>VISA集約入金。クレカ・現金側のVISA締め期間で確認。</t>
  </si>
  <si>
    <t>JCB集約入金。クレカ・現金側のJCB締め期間で確認。</t>
  </si>
  <si>
    <t>既存同摘要の入金履歴あり。重複入金か別案件か確認。</t>
  </si>
  <si>
    <t>このシートだけ見れば、案件ごとの入金状況が分かります。</t>
  </si>
  <si>
    <t>見方</t>
  </si>
  <si>
    <t>入金済</t>
  </si>
  <si>
    <t>まだ入金が確認できていない</t>
  </si>
  <si>
    <t>一部入金</t>
  </si>
  <si>
    <t>一部だけ入っている</t>
  </si>
  <si>
    <t>人の確認が必要</t>
  </si>
  <si>
    <t>顧客名</t>
  </si>
  <si>
    <t>請求先名</t>
  </si>
  <si>
    <t>作業区分</t>
  </si>
  <si>
    <t>売上総計</t>
  </si>
  <si>
    <t>照合ステータス</t>
  </si>
  <si>
    <t>入金方法</t>
  </si>
  <si>
    <t>入金予定日</t>
  </si>
  <si>
    <t>入金累計</t>
  </si>
  <si>
    <t>未入金額</t>
  </si>
  <si>
    <t>入金状況</t>
  </si>
  <si>
    <t>アラート</t>
  </si>
  <si>
    <t>取引日</t>
  </si>
  <si>
    <t>取引先</t>
  </si>
  <si>
    <t>伝票番号</t>
  </si>
  <si>
    <t>小計</t>
  </si>
  <si>
    <t>税金</t>
  </si>
  <si>
    <t>合計</t>
  </si>
  <si>
    <t>ファイル名</t>
  </si>
  <si>
    <t>ファイルURL</t>
  </si>
  <si>
    <t>ファイルID</t>
  </si>
  <si>
    <t>勘定科目</t>
  </si>
  <si>
    <t>登録日時</t>
  </si>
  <si>
    <t>AIメモ</t>
  </si>
  <si>
    <t>原文抜粋</t>
  </si>
  <si>
    <t>株式会社 コンクエスト</t>
  </si>
  <si>
    <t>20260331　ﾏｾﾗﾃｨ分ﾌﾞﾘｯｼﾞ→ｺﾝｸｴｽﾄ請求書.pdf</t>
  </si>
  <si>
    <t>https://drive.google.com/file/d/1Pu9tfV6duLWYCqfHkHg31jCE4zz0A8DH/view?usp=drivesdk</t>
  </si>
  <si>
    <t>1Pu9tfV6duLWYCqfHkHg31jCE4zz0A8DH</t>
  </si>
  <si>
    <t>株式会社 コンクエスト 御中 / 令和8年3月31日 / マセラティ整備売上代 3月 1,764,543 / 消費税 176,454 / ご請求金額 1,940,997 / 広島銀行 福山営業本部 普通3755526 / 口座名義:株式会社 ブリッジ</t>
  </si>
  <si>
    <t>コンクエスト様経費請求書.xlsx - Google スプレッドシート.pdf</t>
  </si>
  <si>
    <t>https://drive.google.com/file/d/1_wVwwyhEVkv_hBtUR0d3isCR4-rOTY4C/view?usp=drivesdk</t>
  </si>
  <si>
    <t>1_wVwwyhEVkv_hBtUR0d3isCR4-rOTY4C</t>
  </si>
  <si>
    <t>株式会社 コンクエスト / 2026 / 04 / 16 / 出向費、業務契約、整備、家賃 / 小計 -83000 / 消費税 0 / 合計 -83000 / 広島銀行 普通3474756</t>
  </si>
  <si>
    <t>クレカ種別</t>
  </si>
  <si>
    <t>ASO/TOSHIHIDE様</t>
  </si>
  <si>
    <t>JCB</t>
  </si>
  <si>
    <t>20260416152959.pdf</t>
  </si>
  <si>
    <t>https://drive.google.com/file/d/1ZAWtxI9-cp9JMOuzeYGA3_njrqCU93mH/view?usp=drivesdk</t>
  </si>
  <si>
    <t>KUROSE/NORIKO様</t>
  </si>
  <si>
    <t>自動消込</t>
  </si>
  <si>
    <t>SB00024495</t>
  </si>
  <si>
    <t>KK00004889</t>
  </si>
  <si>
    <t>20260416153020.pdf</t>
  </si>
  <si>
    <t>https://drive.google.com/file/d/1QjmiJgY868MGz1aTkmOpQNk8qSZBq7Q_/view?usp=drivesdk</t>
  </si>
  <si>
    <t>李樹人様</t>
  </si>
  <si>
    <t>VISA</t>
  </si>
  <si>
    <t>SB00024545</t>
  </si>
  <si>
    <t>KK00006641</t>
  </si>
  <si>
    <t>20260416153039.pdf</t>
  </si>
  <si>
    <t>https://drive.google.com/file/d/1Ez-IDDdbljYYlwSZVl2GaEfySPN6dgjw/view?usp=drivesdk</t>
  </si>
  <si>
    <t>HARA/TAI SHI様</t>
  </si>
  <si>
    <t>SB00024563</t>
  </si>
  <si>
    <t>KK00007251</t>
  </si>
  <si>
    <t>20260416153113.pdf</t>
  </si>
  <si>
    <t>https://drive.google.com/file/d/1xdX8y0QaoWk-Pu0BKQ9-bEmCSK4z8150/view?usp=drivesdk</t>
  </si>
  <si>
    <t>OKUNO/HIROSHI</t>
  </si>
  <si>
    <t>MASTER</t>
  </si>
  <si>
    <t>SB00024537</t>
  </si>
  <si>
    <t>KK00006201</t>
  </si>
  <si>
    <t>20260424130348.pdf</t>
  </si>
  <si>
    <t>https://drive.google.com/file/d/1Tj-vbGJANOoLAg3NRWGZgrc-NXMZklaH/view?usp=drivesdk</t>
  </si>
  <si>
    <t>猪口智典様</t>
  </si>
  <si>
    <t>SB00024581</t>
  </si>
  <si>
    <t>KK00002157</t>
  </si>
  <si>
    <t>20260424130331.pdf</t>
  </si>
  <si>
    <t>https://drive.google.com/file/d/1PFtfxcPGFYAkNcEY_Ph7t7miSeFKKCQ4/view?usp=drivesdk</t>
  </si>
  <si>
    <t>HIRAKI/NOBUAKI様</t>
  </si>
  <si>
    <t>SB00024583</t>
  </si>
  <si>
    <t>KK00000935</t>
  </si>
  <si>
    <t>20260424130311.pdf</t>
  </si>
  <si>
    <t>https://drive.google.com/file/d/1iMbKuVMF4oZhM1KLs8wLiQSNC3hXGxh-/view?usp=drivesdk</t>
  </si>
  <si>
    <t>読み取り日付</t>
  </si>
  <si>
    <t>該当シート</t>
  </si>
  <si>
    <t>該当列</t>
  </si>
  <si>
    <t>読取データ</t>
  </si>
  <si>
    <t>正データ</t>
  </si>
  <si>
    <t>学習指示</t>
  </si>
  <si>
    <t>判定理由</t>
  </si>
  <si>
    <t>振込入金リスト一覧</t>
  </si>
  <si>
    <t>MTAUTO岡�ｱ</t>
  </si>
  <si>
    <t>MTAUTO岡﨑</t>
  </si>
  <si>
    <t>文字化けの疑いあり</t>
  </si>
  <si>
    <t>銀行データチェック用</t>
  </si>
  <si>
    <t>ﾌﾟﾚﾐｱ�梶@</t>
  </si>
  <si>
    <t>ﾌﾟﾚﾐｱ㈱</t>
  </si>
  <si>
    <t>ストロングマウンテン��</t>
  </si>
  <si>
    <t>ストロングマウンテン㈱</t>
  </si>
  <si>
    <t>三井住友海上火災保険�梶@</t>
  </si>
  <si>
    <t>三井住友海上火災保険㈱</t>
  </si>
  <si>
    <t>20260416.2hori .xlsx.csv</t>
  </si>
  <si>
    <t>�甘ﾞｲﾜｲﾏｰｹﾃｨﾝｸﾞ</t>
  </si>
  <si>
    <t>㈱ﾃﾞｲﾜｲﾏｰｹﾃｨﾝｸﾞ</t>
  </si>
  <si>
    <t>普通預金.csv</t>
  </si>
  <si>
    <t>�晦’crews</t>
  </si>
  <si>
    <t>(株)A’crews</t>
  </si>
  <si>
    <t>�葛ｴ本商事</t>
  </si>
  <si>
    <t>(株)橋本商事</t>
  </si>
  <si>
    <t>資金移動�A</t>
  </si>
  <si>
    <t>資金移動②</t>
  </si>
  <si>
    <t>�憾ｰｽﾞﾄﾞﾛｯﾌﾟｲﾝ</t>
  </si>
  <si>
    <t>(株)ｶｰｽﾞﾄﾞﾛｯﾌﾟｲﾝ</t>
  </si>
  <si>
    <t>�干ｸｾ</t>
  </si>
  <si>
    <t>(株)アクセ</t>
  </si>
  <si>
    <t>�桓ﾝｸｴｽﾄ</t>
  </si>
  <si>
    <t>(株)ｺﾝｸｴｽﾄ</t>
  </si>
  <si>
    <t>�劾EO-GRIT</t>
  </si>
  <si>
    <t>(株)NEO-GRIT</t>
  </si>
  <si>
    <t>��田自動車</t>
  </si>
  <si>
    <t>髙田自動車</t>
  </si>
  <si>
    <t>�繻ｴ裕樹</t>
  </si>
  <si>
    <t>桒原裕樹</t>
  </si>
  <si>
    <t>ﾌﾙﾓﾄ建機�梶@</t>
  </si>
  <si>
    <t>ﾌﾙﾓﾄ建機㈱</t>
  </si>
  <si>
    <t>ｿﾌﾄﾊﾞﾝｸ�梶@</t>
  </si>
  <si>
    <t>ソフトバンク(株)</t>
  </si>
  <si>
    <t>ﾜﾝﾗｲﾄ�梶@</t>
  </si>
  <si>
    <t>ﾜﾝﾗｲﾄ(株)</t>
  </si>
  <si>
    <t>�甘ﾝﾎﾟｽﾊﾞｽﾀｰｽﾞ</t>
  </si>
  <si>
    <t>(株) ﾃﾝﾎﾟｽﾊﾞｽﾀｰｽﾞ</t>
  </si>
  <si>
    <t>�帰Iｸﾘｰﾝｻｰﾋﾞｽ</t>
  </si>
  <si>
    <t>(有)AIクリーンサービス</t>
  </si>
  <si>
    <t>佐川急便�梶@</t>
  </si>
  <si>
    <t>佐川急便(株)</t>
  </si>
  <si>
    <t>�歓ﾀｯﾌｻｰﾋﾞｽ</t>
  </si>
  <si>
    <t>(株)スタッフサービス</t>
  </si>
  <si>
    <t>�竃�田商店</t>
  </si>
  <si>
    <t>(株)野田商店</t>
  </si>
  <si>
    <t>福山通運�梶</t>
  </si>
  <si>
    <t>福山通運(株)</t>
  </si>
  <si>
    <t>�肝ﾛｰﾘｽﾄもん</t>
  </si>
  <si>
    <t>(株)フローリストもん</t>
  </si>
  <si>
    <t>�間ﾏｻ</t>
  </si>
  <si>
    <t>(株)ヤマサ</t>
  </si>
  <si>
    <t>�韓ｸﾙーﾄｶｰｾﾝｻｰ</t>
  </si>
  <si>
    <t>(株)リクルートカーセンサー</t>
  </si>
  <si>
    <t>ｳﾙﾄｼﾞｬﾊﾟﾝ�梶@</t>
  </si>
  <si>
    <t>ウルトジャパン(株)</t>
  </si>
  <si>
    <t>東邦自動車�梶@</t>
  </si>
  <si>
    <t>東邦自動車(株)</t>
  </si>
  <si>
    <t>�兜沁R自動車用品商会</t>
  </si>
  <si>
    <t>(株)福山自動車用品商会</t>
  </si>
  <si>
    <t>�関ｺﾊﾏﾀｲﾔｼﾞｬﾊﾟﾝ</t>
  </si>
  <si>
    <t>(株) ﾖｺﾊﾏﾀｲﾔｼﾞｬﾊﾟﾝ</t>
  </si>
  <si>
    <t>ﾜｰﾙﾄﾞﾕｰﾃｨﾘﾃｨ�梶@</t>
  </si>
  <si>
    <t>ワールドユーティリティ(株)</t>
  </si>
  <si>
    <t>ﾘｺｰｼﾞｬﾊﾟﾝ�梶@</t>
  </si>
  <si>
    <t>リコージャパン(株)</t>
  </si>
  <si>
    <t>20260427.2hori .xlsx.csv</t>
  </si>
  <si>
    <t>https://drive.google.com/file/d/1XXwVtT1mauPzUlfSmh7U7Kyo5BOA8aRI/view?usp=drivesdk</t>
  </si>
  <si>
    <t>�棺ﾝｴｽ様　SB24522</t>
  </si>
  <si>
    <t>�恭ﾄﾘｴﾋﾟｭｱ様　ｸﾞﾚｶｰﾚ</t>
  </si>
  <si>
    <t>20260427.1hori .xlsx.csv</t>
  </si>
  <si>
    <t>https://drive.google.com/file/d/136vKW1h2hxfItErXqLPVMyvbmNi4sgJS/view?usp=drivesdk</t>
  </si>
  <si>
    <t>ﾘｰｽ　�肝ﾚｯﾁｪﾎﾞｽｺ様　ﾏｾﾗﾃｨ　ｸﾞﾗﾝﾄｩﾘｽﾞﾓ</t>
  </si>
  <si>
    <t>三井住友海上火災保険�梶@損害保険</t>
  </si>
  <si>
    <t>�閑ﾆﾏｯﾄﾗｲﾌ　ﾏｯﾄ代</t>
  </si>
  <si>
    <t>ｿﾌﾄﾊﾞﾝｸ�梶@3月分</t>
  </si>
  <si>
    <t>20260424.1hori .xlsx.csv</t>
  </si>
  <si>
    <t>https://drive.google.com/file/d/1eRQjqPLZ73VrUEoEPcbR4EZXHCwHUYfT/view?usp=drivesdk</t>
  </si>
  <si>
    <t>三井住友海上火災保険�梶@自賠責　おもてちょう不動産　林正道　高垣圭一</t>
  </si>
  <si>
    <t>20260413.2hori .xlsx.csv</t>
  </si>
  <si>
    <t>https://drive.google.com/file/d/1-aLDhXdwITX0qote4uqi_bLLCwOR49Fq/view?usp=drivesdk</t>
  </si>
  <si>
    <t>ﾌﾟﾚﾐｱ�梶@ｷｯｸﾊﾞｯｸ</t>
  </si>
  <si>
    <t>20260416.1hori .xlsx.csv</t>
  </si>
  <si>
    <t>https://drive.google.com/file/d/12ToEmkeW2uwvJqEcqg0vlb7VIfrNPedG/view?usp=drivesdk</t>
  </si>
  <si>
    <t>更衣ロッカー合鍵作成　�感ｽｴﾌ</t>
  </si>
  <si>
    <t>三井住友海上火災保険�梶@代理店保険手数料</t>
  </si>
  <si>
    <t>https://drive.google.com/file/d/1dzDQ9Tpr5ewQv1iBsYY5lN_zTtYjx8CX/view?usp=drivesdk</t>
  </si>
  <si>
    <t>�甘ﾞｲﾜｲﾏｰｹﾃｨﾝｸﾞ様　SB24539</t>
  </si>
  <si>
    <t>20260420.4hori .xlsx.csv</t>
  </si>
  <si>
    <t>https://drive.google.com/file/d/18-v-3DagdDeFRVW1BqrJEtuZCUILm3ZI/view?usp=drivesdk</t>
  </si>
  <si>
    <t>三井住友海上火災保険�梶@SB24559</t>
  </si>
  <si>
    <t>20260420.3hori .xlsx.csv</t>
  </si>
  <si>
    <t>https://drive.google.com/file/d/14VtAhjj0JQ72XbtFMNwEEIBMwbQoE_fN/view?usp=drivesdk</t>
  </si>
  <si>
    <t>三井住友海上火災保険�梶@販売車　対人対物保険料</t>
  </si>
  <si>
    <t>データスクリーニング</t>
  </si>
  <si>
    <t>既存データを再照合する前の確認用です。ここは入力画面ではなく、修正対象を見つける画面です。取込失敗・未照合・要確認・期限超過をここで拾います。</t>
  </si>
  <si>
    <t>指標</t>
  </si>
  <si>
    <t>銀行データ総件数</t>
  </si>
  <si>
    <t>銀行 文字化け疑い</t>
  </si>
  <si>
    <t>銀行 業務No未設定</t>
  </si>
  <si>
    <t>銀行 顧客No未設定</t>
  </si>
  <si>
    <t>取込失敗ファイル</t>
  </si>
  <si>
    <t>案件 未照合/要確認</t>
  </si>
  <si>
    <t>案件 期限超過</t>
  </si>
  <si>
    <t>請求書 未入金</t>
  </si>
  <si>
    <t>請求書 要確認</t>
  </si>
  <si>
    <t>作業一覧</t>
  </si>
  <si>
    <t>銀行要対応 を開く</t>
  </si>
  <si>
    <t>案件要対応 を開く</t>
  </si>
  <si>
    <t>請求書要対応 を開く</t>
  </si>
  <si>
    <t>取込失敗 を開く</t>
  </si>
  <si>
    <t>業務No候補</t>
  </si>
  <si>
    <t>顧客No候補</t>
  </si>
  <si>
    <t>中銀ｶｰﾄﾞ　JCB　寺岡栞様　SB24481</t>
  </si>
  <si>
    <t>SB00024481</t>
  </si>
  <si>
    <t>KK00001934</t>
  </si>
  <si>
    <t>該当なし カ) ナルネットコミュニケーシ ヨンズ</t>
  </si>
  <si>
    <t>該当なし ミツイスミトモカイジョウB</t>
  </si>
  <si>
    <t>土肥良太郎様 CH3536</t>
  </si>
  <si>
    <t>(株)橋本商事((株)A' crews)</t>
  </si>
  <si>
    <t>(有)エルグレコ様 SB24548/24461</t>
  </si>
  <si>
    <t>SB24548ほか</t>
  </si>
  <si>
    <t>KK00001837</t>
  </si>
  <si>
    <t>該当なし ソンポジヤパン</t>
  </si>
  <si>
    <t>該当なし チユウギンカードVIS</t>
  </si>
  <si>
    <t>該当なし 振込1 キムラユニテイ− カ</t>
  </si>
  <si>
    <t>SB00024488/SB00023864/SB00024506</t>
  </si>
  <si>
    <t>KK00003002</t>
  </si>
  <si>
    <t>該当なし イ)サイセイカイ</t>
  </si>
  <si>
    <t>SB00024576/SB00024577</t>
  </si>
  <si>
    <t>該当なし ミツイスミトモカイジヨウB</t>
  </si>
  <si>
    <t>該当なし ユ)アトリエ.ピユア</t>
  </si>
  <si>
    <t>該当なし ド)ソーラーエナジー</t>
  </si>
  <si>
    <t>該当なし ハシモトシヨウコ</t>
  </si>
  <si>
    <t>(株)ｻﾝｴｽ様　SB24522</t>
  </si>
  <si>
    <t>SB00024587</t>
  </si>
  <si>
    <t>KK00001694</t>
  </si>
  <si>
    <t>(有)ｱﾄﾘｴﾋﾟｭｱ様　ｸﾞﾚｶｰﾚ</t>
  </si>
  <si>
    <t>金森洋人様　SB24585</t>
  </si>
  <si>
    <t>SB00024585</t>
  </si>
  <si>
    <t>大中誠二様　SB24593</t>
  </si>
  <si>
    <t>SB00024593</t>
  </si>
  <si>
    <t>該当なし 振込1 オリコ</t>
  </si>
  <si>
    <t>映ｸﾗ㈱様　CH3844</t>
  </si>
  <si>
    <t>CH00003844</t>
  </si>
  <si>
    <t>㈱はなまる様　CH3839</t>
  </si>
  <si>
    <t>CH00003839</t>
  </si>
  <si>
    <t>㈱水島設備様　SB24556</t>
  </si>
  <si>
    <t>SB00024556</t>
  </si>
  <si>
    <t>該当なし チユウギンカードJCB</t>
  </si>
  <si>
    <t>㈱橋本商事　(㈱A’crews)</t>
  </si>
  <si>
    <t>㈱ｾﾞﾈｺｽ様　SB24529</t>
  </si>
  <si>
    <t>業務№</t>
  </si>
  <si>
    <t>作業大区分名</t>
  </si>
  <si>
    <t>業務ステータス</t>
  </si>
  <si>
    <t>年式</t>
  </si>
  <si>
    <t>車名</t>
  </si>
  <si>
    <t>形状</t>
  </si>
  <si>
    <t>車台№</t>
  </si>
  <si>
    <t>排気量</t>
  </si>
  <si>
    <t>タイプ</t>
  </si>
  <si>
    <t>型式</t>
  </si>
  <si>
    <t>色</t>
  </si>
  <si>
    <t>ミッション</t>
  </si>
  <si>
    <t>装備</t>
  </si>
  <si>
    <t>グレード</t>
  </si>
  <si>
    <t>車検日</t>
  </si>
  <si>
    <t>登録№</t>
  </si>
  <si>
    <t>距離</t>
  </si>
  <si>
    <t>用途</t>
  </si>
  <si>
    <t>入庫予定日</t>
  </si>
  <si>
    <t>入庫日</t>
  </si>
  <si>
    <t>納車予定日</t>
  </si>
  <si>
    <t>納車日</t>
  </si>
  <si>
    <t>営業店舗</t>
  </si>
  <si>
    <t>営業担当</t>
  </si>
  <si>
    <t>整備店舗</t>
  </si>
  <si>
    <t>整備担当</t>
  </si>
  <si>
    <t>整備料売上計</t>
  </si>
  <si>
    <t>諸費用売上計</t>
  </si>
  <si>
    <t>法定費用売上計</t>
  </si>
  <si>
    <t>売上消費税計</t>
  </si>
  <si>
    <t>掛け率</t>
  </si>
  <si>
    <t>整備料原価計</t>
  </si>
  <si>
    <t>諸費用原価計</t>
  </si>
  <si>
    <t>法定費用原価計</t>
  </si>
  <si>
    <t>原価消費税計</t>
  </si>
  <si>
    <t>原価総計</t>
  </si>
  <si>
    <t>お預かり金額</t>
  </si>
  <si>
    <t>粗利</t>
  </si>
  <si>
    <t>作業小区分名</t>
  </si>
  <si>
    <t>諸費用売上１</t>
  </si>
  <si>
    <t>諸費用売上項目名１</t>
  </si>
  <si>
    <t>諸費用売上項目名２</t>
  </si>
  <si>
    <t>諸費用売上２</t>
  </si>
  <si>
    <t>諸費用売上項目名３</t>
  </si>
  <si>
    <t>諸費用売上３</t>
  </si>
  <si>
    <t>諸費用売上項目名４</t>
  </si>
  <si>
    <t>諸費用売上４</t>
  </si>
  <si>
    <t>諸費用売上項目名５</t>
  </si>
  <si>
    <t>諸費用売上５</t>
  </si>
  <si>
    <t>諸費用売上項目名６</t>
  </si>
  <si>
    <t>諸費用売上６</t>
  </si>
  <si>
    <t>諸費用売上項目名７</t>
  </si>
  <si>
    <t>諸費用売上７</t>
  </si>
  <si>
    <t>諸費用売上項目名８</t>
  </si>
  <si>
    <t>諸費用売上８</t>
  </si>
  <si>
    <t>法定費用売上項目名１</t>
  </si>
  <si>
    <t>法定費用売上１</t>
  </si>
  <si>
    <t>法定費用売上項目名２</t>
  </si>
  <si>
    <t>法定費用売上２</t>
  </si>
  <si>
    <t>法定費用売上項目名３</t>
  </si>
  <si>
    <t>法定費用売上３</t>
  </si>
  <si>
    <t>法定費用売上項目名４</t>
  </si>
  <si>
    <t>法定費用売上４</t>
  </si>
  <si>
    <t>法定費用売上項目名５</t>
  </si>
  <si>
    <t>法定費用売上５</t>
  </si>
  <si>
    <t>法定費用売上項目名６</t>
  </si>
  <si>
    <t>法定費用売上６</t>
  </si>
  <si>
    <t>法定費用売上項目名７</t>
  </si>
  <si>
    <t>法定費用売上７</t>
  </si>
  <si>
    <t>法定費用売上項目名８</t>
  </si>
  <si>
    <t>法定費用売上８</t>
  </si>
  <si>
    <t>諸費用原価１</t>
  </si>
  <si>
    <t>諸費用原価項目名２</t>
  </si>
  <si>
    <t>諸費用原価２</t>
  </si>
  <si>
    <t>諸費用原価項目名１</t>
  </si>
  <si>
    <t>諸費用原価項目名３</t>
  </si>
  <si>
    <t>諸費用原価３</t>
  </si>
  <si>
    <t>諸費用原価項目名４</t>
  </si>
  <si>
    <t>諸費用原価４</t>
  </si>
  <si>
    <t>諸費用原価項目名５</t>
  </si>
  <si>
    <t>諸費用原価５</t>
  </si>
  <si>
    <t>諸費用原価項目名６</t>
  </si>
  <si>
    <t>諸費用原価６</t>
  </si>
  <si>
    <t>諸費用原価項目名７</t>
  </si>
  <si>
    <t>諸費用原価７</t>
  </si>
  <si>
    <t>諸費用原価項目名８</t>
  </si>
  <si>
    <t>諸費用原価８</t>
  </si>
  <si>
    <t>法定費用原価項目名１</t>
  </si>
  <si>
    <t>法定費用原価１</t>
  </si>
  <si>
    <t>法定費用原価項目名２</t>
  </si>
  <si>
    <t>法定費用原価２</t>
  </si>
  <si>
    <t>法定費用原価項目名３</t>
  </si>
  <si>
    <t>法定費用原価３</t>
  </si>
  <si>
    <t>法定費用原価項目名４</t>
  </si>
  <si>
    <t>法定費用原価４</t>
  </si>
  <si>
    <t>法定費用原価項目名５</t>
  </si>
  <si>
    <t>法定費用原価５</t>
  </si>
  <si>
    <t>法定費用原価項目名６</t>
  </si>
  <si>
    <t>法定費用原価６</t>
  </si>
  <si>
    <t>法定費用原価項目名７</t>
  </si>
  <si>
    <t>法定費用原価７</t>
  </si>
  <si>
    <t>法定費用原価項目名８</t>
  </si>
  <si>
    <t>法定費用原価８</t>
  </si>
  <si>
    <t>技術料売上</t>
  </si>
  <si>
    <t>部品料売上</t>
  </si>
  <si>
    <t>予備項目売上</t>
  </si>
  <si>
    <t>技術料原価</t>
  </si>
  <si>
    <t>部品料原価</t>
  </si>
  <si>
    <t>顧客№</t>
  </si>
  <si>
    <t>管理店舗</t>
  </si>
  <si>
    <t>管理担当</t>
  </si>
  <si>
    <t>住所</t>
  </si>
  <si>
    <t>顧客TEL</t>
  </si>
  <si>
    <t>携帯TEL</t>
  </si>
  <si>
    <t>その他請求先1</t>
  </si>
  <si>
    <t>その他請求先2</t>
  </si>
  <si>
    <t>その他請求先3</t>
  </si>
  <si>
    <t>売上月</t>
  </si>
  <si>
    <t>車販</t>
  </si>
  <si>
    <t>登録決定</t>
  </si>
  <si>
    <t>㈱一条工務店広島</t>
  </si>
  <si>
    <t>飛谷暁儀</t>
  </si>
  <si>
    <t>㈱ﾏﾝｸﾞﾛｰﾌﾞ</t>
  </si>
  <si>
    <t>難波未来</t>
  </si>
  <si>
    <t>SB00024453</t>
  </si>
  <si>
    <t>一般整備</t>
  </si>
  <si>
    <t>売上決定</t>
  </si>
  <si>
    <t>オートファイル 有限会社</t>
  </si>
  <si>
    <t>H 25/01</t>
  </si>
  <si>
    <t>ﾚﾝｼﾞﾛｰﾊﾞｰｲｳﾞｫｰｸ</t>
  </si>
  <si>
    <t>ﾜｺﾞﾝ</t>
  </si>
  <si>
    <t>SALVA2AG5DH735972</t>
  </si>
  <si>
    <t>ＲＶ＆ワゴン</t>
  </si>
  <si>
    <t>CBA-LV2A</t>
  </si>
  <si>
    <t>AT</t>
  </si>
  <si>
    <t>ﾌﾙ ｴｱﾊﾞｯｸﾞ ABS 4WD ｱﾙﾐ</t>
  </si>
  <si>
    <t>J・L（小売</t>
  </si>
  <si>
    <t>㈱ﾌﾞﾘｯｼﾞ本社</t>
  </si>
  <si>
    <t>桒原　裕樹</t>
  </si>
  <si>
    <t>J・L</t>
  </si>
  <si>
    <t>検査登録代行料</t>
  </si>
  <si>
    <t>テスター料</t>
  </si>
  <si>
    <t>ＦＣ　□</t>
  </si>
  <si>
    <t>自賠責保険</t>
  </si>
  <si>
    <t>重量税</t>
  </si>
  <si>
    <t>印紙代</t>
  </si>
  <si>
    <t>任意保険</t>
  </si>
  <si>
    <t>KK00002750</t>
  </si>
  <si>
    <t>カーセブン福山店</t>
  </si>
  <si>
    <t>高田　浩史</t>
  </si>
  <si>
    <t>広島県福山市南蔵王町2丁目15</t>
  </si>
  <si>
    <t>084-924-1682</t>
  </si>
  <si>
    <t>SB00024484</t>
  </si>
  <si>
    <t>(有)ユナイテッドクローバーズ代表取締役　竹本　博一</t>
  </si>
  <si>
    <t>R 04/03</t>
  </si>
  <si>
    <t>SALZA2AX1NH174866</t>
  </si>
  <si>
    <t>5BA-LZ2XA</t>
  </si>
  <si>
    <t>検査ライン代</t>
  </si>
  <si>
    <t>保証料</t>
  </si>
  <si>
    <t>KK00003353</t>
  </si>
  <si>
    <t>広島県福山市川口町1-7-10</t>
  </si>
  <si>
    <t>084-920-2505</t>
  </si>
  <si>
    <t>090-4142-6336</t>
  </si>
  <si>
    <t>小林弘治様RRE</t>
  </si>
  <si>
    <t>SB00024454</t>
  </si>
  <si>
    <t>点検</t>
  </si>
  <si>
    <t>ストロングマウンテン株式会社代表取締役　大山智明</t>
  </si>
  <si>
    <t>R 03/12</t>
  </si>
  <si>
    <t>ﾒﾙｾﾃﾞｽﾍﾞﾝﾂGｸﾗｽ</t>
  </si>
  <si>
    <t>W1N4633502X395809</t>
  </si>
  <si>
    <t>3DA-463350</t>
  </si>
  <si>
    <t>ﾌﾞﾗｯｸ</t>
  </si>
  <si>
    <t>ﾌﾙ ﾒﾓﾘ･その他ﾅﾋﾞ ｴｱﾊﾞｯｸﾞ ABS 4WD 本革 ｱﾙﾐ</t>
  </si>
  <si>
    <t>G400d</t>
  </si>
  <si>
    <t>輸入車（小売</t>
  </si>
  <si>
    <t>輸入車</t>
  </si>
  <si>
    <t>KK00003877</t>
  </si>
  <si>
    <t>広島県広島市西区庚午中4丁目5-19</t>
  </si>
  <si>
    <t>090-4899-4939</t>
  </si>
  <si>
    <t>SB00024456</t>
  </si>
  <si>
    <t>保険請求</t>
  </si>
  <si>
    <t>株式会社明和工作所代表取締役　菊田九</t>
  </si>
  <si>
    <t>西日本自動車共済</t>
  </si>
  <si>
    <t>R 05/05</t>
  </si>
  <si>
    <t>ﾚﾝｼﾞﾛｰﾊﾞｰｽﾎﾟｰﾂ</t>
  </si>
  <si>
    <t>SAL1A2AU7PA121099</t>
  </si>
  <si>
    <t>3AA-L123UA</t>
  </si>
  <si>
    <t>戸田　浩之</t>
  </si>
  <si>
    <t>KK00007129</t>
  </si>
  <si>
    <t>広島県福山市千田町4-14-12</t>
  </si>
  <si>
    <t>084-955-2122</t>
  </si>
  <si>
    <t>090-7130-8806</t>
  </si>
  <si>
    <t>SB00024477</t>
  </si>
  <si>
    <t>損保ﾚﾝ（福</t>
  </si>
  <si>
    <t>SB00024488</t>
  </si>
  <si>
    <t>株式会社ﾒﾃﾞｨｱﾃｯｸ一心代表取締役社長　眞田奈津基</t>
  </si>
  <si>
    <t>ｽｸﾗﾑ</t>
  </si>
  <si>
    <t>ﾊﾞﾝ</t>
  </si>
  <si>
    <t>DG17V-571206</t>
  </si>
  <si>
    <t>軽自動車</t>
  </si>
  <si>
    <t>5BD-DG17V</t>
  </si>
  <si>
    <t>4AT</t>
  </si>
  <si>
    <t>A/C P/S P/W ｴｱﾊﾞｯｸﾞ ABS</t>
  </si>
  <si>
    <t>PA ｽﾍﾟｼｬﾙ 4AT</t>
  </si>
  <si>
    <t>国産車（小売</t>
  </si>
  <si>
    <t>但井　智哉</t>
  </si>
  <si>
    <t>国産車</t>
  </si>
  <si>
    <t>ﾊｲﾌﾞﾗﾝﾄﾞ輸入車（小売</t>
  </si>
  <si>
    <t>広島県福山市赤坂町赤坂1276</t>
  </si>
  <si>
    <t>084-952-3000</t>
  </si>
  <si>
    <t>銀行候補あり: 2026/04/15 キムラユニティ系 14,520 の合算候補。SB00024488/SB00023864/SB00024506 合計4,840 x 3件を確認。</t>
  </si>
  <si>
    <t>SB00023864</t>
  </si>
  <si>
    <t>キムラユニティー株式会社メンテ管理課</t>
  </si>
  <si>
    <t>R 04/12</t>
  </si>
  <si>
    <t>DG17V-612890</t>
  </si>
  <si>
    <t>3BD-DG17V</t>
  </si>
  <si>
    <t>SB00024407</t>
  </si>
  <si>
    <t>冨田　文人</t>
  </si>
  <si>
    <t>株式会社コンクエスト　ジャガーランドローバー広島</t>
  </si>
  <si>
    <t>R 07/03</t>
  </si>
  <si>
    <t>SALZA2AXXTH284506</t>
  </si>
  <si>
    <t>５BA-LZ2XA</t>
  </si>
  <si>
    <t>ﾎﾜｲﾄ</t>
  </si>
  <si>
    <t>8AT</t>
  </si>
  <si>
    <t>autobiographiy</t>
  </si>
  <si>
    <t>KK00006993</t>
  </si>
  <si>
    <t>広島県福山市西新涯町1-23-15-302</t>
  </si>
  <si>
    <t>090-3746-8532</t>
  </si>
  <si>
    <t>SB00024491</t>
  </si>
  <si>
    <t>株式会社　一条工務店広島 代表取締役　柳本和英</t>
  </si>
  <si>
    <t>R 08/02</t>
  </si>
  <si>
    <t>Gｸﾗｽ</t>
  </si>
  <si>
    <t>W1N4652502X051707</t>
  </si>
  <si>
    <t>4AA-465250C</t>
  </si>
  <si>
    <t>G63 AMG RHD</t>
  </si>
  <si>
    <t>R 11/02</t>
  </si>
  <si>
    <t>KK00000399</t>
  </si>
  <si>
    <t>広島県福山市手城町3-11-8</t>
  </si>
  <si>
    <t>084-926-6311</t>
  </si>
  <si>
    <t>090-3177-7011</t>
  </si>
  <si>
    <t>SB00007523</t>
  </si>
  <si>
    <t>車検</t>
  </si>
  <si>
    <t>株式会社ブリッジ代表取締役 橋</t>
  </si>
  <si>
    <t>H 30/05</t>
  </si>
  <si>
    <t>ギブリ</t>
  </si>
  <si>
    <t>R 09/03/05</t>
  </si>
  <si>
    <t>R 08/03/06</t>
  </si>
  <si>
    <t>Maserati広島</t>
  </si>
  <si>
    <t>SB00007537</t>
  </si>
  <si>
    <t>白神元徳</t>
  </si>
  <si>
    <t>R 05/03</t>
  </si>
  <si>
    <t>Grecale Modena</t>
  </si>
  <si>
    <t>R 10/03/29</t>
  </si>
  <si>
    <t>R 08/03/05</t>
  </si>
  <si>
    <t>SB00007564</t>
  </si>
  <si>
    <t>その他</t>
  </si>
  <si>
    <t>マセラティジャパン株式会社</t>
  </si>
  <si>
    <t>R 08/02/28</t>
  </si>
  <si>
    <t>SB00007571</t>
  </si>
  <si>
    <t>SB00024455</t>
  </si>
  <si>
    <t>朝日包装株式会社代表取締役　西上克志</t>
  </si>
  <si>
    <t>ﾃﾞｨﾌｪﾝﾀﾞｰ</t>
  </si>
  <si>
    <t>SALEA7AW0S2389978</t>
  </si>
  <si>
    <t>3CA-LE72WAB</t>
  </si>
  <si>
    <t>KK00007177</t>
  </si>
  <si>
    <t>広島県福山市南松永町2-16-8</t>
  </si>
  <si>
    <t>090-3371-3929</t>
  </si>
  <si>
    <t>SB00024474</t>
  </si>
  <si>
    <t>村上　裕二</t>
  </si>
  <si>
    <t>H 26/03</t>
  </si>
  <si>
    <t>ﾎﾟﾙｼｪ911</t>
  </si>
  <si>
    <t>2ﾄﾞｱ</t>
  </si>
  <si>
    <t>WP0ZZZ99ZES162358</t>
  </si>
  <si>
    <t>スポーツ</t>
  </si>
  <si>
    <t>ABA-991MA171</t>
  </si>
  <si>
    <t>ﾌﾙ ﾒﾓﾘ･その他ﾅﾋﾞ ｴｱﾊﾞｯｸﾞ ABS ｱﾙﾐ</t>
  </si>
  <si>
    <t>ターボ</t>
  </si>
  <si>
    <t>対象無</t>
  </si>
  <si>
    <t>KK00003341</t>
  </si>
  <si>
    <t>岡山県笠岡市大井南35-1</t>
  </si>
  <si>
    <t>0865-69-2351</t>
  </si>
  <si>
    <t>SB00024497</t>
  </si>
  <si>
    <t>SB00024498</t>
  </si>
  <si>
    <t>株式会社ｄｒ-wanwan.com代表取締役 麻生暁秀</t>
  </si>
  <si>
    <t>東京海上日動火災保険株式会社</t>
  </si>
  <si>
    <t>R 08/01</t>
  </si>
  <si>
    <t>ﾃﾞｨﾌｪﾝﾀﾞｰ110</t>
  </si>
  <si>
    <t>SALEA7AW0T2498409</t>
  </si>
  <si>
    <t>タスマンブルー</t>
  </si>
  <si>
    <t>110 X-DYNAMIC HSE</t>
  </si>
  <si>
    <t>KK00007232</t>
  </si>
  <si>
    <t>広島県尾道市向島町立花199-1</t>
  </si>
  <si>
    <t>080-3882-0232</t>
  </si>
  <si>
    <t>SB00024500</t>
  </si>
  <si>
    <t>フルモト建機株式会社代表取締役　古本幸久</t>
  </si>
  <si>
    <t>SALEA7AWXP2188788</t>
  </si>
  <si>
    <t>ｻﾝﾄﾘｰﾆﾌﾞﾗｯｸ</t>
  </si>
  <si>
    <t>Sディーゼル</t>
  </si>
  <si>
    <t>KK00007081</t>
  </si>
  <si>
    <t>広島県三原市宮浦6-17-22</t>
  </si>
  <si>
    <t>0848-63-8577</t>
  </si>
  <si>
    <t>090-6409-8900</t>
  </si>
  <si>
    <t>SB00024569</t>
  </si>
  <si>
    <t>SB00024501</t>
  </si>
  <si>
    <t>在庫車B-①</t>
  </si>
  <si>
    <t>R 05/09</t>
  </si>
  <si>
    <t>SALEA7AX7P2233713</t>
  </si>
  <si>
    <t>３BA-LE7２XAA</t>
  </si>
  <si>
    <t>ｶﾙﾊﾟﾁｱﾝｸﾞﾚｰ</t>
  </si>
  <si>
    <t>１１０　ＳＥ　Ｐ３０</t>
  </si>
  <si>
    <t>SB00024503</t>
  </si>
  <si>
    <t>株式会社シンコーテック</t>
  </si>
  <si>
    <t>R 03/10</t>
  </si>
  <si>
    <t>SALEA7AW0N2074411</t>
  </si>
  <si>
    <t>KK00007243</t>
  </si>
  <si>
    <t>広島県福山市坪生町2-2-17</t>
  </si>
  <si>
    <t>084-944-8530</t>
  </si>
  <si>
    <t>090-3744-7620</t>
  </si>
  <si>
    <t>SB00024504</t>
  </si>
  <si>
    <t>株式会社藤和ホールディングス代表取締役 藤原洋明</t>
  </si>
  <si>
    <t>SAL1A2AW9SA456987</t>
  </si>
  <si>
    <t>３CA-L123WB</t>
  </si>
  <si>
    <t>KK00007165</t>
  </si>
  <si>
    <t>広島県福山市卸町12-1</t>
  </si>
  <si>
    <t>084-920-3600</t>
  </si>
  <si>
    <t>080-5757-5200</t>
  </si>
  <si>
    <t>SB00007566</t>
  </si>
  <si>
    <t>有限会社 積和サービス 里見</t>
  </si>
  <si>
    <t>R 05/08</t>
  </si>
  <si>
    <t>Grecale GT</t>
  </si>
  <si>
    <t>R 08/08/27</t>
  </si>
  <si>
    <t>R 08/03/02</t>
  </si>
  <si>
    <t>R 08/03/08</t>
  </si>
  <si>
    <t>SB00024486</t>
  </si>
  <si>
    <t>株式会社 ｳｪﾙﾃｯｸ代表取締役　 山本 裕子</t>
  </si>
  <si>
    <t>R 04/04</t>
  </si>
  <si>
    <t>Mercedes-Benz</t>
  </si>
  <si>
    <t>W1K2231632A122634</t>
  </si>
  <si>
    <t>5AA-223163</t>
  </si>
  <si>
    <t>ﾀﾞｲﾔﾓﾝﾄﾞﾎﾜｲﾄ(ﾒﾀﾘｯｸ)</t>
  </si>
  <si>
    <t>S500 4MATIC long RHD</t>
  </si>
  <si>
    <t>KK00001662</t>
  </si>
  <si>
    <t>ﾏｾﾗﾃｨ（小売</t>
  </si>
  <si>
    <t>広島県尾道市因島洲江町1782番地5</t>
  </si>
  <si>
    <t>0845-28-1441</t>
  </si>
  <si>
    <t>090-8716-7724</t>
  </si>
  <si>
    <t>SB00024506</t>
  </si>
  <si>
    <t>R 01/07</t>
  </si>
  <si>
    <t>ﾊｲｾﾞｯﾄｶｰｺﾞ</t>
  </si>
  <si>
    <t>1Bﾊﾞﾝ</t>
  </si>
  <si>
    <t>S321V-0415568</t>
  </si>
  <si>
    <t>EBD-S321V</t>
  </si>
  <si>
    <t>A/C P/S ｴｱﾊﾞｯｸﾞ ABS</t>
  </si>
  <si>
    <t>ｽﾍﾟｼｬﾙ ﾊｲﾙｰﾌ</t>
  </si>
  <si>
    <t>SB00024508</t>
  </si>
  <si>
    <t>株式会社コーエイメタル代表取締役　近藤　寛志</t>
  </si>
  <si>
    <t>有限会社　藤井鈑金塗装代表取締役社長　藤井謙太郎</t>
  </si>
  <si>
    <t>R 03/02</t>
  </si>
  <si>
    <t>SALWA2AW8MA767514</t>
  </si>
  <si>
    <t>３CAｰLW３WHE</t>
  </si>
  <si>
    <t>アイガーグレイ</t>
  </si>
  <si>
    <t>HSE</t>
  </si>
  <si>
    <t>KK00006758</t>
  </si>
  <si>
    <t>成田　佑太郎</t>
  </si>
  <si>
    <t>広島県福山市南手城町4丁目１０−２５</t>
  </si>
  <si>
    <t>090-2000-1640</t>
  </si>
  <si>
    <t>SB00024427</t>
  </si>
  <si>
    <t>有限会社　出雲ﾓｰﾀｰ商会</t>
  </si>
  <si>
    <t>R 04/06</t>
  </si>
  <si>
    <t>SALEA7AW3P2123085</t>
  </si>
  <si>
    <t>KK00006406</t>
  </si>
  <si>
    <t>島根県出雲市大津町443</t>
  </si>
  <si>
    <t>0853-22-7123</t>
  </si>
  <si>
    <t>090-7774-4448</t>
  </si>
  <si>
    <t>SB00024431</t>
  </si>
  <si>
    <t>株式会社 ｱｸｾ代表取締役 　高垣　 圭一朗</t>
  </si>
  <si>
    <t>H 25/02</t>
  </si>
  <si>
    <t>SALVA2AG4DH736868</t>
  </si>
  <si>
    <t>A/C P/S P/W CD TV ｻﾝﾙｰﾌ ｴｱﾊﾞｯｸﾞ ABS 本革 ｱﾙﾐ</t>
  </si>
  <si>
    <t>プレステージ</t>
  </si>
  <si>
    <t>KK00001711</t>
  </si>
  <si>
    <t>広島県尾道市久保1丁目8-1　ｱｸｾ�U</t>
  </si>
  <si>
    <t>0848-37-3629</t>
  </si>
  <si>
    <t>090-8993-5267</t>
  </si>
  <si>
    <t>銀行候補あり: 2026/03/16 中銀JCB 380,712。顧客名一致。金額は売上総計393,460と差額あり。</t>
  </si>
  <si>
    <t>SB00024451</t>
  </si>
  <si>
    <t>田邊　泰子</t>
  </si>
  <si>
    <t>5ﾄﾞｱ</t>
  </si>
  <si>
    <t>SALZA2AXXPH212873</t>
  </si>
  <si>
    <t>パールホワイト</t>
  </si>
  <si>
    <t>9AT</t>
  </si>
  <si>
    <t>KK00006481</t>
  </si>
  <si>
    <t>広島県福山市芦田町福田202-1</t>
  </si>
  <si>
    <t>090-7120-5960</t>
  </si>
  <si>
    <t>寺岡 紫</t>
  </si>
  <si>
    <t>R 05/02</t>
  </si>
  <si>
    <t>ｼﾞｬｶﾞｰFﾍﾟｰｽ</t>
  </si>
  <si>
    <t>SADCA2AX1PA713757</t>
  </si>
  <si>
    <t>3BA-DC2XC</t>
  </si>
  <si>
    <t>広島県福山市丸之内1丁目2-7-1004</t>
  </si>
  <si>
    <t>084-927-0093</t>
  </si>
  <si>
    <t>090-4655-0332</t>
  </si>
  <si>
    <t>銀行候補あり: 2026/03/31 中銀JCB 258,698。案件候補一致。差額8,662を確認。</t>
  </si>
  <si>
    <t>SB00024482</t>
  </si>
  <si>
    <t>SB00024483</t>
  </si>
  <si>
    <t>SB00024510</t>
  </si>
  <si>
    <t>株式会社　円福寺代表取締役社長　円福寺雅之</t>
  </si>
  <si>
    <t>VW ARTEON</t>
  </si>
  <si>
    <t>WVWZZZ3HZME011329</t>
  </si>
  <si>
    <t>3BA-3HDNUF</t>
  </si>
  <si>
    <t>ｵﾘｯｸｽﾎﾜｲﾄ</t>
  </si>
  <si>
    <t>4MOTION R-LINE ADVA</t>
  </si>
  <si>
    <t>KK00006243</t>
  </si>
  <si>
    <t>広島県尾道市東尾道9番地6</t>
  </si>
  <si>
    <t>0848-20-3181</t>
  </si>
  <si>
    <t>銀行入金 2026/04/30 3,850</t>
  </si>
  <si>
    <t>SB00024511</t>
  </si>
  <si>
    <t>SB00024512</t>
  </si>
  <si>
    <t>新納点A-①</t>
  </si>
  <si>
    <t>SB00007553</t>
  </si>
  <si>
    <t>有限会社 清水自動車ガラス福山</t>
  </si>
  <si>
    <t>SB00024499</t>
  </si>
  <si>
    <t>株式会社　マングローブ代表取締役　児玉 満樹</t>
  </si>
  <si>
    <t>KK00000284</t>
  </si>
  <si>
    <t>広島県福山市神辺町道上490‐4</t>
  </si>
  <si>
    <t>084-958-3633</t>
  </si>
  <si>
    <t>090-5267-5827</t>
  </si>
  <si>
    <t>SB00007554</t>
  </si>
  <si>
    <t>定期点検</t>
  </si>
  <si>
    <t>有限会社 万歩書店代表取締役 金</t>
  </si>
  <si>
    <t>R 02/03</t>
  </si>
  <si>
    <t>マセラティ レヴァン</t>
  </si>
  <si>
    <t>R 09/03/30</t>
  </si>
  <si>
    <t>R 08/03/13</t>
  </si>
  <si>
    <t>R 08/03/16</t>
  </si>
  <si>
    <t>SB00007551</t>
  </si>
  <si>
    <t>内藤 伸明</t>
  </si>
  <si>
    <t>H 21/02</t>
  </si>
  <si>
    <t>マセラティ グラント</t>
  </si>
  <si>
    <t>R 10/02/20</t>
  </si>
  <si>
    <t>SB00024513</t>
  </si>
  <si>
    <t>R 03/03</t>
  </si>
  <si>
    <t>ﾚﾝｼﾞﾛｰﾊﾞｰｳﾞｪﾗｰﾙ</t>
  </si>
  <si>
    <t>SALYA2AN8MA304076</t>
  </si>
  <si>
    <t>KK00006684</t>
  </si>
  <si>
    <t>広島県福山市新涯町4-8-13</t>
  </si>
  <si>
    <t>084-957-8600</t>
  </si>
  <si>
    <t>090-4895-7101</t>
  </si>
  <si>
    <t>SB00024514</t>
  </si>
  <si>
    <t>株式会社　オーバルポート代表取締役 田邉　哲郎</t>
  </si>
  <si>
    <t>SALZA2AN9PH220011</t>
  </si>
  <si>
    <t>3CA-LZ2NB</t>
  </si>
  <si>
    <t>KK00006997</t>
  </si>
  <si>
    <t>広島県庄原市東城町粟田1265</t>
  </si>
  <si>
    <t>084-773-0112</t>
  </si>
  <si>
    <t>090-3633-6954</t>
  </si>
  <si>
    <t>SB00024515</t>
  </si>
  <si>
    <t>吉野幸美</t>
  </si>
  <si>
    <t>SB00007550</t>
  </si>
  <si>
    <t>福間商事株式会社</t>
  </si>
  <si>
    <t>有限会社 ベルリーナ</t>
  </si>
  <si>
    <t>H 31/04</t>
  </si>
  <si>
    <t>R 08/04/21</t>
  </si>
  <si>
    <t>R 08/03/09</t>
  </si>
  <si>
    <t>ｶｰｽﾞﾄﾞﾛｯﾌﾟｲﾝ（安西工業様下取）</t>
  </si>
  <si>
    <t>株式会社斎藤ｺｰﾎﾟﾚｰｼｮﾝ        代表取締役　齋藤　誠</t>
  </si>
  <si>
    <t>SB00024473</t>
  </si>
  <si>
    <t>宮﨑　亜希子</t>
  </si>
  <si>
    <t>H 19/04</t>
  </si>
  <si>
    <t>ｳﾞｨｯﾂ</t>
  </si>
  <si>
    <t>SCP90-5066146</t>
  </si>
  <si>
    <t>コンパクトカー</t>
  </si>
  <si>
    <t>DBA-SCP90</t>
  </si>
  <si>
    <t>CVT</t>
  </si>
  <si>
    <t>ﾌﾙ ｴｱﾊﾞｯｸﾞ ABS</t>
  </si>
  <si>
    <t>U</t>
  </si>
  <si>
    <t>KK00007191</t>
  </si>
  <si>
    <t>広島県福山市東手城町1丁目13-39-101</t>
  </si>
  <si>
    <t>SB00024485</t>
  </si>
  <si>
    <t>船越　郁美</t>
  </si>
  <si>
    <t>SALZA2AX8SH277472</t>
  </si>
  <si>
    <t>ﾌｼﾞﾎﾜｲﾄ</t>
  </si>
  <si>
    <t>KK00006281</t>
  </si>
  <si>
    <t>広島県福山市高西町川尻292-12</t>
  </si>
  <si>
    <t>090-4893-1130</t>
  </si>
  <si>
    <t>SB00024490</t>
  </si>
  <si>
    <t>検査ライン料</t>
  </si>
  <si>
    <t>SB00024492</t>
  </si>
  <si>
    <t>三宅　修司</t>
  </si>
  <si>
    <t>H 31/03</t>
  </si>
  <si>
    <t>ｼﾞｬｶﾞｰXE</t>
  </si>
  <si>
    <t>4ｾﾀﾞﾝ</t>
  </si>
  <si>
    <t>SAJAB4AN4JCP41785</t>
  </si>
  <si>
    <t>ファミリーセダン</t>
  </si>
  <si>
    <t>LDA-JA2NA</t>
  </si>
  <si>
    <t>A/C P/S P/W CD ﾒﾓﾘ･その他ﾅﾋﾞ ｴｱﾊﾞｯｸﾞ ABS 本革 ﾊﾟ…</t>
  </si>
  <si>
    <t>ＸＥ　ピュア</t>
  </si>
  <si>
    <t>KK00006142</t>
  </si>
  <si>
    <t>広島県福山市春日町6-2-16</t>
  </si>
  <si>
    <t>090-9504-6803</t>
  </si>
  <si>
    <t>SB00024493</t>
  </si>
  <si>
    <t>仲本　典明</t>
  </si>
  <si>
    <t>H 06/08</t>
  </si>
  <si>
    <t>NSX</t>
  </si>
  <si>
    <t>NA1-1200142</t>
  </si>
  <si>
    <t>E-NA1</t>
  </si>
  <si>
    <t>5MT</t>
  </si>
  <si>
    <t>ﾌﾙ ｴｱﾊﾞｯｸﾞ ABS 本革 ｱﾙﾐ</t>
  </si>
  <si>
    <t>3.0 標準車</t>
  </si>
  <si>
    <t>KK00000913</t>
  </si>
  <si>
    <t>福山市宮前町１丁目4-12</t>
  </si>
  <si>
    <t>084-933-3619</t>
  </si>
  <si>
    <t>090-8715-1306</t>
  </si>
  <si>
    <t>SB00024502</t>
  </si>
  <si>
    <t>陶山　哲宏</t>
  </si>
  <si>
    <t>H 28/03</t>
  </si>
  <si>
    <t>VWﾎﾟﾛ</t>
  </si>
  <si>
    <t>WVWZZZ6RZGU007957</t>
  </si>
  <si>
    <t>DBA-6RCJZ</t>
  </si>
  <si>
    <t>ﾋﾟｭｱﾎﾜｲﾄ</t>
  </si>
  <si>
    <t>ｺﾝﾌｫｰﾄﾗｲﾝ</t>
  </si>
  <si>
    <t>レンタカー</t>
  </si>
  <si>
    <t>KK00001220</t>
  </si>
  <si>
    <t>広島県福山市水呑町１０３７−１１</t>
  </si>
  <si>
    <t>084-956-5553</t>
  </si>
  <si>
    <t>090-8600-2679</t>
  </si>
  <si>
    <t>SB00024505</t>
  </si>
  <si>
    <t>SB00024517</t>
  </si>
  <si>
    <t>串田　芳文</t>
  </si>
  <si>
    <t>R 06/04</t>
  </si>
  <si>
    <t>ﾚﾝｼﾞﾛｰﾊﾞｰｳﾞｪﾗｰﾙ HSE</t>
  </si>
  <si>
    <t>SALYA2AN9RA379537</t>
  </si>
  <si>
    <t>3CA-LY2NAC</t>
  </si>
  <si>
    <t>KK00006782</t>
  </si>
  <si>
    <t>広島県福山市今町3-25-801</t>
  </si>
  <si>
    <t>090-3379-0001</t>
  </si>
  <si>
    <t>SB00024518</t>
  </si>
  <si>
    <t>SB00007474</t>
  </si>
  <si>
    <t>森祐司</t>
  </si>
  <si>
    <t>H 23/09</t>
  </si>
  <si>
    <t>グラントゥーリズモ</t>
  </si>
  <si>
    <t>R 09/08/29</t>
  </si>
  <si>
    <t>SB00024480</t>
  </si>
  <si>
    <t>部品</t>
  </si>
  <si>
    <t>株式会社　コンクエスト　ｼﾞｬｶﾞｰﾗﾝﾄﾞﾛｰﾊﾞｰ営業部門</t>
  </si>
  <si>
    <t>ﾚﾝｼﾞﾛｰﾊﾞｰ</t>
  </si>
  <si>
    <t>SALGA2AK8NA466843</t>
  </si>
  <si>
    <t>3DA-LG3KF</t>
  </si>
  <si>
    <t>ホワイト</t>
  </si>
  <si>
    <t>ｳﾞｫｰｸﾞ　ｳｴｽﾄﾐﾝｽﾀｰﾌﾞﾗ</t>
  </si>
  <si>
    <t>SB00024494</t>
  </si>
  <si>
    <t>安保　雅文</t>
  </si>
  <si>
    <t>R 06/03</t>
  </si>
  <si>
    <t>SALYA2AY2RA384864</t>
  </si>
  <si>
    <t>３LA-LY2YD</t>
  </si>
  <si>
    <t>ｶﾙﾊﾟﾁｱﾝ</t>
  </si>
  <si>
    <t>PHEV　P400e</t>
  </si>
  <si>
    <t>KK00006775</t>
  </si>
  <si>
    <t>広島県尾道市向島町3810</t>
  </si>
  <si>
    <t>090-3178-5040</t>
  </si>
  <si>
    <t>SB00024519</t>
  </si>
  <si>
    <t>株式会社　エッジトラスト代表取締役　奥野浩司</t>
  </si>
  <si>
    <t>SALZA2AN7LH035966</t>
  </si>
  <si>
    <t>3DA-LZ2NA</t>
  </si>
  <si>
    <t>A/C P/S P/W ｴｱﾊﾞｯｸﾞ ABS 4WD 本革 ｱﾙﾐ</t>
  </si>
  <si>
    <t>Ｒダイナミック　Ｓ</t>
  </si>
  <si>
    <t>岡山県笠岡市神島5368-1</t>
  </si>
  <si>
    <t>0865-75-0537</t>
  </si>
  <si>
    <t>090-8991-1933</t>
  </si>
  <si>
    <t>SB00024525</t>
  </si>
  <si>
    <t>小林　弘治</t>
  </si>
  <si>
    <t>R 08/03</t>
  </si>
  <si>
    <t>SALZA2AX8TH314702</t>
  </si>
  <si>
    <t>KK00006449</t>
  </si>
  <si>
    <t>広島県府中市府中町28-7</t>
  </si>
  <si>
    <t>0847-41-6565</t>
  </si>
  <si>
    <t>080-1919-3593</t>
  </si>
  <si>
    <t>SB00024416</t>
  </si>
  <si>
    <t>在納点A-③</t>
  </si>
  <si>
    <t>SB00024531</t>
  </si>
  <si>
    <t>藤井　洋二</t>
  </si>
  <si>
    <t>R 06/06</t>
  </si>
  <si>
    <t>SALZA2AN7RH255469</t>
  </si>
  <si>
    <t>３CA-LZ2NB</t>
  </si>
  <si>
    <t>カルパチアングレイ</t>
  </si>
  <si>
    <t>dynamicSE</t>
  </si>
  <si>
    <t>KK00006712</t>
  </si>
  <si>
    <t>広島県福山市御門町2−5−10</t>
  </si>
  <si>
    <t>090-3176-1640</t>
  </si>
  <si>
    <t>SB00024526</t>
  </si>
  <si>
    <t>H 27/06</t>
  </si>
  <si>
    <t>SALVA2AGXFH992435</t>
  </si>
  <si>
    <t>ｼﾙﾊﾞｰ</t>
  </si>
  <si>
    <t>ピュア</t>
  </si>
  <si>
    <t>SB00024535</t>
  </si>
  <si>
    <t>後藤　昇</t>
  </si>
  <si>
    <t>ランドローバー　レン</t>
  </si>
  <si>
    <t>SALKA9AWXRA216192</t>
  </si>
  <si>
    <t>3CA-LK93WA</t>
  </si>
  <si>
    <t>オートバイオグラフィ</t>
  </si>
  <si>
    <t>KK00004848</t>
  </si>
  <si>
    <t>広島県府中市広谷町791-1</t>
  </si>
  <si>
    <t>090-3379-0265</t>
  </si>
  <si>
    <t>SB00024536</t>
  </si>
  <si>
    <t>黒坂　泰之</t>
  </si>
  <si>
    <t>H 30/03</t>
  </si>
  <si>
    <t>ｼﾞｬｶﾞｰXFｽﾎﾟｰﾂﾌﾞﾚｲｸ</t>
  </si>
  <si>
    <t>SAJBB2AX3JCY60891</t>
  </si>
  <si>
    <t>DBA-JBS2XC</t>
  </si>
  <si>
    <t>KK00007249</t>
  </si>
  <si>
    <t>岡山県井原市大江町3467-5</t>
  </si>
  <si>
    <t>090-3679-4366</t>
  </si>
  <si>
    <t>SB00007547</t>
  </si>
  <si>
    <t>土肥潤一郎</t>
  </si>
  <si>
    <t>R 02/04</t>
  </si>
  <si>
    <t>Quattroporte</t>
  </si>
  <si>
    <t>R 09/04/27</t>
  </si>
  <si>
    <t>R 08/03/28</t>
  </si>
  <si>
    <t>R 08/03/30</t>
  </si>
  <si>
    <t>SB00007561</t>
  </si>
  <si>
    <t>株式会社 高木</t>
  </si>
  <si>
    <t>レヴァンテ</t>
  </si>
  <si>
    <t>R 10/03/23</t>
  </si>
  <si>
    <t>SB00007552</t>
  </si>
  <si>
    <t>中川明雄</t>
  </si>
  <si>
    <t>H 30/02</t>
  </si>
  <si>
    <t>ギブリグランルッソ</t>
  </si>
  <si>
    <t>R 09/02/25</t>
  </si>
  <si>
    <t>R 08/03/29</t>
  </si>
  <si>
    <t>SB00024543</t>
  </si>
  <si>
    <t>吉野　幸美</t>
  </si>
  <si>
    <t>H 31/01</t>
  </si>
  <si>
    <t>SADCA2AX6KA362143</t>
  </si>
  <si>
    <t>DBA-DC2XB</t>
  </si>
  <si>
    <t>ｸﾞﾚｰ</t>
  </si>
  <si>
    <t>Ｒスポーツ</t>
  </si>
  <si>
    <t>KK00007236</t>
  </si>
  <si>
    <t>広島県三原市皆実6-16-13</t>
  </si>
  <si>
    <t>080-1632-1375</t>
  </si>
  <si>
    <t>SB00024544</t>
  </si>
  <si>
    <t>木村　直路</t>
  </si>
  <si>
    <t>H 30/09</t>
  </si>
  <si>
    <t>ﾃﾞｨｽｶﾊﾞﾘｰｽﾎﾟｰﾂ</t>
  </si>
  <si>
    <t>SALCA2AN1JH777315</t>
  </si>
  <si>
    <t>LDA-LC2NB</t>
  </si>
  <si>
    <t>ＳＥ</t>
  </si>
  <si>
    <t>KK00006450</t>
  </si>
  <si>
    <t>岡山県倉敷市福田町古新田1142-2</t>
  </si>
  <si>
    <t>086-454-3250</t>
  </si>
  <si>
    <t>090-2294-2903</t>
  </si>
  <si>
    <t>SB00024396</t>
  </si>
  <si>
    <t>SB00007524</t>
  </si>
  <si>
    <t>鈑金</t>
  </si>
  <si>
    <t>尾道医療器株式会社代表取締役</t>
  </si>
  <si>
    <t>あいおいニッセイ同和損害保険株式会</t>
  </si>
  <si>
    <t>R 02/11</t>
  </si>
  <si>
    <t>R 09/11/25</t>
  </si>
  <si>
    <t>R 08/02/01</t>
  </si>
  <si>
    <t>R 08/03/07</t>
  </si>
  <si>
    <t>SB00007541</t>
  </si>
  <si>
    <t>SB00007557</t>
  </si>
  <si>
    <t>株式会社 はっけん代表取締役</t>
  </si>
  <si>
    <t>R 05/04</t>
  </si>
  <si>
    <t>Maserati Levante</t>
  </si>
  <si>
    <t>R 10/04/03</t>
  </si>
  <si>
    <t>SB00007559</t>
  </si>
  <si>
    <t>佐能運輸有限会社</t>
  </si>
  <si>
    <t>Maserati Ghibli</t>
  </si>
  <si>
    <t>R 09/03/29</t>
  </si>
  <si>
    <t>R 08/03/19</t>
  </si>
  <si>
    <t>株式会社ｺﾝｸｴｽﾄ 代表取締役社長　清水勝重</t>
  </si>
  <si>
    <t>SB00007410</t>
  </si>
  <si>
    <t>見込</t>
  </si>
  <si>
    <t>初村 亘</t>
  </si>
  <si>
    <t>植敷剛</t>
  </si>
  <si>
    <t>Η 21/11</t>
  </si>
  <si>
    <t>R 07/10/04</t>
  </si>
  <si>
    <t>R 07/10/03</t>
  </si>
  <si>
    <t>SB00007558</t>
  </si>
  <si>
    <t>株式会社 フレッチェ・ボスコ代</t>
  </si>
  <si>
    <t>但井智哉</t>
  </si>
  <si>
    <t>Η 30/03</t>
  </si>
  <si>
    <t>SB00007565</t>
  </si>
  <si>
    <t>橋本 裕太郎</t>
  </si>
  <si>
    <t>R 08/03/22</t>
  </si>
  <si>
    <t>山本晋平様DEF</t>
  </si>
  <si>
    <t>㈲安西工業 DEF</t>
  </si>
  <si>
    <t>小俣英夫GRE</t>
  </si>
  <si>
    <t>映クラ株式会社（小俣英夫様下取）</t>
  </si>
  <si>
    <t>映クラ株式会社（クリアメタル様下取）</t>
  </si>
  <si>
    <t>SB00024548</t>
  </si>
  <si>
    <t>有限会社エル・グレコ代表取締役 長沼　眞智子</t>
  </si>
  <si>
    <t>H 20/12</t>
  </si>
  <si>
    <t>ﾎﾟﾙｼｪﾎﾞｸｽﾀｰ</t>
  </si>
  <si>
    <t>WP0ZZZ98Z8U703421</t>
  </si>
  <si>
    <t>ABA-98720</t>
  </si>
  <si>
    <t>岡山県倉敷市中央1-1-11</t>
  </si>
  <si>
    <t>086-422-0297</t>
  </si>
  <si>
    <t>090-5695-6310</t>
  </si>
  <si>
    <t>銀行候補あり: 2026/04/10 (有)エルグレコ様 SB24548/24461 57,700。複数番号を含む合算入金候補。</t>
  </si>
  <si>
    <t>SB00007569</t>
  </si>
  <si>
    <t>島田 伸也</t>
  </si>
  <si>
    <t>R 05/10</t>
  </si>
  <si>
    <t>R 08/03/27</t>
  </si>
  <si>
    <t>R 08/04/05</t>
  </si>
  <si>
    <t>SB00024551</t>
  </si>
  <si>
    <t>株式会社　カニエ</t>
  </si>
  <si>
    <t>R 07/01</t>
  </si>
  <si>
    <t>SALKABA9XRA245628</t>
  </si>
  <si>
    <t>7AA-LKB449E</t>
  </si>
  <si>
    <t>KK00007136</t>
  </si>
  <si>
    <t>広島県福山市南手城町2丁目27-31</t>
  </si>
  <si>
    <t>SB00007570</t>
  </si>
  <si>
    <t>株式会社J's company</t>
  </si>
  <si>
    <t>グレカーレ</t>
  </si>
  <si>
    <t>R 08/04/06</t>
  </si>
  <si>
    <t>SB00007573</t>
  </si>
  <si>
    <t>SB00007574</t>
  </si>
  <si>
    <t>SB00007575</t>
  </si>
  <si>
    <t>株式会社 一真代表取締役 眞田</t>
  </si>
  <si>
    <t>R 08/04/18</t>
  </si>
  <si>
    <t>SB00024547</t>
  </si>
  <si>
    <t>株式会社 ﾙｯｸ　代表取締役社長 　岡崎芳明</t>
  </si>
  <si>
    <t>R 01/11</t>
  </si>
  <si>
    <t>ﾌｨｱｯﾄ500</t>
  </si>
  <si>
    <t>3ﾄﾞｱ</t>
  </si>
  <si>
    <t>ZFA3120000JC15564</t>
  </si>
  <si>
    <t>ABA-31212</t>
  </si>
  <si>
    <t>5AT</t>
  </si>
  <si>
    <t>１．２　ﾎﾟｯﾌﾟ</t>
  </si>
  <si>
    <t>KK00001702</t>
  </si>
  <si>
    <t>広島県福山市笠岡町4-23</t>
  </si>
  <si>
    <t>090-3173-6765</t>
  </si>
  <si>
    <t>銀行入金 2026/04/30 137,410</t>
  </si>
  <si>
    <t>SB00024554</t>
  </si>
  <si>
    <t>有限会社山陽商事代表取締役　世良剛志</t>
  </si>
  <si>
    <t>R 07/04</t>
  </si>
  <si>
    <t>SALEA7AW6S2420506</t>
  </si>
  <si>
    <t>KK00007172</t>
  </si>
  <si>
    <t>広島県福山市今津町72‐1</t>
  </si>
  <si>
    <t>084-939-5623</t>
  </si>
  <si>
    <t>090-4108-0430</t>
  </si>
  <si>
    <t>SB00024558</t>
  </si>
  <si>
    <t>医療法人よしおかﾎｰﾑｸﾘﾆｯｸ理事長　吉岡孝</t>
  </si>
  <si>
    <t>R 06/12</t>
  </si>
  <si>
    <t>SALZA2AT1RH239055</t>
  </si>
  <si>
    <t>3LA-LZ15TB</t>
  </si>
  <si>
    <t>KK00007134</t>
  </si>
  <si>
    <t>広島県福山市御船町1-9-3</t>
  </si>
  <si>
    <t>084-927-1219</t>
  </si>
  <si>
    <t>080-5238-9755</t>
  </si>
  <si>
    <t>SB00024553</t>
  </si>
  <si>
    <t>医療法人　徹慈会　　堀病院理事長　宇高毅</t>
  </si>
  <si>
    <t>R 04/07</t>
  </si>
  <si>
    <t>ｱﾙﾌｧｰﾄﾞ</t>
  </si>
  <si>
    <t>AGH30-0425795</t>
  </si>
  <si>
    <t>3BA-AGH30W</t>
  </si>
  <si>
    <t>2.5L　S　Cﾊﾟｯｹｰｼﾞ</t>
  </si>
  <si>
    <t>広島    -345-み- 505</t>
  </si>
  <si>
    <t>広島県福山市沖野上町3丁目4番13号</t>
  </si>
  <si>
    <t>084-926-3387</t>
  </si>
  <si>
    <t>SB00024555</t>
  </si>
  <si>
    <t>ｻｰﾋﾞｽD-②</t>
  </si>
  <si>
    <t>福山    -531-ふ-2121</t>
  </si>
  <si>
    <t>SB00007577</t>
  </si>
  <si>
    <t>廣岡 孝彦</t>
  </si>
  <si>
    <t>Η 27/11</t>
  </si>
  <si>
    <t>クアトロポルテ</t>
  </si>
  <si>
    <t>SB00007578</t>
  </si>
  <si>
    <t>医療法人 徹慈会</t>
  </si>
  <si>
    <t>R 01/09</t>
  </si>
  <si>
    <t>SB00007572</t>
  </si>
  <si>
    <t>森 祐司</t>
  </si>
  <si>
    <t>Η 23/09</t>
  </si>
  <si>
    <t>R 08/04/11</t>
  </si>
  <si>
    <t>SB00007581</t>
  </si>
  <si>
    <t>株式会社ぐんけい</t>
  </si>
  <si>
    <t>H 29/05</t>
  </si>
  <si>
    <t>R 08/05/07</t>
  </si>
  <si>
    <t>李　樹人</t>
  </si>
  <si>
    <t>SAL1A2AU3PA120838</t>
  </si>
  <si>
    <t>ﾚｯﾄﾞ</t>
  </si>
  <si>
    <t>スポーツ　ファースト</t>
  </si>
  <si>
    <t>広島県福山市伊勢丘6−1−10−6</t>
  </si>
  <si>
    <t>090-3052-6699</t>
  </si>
  <si>
    <t>SB00024559</t>
  </si>
  <si>
    <t>三井住友海上火災保険　株式会社</t>
  </si>
  <si>
    <t>SB00024560</t>
  </si>
  <si>
    <t>ﾀﾞｯｸﾃｷｽﾀｲﾙ株式会社代表取締役 三原龍二</t>
  </si>
  <si>
    <t>R 07/12</t>
  </si>
  <si>
    <t>SAL1A2AW9SA610937</t>
  </si>
  <si>
    <t>3CA-L123WB</t>
  </si>
  <si>
    <t>KK00007221</t>
  </si>
  <si>
    <t>広島県福山市神辺町川南334-3</t>
  </si>
  <si>
    <t>090-4658-5627</t>
  </si>
  <si>
    <t>SB00024562</t>
  </si>
  <si>
    <t>株式会社ｾﾞﾈｺｽ代表取締役　小川　恭史</t>
  </si>
  <si>
    <t>SALKA9A75PA056339</t>
  </si>
  <si>
    <t>7BA-LK9447B</t>
  </si>
  <si>
    <t>ＳＶ</t>
  </si>
  <si>
    <t>KK00006440</t>
  </si>
  <si>
    <t>鳥越　翔太</t>
  </si>
  <si>
    <t>広島県福山市東川口町1-4-13</t>
  </si>
  <si>
    <t>084-954-2377</t>
  </si>
  <si>
    <t>090-3744-4365</t>
  </si>
  <si>
    <t>原　保香</t>
  </si>
  <si>
    <t>R 02/12</t>
  </si>
  <si>
    <t>SALZA2AN1LH113965</t>
  </si>
  <si>
    <t>D200</t>
  </si>
  <si>
    <t>広島県福山市神辺町平野1675‐3</t>
  </si>
  <si>
    <t>080-6319-0219</t>
  </si>
  <si>
    <t>SB00024564</t>
  </si>
  <si>
    <t>三栄石油株式会社代表取締役　三好浩章</t>
  </si>
  <si>
    <t>損害保険ジャパン株式会社</t>
  </si>
  <si>
    <t>R 03/04</t>
  </si>
  <si>
    <t>SALZA2AXXLH068770</t>
  </si>
  <si>
    <t>58A-LZ2XA</t>
  </si>
  <si>
    <t>ｿｳﾙﾊﾟｰﾙｼﾙﾊﾞｰ</t>
  </si>
  <si>
    <t>Ｓ</t>
  </si>
  <si>
    <t>KK00000241</t>
  </si>
  <si>
    <t>広島県福山市御門町２丁目１−１３</t>
  </si>
  <si>
    <t>090-3082-5656</t>
  </si>
  <si>
    <t>SB00024566</t>
  </si>
  <si>
    <t>R 03/09</t>
  </si>
  <si>
    <t>SALGA2AK3MA447065</t>
  </si>
  <si>
    <t>ヴォーグ</t>
  </si>
  <si>
    <t>SB00024567</t>
  </si>
  <si>
    <t>T's company株式会社代表取締役 塚本妙子</t>
  </si>
  <si>
    <t>R 07/05</t>
  </si>
  <si>
    <t>SALZA2AX1SH276325</t>
  </si>
  <si>
    <t>KK00007178</t>
  </si>
  <si>
    <t>広島県福山市延広町7-20-1303</t>
  </si>
  <si>
    <t>084-971-7535</t>
  </si>
  <si>
    <t>090-3378-2085</t>
  </si>
  <si>
    <t>SB00024561</t>
  </si>
  <si>
    <t>SB00024570</t>
  </si>
  <si>
    <t>眞城　地植</t>
  </si>
  <si>
    <t>CX-5</t>
  </si>
  <si>
    <t>KF2P-216096</t>
  </si>
  <si>
    <t>3DA-KF2P</t>
  </si>
  <si>
    <t>ブラック</t>
  </si>
  <si>
    <t>Lパケ</t>
  </si>
  <si>
    <t>KK00006040</t>
  </si>
  <si>
    <t>広島県福山市春日町1丁目3-34-702</t>
  </si>
  <si>
    <t>080-1925-8860</t>
  </si>
  <si>
    <t>SB00024571</t>
  </si>
  <si>
    <t>有限会社　協栄商事代表取締役　眞城　地植</t>
  </si>
  <si>
    <t>R 03/05</t>
  </si>
  <si>
    <t>ｼﾞｬｶﾞｰEﾍﾟｰｽ</t>
  </si>
  <si>
    <t>SADFA2ANXM1018474</t>
  </si>
  <si>
    <t>３CA-DF2NB</t>
  </si>
  <si>
    <t>ﾊｸﾊﾞｼﾙﾊﾞ−ﾒﾀﾘｯｸ</t>
  </si>
  <si>
    <t>Rダイナミック S 2.0L</t>
  </si>
  <si>
    <t>KK00003138</t>
  </si>
  <si>
    <t>広島県福山市引野町５丁目４５番２６号2階</t>
  </si>
  <si>
    <t>株式会社はなまる</t>
  </si>
  <si>
    <t>SB00007560</t>
  </si>
  <si>
    <t>Η 26/03</t>
  </si>
  <si>
    <t>R 08/04/16</t>
  </si>
  <si>
    <t>SB00007585</t>
  </si>
  <si>
    <t>株式会社 T企画代表取締役富</t>
  </si>
  <si>
    <t>R 08/04/23</t>
  </si>
  <si>
    <t>SB00007587</t>
  </si>
  <si>
    <t>青地耳鼻咽喉科院長 青地克也</t>
  </si>
  <si>
    <t>Η 30/05</t>
  </si>
  <si>
    <t>SB00007591</t>
  </si>
  <si>
    <t>SB00024550</t>
  </si>
  <si>
    <t>株式会社　フレッチェ・ボスコ代表取締役　林　正道</t>
  </si>
  <si>
    <t>H 30/11</t>
  </si>
  <si>
    <t>ジャガー　Ｆタイプ</t>
  </si>
  <si>
    <t>SAJDA5AV0KCK61346</t>
  </si>
  <si>
    <t>3BA-J608C</t>
  </si>
  <si>
    <t>Wｴｱｺﾝ P/S P/W ﾊﾞｯｸｶﾒﾗ ｷｰﾚｽ ｽﾏｰﾄｷｰ ETC ｴｱﾊﾞｯｸﾞ AB…</t>
  </si>
  <si>
    <t>Ｒダイナミック　Ｐ</t>
  </si>
  <si>
    <t>KK00000203</t>
  </si>
  <si>
    <t>広島県福山市東桜町9-26-903</t>
  </si>
  <si>
    <t>0847-52-4190</t>
  </si>
  <si>
    <t>090-4575-1087</t>
  </si>
  <si>
    <t>SB00007583</t>
  </si>
  <si>
    <t>小俣 英夫</t>
  </si>
  <si>
    <t>R 05/12</t>
  </si>
  <si>
    <t>Grecale Trofeo</t>
  </si>
  <si>
    <t>R 08/04/17</t>
  </si>
  <si>
    <t>SB00024576</t>
  </si>
  <si>
    <t>医療法人　彩生会理事長　中島　健吾</t>
  </si>
  <si>
    <t>SALZA2AX3PH217204</t>
  </si>
  <si>
    <t>SE</t>
  </si>
  <si>
    <t>新車</t>
  </si>
  <si>
    <t>KK00006682</t>
  </si>
  <si>
    <t>広島県福山市三之丸町３−３</t>
  </si>
  <si>
    <t>090-1333-2027</t>
  </si>
  <si>
    <t>銀行候補あり: 2026/04/21 彩生会系 64,350。SB00024576(15,400) / SB00024577(8,800) 候補はあるが合計不一致。</t>
  </si>
  <si>
    <t>SB00024577</t>
  </si>
  <si>
    <t>SB00024578</t>
  </si>
  <si>
    <t>SB00007567</t>
  </si>
  <si>
    <t>平山 八広</t>
  </si>
  <si>
    <t>ギブリハイブリッド</t>
  </si>
  <si>
    <t>SB00007588</t>
  </si>
  <si>
    <t>SB00007589</t>
  </si>
  <si>
    <t>SB00007590</t>
  </si>
  <si>
    <t>SB00024533</t>
  </si>
  <si>
    <t>株式会社　一真代表取締役　眞田奈津基</t>
  </si>
  <si>
    <t>R 04/01</t>
  </si>
  <si>
    <t>メルセデス　マイバッ</t>
  </si>
  <si>
    <t>W1K2239762A089245</t>
  </si>
  <si>
    <t>7AA-223976</t>
  </si>
  <si>
    <t>ｶﾞﾝﾒﾀﾘｯｸ</t>
  </si>
  <si>
    <t>Ｓ５８０</t>
  </si>
  <si>
    <t>福山    -334-と- 820</t>
  </si>
  <si>
    <t>KK00000587</t>
  </si>
  <si>
    <t>ﾏｾﾗﾃｨ広島 福山POCC</t>
  </si>
  <si>
    <t>084-952-3090</t>
  </si>
  <si>
    <t>猪口智典</t>
  </si>
  <si>
    <t>H 30/07</t>
  </si>
  <si>
    <t>ｷﾞﾌﾞﾘ</t>
  </si>
  <si>
    <t>ZAMXS57C001303232</t>
  </si>
  <si>
    <t>ABA-MG30C</t>
  </si>
  <si>
    <t>セダン　ベースグレー</t>
  </si>
  <si>
    <t>マセラティ</t>
  </si>
  <si>
    <t>広島県福山市新涯町6-18-1</t>
  </si>
  <si>
    <t>084-957-6146</t>
  </si>
  <si>
    <t>090-9062-0565</t>
  </si>
  <si>
    <t>SB00024579</t>
  </si>
  <si>
    <t>高垣圭一朗</t>
  </si>
  <si>
    <t>ﾃﾞｨﾌｪﾝﾀﾞｰ90</t>
  </si>
  <si>
    <t>SALEA6AX4P2213378</t>
  </si>
  <si>
    <t>3BA-LE62XAA</t>
  </si>
  <si>
    <t>福山    -364-み-   8</t>
  </si>
  <si>
    <t>KK00007162</t>
  </si>
  <si>
    <t>広島県尾道市久保1-9-1</t>
  </si>
  <si>
    <t>福山    -330-と-8733</t>
  </si>
  <si>
    <t>SB00024574</t>
  </si>
  <si>
    <t>倉敷    -341-せ-  11</t>
  </si>
  <si>
    <t>銀行候補あり: 2026/04/10 エルグレコ 57,700。顧客KK00001837一致、SB24548等の合算候補。</t>
  </si>
  <si>
    <t>SB00024586</t>
  </si>
  <si>
    <t>倉敷    -330-そ- 991</t>
  </si>
  <si>
    <t>株式会社 ｻﾝｴｽ　代表取締役社長 佐藤卓己</t>
  </si>
  <si>
    <t>H 30/06</t>
  </si>
  <si>
    <t>ｱｳﾃﾞｨA3ｽﾎﾟｰﾂﾊﾞｯｸ</t>
  </si>
  <si>
    <t>WAUZZZ8V6JA114501</t>
  </si>
  <si>
    <t>DBA-8VCXS</t>
  </si>
  <si>
    <t>ｼﾗｰｽﾞﾚｯﾄﾞ</t>
  </si>
  <si>
    <t>1.4TFSI　ｽﾎﾟｰﾂ</t>
  </si>
  <si>
    <t>福山    -330-も-1955</t>
  </si>
  <si>
    <t>小売用</t>
  </si>
  <si>
    <t>広島県福山市神辺町川南741-1</t>
  </si>
  <si>
    <t>084-963-1111</t>
  </si>
  <si>
    <t>銀行候補あり: 同日同額200,000が自動消込済。二重入金か重複取込を確認。</t>
  </si>
  <si>
    <t>SB00024589</t>
  </si>
  <si>
    <t>吉野　準</t>
  </si>
  <si>
    <t>R 04/09</t>
  </si>
  <si>
    <t>SALZA2ANXPH192834</t>
  </si>
  <si>
    <t>3DA-LZ2NB</t>
  </si>
  <si>
    <t>Ｓ　Ｄ２００</t>
  </si>
  <si>
    <t>福山    -333-り- 417</t>
  </si>
  <si>
    <t>任意保険免責</t>
  </si>
  <si>
    <t>KK00006039</t>
  </si>
  <si>
    <t>広島県福山市南蔵王町4丁目17-40-1304</t>
  </si>
  <si>
    <t>084-922-8172</t>
  </si>
  <si>
    <t>090-9500-7841</t>
  </si>
  <si>
    <t>SB00024590</t>
  </si>
  <si>
    <t>株式会社　水島設備代表取締役　岡彬</t>
  </si>
  <si>
    <t>SALZA2AX1NH169537</t>
  </si>
  <si>
    <t>5BA－LZ2</t>
  </si>
  <si>
    <t>フジホワイト</t>
  </si>
  <si>
    <t>倉敷    -345-も-  13</t>
  </si>
  <si>
    <t>KK00007089</t>
  </si>
  <si>
    <t>岡山県倉敷市南畝5-3-18</t>
  </si>
  <si>
    <t>090-6396-3000</t>
  </si>
  <si>
    <t>登録見込</t>
  </si>
  <si>
    <t>Y.ONE WORKS㈱様GLB</t>
  </si>
  <si>
    <t>ｽﾄﾛﾝｸﾞﾏｳﾝﾃﾝ㈱</t>
  </si>
  <si>
    <t>SB00007582</t>
  </si>
  <si>
    <t>有限会社 多林製作所</t>
  </si>
  <si>
    <t>有限会社多林製作所</t>
  </si>
  <si>
    <t>R 06/05</t>
  </si>
  <si>
    <t>R 09/06/24</t>
  </si>
  <si>
    <t>R 09/05/29</t>
  </si>
  <si>
    <t>SB00007580</t>
  </si>
  <si>
    <t>医療法人 庸英会 まさよし内科小</t>
  </si>
  <si>
    <t>医療法人庸英会</t>
  </si>
  <si>
    <t>GranTurismo Modena</t>
  </si>
  <si>
    <t>受注</t>
  </si>
  <si>
    <t>クリアメタル</t>
  </si>
  <si>
    <t>亀森 直</t>
  </si>
  <si>
    <t>伊瀬和裕様 DEF</t>
  </si>
  <si>
    <t>沖田滉平様 DEF</t>
  </si>
  <si>
    <t>㈱はっけん RR</t>
  </si>
  <si>
    <t>SB00024393</t>
  </si>
  <si>
    <t>谷川　雅一</t>
  </si>
  <si>
    <t>ｼﾞｬｶﾞｰXF</t>
  </si>
  <si>
    <t>SAJBA4AN2MCY88585</t>
  </si>
  <si>
    <t>3CA-JB2ND</t>
  </si>
  <si>
    <t>ハクバシルバー</t>
  </si>
  <si>
    <t>ディ―ゼルダーボ</t>
  </si>
  <si>
    <t>福山    -330-そ-5220</t>
  </si>
  <si>
    <t>KK00006576</t>
  </si>
  <si>
    <t>広島県府中市鵜飼町47-1-402</t>
  </si>
  <si>
    <t>0847-44-0655</t>
  </si>
  <si>
    <t>090-8848-6772</t>
  </si>
  <si>
    <t>SB00024522</t>
  </si>
  <si>
    <t>SB00024528</t>
  </si>
  <si>
    <t>SB00024532</t>
  </si>
  <si>
    <t>SB00024540</t>
  </si>
  <si>
    <t>有限会社ミモザ薬局代表取締役　藤原清隆</t>
  </si>
  <si>
    <t>SALZA2AX8SH281747</t>
  </si>
  <si>
    <t>倉敷    -335-ま- 220</t>
  </si>
  <si>
    <t>KK00007173</t>
  </si>
  <si>
    <t>岡山県倉敷市福江112-1</t>
  </si>
  <si>
    <t>086-485-0783</t>
  </si>
  <si>
    <t>090-8069-2723</t>
  </si>
  <si>
    <t>SB00024549</t>
  </si>
  <si>
    <t>福山    -335-す- 114</t>
  </si>
  <si>
    <t>SB00024565</t>
  </si>
  <si>
    <t>ﾊｸﾊﾞｼﾙﾊﾞ－ﾒﾀﾘｯｸ</t>
  </si>
  <si>
    <t>福山    -330-せ- 653</t>
  </si>
  <si>
    <t>SB00024580</t>
  </si>
  <si>
    <t>福山    -333-や-1227</t>
  </si>
  <si>
    <t>広島県福山市三之丸町３－３</t>
  </si>
  <si>
    <t>橋本　裕太郎</t>
  </si>
  <si>
    <t>SB00024584</t>
  </si>
  <si>
    <t>千々木　弘道</t>
  </si>
  <si>
    <t>BMW(1ｼﾘｰｽﾞ)</t>
  </si>
  <si>
    <t>WBA1R520605C73838</t>
  </si>
  <si>
    <t>DBA-1R15</t>
  </si>
  <si>
    <t>１１８ｉ　Ｍスポーツ</t>
  </si>
  <si>
    <t>倉敷    -330-に-7135</t>
  </si>
  <si>
    <t>KK00002577</t>
  </si>
  <si>
    <t>岡山県井原市上出部町61-1</t>
  </si>
  <si>
    <t>090-7377-4703</t>
  </si>
  <si>
    <t>SB00024592</t>
  </si>
  <si>
    <t>広島    -356-め-   8</t>
  </si>
  <si>
    <t>広島県尾道市久保1丁目8-1　ｱｸｾⅡ</t>
  </si>
  <si>
    <t>SB00024460</t>
  </si>
  <si>
    <t>社用車C-①</t>
  </si>
  <si>
    <t>ｱｳﾃﾞｨA1</t>
  </si>
  <si>
    <t>WAUZZZ8X4EB014883</t>
  </si>
  <si>
    <t>DBA-8XCAX</t>
  </si>
  <si>
    <t>A/C P/S P/W ｴｱﾊﾞｯｸﾞ ABS ｱﾙﾐ</t>
  </si>
  <si>
    <t>１．４　ＴＦＳＩ</t>
  </si>
  <si>
    <t>福山    -300-わ-3671</t>
  </si>
  <si>
    <t>SB00024524</t>
  </si>
  <si>
    <t>関根　わかな</t>
  </si>
  <si>
    <t>SADFA2AX8N1032697</t>
  </si>
  <si>
    <t>3BA-DF2XB</t>
  </si>
  <si>
    <t>ﾊﾟｰﾙ</t>
  </si>
  <si>
    <t>S</t>
  </si>
  <si>
    <t>福山    -330-ね-1609</t>
  </si>
  <si>
    <t>KK00000660</t>
  </si>
  <si>
    <t>広島県福山市延広町７－２０－１４０１</t>
  </si>
  <si>
    <t>084-</t>
  </si>
  <si>
    <t>090-6848-3708</t>
  </si>
  <si>
    <t>銀行入金 2026/04/28 93,720</t>
  </si>
  <si>
    <t>SB00024552</t>
  </si>
  <si>
    <t>島田　伸也</t>
  </si>
  <si>
    <t>ZN6AW82C007439844</t>
  </si>
  <si>
    <t>7AA-MGR20A</t>
  </si>
  <si>
    <t>ﾈﾛﾃﾝﾍﾟｽﾀ</t>
  </si>
  <si>
    <t>A/C P/S P/W ﾒﾓﾘ･その他ﾅﾋﾞ 障害物ｾﾝｻｰ 電動格納式ﾄ…</t>
  </si>
  <si>
    <t>23Y</t>
  </si>
  <si>
    <t>倉敷    -340-せ-1103</t>
  </si>
  <si>
    <t>KK00005545</t>
  </si>
  <si>
    <t>岡山県笠岡市西大島3335-1</t>
  </si>
  <si>
    <t>0865-67-2127</t>
  </si>
  <si>
    <t>090-4654-7038</t>
  </si>
  <si>
    <t>SB00024557</t>
  </si>
  <si>
    <t>福山    -335-ぬ- 101</t>
  </si>
  <si>
    <t>SB00024591</t>
  </si>
  <si>
    <t>ZN6CW82C007437795</t>
  </si>
  <si>
    <t>7BA-MGR30</t>
  </si>
  <si>
    <t>トロフェオ</t>
  </si>
  <si>
    <t>福山    -334-ち-1214</t>
  </si>
  <si>
    <t>ﾏｾﾗﾃｨ</t>
  </si>
  <si>
    <t>株式会社フレッチェ・ボスコ代</t>
  </si>
  <si>
    <t>メンプロ</t>
  </si>
  <si>
    <t>リコール</t>
  </si>
  <si>
    <t>株式会社一真代表取締役 眞田</t>
  </si>
  <si>
    <t>医療法人 徹慈会 堀病院理事</t>
  </si>
  <si>
    <t>中古車</t>
  </si>
  <si>
    <t>株式会社T企画代表取締役 富</t>
  </si>
  <si>
    <t>青地耳鼻咽喉科院長 青地 克也</t>
  </si>
  <si>
    <t>業務No.</t>
  </si>
  <si>
    <t>顧客No.</t>
  </si>
  <si>
    <t>カード会社振り込み</t>
  </si>
  <si>
    <t>カード照合額</t>
  </si>
  <si>
    <t>伝票種</t>
  </si>
  <si>
    <t>借方金額</t>
  </si>
  <si>
    <t>貸方金額</t>
  </si>
  <si>
    <t>取込処理ID</t>
  </si>
  <si>
    <t>取込ファイル名</t>
  </si>
  <si>
    <t>取込日時</t>
  </si>
  <si>
    <t>売掛金</t>
  </si>
  <si>
    <t>齋藤誠様　ﾍﾞﾝﾄﾚｰｺﾝﾁﾈﾝﾀﾙ　AzureV8  PC006754</t>
  </si>
  <si>
    <t>受取利息</t>
  </si>
  <si>
    <t>笠信　決算利息</t>
  </si>
  <si>
    <t>広銀　受取利息</t>
  </si>
  <si>
    <t>諸口</t>
  </si>
  <si>
    <t>該当なし カ)ブリツジ</t>
  </si>
  <si>
    <t>(株)橋本商事　((株)A’crews)</t>
  </si>
  <si>
    <t>短期借入金</t>
  </si>
  <si>
    <t>手形貸付　短期借入　3,300万円　R8/3/11-R8/7/31</t>
  </si>
  <si>
    <t>(株)ｶｰｽﾞﾄﾞﾛｯﾌﾟｲﾝ　MB/Gｸﾗｽ.W1N4653102X006860</t>
  </si>
  <si>
    <t>中銀ｶｰﾄﾞ　JCB　(株)アクセ　高垣圭一朗様　SB24431</t>
  </si>
  <si>
    <t>中銀ｶｰﾄﾞ　JCB</t>
  </si>
  <si>
    <t>中銀ｶｰﾄﾞ　VISA</t>
  </si>
  <si>
    <t>保険手数料</t>
  </si>
  <si>
    <t>三井住友海上火災保険㈱代理店保険手数料</t>
  </si>
  <si>
    <t>ﾌﾟﾚﾐｱ㈱斎藤誠様　ﾍﾞﾝﾄﾚｰｺﾝﾁﾈﾝﾀﾙ　3PC006754</t>
  </si>
  <si>
    <t>仮受金</t>
  </si>
  <si>
    <t>小俣英夫様　Grecale Trofeo</t>
  </si>
  <si>
    <t>(株)ｺﾝｸｴｽﾄ　2月分</t>
  </si>
  <si>
    <t>該当なし カ) コンクエスト</t>
  </si>
  <si>
    <t>広島銀行②</t>
  </si>
  <si>
    <t>該当なしカ)ナルネットコミュニケーシ 広島(蔵王)</t>
  </si>
  <si>
    <t>売掛金 整備</t>
  </si>
  <si>
    <t>(有)ユナイテッドクローパーズ様 SB24484</t>
  </si>
  <si>
    <t>(有)ユナイテッドクローパーズ様 SB24484 広島(蔵王)</t>
  </si>
  <si>
    <t>該当なし トウキョウカイジョウニチド ウ 4322 (ジドウシャ、ジバイ)</t>
  </si>
  <si>
    <t>SB00024520</t>
  </si>
  <si>
    <t>KK00006550</t>
  </si>
  <si>
    <t>該当なし トウキョウカイジョウニチド ウ 4322 (ジドウシャ、ジバイ) 広島(蔵王)</t>
  </si>
  <si>
    <t>該当なし エクラ(カ</t>
  </si>
  <si>
    <t>該当なし エクラ(カ 広島(蔵王)</t>
  </si>
  <si>
    <t>安保雅文様 SB24521</t>
  </si>
  <si>
    <t>SB00024521</t>
  </si>
  <si>
    <t>該当なし サンエイセキュユ(カ</t>
  </si>
  <si>
    <t>SB00024507</t>
  </si>
  <si>
    <t>該当なし サンエイセキュ(カ</t>
  </si>
  <si>
    <t>中国銀行</t>
  </si>
  <si>
    <t>受取手数料</t>
  </si>
  <si>
    <t>ﾌﾟﾚﾐｱ㈱ｷｯｸﾊﾞｯｸ</t>
  </si>
  <si>
    <t>(株)ウェルテック様 SB24486</t>
  </si>
  <si>
    <t>該当なし トラストクラブ</t>
  </si>
  <si>
    <t>支払手数料</t>
  </si>
  <si>
    <t>B-WEB基本手数料</t>
  </si>
  <si>
    <t>B-WEB伝送基本手数料</t>
  </si>
  <si>
    <t>B-WEB振込手数料</t>
  </si>
  <si>
    <t>手数料</t>
  </si>
  <si>
    <t>FBｻｰﾋﾞｽ手数料</t>
  </si>
  <si>
    <t>該当なし 手数料 ザンダカシヨウメイ</t>
  </si>
  <si>
    <t>IB手数料</t>
  </si>
  <si>
    <t>該当なし 口座振替4 トラストクラブ</t>
  </si>
  <si>
    <t>普通預金(入金)</t>
  </si>
  <si>
    <t>もみじへ資金移動</t>
  </si>
  <si>
    <t>広銀蔵王よりもみじへ資金移動</t>
  </si>
  <si>
    <t>該当なし HB ハシモト シヨウコ</t>
  </si>
  <si>
    <t>未払金</t>
  </si>
  <si>
    <t>給与　但井</t>
  </si>
  <si>
    <t>該当なし HB フジモト ヨシノリ</t>
  </si>
  <si>
    <t>該当なし HB ミヤザキ アキコ</t>
  </si>
  <si>
    <t>該当なし HB ハシモト シンゴ</t>
  </si>
  <si>
    <t>該当なし EBフリコミ</t>
  </si>
  <si>
    <t>笠信へ資金移動</t>
  </si>
  <si>
    <t>広銀蔵王より笠信へ資金移動</t>
  </si>
  <si>
    <t>消耗品費</t>
  </si>
  <si>
    <t>きずな東京</t>
  </si>
  <si>
    <t>㈱ﾃﾞｲﾜｲﾏｰｹﾃｨﾝｸﾞ様　SB24539</t>
  </si>
  <si>
    <t>SB00024539</t>
  </si>
  <si>
    <t>KK00005321</t>
  </si>
  <si>
    <t>損保ｼﾞｬﾊﾟﾝ　SB24564</t>
  </si>
  <si>
    <t>三井住友海上火災保険㈱SB24559</t>
  </si>
  <si>
    <t>本社 支払保険料 三井住友海上34</t>
  </si>
  <si>
    <t>三井住友海上火災保険㈱販売車　対人対物保険料</t>
  </si>
  <si>
    <t>該当なし CDカード</t>
  </si>
  <si>
    <t>水道光熱費</t>
  </si>
  <si>
    <t>水道代　CB J＆LR　（広銀引落）</t>
  </si>
  <si>
    <t>水道代　本社ﾋﾞﾙ</t>
  </si>
  <si>
    <t>水道代　ﾏｾﾗﾃｨ</t>
  </si>
  <si>
    <t>租税公課</t>
  </si>
  <si>
    <t>日本自動車査定協会広島県支所　3台分　自動車税減免</t>
  </si>
  <si>
    <t>広銀蔵王より現金へ資金移動</t>
  </si>
  <si>
    <t>現金へ資金移動</t>
  </si>
  <si>
    <t>未払消費税等</t>
  </si>
  <si>
    <t>令和8年度　消費税及び地方消費税</t>
  </si>
  <si>
    <t>事務所維持費</t>
  </si>
  <si>
    <t>ｷｬﾉﾝ　ﾏｾﾗﾃｨ　ｺﾋﾟｰ使用料</t>
  </si>
  <si>
    <t>販売促進費</t>
  </si>
  <si>
    <t>SMBC(ﾌﾟﾛﾄｺｰﾎﾟﾚｰｼｮﾝ）3月分</t>
  </si>
  <si>
    <t>三井住友海上火災保険㈱自賠責　おもてちょう不動産　林正道　高垣圭一</t>
  </si>
  <si>
    <t>該当なし SMBC(プロト.コウコ</t>
  </si>
  <si>
    <t>藤田勲様　CH3803</t>
  </si>
  <si>
    <t>SB00024461</t>
  </si>
  <si>
    <t>200,000</t>
  </si>
  <si>
    <t>110,000</t>
  </si>
  <si>
    <t>CB リース料（販） その他</t>
  </si>
  <si>
    <t>-55,330</t>
  </si>
  <si>
    <t>ﾘｰｽ　ﾚｯﾁｪﾎﾞｽｺ様　ﾏｾﾗﾃｨ　ｸﾞﾗﾝﾄｩﾘｽﾞﾓ</t>
  </si>
  <si>
    <t>該当なし HB カ)ハシモトシヨウシ</t>
  </si>
  <si>
    <t>リース料（販）</t>
  </si>
  <si>
    <t>ﾘｰｽ　ｿﾚｲﾕ　Soleil（松尾様）MC20</t>
  </si>
  <si>
    <t>該当なし HB ド)ソレイユ</t>
  </si>
  <si>
    <t>該当なし EBフリカエ</t>
  </si>
  <si>
    <t>オークション手数</t>
  </si>
  <si>
    <t>USS支払手数料</t>
  </si>
  <si>
    <t>まるとく　本社ｺﾋﾟｰ機</t>
  </si>
  <si>
    <t>新聞図書費</t>
  </si>
  <si>
    <t>中国新聞</t>
  </si>
  <si>
    <t>業務委託費</t>
  </si>
  <si>
    <t>ｶｰｾﾌﾞﾝﾃﾞｼﾞﾌｨｰﾙﾄﾞ　ｲﾝｽﾏｰﾄｼｽﾃﾑ</t>
  </si>
  <si>
    <t>支払保険料</t>
  </si>
  <si>
    <t>ﾁｭｰﾘｯﾋ生命様</t>
  </si>
  <si>
    <t>ｵﾘｺ　ｶｰｻ　ｺﾋﾟｰ機</t>
  </si>
  <si>
    <t>IT費</t>
  </si>
  <si>
    <t>オリコ.JCM/ジョーカー利用料</t>
  </si>
  <si>
    <t>本社 賃借料 住吉町家賃（三和</t>
  </si>
  <si>
    <t>DF.ア−クシステムSP　三和地所様　住吉町家賃</t>
  </si>
  <si>
    <t>あんしん生命</t>
  </si>
  <si>
    <t>三井住友海上火災保険㈱損害保険</t>
  </si>
  <si>
    <t>-140,710</t>
  </si>
  <si>
    <t>ユニマットライフ　ﾏｯﾄ代</t>
  </si>
  <si>
    <t>-4,400</t>
  </si>
  <si>
    <t>通信費</t>
  </si>
  <si>
    <t>ソフトバンク(株)3月分</t>
  </si>
  <si>
    <t>諸会費</t>
  </si>
  <si>
    <t>カープレミアクラブディーラー　ゴールド会員費</t>
  </si>
  <si>
    <t>該当なし EBフリカエ カ)ブリツジ</t>
  </si>
  <si>
    <t>入金</t>
  </si>
  <si>
    <t>BANK_20260509_131438_1lFKZZdi</t>
  </si>
  <si>
    <t>20260508.2hori .xlsx.csv</t>
  </si>
  <si>
    <t>預り金</t>
  </si>
  <si>
    <t>住民税　福山市　2026/04月分</t>
  </si>
  <si>
    <t>出金</t>
  </si>
  <si>
    <t>手数料　法人IB</t>
  </si>
  <si>
    <t>BANK_20260509_131438_1-0mQpIY</t>
  </si>
  <si>
    <t>20260508.1hori .xlsx.csv</t>
  </si>
  <si>
    <t>本社 リース料（販） リコーリース31</t>
  </si>
  <si>
    <t>ﾘｺｰﾘｰｽ　PCﾘｰｽ料　各店舗</t>
  </si>
  <si>
    <t>該当なし 口座振替4 トヨタフアイナンス (カ</t>
  </si>
  <si>
    <t>顧問料</t>
  </si>
  <si>
    <t>未来経営福山事務所　4月分</t>
  </si>
  <si>
    <t>コンプレッサー・リフト再リース1年分　三井住友FL（SM</t>
  </si>
  <si>
    <t>手形貸付　短期借入金　1,000万円　R8/05/08～【支払期日9/10】</t>
  </si>
  <si>
    <t>該当なし HB ド)ソーラーエナシ</t>
  </si>
  <si>
    <t>BANK_20260509_131438_1JHBHYXL</t>
  </si>
  <si>
    <t>20260507.2hori .xlsx.csv</t>
  </si>
  <si>
    <t>普通預金</t>
  </si>
  <si>
    <t>広銀蔵王より広銀本社へ資金移動</t>
  </si>
  <si>
    <t>広銀本社へ資金移動</t>
  </si>
  <si>
    <t>BANK_20260509_131438_1v3GHZWv</t>
  </si>
  <si>
    <t>20260430.2hori .xlsx.csv</t>
  </si>
  <si>
    <t>関根ﾜｶﾅ様　SB24524</t>
  </si>
  <si>
    <t>㈱円福寺様　SB24510</t>
  </si>
  <si>
    <t>㈱ﾙｯｸ様　SB24547</t>
  </si>
  <si>
    <t>BANK_20260509_131438_1inRGmkY</t>
  </si>
  <si>
    <t>20260430.1hori .xlsx.csv</t>
  </si>
  <si>
    <t>DF.ア－クシステムSP　三和地所様　住吉町家賃</t>
  </si>
  <si>
    <t>三井住友海上火災保険㈱　損害保険</t>
  </si>
  <si>
    <t>㈱ﾕﾆﾏｯﾄﾗｲﾌ　ﾏｯﾄ代</t>
  </si>
  <si>
    <t>ｿﾌﾄﾊﾞﾝｸ㈱　3月分</t>
  </si>
  <si>
    <t>広銀本社から笠信へ資金移動</t>
  </si>
  <si>
    <t>該当なし 現金</t>
  </si>
  <si>
    <t>該当なし シヨウガシ</t>
  </si>
  <si>
    <t>該当なし カシツケリソク</t>
  </si>
  <si>
    <t>該当なし シヨウカンキン</t>
  </si>
  <si>
    <t>該当なし カ)コンクエスト</t>
  </si>
  <si>
    <t>支払利息</t>
  </si>
  <si>
    <t>融資利息</t>
  </si>
  <si>
    <t>ﾋﾞｰﾌｨｰﾙﾄﾞ</t>
  </si>
  <si>
    <t>福山商工会議所　会費</t>
  </si>
  <si>
    <t>福山商工会議所　会費　特商負担金</t>
  </si>
  <si>
    <t>法定福利費</t>
  </si>
  <si>
    <t>社会保険料　R8.3月分</t>
  </si>
  <si>
    <t>該当なし B0430 リコージヤ</t>
  </si>
  <si>
    <t>該当なし B0430 カービユー</t>
  </si>
  <si>
    <t>該当なし B0430 コウヨウバ</t>
  </si>
  <si>
    <t>該当なし B0430 (ド)コヤ</t>
  </si>
  <si>
    <t>該当なし B0430 ミツイスミト</t>
  </si>
  <si>
    <t>該当なし 法人IB ギヨウセイシヨシホウジン</t>
  </si>
  <si>
    <t>該当なし 法人IB カ)ケ－ジ－エス</t>
  </si>
  <si>
    <t>有効</t>
  </si>
  <si>
    <t>対象シート</t>
  </si>
  <si>
    <t>対象列</t>
  </si>
  <si>
    <t>誤読文字</t>
  </si>
  <si>
    <t>正しい文字</t>
  </si>
  <si>
    <t>置換方法</t>
  </si>
  <si>
    <t>メモ</t>
  </si>
  <si>
    <t>�棺ﾝｴｽ</t>
  </si>
  <si>
    <t>(株)ｻﾝｴｽ</t>
  </si>
  <si>
    <t>部分置換</t>
  </si>
  <si>
    <t>2026-05-03 既存銀行データスクリーニングで追加</t>
  </si>
  <si>
    <t>�恭ﾄﾘｴﾋﾟｭｱ</t>
  </si>
  <si>
    <t>(有)ｱﾄﾘｴﾋﾟｭｱ</t>
  </si>
  <si>
    <t>�感ｽｴﾌ</t>
  </si>
  <si>
    <t>感謝</t>
  </si>
  <si>
    <t>�肝ﾚｯﾁｪﾎﾞｽｺ</t>
  </si>
  <si>
    <t>レッチェボスコ</t>
  </si>
  <si>
    <t>�閑ﾆﾏｯﾄﾗｲﾌ</t>
  </si>
  <si>
    <t>ユニマットライフ</t>
  </si>
  <si>
    <t>銀行摘要原文</t>
  </si>
  <si>
    <t>正規摘要</t>
  </si>
  <si>
    <t>正規顧客名</t>
  </si>
  <si>
    <t>別名1</t>
  </si>
  <si>
    <t>別名2</t>
  </si>
  <si>
    <t>管理番号</t>
  </si>
  <si>
    <t>想定作業大区分</t>
  </si>
  <si>
    <t>想定請求先</t>
  </si>
  <si>
    <t>照合優先キー</t>
  </si>
  <si>
    <t>自動消込可否</t>
  </si>
  <si>
    <t>最終修正日</t>
  </si>
  <si>
    <t>最終修正者</t>
  </si>
  <si>
    <t>実績回数</t>
  </si>
  <si>
    <t>初回銀行入金日</t>
  </si>
  <si>
    <t>備考</t>
  </si>
  <si>
    <t>使い方</t>
  </si>
  <si>
    <t>人が正しい表記へ直す</t>
  </si>
  <si>
    <t>売上一覧側の顧客名に合わせる</t>
  </si>
  <si>
    <t>よくある別表記</t>
  </si>
  <si>
    <t>追加の別表記</t>
  </si>
  <si>
    <t>SB/CH番号など</t>
  </si>
  <si>
    <t>車販/一般整備/保険請求など</t>
  </si>
  <si>
    <t>必要なら入力</t>
  </si>
  <si>
    <t>番号優先 / 金額優先 / 顧客名優先</t>
  </si>
  <si>
    <t>YESなら次回以降自動候補</t>
  </si>
  <si>
    <t>なぜそう判断したか</t>
  </si>
  <si>
    <t>YYYY/MM/DD</t>
  </si>
  <si>
    <t>担当者名</t>
  </si>
  <si>
    <t>自由記入</t>
  </si>
  <si>
    <t>株式会社dyマーケティング</t>
  </si>
  <si>
    <t>株式会社　ｄｙマーケティング代表取締役　余裕華</t>
  </si>
  <si>
    <t>㈱デイワイマーケティング</t>
  </si>
  <si>
    <t>DYマーケティング</t>
  </si>
  <si>
    <t>SB24539</t>
  </si>
  <si>
    <t>番号優先</t>
  </si>
  <si>
    <t>YES</t>
  </si>
  <si>
    <t>銀行摘要にSB番号あり。金額も一致。</t>
  </si>
  <si>
    <t>2026/04/27</t>
  </si>
  <si>
    <t>手動学習初期設定</t>
  </si>
  <si>
    <t>2026/04/15</t>
  </si>
  <si>
    <t>ストロングマウンテン株式会社</t>
  </si>
  <si>
    <t>ｽﾄﾛﾝｸﾞﾏｳﾝﾃﾝ株式会社</t>
  </si>
  <si>
    <t>顧客名優先</t>
  </si>
  <si>
    <t>半角全角差を吸収。金額一致前提で自動候補。</t>
  </si>
  <si>
    <t>2026/04/10</t>
  </si>
  <si>
    <t>中銀カードVIS</t>
  </si>
  <si>
    <t>チユウギンカードVIS</t>
  </si>
  <si>
    <t>中銀カードVISA</t>
  </si>
  <si>
    <t>金額優先</t>
  </si>
  <si>
    <t>NO</t>
  </si>
  <si>
    <t>入金先が個別売上に直結しない可能性あり。候補表示のみ。</t>
  </si>
  <si>
    <t>運用ルール</t>
  </si>
  <si>
    <t>間違っていたらこの行を修正、または新規追加</t>
  </si>
  <si>
    <t>次回はこの表記を優先</t>
  </si>
  <si>
    <t>YESでも金額不一致なら自動消込しない</t>
  </si>
  <si>
    <t>ｶｰｽﾞﾄﾞﾛｯﾌﾟｲﾝG450d</t>
  </si>
  <si>
    <t>ｶｰｽﾞﾄﾞﾛｯﾌﾟｲﾝ</t>
  </si>
  <si>
    <t>車販の表記差を吸収</t>
  </si>
  <si>
    <t>手動補完</t>
  </si>
  <si>
    <t>下取表記の差を吸収</t>
  </si>
  <si>
    <t>映クラ株式会社</t>
  </si>
  <si>
    <t>同名の別車両があるため金額確認前提</t>
  </si>
  <si>
    <t>同名の下取車が複数あるため自動消込は不可</t>
  </si>
  <si>
    <t>中銀カードJCB</t>
  </si>
  <si>
    <t>高垣圭一朗様</t>
  </si>
  <si>
    <t>SB24431</t>
  </si>
  <si>
    <t>有限会社エル・グレコ</t>
  </si>
  <si>
    <t>(有)エルグレコ様</t>
  </si>
  <si>
    <t>エルグレコ</t>
  </si>
  <si>
    <t>繰越残高</t>
  </si>
  <si>
    <t>社会保険料　R8.1月分</t>
  </si>
  <si>
    <t>CB 燃料費 軽油税31</t>
  </si>
  <si>
    <t>長期借入金 笠信1500万円</t>
  </si>
  <si>
    <t>長期借入金 政策253,000</t>
  </si>
  <si>
    <t>長期借入金 政策1,179,000</t>
  </si>
  <si>
    <t>長期借入金 笠信ｺﾛﾅ3000(492)</t>
  </si>
  <si>
    <t>長期借入金 笠信長期4000保証</t>
  </si>
  <si>
    <t>笠信　貸付利息　7000万円</t>
  </si>
  <si>
    <t>長期借入金 笠信　2600千万</t>
  </si>
  <si>
    <t>日本政策金融公庫　利息分（8/29～もみじより笠信へ引落変更分）</t>
  </si>
  <si>
    <t>未来経営福山事務所　2月分</t>
  </si>
  <si>
    <t>前頁残高</t>
  </si>
  <si>
    <t>振込手数料</t>
  </si>
  <si>
    <t>住民税　福山市　2026/02月分</t>
  </si>
  <si>
    <t>橋本祥子取締役　仮受金</t>
  </si>
  <si>
    <t>給与　但井智哉　2月分</t>
  </si>
  <si>
    <t>給与　藤本吉則　2月分</t>
  </si>
  <si>
    <t>銚子部長</t>
  </si>
  <si>
    <t>仮払金</t>
  </si>
  <si>
    <t>給与　宮崎亜希子　2月分</t>
  </si>
  <si>
    <t>給与　橋本慎吾社長　2月分</t>
  </si>
  <si>
    <t>髙田自動車　2月分</t>
  </si>
  <si>
    <t>給与　桒原裕樹　2月分</t>
  </si>
  <si>
    <t>田中賢治様　ﾘｰｽ料</t>
  </si>
  <si>
    <t>笠信　収入印紙　手形貸付　3,300万</t>
  </si>
  <si>
    <t>CB 販売促進費 その他</t>
  </si>
  <si>
    <t>CB-整備 燃料費 カ゛ ソリン代31</t>
  </si>
  <si>
    <t>本社 交際費 その他</t>
  </si>
  <si>
    <t>本社 諸会費</t>
  </si>
  <si>
    <t>笠信より小口現金へ資金移動</t>
  </si>
  <si>
    <t>小口現金BR</t>
  </si>
  <si>
    <t>ｼﾞｬｯｸｽ　斎藤誠様　ﾍﾞﾝﾄﾚｰ　ｺﾝﾁﾈﾝﾀﾙ　PC006754</t>
  </si>
  <si>
    <t>買掛金</t>
  </si>
  <si>
    <t>㈱ｶｰｽﾞﾄﾞﾛｯﾌﾟｲﾝ　MB/Gｸﾗｽ.W1N4653102X006860</t>
  </si>
  <si>
    <t>中銀ｶｰﾄﾞ　JCB　㈱ｱｸｾ　高垣圭一朗様　SB24431</t>
  </si>
  <si>
    <t>三井住友海上火災保険㈱　代理店保険手数料</t>
  </si>
  <si>
    <t>三井住友海上火災保険㈱　自賠責　仲本典明様</t>
  </si>
  <si>
    <t>ﾌﾟﾚﾐｱ㈱　斎藤誠様　ﾍﾞﾝﾄﾚｰｺﾝﾁﾈﾝﾀﾙ　3PC006754</t>
  </si>
  <si>
    <t>希望番号　小俣英夫様　北九州　330　て　2641</t>
  </si>
  <si>
    <t>SMBC(ﾌﾟﾛﾄｺｰﾎﾟﾚｰｼｮﾝ）2月分</t>
  </si>
  <si>
    <t>職業安定所助成金（藤本吉則さん分）</t>
  </si>
  <si>
    <t>雑収入</t>
  </si>
  <si>
    <t>㈱橋本商事</t>
  </si>
  <si>
    <t>ｿﾌﾄﾊﾞﾝｸ㈱　2月分</t>
  </si>
  <si>
    <t>衆議院議員小林史明「励ます会」参加費</t>
  </si>
  <si>
    <t>交際費</t>
  </si>
  <si>
    <t>戻し利息　手形貸付　短期借入　3,300万円　R8/3/28-R8/7/31</t>
  </si>
  <si>
    <t>A-LUCO-DESIGN　2月分　ﾚﾝｼﾞﾛｰﾊﾞｰ　ﾘｱｼｰﾄｸﾘｰﾆﾝｸﾞ</t>
  </si>
  <si>
    <t>車両仕入</t>
  </si>
  <si>
    <t>ﾜﾝﾗｲﾄ㈱　2月分</t>
  </si>
  <si>
    <t>買掛金 橋本商事</t>
  </si>
  <si>
    <t>㈲AIｸﾘｰﾝｻｰﾋﾞｽ　2月分</t>
  </si>
  <si>
    <t>ｴﾇｼﾞｪｲﾋﾞｨ事業協同組合　2月分</t>
  </si>
  <si>
    <t>佐川急便㈱　2月分</t>
  </si>
  <si>
    <t>荷造包装費</t>
  </si>
  <si>
    <t>㈱ｽﾀｯﾌｻｰﾋﾞｽ　2月分</t>
  </si>
  <si>
    <t>㈱野田商店　2月分</t>
  </si>
  <si>
    <t>福山通運㈱　2月分</t>
  </si>
  <si>
    <t>CB 事務所維持費 その他</t>
  </si>
  <si>
    <t>㈱ﾔﾏｻ　2月分</t>
  </si>
  <si>
    <t>陸送費</t>
  </si>
  <si>
    <t>㈱ﾘｸﾙーﾄｶｰｾﾝｻｰ　2月分</t>
  </si>
  <si>
    <t>ｱﾐｭｰｽﾞ　2月分</t>
  </si>
  <si>
    <t>ｳﾙﾄｼﾞｬﾊﾟﾝ㈱　2月分</t>
  </si>
  <si>
    <t>東邦自動車㈱　2月分</t>
  </si>
  <si>
    <t>㈱福山自動車用品商会　2月分</t>
  </si>
  <si>
    <t>㈱ﾖｺﾊﾏﾀｲﾔｼﾞｬﾊﾟﾝ　2月分</t>
  </si>
  <si>
    <t>ｳﾂﾐ屋証券　CB家賃　4月分</t>
  </si>
  <si>
    <t>賃借料</t>
  </si>
  <si>
    <t>吉野ｶﾞﾚｰｼﾞ　4月分家賃</t>
  </si>
  <si>
    <t>ﾜｰﾙﾄﾞﾕｰﾃｨﾘﾃｨ㈱　2月分</t>
  </si>
  <si>
    <t>ﾘｺｰｼﾞｬﾊﾟﾝ㈱　2月分</t>
  </si>
  <si>
    <t>買掛金 車両</t>
  </si>
  <si>
    <t>社会保険料　2月分</t>
  </si>
  <si>
    <t>日本政策金融公庫　利息分（8/29～もみじより笠信引落）</t>
  </si>
  <si>
    <t>ﾌﾟﾚﾐｱ㈱　ｷｯｸﾊﾞｯｸ</t>
  </si>
  <si>
    <t>2026/04/13</t>
  </si>
  <si>
    <t>更衣ロッカー合鍵作成　㈱ｴｽｴﾌ</t>
  </si>
  <si>
    <t>2026/04/14</t>
  </si>
  <si>
    <t>該当なし 振込1 キムラユニテイ－ カ</t>
  </si>
  <si>
    <t>2026/04/16</t>
  </si>
  <si>
    <t>2026/04/17</t>
  </si>
  <si>
    <t>三井住友海上火災保険㈱　SB24559</t>
  </si>
  <si>
    <t>2026/04/20</t>
  </si>
  <si>
    <t>2026/04/21</t>
  </si>
  <si>
    <t>2026/04/23</t>
  </si>
  <si>
    <t>2026/04/24</t>
  </si>
  <si>
    <t>㈱ｻﾝｴｽ様　SB24522</t>
  </si>
  <si>
    <t>Jocar登録名</t>
  </si>
  <si>
    <t>銀行CSV登録名</t>
  </si>
  <si>
    <t>KK00000127</t>
  </si>
  <si>
    <t>株式会社コンクエスト代表取締役 清水 勝重</t>
  </si>
  <si>
    <t>ｺﾝｸｴｽﾄ様</t>
  </si>
  <si>
    <t>KK00000976</t>
  </si>
  <si>
    <t>株式会社スピングルカンパニー　代表取締役社長　内田 貴久</t>
  </si>
  <si>
    <t>㈱ｽﾋﾟﾝｸﾞﾙｶﾝﾊﾟﾆｰ様</t>
  </si>
  <si>
    <t>KK00007184</t>
  </si>
  <si>
    <t>泉　貴之</t>
  </si>
  <si>
    <t>泉貴之様</t>
  </si>
  <si>
    <t>ｵﾘｺ 泉貴之様</t>
  </si>
  <si>
    <t>オリコ 泉貴之キックバック</t>
  </si>
  <si>
    <t>KK00000366</t>
  </si>
  <si>
    <t>USS大阪</t>
  </si>
  <si>
    <t>㈱USS大阪</t>
  </si>
  <si>
    <t>KK00007228</t>
  </si>
  <si>
    <t>合同会社ｿｰﾗｰｴﾅｼﾞｰ・ﾌﾞﾘｯｼﾞ代表社員　橋本祥子</t>
  </si>
  <si>
    <t>KK00006317</t>
  </si>
  <si>
    <t>竹本　彩乃</t>
  </si>
  <si>
    <t>ｵﾘｺ 竹本彩乃様</t>
  </si>
  <si>
    <t>KK00006789</t>
  </si>
  <si>
    <t>藤田　勲</t>
  </si>
  <si>
    <t>藤田勲様</t>
  </si>
  <si>
    <t>KK00004348</t>
  </si>
  <si>
    <t>株式会社　ﾛﾍﾟﾗｲｵ代表取締役　宮里　泰光</t>
  </si>
  <si>
    <t>㈱ﾛﾍﾟﾗｲｵ様</t>
  </si>
  <si>
    <t>KK00004170</t>
  </si>
  <si>
    <t>中川　浩一</t>
  </si>
  <si>
    <t>ｵﾘｺ（中川浩一様ｷﾞﾌﾞﾘ）</t>
  </si>
  <si>
    <t>KK00007218</t>
  </si>
  <si>
    <t>津田　嵩貴</t>
  </si>
  <si>
    <t>津田 嵩貴様</t>
  </si>
  <si>
    <t>ﾌﾟﾚﾐｱ㈱（津田崇貴様）</t>
  </si>
  <si>
    <t>KK00001875</t>
  </si>
  <si>
    <t>映クラ 株式会社</t>
  </si>
  <si>
    <t>映ｸﾗ㈱様</t>
  </si>
  <si>
    <t>KK00006305</t>
  </si>
  <si>
    <t>株式会社ｶｰｽﾞﾄﾞﾛｯﾌﾟｲﾝ代表取締役　村田　一之</t>
  </si>
  <si>
    <t>㈱ｶｰｽﾞﾄﾞﾛｯﾌﾟｲﾝ様</t>
  </si>
  <si>
    <t>㈱ｶ-ｽﾞﾄﾞﾛｯﾌﾟｲﾝ</t>
  </si>
  <si>
    <t>ｶｰｽﾞﾄﾞﾛｯﾌﾟｲﾝ様</t>
  </si>
  <si>
    <t>KK00005576</t>
  </si>
  <si>
    <t>株式会社斎藤ｺｰﾎﾟﾚｰｼｮﾝ代表取締役　齋藤　誠</t>
  </si>
  <si>
    <t>斎藤誠様</t>
  </si>
  <si>
    <t>ﾌﾟﾚﾐｱ㈱斎藤誠様</t>
  </si>
  <si>
    <t>KK00003003</t>
  </si>
  <si>
    <t>ｷﾑﾗﾕﾆﾃｨ様</t>
  </si>
  <si>
    <t>ｷﾑﾗﾕﾆﾃｨ㈱様</t>
  </si>
  <si>
    <t>KK00006676</t>
  </si>
  <si>
    <t>マセラティ広島福山プレオウンドカーセンター</t>
  </si>
  <si>
    <t>KK00000185</t>
  </si>
  <si>
    <t>美建工業株式会社代表取締役　高田浩平</t>
  </si>
  <si>
    <t>美建工業㈱様</t>
  </si>
  <si>
    <t>KK00005224</t>
  </si>
  <si>
    <t>KK00006692</t>
  </si>
  <si>
    <t>KK00003171</t>
  </si>
  <si>
    <t>NPO法人　福山スポーツ雇用サポートセンター</t>
  </si>
  <si>
    <t>福山ｽﾎﾟｰﾂ雇用ｻﾎﾟｰﾄｾﾝﾀｰ様</t>
  </si>
  <si>
    <t>KK00005011</t>
  </si>
  <si>
    <t>東京海上日動火災保険㈱</t>
  </si>
  <si>
    <t>㈲ﾕﾅｲﾃｯﾄﾞｸﾛｰﾊﾞｰｽ様</t>
  </si>
  <si>
    <t>㈱ｳｪﾙﾃｯｸ様</t>
  </si>
  <si>
    <t>株式会社　一条工務店広島代表取締役　柳本和英</t>
  </si>
  <si>
    <t>㈱円福寺様</t>
  </si>
  <si>
    <t>(株)アクセ　高垣圭一朗様</t>
  </si>
  <si>
    <t>更新日</t>
  </si>
  <si>
    <t>内容</t>
  </si>
  <si>
    <t>次アクション</t>
  </si>
  <si>
    <t>補完済み</t>
  </si>
  <si>
    <t>Maserati広島系の不足行を振込入金リスト一覧へ補完し、車販の表記差2件も補正済み</t>
  </si>
  <si>
    <t>ローカルGASをApps Scriptへ反映後、照合メニューを再実行してこの監査シートを再生成</t>
  </si>
  <si>
    <t>入金予定月末</t>
  </si>
  <si>
    <t>コンクエスト請求ラベル</t>
  </si>
  <si>
    <t>コンクエスト請求額</t>
  </si>
  <si>
    <t>売掛金ラベル</t>
  </si>
  <si>
    <t>売掛金残</t>
  </si>
  <si>
    <t>管理対象売上総計</t>
  </si>
  <si>
    <t>自動消込控除</t>
  </si>
  <si>
    <t>常時除外控除</t>
  </si>
  <si>
    <t>Maserati控除</t>
  </si>
  <si>
    <t>前提メモ</t>
  </si>
  <si>
    <t>営業用（売上決定 / 見込）を正本。Maserati広島 は 福山エリアの代理キーとして集計</t>
  </si>
  <si>
    <t>コンクエスト請求額 = 営業用の粗利合計 × 1.1</t>
  </si>
  <si>
    <t>売掛金残 = 営業用売上総計から 車販 / 保険 / 保険請求 / Maserati / 自動消込 を控除</t>
  </si>
  <si>
    <t>要確認 は未入金扱いで残す</t>
  </si>
  <si>
    <t>処理ID</t>
  </si>
  <si>
    <t>fileId</t>
  </si>
  <si>
    <t>対象行数</t>
  </si>
  <si>
    <t>成功行数</t>
  </si>
  <si>
    <t>スキップ行数</t>
  </si>
  <si>
    <t>失敗行数</t>
  </si>
  <si>
    <t>結果</t>
  </si>
  <si>
    <t>失敗理由</t>
  </si>
  <si>
    <t>移動先</t>
  </si>
  <si>
    <t>再実行状況</t>
  </si>
  <si>
    <t>1lFKZZdiOrbO2rn4LZlZP4FtHG-O5Kbc-</t>
  </si>
  <si>
    <t>成功</t>
  </si>
  <si>
    <t>読み取り済み</t>
  </si>
  <si>
    <t>1-0mQpIYnScT5LVqgBAgxWpdZ2c0p7UAm</t>
  </si>
  <si>
    <t>1JHBHYXLzqcRjB3fF7UHAtntruEiEa_iH</t>
  </si>
  <si>
    <t>BANK_20260509_131438_1aLiphjg</t>
  </si>
  <si>
    <t>20260507.1hori .xlsx.csv</t>
  </si>
  <si>
    <t>1aLiphjgJ2UH1Uu0YJlG7Zx2rnOwoTa0u</t>
  </si>
  <si>
    <t>失敗</t>
  </si>
  <si>
    <t>重複取込の疑い</t>
  </si>
  <si>
    <t>エラー</t>
  </si>
  <si>
    <t>再実行待ち</t>
  </si>
  <si>
    <t>1v3GHZWvZ3FGiT0iRrFHYYIz3ofYqXXY1</t>
  </si>
  <si>
    <t>1inRGmkYKXd6_cXl7JMjLF2iFdGHU7OHN</t>
  </si>
  <si>
    <t>BANK_ARCHIVE_20260509_153621_01</t>
  </si>
  <si>
    <t>既存反映済み確認</t>
  </si>
  <si>
    <t>BANK_ARCHIVE_20260509_153621_02</t>
  </si>
  <si>
    <t>BANK_ARCHIVE_20260509_153621_03</t>
  </si>
  <si>
    <t>BANK_ARCHIVE_20260509_153621_04</t>
  </si>
  <si>
    <t>20260423.1hori .xlsx.csv</t>
  </si>
  <si>
    <t>BANK_ARCHIVE_20260509_153621_05</t>
  </si>
  <si>
    <t>BANK_ARCHIVE_20260509_153621_06</t>
  </si>
  <si>
    <t>20260424.2hori .xlsx.csv</t>
  </si>
  <si>
    <t>BANK_ARCHIVE_20260509_153621_07</t>
  </si>
  <si>
    <t>BANK_ARCHIVE_20260509_153621_08</t>
  </si>
  <si>
    <t>BANK_ARCHIVE_20260509_153621_09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</si>
</sst>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yyyy&quot;/&quot;mm"/>
    <numFmt numFmtId="165" formatCode="yyyy/mm/dd"/>
    <numFmt numFmtId="166" formatCode="#,##0;[Red]-#,##0"/>
    <numFmt numFmtId="167" formatCode="yyyy/mm"/>
    <numFmt numFmtId="168" formatCode="yyyy/mm/dd hh:mm:ss"/>
    <numFmt numFmtId="169" formatCode="yyyy/MM"/>
    <numFmt numFmtId="170" formatCode="yyyy/MM/dd"/>
    <numFmt numFmtId="171" formatCode="&quot;¥&quot;#,##0"/>
    <numFmt numFmtId="172" formatCode="m/d"/>
    <numFmt numFmtId="173" formatCode="yyyy/mm/dd h:mm:ss"/>
    <numFmt numFmtId="174" formatCode="yyyy/m/d"/>
  </numFmts>
  <fonts count="18">
    <font>
      <sz val="10.0"/>
      <color rgb="FF000000"/>
      <name val="Arial"/>
      <scheme val="minor"/>
    </font>
    <font>
      <b/>
      <sz val="16.0"/>
      <color theme="1"/>
      <name val="Arial"/>
    </font>
    <font>
      <color theme="1"/>
      <name val="Arial"/>
    </font>
    <font>
      <b/>
      <color theme="1"/>
      <name val="Arial"/>
    </font>
    <font>
      <b/>
      <sz val="18.0"/>
      <color theme="1"/>
      <name val="Arial"/>
    </font>
    <font>
      <b/>
      <color rgb="FFFFFFFF"/>
      <name val="Arial"/>
    </font>
    <font>
      <b/>
      <color rgb="FF000000"/>
      <name val="Arial"/>
    </font>
    <font>
      <color rgb="FF000000"/>
      <name val="Arial"/>
    </font>
    <font>
      <u/>
      <color rgb="FF0000FF"/>
    </font>
    <font>
      <b/>
      <sz val="10.0"/>
      <color theme="1"/>
      <name val="Arial"/>
    </font>
    <font>
      <color theme="1"/>
      <name val="Calibri"/>
    </font>
    <font>
      <u/>
      <color rgb="FF1155CC"/>
      <name val="Arial"/>
    </font>
    <font>
      <sz val="10.0"/>
      <color theme="1"/>
      <name val="Calibri"/>
    </font>
    <font>
      <sz val="10.0"/>
      <color theme="1"/>
      <name val="Arial"/>
    </font>
    <font>
      <u/>
      <sz val="10.0"/>
      <color rgb="FF0000FF"/>
    </font>
    <font>
      <color theme="1"/>
      <name val="Arial"/>
      <scheme val="minor"/>
    </font>
    <font>
      <u/>
      <color rgb="FF0000FF"/>
      <name val="Arial"/>
    </font>
    <font>
      <b/>
      <sz val="14.0"/>
      <color theme="1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D8EAD3"/>
        <bgColor rgb="FFD8EAD3"/>
      </patternFill>
    </fill>
    <fill>
      <patternFill patternType="solid">
        <fgColor rgb="FFEFEFEF"/>
        <bgColor rgb="FFEFEFEF"/>
      </patternFill>
    </fill>
    <fill>
      <patternFill patternType="solid">
        <fgColor rgb="FFF7F7F7"/>
        <bgColor rgb="FFF7F7F7"/>
      </patternFill>
    </fill>
    <fill>
      <patternFill patternType="solid">
        <fgColor rgb="FFEDF7FF"/>
        <bgColor rgb="FFEDF7FF"/>
      </patternFill>
    </fill>
    <fill>
      <patternFill patternType="solid">
        <fgColor rgb="FF287C5E"/>
        <bgColor rgb="FF287C5E"/>
      </patternFill>
    </fill>
    <fill>
      <patternFill patternType="solid">
        <fgColor rgb="FFD3E1F7"/>
        <bgColor rgb="FFD3E1F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8EDF9"/>
        <bgColor rgb="FFD8EDF9"/>
      </patternFill>
    </fill>
    <fill>
      <patternFill patternType="solid">
        <fgColor rgb="FFEAEAEA"/>
        <bgColor rgb="FFEAEAEA"/>
      </patternFill>
    </fill>
    <fill>
      <patternFill patternType="solid">
        <fgColor rgb="FFF9E5BF"/>
        <bgColor rgb="FFF9E5BF"/>
      </patternFill>
    </fill>
    <fill>
      <patternFill patternType="solid">
        <fgColor rgb="FFD8EFD6"/>
        <bgColor rgb="FFD8EFD6"/>
      </patternFill>
    </fill>
    <fill>
      <patternFill patternType="solid">
        <fgColor rgb="FFF2E2C6"/>
        <bgColor rgb="FFF2E2C6"/>
      </patternFill>
    </fill>
    <fill>
      <patternFill patternType="solid">
        <fgColor rgb="FFE4E4E4"/>
        <bgColor rgb="FFE4E4E4"/>
      </patternFill>
    </fill>
    <fill>
      <patternFill patternType="solid">
        <fgColor rgb="FFFBBC04"/>
        <bgColor rgb="FFFBBC04"/>
      </patternFill>
    </fill>
    <fill>
      <patternFill patternType="solid">
        <fgColor rgb="FFFF9900"/>
        <bgColor rgb="FFFF9900"/>
      </patternFill>
    </fill>
    <fill>
      <patternFill patternType="solid">
        <fgColor rgb="FFEA4335"/>
        <bgColor rgb="FFEA4335"/>
      </patternFill>
    </fill>
    <fill>
      <patternFill patternType="solid">
        <fgColor rgb="FFE3E3E3"/>
        <bgColor rgb="FFE3E3E3"/>
      </patternFill>
    </fill>
    <fill>
      <patternFill patternType="solid">
        <fgColor rgb="FFD2E1F4"/>
        <bgColor rgb="FFD2E1F4"/>
      </patternFill>
    </fill>
    <fill>
      <patternFill patternType="solid">
        <fgColor rgb="FFF3F3F3"/>
        <bgColor rgb="FFF3F3F3"/>
      </patternFill>
    </fill>
    <fill>
      <patternFill patternType="solid">
        <fgColor rgb="FFE6F7E6"/>
        <bgColor rgb="FFE6F7E6"/>
      </patternFill>
    </fill>
    <fill>
      <patternFill patternType="solid">
        <fgColor rgb="FFFFF1CC"/>
        <bgColor rgb="FFFFF1CC"/>
      </patternFill>
    </fill>
    <fill>
      <patternFill patternType="solid">
        <fgColor rgb="FFEEEEEE"/>
        <bgColor rgb="FFEEEEEE"/>
      </patternFill>
    </fill>
    <fill>
      <patternFill patternType="solid">
        <fgColor rgb="FFD6E8F7"/>
        <bgColor rgb="FFD6E8F7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2" fontId="1" numFmtId="0" xfId="0" applyAlignment="1" applyFont="1">
      <alignment horizontal="center"/>
    </xf>
    <xf borderId="0" fillId="3" fontId="1" numFmtId="0" xfId="0" applyAlignment="1" applyFill="1" applyFont="1">
      <alignment horizontal="center"/>
    </xf>
    <xf borderId="0" fillId="0" fontId="2" numFmtId="0" xfId="0" applyFont="1"/>
    <xf borderId="0" fillId="4" fontId="3" numFmtId="0" xfId="0" applyFill="1" applyFont="1"/>
    <xf quotePrefix="1" borderId="0" fillId="0" fontId="2" numFmtId="0" xfId="0" applyFont="1"/>
    <xf quotePrefix="1" borderId="0" fillId="4" fontId="3" numFmtId="0" xfId="0" applyFont="1"/>
    <xf borderId="0" fillId="5" fontId="3" numFmtId="0" xfId="0" applyAlignment="1" applyFill="1" applyFont="1">
      <alignment horizontal="center" vertical="bottom"/>
    </xf>
    <xf borderId="0" fillId="5" fontId="3" numFmtId="164" xfId="0" applyAlignment="1" applyFont="1" applyNumberFormat="1">
      <alignment horizontal="center" vertical="bottom"/>
    </xf>
    <xf borderId="1" fillId="6" fontId="2" numFmtId="0" xfId="0" applyBorder="1" applyFill="1" applyFont="1"/>
    <xf borderId="1" fillId="0" fontId="2" numFmtId="3" xfId="0" applyBorder="1" applyFont="1" applyNumberFormat="1"/>
    <xf borderId="2" fillId="6" fontId="2" numFmtId="0" xfId="0" applyBorder="1" applyFont="1"/>
    <xf borderId="2" fillId="0" fontId="2" numFmtId="3" xfId="0" applyBorder="1" applyFont="1" applyNumberFormat="1"/>
    <xf borderId="3" fillId="6" fontId="2" numFmtId="0" xfId="0" applyBorder="1" applyFont="1"/>
    <xf borderId="3" fillId="0" fontId="2" numFmtId="3" xfId="0" applyBorder="1" applyFont="1" applyNumberFormat="1"/>
    <xf borderId="0" fillId="2" fontId="4" numFmtId="0" xfId="0" applyFont="1"/>
    <xf borderId="0" fillId="0" fontId="2" numFmtId="165" xfId="0" applyFont="1" applyNumberFormat="1"/>
    <xf borderId="0" fillId="0" fontId="2" numFmtId="166" xfId="0" applyFont="1" applyNumberFormat="1"/>
    <xf borderId="0" fillId="0" fontId="2" numFmtId="164" xfId="0" applyFont="1" applyNumberFormat="1"/>
    <xf borderId="0" fillId="0" fontId="2" numFmtId="167" xfId="0" applyFont="1" applyNumberFormat="1"/>
    <xf borderId="0" fillId="7" fontId="5" numFmtId="0" xfId="0" applyAlignment="1" applyFill="1" applyFont="1">
      <alignment horizontal="center"/>
    </xf>
    <xf borderId="0" fillId="8" fontId="3" numFmtId="0" xfId="0" applyFill="1" applyFont="1"/>
    <xf borderId="0" fillId="0" fontId="2" numFmtId="3" xfId="0" applyFont="1" applyNumberFormat="1"/>
    <xf borderId="0" fillId="2" fontId="1" numFmtId="0" xfId="0" applyFont="1"/>
    <xf borderId="0" fillId="4" fontId="6" numFmtId="0" xfId="0" applyAlignment="1" applyFont="1">
      <alignment horizontal="center"/>
    </xf>
    <xf borderId="0" fillId="4" fontId="7" numFmtId="0" xfId="0" applyFont="1"/>
    <xf borderId="0" fillId="0" fontId="8" numFmtId="0" xfId="0" applyFont="1"/>
    <xf borderId="0" fillId="0" fontId="2" numFmtId="168" xfId="0" applyFont="1" applyNumberFormat="1"/>
    <xf borderId="0" fillId="0" fontId="9" numFmtId="0" xfId="0" applyFont="1"/>
    <xf borderId="0" fillId="0" fontId="9" numFmtId="0" xfId="0" applyAlignment="1" applyFont="1">
      <alignment horizontal="left"/>
    </xf>
    <xf borderId="0" fillId="0" fontId="10" numFmtId="165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0" numFmtId="38" xfId="0" applyAlignment="1" applyFont="1" applyNumberFormat="1">
      <alignment horizontal="right" vertical="bottom"/>
    </xf>
    <xf borderId="0" fillId="0" fontId="10" numFmtId="0" xfId="0" applyAlignment="1" applyFont="1">
      <alignment horizontal="right" vertical="bottom"/>
    </xf>
    <xf borderId="0" fillId="0" fontId="10" numFmtId="0" xfId="0" applyAlignment="1" applyFont="1">
      <alignment horizontal="left" vertical="bottom"/>
    </xf>
    <xf borderId="0" fillId="0" fontId="10" numFmtId="169" xfId="0" applyAlignment="1" applyFont="1" applyNumberFormat="1">
      <alignment horizontal="right" vertical="bottom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2" numFmtId="38" xfId="0" applyAlignment="1" applyFont="1" applyNumberFormat="1">
      <alignment vertical="bottom"/>
    </xf>
    <xf borderId="0" fillId="0" fontId="12" numFmtId="165" xfId="0" applyAlignment="1" applyFont="1" applyNumberFormat="1">
      <alignment horizontal="right"/>
    </xf>
    <xf borderId="0" fillId="0" fontId="12" numFmtId="0" xfId="0" applyFont="1"/>
    <xf borderId="0" fillId="10" fontId="12" numFmtId="38" xfId="0" applyAlignment="1" applyFill="1" applyFont="1" applyNumberFormat="1">
      <alignment horizontal="right"/>
    </xf>
    <xf borderId="0" fillId="10" fontId="12" numFmtId="0" xfId="0" applyFont="1"/>
    <xf borderId="0" fillId="0" fontId="12" numFmtId="38" xfId="0" applyAlignment="1" applyFont="1" applyNumberFormat="1">
      <alignment horizontal="right"/>
    </xf>
    <xf borderId="0" fillId="0" fontId="12" numFmtId="0" xfId="0" applyAlignment="1" applyFont="1">
      <alignment horizontal="left"/>
    </xf>
    <xf borderId="0" fillId="0" fontId="12" numFmtId="169" xfId="0" applyFont="1" applyNumberFormat="1"/>
    <xf borderId="0" fillId="0" fontId="13" numFmtId="0" xfId="0" applyFont="1"/>
    <xf borderId="0" fillId="0" fontId="14" numFmtId="0" xfId="0" applyFont="1"/>
    <xf borderId="0" fillId="0" fontId="13" numFmtId="38" xfId="0" applyFont="1" applyNumberFormat="1"/>
    <xf borderId="0" fillId="0" fontId="12" numFmtId="170" xfId="0" applyAlignment="1" applyFont="1" applyNumberFormat="1">
      <alignment horizontal="right"/>
    </xf>
    <xf borderId="0" fillId="0" fontId="12" numFmtId="38" xfId="0" applyFont="1" applyNumberFormat="1"/>
    <xf borderId="0" fillId="0" fontId="12" numFmtId="169" xfId="0" applyAlignment="1" applyFont="1" applyNumberFormat="1">
      <alignment horizontal="left"/>
    </xf>
    <xf borderId="0" fillId="0" fontId="13" numFmtId="170" xfId="0" applyFont="1" applyNumberFormat="1"/>
    <xf borderId="0" fillId="0" fontId="13" numFmtId="171" xfId="0" applyFont="1" applyNumberFormat="1"/>
    <xf borderId="0" fillId="0" fontId="13" numFmtId="3" xfId="0" applyFont="1" applyNumberFormat="1"/>
    <xf borderId="0" fillId="0" fontId="13" numFmtId="169" xfId="0" applyAlignment="1" applyFont="1" applyNumberFormat="1">
      <alignment horizontal="left"/>
    </xf>
    <xf borderId="0" fillId="0" fontId="13" numFmtId="169" xfId="0" applyFont="1" applyNumberFormat="1"/>
    <xf borderId="0" fillId="0" fontId="13" numFmtId="172" xfId="0" applyFont="1" applyNumberFormat="1"/>
    <xf borderId="0" fillId="0" fontId="13" numFmtId="0" xfId="0" applyAlignment="1" applyFont="1">
      <alignment horizontal="left"/>
    </xf>
    <xf borderId="0" fillId="0" fontId="15" numFmtId="0" xfId="0" applyFont="1"/>
    <xf borderId="0" fillId="0" fontId="3" numFmtId="0" xfId="0" applyAlignment="1" applyFont="1">
      <alignment vertical="bottom"/>
    </xf>
    <xf borderId="0" fillId="0" fontId="2" numFmtId="168" xfId="0" applyAlignment="1" applyFont="1" applyNumberFormat="1">
      <alignment horizontal="right" vertical="bottom"/>
    </xf>
    <xf borderId="0" fillId="0" fontId="2" numFmtId="168" xfId="0" applyAlignment="1" applyFont="1" applyNumberFormat="1">
      <alignment vertical="bottom"/>
    </xf>
    <xf borderId="0" fillId="0" fontId="2" numFmtId="173" xfId="0" applyAlignment="1" applyFont="1" applyNumberFormat="1">
      <alignment vertical="bottom"/>
    </xf>
    <xf borderId="0" fillId="0" fontId="16" numFmtId="0" xfId="0" applyAlignment="1" applyFont="1">
      <alignment vertical="bottom"/>
    </xf>
    <xf borderId="0" fillId="11" fontId="17" numFmtId="0" xfId="0" applyAlignment="1" applyFill="1" applyFont="1">
      <alignment shrinkToFit="0" wrapText="1"/>
    </xf>
    <xf borderId="0" fillId="0" fontId="2" numFmtId="0" xfId="0" applyAlignment="1" applyFont="1">
      <alignment shrinkToFit="0" wrapText="1"/>
    </xf>
    <xf borderId="0" fillId="12" fontId="3" numFmtId="0" xfId="0" applyFill="1" applyFont="1"/>
    <xf borderId="0" fillId="13" fontId="3" numFmtId="0" xfId="0" applyFill="1" applyFont="1"/>
    <xf borderId="0" fillId="14" fontId="3" numFmtId="0" xfId="0" applyFill="1" applyFont="1"/>
    <xf borderId="0" fillId="15" fontId="3" numFmtId="0" xfId="0" applyAlignment="1" applyFill="1" applyFont="1">
      <alignment shrinkToFit="0" wrapText="1"/>
    </xf>
    <xf borderId="0" fillId="0" fontId="2" numFmtId="165" xfId="0" applyAlignment="1" applyFont="1" applyNumberFormat="1">
      <alignment shrinkToFit="0" wrapText="1"/>
    </xf>
    <xf borderId="0" fillId="0" fontId="2" numFmtId="3" xfId="0" applyAlignment="1" applyFont="1" applyNumberFormat="1">
      <alignment shrinkToFit="0" wrapText="1"/>
    </xf>
    <xf borderId="0" fillId="15" fontId="3" numFmtId="0" xfId="0" applyFont="1"/>
    <xf borderId="0" fillId="9" fontId="3" numFmtId="0" xfId="0" applyFont="1"/>
    <xf borderId="0" fillId="9" fontId="3" numFmtId="3" xfId="0" applyFont="1" applyNumberFormat="1"/>
    <xf borderId="0" fillId="0" fontId="2" numFmtId="174" xfId="0" applyFont="1" applyNumberFormat="1"/>
    <xf borderId="0" fillId="9" fontId="2" numFmtId="0" xfId="0" applyFont="1"/>
    <xf borderId="0" fillId="9" fontId="2" numFmtId="165" xfId="0" applyFont="1" applyNumberFormat="1"/>
    <xf borderId="0" fillId="9" fontId="2" numFmtId="3" xfId="0" applyAlignment="1" applyFont="1" applyNumberFormat="1">
      <alignment horizontal="right"/>
    </xf>
    <xf borderId="0" fillId="9" fontId="2" numFmtId="164" xfId="0" applyFont="1" applyNumberFormat="1"/>
    <xf borderId="0" fillId="9" fontId="2" numFmtId="3" xfId="0" applyFont="1" applyNumberFormat="1"/>
    <xf borderId="0" fillId="9" fontId="2" numFmtId="174" xfId="0" applyFont="1" applyNumberFormat="1"/>
    <xf borderId="0" fillId="0" fontId="2" numFmtId="1" xfId="0" applyFont="1" applyNumberFormat="1"/>
    <xf borderId="0" fillId="16" fontId="3" numFmtId="0" xfId="0" applyFill="1" applyFont="1"/>
    <xf borderId="0" fillId="16" fontId="3" numFmtId="3" xfId="0" applyFont="1" applyNumberFormat="1"/>
    <xf borderId="0" fillId="16" fontId="3" numFmtId="0" xfId="0" applyAlignment="1" applyFont="1">
      <alignment vertical="bottom"/>
    </xf>
    <xf borderId="0" fillId="17" fontId="2" numFmtId="165" xfId="0" applyFill="1" applyFont="1" applyNumberFormat="1"/>
    <xf borderId="0" fillId="17" fontId="2" numFmtId="0" xfId="0" applyFont="1"/>
    <xf borderId="0" fillId="17" fontId="2" numFmtId="3" xfId="0" applyFont="1" applyNumberFormat="1"/>
    <xf borderId="0" fillId="17" fontId="2" numFmtId="164" xfId="0" applyFont="1" applyNumberFormat="1"/>
    <xf borderId="0" fillId="18" fontId="2" numFmtId="0" xfId="0" applyFill="1" applyFont="1"/>
    <xf borderId="0" fillId="18" fontId="2" numFmtId="165" xfId="0" applyFont="1" applyNumberFormat="1"/>
    <xf borderId="0" fillId="18" fontId="2" numFmtId="3" xfId="0" applyFont="1" applyNumberFormat="1"/>
    <xf borderId="0" fillId="18" fontId="2" numFmtId="164" xfId="0" applyFont="1" applyNumberFormat="1"/>
    <xf borderId="0" fillId="9" fontId="2" numFmtId="167" xfId="0" applyFont="1" applyNumberFormat="1"/>
    <xf borderId="0" fillId="17" fontId="2" numFmtId="167" xfId="0" applyFont="1" applyNumberFormat="1"/>
    <xf borderId="0" fillId="10" fontId="2" numFmtId="0" xfId="0" applyFont="1"/>
    <xf borderId="0" fillId="19" fontId="2" numFmtId="165" xfId="0" applyFill="1" applyFont="1" applyNumberFormat="1"/>
    <xf borderId="0" fillId="19" fontId="2" numFmtId="0" xfId="0" applyFont="1"/>
    <xf borderId="0" fillId="19" fontId="2" numFmtId="3" xfId="0" applyFont="1" applyNumberFormat="1"/>
    <xf borderId="0" fillId="19" fontId="2" numFmtId="164" xfId="0" applyFont="1" applyNumberFormat="1"/>
    <xf borderId="0" fillId="19" fontId="2" numFmtId="167" xfId="0" applyFont="1" applyNumberFormat="1"/>
    <xf quotePrefix="1" borderId="0" fillId="9" fontId="2" numFmtId="3" xfId="0" applyFont="1" applyNumberFormat="1"/>
    <xf borderId="0" fillId="0" fontId="2" numFmtId="173" xfId="0" applyFont="1" applyNumberFormat="1"/>
    <xf borderId="0" fillId="20" fontId="3" numFmtId="0" xfId="0" applyFill="1" applyFont="1"/>
    <xf borderId="4" fillId="21" fontId="3" numFmtId="0" xfId="0" applyAlignment="1" applyBorder="1" applyFill="1" applyFont="1">
      <alignment horizontal="center"/>
    </xf>
    <xf borderId="4" fillId="22" fontId="2" numFmtId="0" xfId="0" applyAlignment="1" applyBorder="1" applyFill="1" applyFont="1">
      <alignment shrinkToFit="0" wrapText="1"/>
    </xf>
    <xf borderId="4" fillId="23" fontId="2" numFmtId="0" xfId="0" applyBorder="1" applyFill="1" applyFont="1"/>
    <xf quotePrefix="1" borderId="4" fillId="23" fontId="2" numFmtId="0" xfId="0" applyBorder="1" applyFont="1"/>
    <xf borderId="4" fillId="24" fontId="2" numFmtId="0" xfId="0" applyAlignment="1" applyBorder="1" applyFill="1" applyFont="1">
      <alignment shrinkToFit="0" wrapText="1"/>
    </xf>
    <xf borderId="4" fillId="0" fontId="2" numFmtId="0" xfId="0" applyBorder="1" applyFont="1"/>
    <xf borderId="4" fillId="0" fontId="2" numFmtId="165" xfId="0" applyBorder="1" applyFont="1" applyNumberFormat="1"/>
    <xf quotePrefix="1" borderId="0" fillId="0" fontId="2" numFmtId="165" xfId="0" applyFont="1" applyNumberFormat="1"/>
    <xf borderId="0" fillId="0" fontId="3" numFmtId="0" xfId="0" applyFont="1"/>
    <xf borderId="0" fillId="25" fontId="3" numFmtId="0" xfId="0" applyFill="1" applyFont="1"/>
    <xf borderId="0" fillId="26" fontId="3" numFmtId="0" xfId="0" applyFill="1" applyFont="1"/>
    <xf borderId="0" fillId="26" fontId="3" numFmtId="0" xfId="0" applyAlignment="1" applyFont="1">
      <alignment shrinkToFit="0" wrapText="1"/>
    </xf>
  </cellXfs>
  <cellStyles count="1">
    <cellStyle xfId="0" name="Normal" builtinId="0"/>
  </cellStyles>
  <dxfs count="20">
    <dxf>
      <font/>
      <fill>
        <patternFill patternType="solid">
          <fgColor rgb="FFD5EED2"/>
          <bgColor rgb="FFD5EED2"/>
        </patternFill>
      </fill>
      <border/>
    </dxf>
    <dxf>
      <font>
        <b/>
      </font>
      <fill>
        <patternFill patternType="solid">
          <fgColor rgb="FFFFE3B4"/>
          <bgColor rgb="FFFFE3B4"/>
        </patternFill>
      </fill>
      <border/>
    </dxf>
    <dxf>
      <font/>
      <fill>
        <patternFill patternType="solid">
          <fgColor rgb="FFFFF1B1"/>
          <bgColor rgb="FFFFF1B1"/>
        </patternFill>
      </fill>
      <border/>
    </dxf>
    <dxf>
      <font/>
      <fill>
        <patternFill patternType="solid">
          <fgColor rgb="FFE4E4E4"/>
          <bgColor rgb="FFE4E4E4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EE2F3"/>
          <bgColor rgb="FFCEE2F3"/>
        </patternFill>
      </fill>
      <border/>
    </dxf>
    <dxf>
      <font/>
      <fill>
        <patternFill patternType="solid">
          <fgColor rgb="FFFACC99"/>
          <bgColor rgb="FFFACC99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  <dxf>
      <font>
        <color rgb="FFCC0000"/>
      </font>
      <fill>
        <patternFill patternType="none"/>
      </fill>
      <border/>
    </dxf>
    <dxf>
      <font/>
      <fill>
        <patternFill patternType="solid">
          <fgColor rgb="FFFBBC04"/>
          <bgColor rgb="FFFBBC04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5FF"/>
          <bgColor rgb="FFD0E5FF"/>
        </patternFill>
      </fill>
      <border/>
    </dxf>
    <dxf>
      <font/>
      <fill>
        <patternFill patternType="solid">
          <fgColor rgb="FFFFE4B5"/>
          <bgColor rgb="FFFFE4B5"/>
        </patternFill>
      </fill>
      <border/>
    </dxf>
    <dxf>
      <font/>
      <fill>
        <patternFill patternType="solid">
          <fgColor rgb="FFFFF299"/>
          <bgColor rgb="FFFFF299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  <dxf>
      <font>
        <b/>
      </font>
      <fill>
        <patternFill patternType="solid">
          <fgColor rgb="FFFCE599"/>
          <bgColor rgb="FFFCE599"/>
        </patternFill>
      </fill>
      <border/>
    </dxf>
    <dxf>
      <font>
        <b/>
      </font>
      <fill>
        <patternFill patternType="solid">
          <fgColor rgb="FFD6EFD3"/>
          <bgColor rgb="FFD6EFD3"/>
        </patternFill>
      </fill>
      <border/>
    </dxf>
    <dxf>
      <font/>
      <fill>
        <patternFill patternType="solid">
          <fgColor rgb="FFFFF2B2"/>
          <bgColor rgb="FFFFF2B2"/>
        </patternFill>
      </fill>
      <border/>
    </dxf>
    <dxf>
      <font/>
      <fill>
        <patternFill patternType="solid">
          <fgColor rgb="FFE5E5E5"/>
          <bgColor rgb="FFE5E5E5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comments4.xml.rels><?xml version="1.0" encoding="UTF-8" standalone="yes"?><Relationships xmlns="http://schemas.openxmlformats.org/package/2006/relationships"><Relationship Id="rId1" Type="http://customschemas.google.com/relationships/workbookmetadata" Target="commentsmeta3"/></Relationships>
</file>

<file path=xl/_rels/comments5.xml.rels><?xml version="1.0" encoding="UTF-8" standalone="yes"?>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<Relationships xmlns="http://schemas.openxmlformats.org/package/2006/relationships"><Relationship Id="rId1" Type="http://customschemas.google.com/relationships/workbookmetadata" Target="commentsmeta5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33" Type="http://schemas.openxmlformats.org/officeDocument/2006/relationships/worksheet" Target="worksheets/sheet30.xml"/><Relationship Id="rId10" Type="http://schemas.openxmlformats.org/officeDocument/2006/relationships/worksheet" Target="worksheets/sheet7.xml"/><Relationship Id="rId32" Type="http://schemas.openxmlformats.org/officeDocument/2006/relationships/worksheet" Target="worksheets/sheet29.xml"/><Relationship Id="rId13" Type="http://schemas.openxmlformats.org/officeDocument/2006/relationships/worksheet" Target="worksheets/sheet10.xml"/><Relationship Id="rId35" Type="http://schemas.openxmlformats.org/officeDocument/2006/relationships/worksheet" Target="worksheets/sheet32.xml"/><Relationship Id="rId12" Type="http://schemas.openxmlformats.org/officeDocument/2006/relationships/worksheet" Target="worksheets/sheet9.xml"/><Relationship Id="rId34" Type="http://schemas.openxmlformats.org/officeDocument/2006/relationships/worksheet" Target="worksheets/sheet31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36" Type="http://customschemas.google.com/relationships/workbookmetadata" Target="metadata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Pu9tfV6duLWYCqfHkHg31jCE4zz0A8DH/view?usp=drivesdk" TargetMode="External"/><Relationship Id="rId2" Type="http://schemas.openxmlformats.org/officeDocument/2006/relationships/hyperlink" Target="https://drive.google.com/file/d/1_wVwwyhEVkv_hBtUR0d3isCR4-rOTY4C/view?usp=drivesdk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ZAWtxI9-cp9JMOuzeYGA3_njrqCU93mH/view?usp=drivesdk" TargetMode="External"/><Relationship Id="rId3" Type="http://schemas.openxmlformats.org/officeDocument/2006/relationships/hyperlink" Target="https://drive.google.com/file/d/1QjmiJgY868MGz1aTkmOpQNk8qSZBq7Q_/view?usp=drivesdk" TargetMode="External"/><Relationship Id="rId4" Type="http://schemas.openxmlformats.org/officeDocument/2006/relationships/hyperlink" Target="https://drive.google.com/file/d/1Ez-IDDdbljYYlwSZVl2GaEfySPN6dgjw/view?usp=drivesdk" TargetMode="External"/><Relationship Id="rId10" Type="http://schemas.openxmlformats.org/officeDocument/2006/relationships/vmlDrawing" Target="../drawings/vmlDrawing1.vml"/><Relationship Id="rId9" Type="http://schemas.openxmlformats.org/officeDocument/2006/relationships/drawing" Target="../drawings/drawing7.xml"/><Relationship Id="rId5" Type="http://schemas.openxmlformats.org/officeDocument/2006/relationships/hyperlink" Target="https://drive.google.com/file/d/1xdX8y0QaoWk-Pu0BKQ9-bEmCSK4z8150/view?usp=drivesdk" TargetMode="External"/><Relationship Id="rId6" Type="http://schemas.openxmlformats.org/officeDocument/2006/relationships/hyperlink" Target="https://drive.google.com/file/d/1Tj-vbGJANOoLAg3NRWGZgrc-NXMZklaH/view?usp=drivesdk" TargetMode="External"/><Relationship Id="rId7" Type="http://schemas.openxmlformats.org/officeDocument/2006/relationships/hyperlink" Target="https://drive.google.com/file/d/1PFtfxcPGFYAkNcEY_Ph7t7miSeFKKCQ4/view?usp=drivesdk" TargetMode="External"/><Relationship Id="rId8" Type="http://schemas.openxmlformats.org/officeDocument/2006/relationships/hyperlink" Target="https://drive.google.com/file/d/1iMbKuVMF4oZhM1KLs8wLiQSNC3hXGxh-/view?usp=drivesdk" TargetMode="Externa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dzDQ9Tpr5ewQv1iBsYY5lN_zTtYjx8CX/view?usp=drivesdk" TargetMode="External"/><Relationship Id="rId10" Type="http://schemas.openxmlformats.org/officeDocument/2006/relationships/hyperlink" Target="https://drive.google.com/file/d/12ToEmkeW2uwvJqEcqg0vlb7VIfrNPedG/view?usp=drivesdk" TargetMode="External"/><Relationship Id="rId13" Type="http://schemas.openxmlformats.org/officeDocument/2006/relationships/hyperlink" Target="https://drive.google.com/file/d/14VtAhjj0JQ72XbtFMNwEEIBMwbQoE_fN/view?usp=drivesdk" TargetMode="External"/><Relationship Id="rId12" Type="http://schemas.openxmlformats.org/officeDocument/2006/relationships/hyperlink" Target="https://drive.google.com/file/d/18-v-3DagdDeFRVW1BqrJEtuZCUILm3ZI/view?usp=drivesdk" TargetMode="External"/><Relationship Id="rId1" Type="http://schemas.openxmlformats.org/officeDocument/2006/relationships/hyperlink" Target="https://drive.google.com/file/d/1XXwVtT1mauPzUlfSmh7U7Kyo5BOA8aRI/view?usp=drivesdk" TargetMode="External"/><Relationship Id="rId2" Type="http://schemas.openxmlformats.org/officeDocument/2006/relationships/hyperlink" Target="https://drive.google.com/file/d/1XXwVtT1mauPzUlfSmh7U7Kyo5BOA8aRI/view?usp=drivesdk" TargetMode="External"/><Relationship Id="rId3" Type="http://schemas.openxmlformats.org/officeDocument/2006/relationships/hyperlink" Target="https://drive.google.com/file/d/136vKW1h2hxfItErXqLPVMyvbmNi4sgJS/view?usp=drivesdk" TargetMode="External"/><Relationship Id="rId4" Type="http://schemas.openxmlformats.org/officeDocument/2006/relationships/hyperlink" Target="https://drive.google.com/file/d/136vKW1h2hxfItErXqLPVMyvbmNi4sgJS/view?usp=drivesdk" TargetMode="External"/><Relationship Id="rId9" Type="http://schemas.openxmlformats.org/officeDocument/2006/relationships/hyperlink" Target="https://drive.google.com/file/d/12ToEmkeW2uwvJqEcqg0vlb7VIfrNPedG/view?usp=drivesdk" TargetMode="External"/><Relationship Id="rId14" Type="http://schemas.openxmlformats.org/officeDocument/2006/relationships/drawing" Target="../drawings/drawing8.xml"/><Relationship Id="rId5" Type="http://schemas.openxmlformats.org/officeDocument/2006/relationships/hyperlink" Target="https://drive.google.com/file/d/136vKW1h2hxfItErXqLPVMyvbmNi4sgJS/view?usp=drivesdk" TargetMode="External"/><Relationship Id="rId6" Type="http://schemas.openxmlformats.org/officeDocument/2006/relationships/hyperlink" Target="https://drive.google.com/file/d/136vKW1h2hxfItErXqLPVMyvbmNi4sgJS/view?usp=drivesdk" TargetMode="External"/><Relationship Id="rId7" Type="http://schemas.openxmlformats.org/officeDocument/2006/relationships/hyperlink" Target="https://drive.google.com/file/d/1eRQjqPLZ73VrUEoEPcbR4EZXHCwHUYfT/view?usp=drivesdk" TargetMode="External"/><Relationship Id="rId8" Type="http://schemas.openxmlformats.org/officeDocument/2006/relationships/hyperlink" Target="https://drive.google.com/file/d/1-aLDhXdwITX0qote4uqi_bLLCwOR49Fq/view?usp=drivesdk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2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3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0.xml"/><Relationship Id="rId3" Type="http://schemas.openxmlformats.org/officeDocument/2006/relationships/vmlDrawing" Target="../drawings/vmlDrawing5.v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Pu9tfV6duLWYCqfHkHg31jCE4zz0A8DH/view?usp=drivesdk" TargetMode="External"/><Relationship Id="rId2" Type="http://schemas.openxmlformats.org/officeDocument/2006/relationships/hyperlink" Target="https://drive.google.com/file/d/1_wVwwyhEVkv_hBtUR0d3isCR4-rOTY4C/view?usp=drivesdk" TargetMode="External"/><Relationship Id="rId3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0" Type="http://schemas.openxmlformats.org/officeDocument/2006/relationships/vmlDrawing" Target="../drawings/vmlDrawing6.vml"/><Relationship Id="rId1" Type="http://schemas.openxmlformats.org/officeDocument/2006/relationships/comments" Target="../comments6.xml"/><Relationship Id="rId2" Type="http://schemas.openxmlformats.org/officeDocument/2006/relationships/hyperlink" Target="https://drive.google.com/file/d/1ZAWtxI9-cp9JMOuzeYGA3_njrqCU93mH/view?usp=drivesdk" TargetMode="External"/><Relationship Id="rId3" Type="http://schemas.openxmlformats.org/officeDocument/2006/relationships/hyperlink" Target="https://drive.google.com/file/d/1QjmiJgY868MGz1aTkmOpQNk8qSZBq7Q_/view?usp=drivesdk" TargetMode="External"/><Relationship Id="rId4" Type="http://schemas.openxmlformats.org/officeDocument/2006/relationships/hyperlink" Target="https://drive.google.com/file/d/1Ez-IDDdbljYYlwSZVl2GaEfySPN6dgjw/view?usp=drivesdk" TargetMode="External"/><Relationship Id="rId9" Type="http://schemas.openxmlformats.org/officeDocument/2006/relationships/drawing" Target="../drawings/drawing32.xml"/><Relationship Id="rId5" Type="http://schemas.openxmlformats.org/officeDocument/2006/relationships/hyperlink" Target="https://drive.google.com/file/d/1xdX8y0QaoWk-Pu0BKQ9-bEmCSK4z8150/view?usp=drivesdk" TargetMode="External"/><Relationship Id="rId6" Type="http://schemas.openxmlformats.org/officeDocument/2006/relationships/hyperlink" Target="https://drive.google.com/file/d/1Tj-vbGJANOoLAg3NRWGZgrc-NXMZklaH/view?usp=drivesdk" TargetMode="External"/><Relationship Id="rId7" Type="http://schemas.openxmlformats.org/officeDocument/2006/relationships/hyperlink" Target="https://drive.google.com/file/d/1PFtfxcPGFYAkNcEY_Ph7t7miSeFKKCQ4/view?usp=drivesdk" TargetMode="External"/><Relationship Id="rId8" Type="http://schemas.openxmlformats.org/officeDocument/2006/relationships/hyperlink" Target="https://drive.google.com/file/d/1iMbKuVMF4oZhM1KLs8wLiQSNC3hXGxh-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8" width="22.63"/>
  </cols>
  <sheetData>
    <row r="1" ht="15.75" customHeight="1">
      <c r="A1" s="1" t="s">
        <v>0</v>
      </c>
      <c r="B1" s="2"/>
      <c r="C1" s="2"/>
      <c r="D1" s="2"/>
      <c r="E1" s="2"/>
      <c r="F1" s="2"/>
      <c r="G1" s="3"/>
      <c r="H1" s="3"/>
    </row>
    <row r="2" ht="15.75" customHeight="1">
      <c r="A2" s="4" t="s">
        <v>1</v>
      </c>
    </row>
    <row r="3" ht="15.75" customHeight="1">
      <c r="A3" s="4" t="s">
        <v>2</v>
      </c>
      <c r="B3" s="4" t="s">
        <v>3</v>
      </c>
    </row>
    <row r="4" ht="15.75" customHeight="1">
      <c r="A4" s="5" t="s">
        <v>4</v>
      </c>
      <c r="B4" s="5"/>
      <c r="C4" s="5"/>
      <c r="D4" s="5"/>
      <c r="E4" s="5" t="s">
        <v>5</v>
      </c>
      <c r="F4" s="5"/>
      <c r="G4" s="5"/>
      <c r="H4" s="5"/>
    </row>
    <row r="5" ht="15.75" customHeight="1">
      <c r="A5" s="4" t="s">
        <v>6</v>
      </c>
      <c r="B5" s="4" t="s">
        <v>7</v>
      </c>
      <c r="C5" s="4" t="s">
        <v>8</v>
      </c>
      <c r="D5" s="4"/>
      <c r="E5" s="4" t="s">
        <v>9</v>
      </c>
      <c r="F5" s="4">
        <f>COUNTIF('銀行一覧'!H8:H50,"要確認")</f>
        <v>19</v>
      </c>
    </row>
    <row r="6" ht="15.75" customHeight="1">
      <c r="A6" s="4" t="s">
        <v>10</v>
      </c>
      <c r="B6" s="4" t="s">
        <v>11</v>
      </c>
      <c r="C6" s="4" t="s">
        <v>12</v>
      </c>
      <c r="D6" s="4"/>
      <c r="E6" s="4" t="s">
        <v>13</v>
      </c>
      <c r="F6" s="4">
        <f>COUNTIF('銀行一覧'!H8:H50,"未照合")+COUNTIF('銀行一覧'!H8:H50,"カード入金照合")</f>
        <v>0</v>
      </c>
    </row>
    <row r="7" ht="15.75" customHeight="1">
      <c r="A7" s="4" t="s">
        <v>14</v>
      </c>
      <c r="B7" s="4" t="s">
        <v>15</v>
      </c>
      <c r="C7" s="4" t="s">
        <v>16</v>
      </c>
      <c r="D7" s="4"/>
      <c r="E7" s="4" t="s">
        <v>17</v>
      </c>
      <c r="F7" s="4">
        <f>COUNTIF('案件一覧'!M8:M50,"要確認")</f>
        <v>0</v>
      </c>
    </row>
    <row r="8" ht="15.75" customHeight="1">
      <c r="A8" s="4" t="s">
        <v>18</v>
      </c>
      <c r="B8" s="4" t="s">
        <v>19</v>
      </c>
      <c r="C8" s="4" t="s">
        <v>20</v>
      </c>
      <c r="D8" s="4"/>
      <c r="E8" s="4" t="s">
        <v>21</v>
      </c>
      <c r="F8" s="4">
        <f>COUNTIF('案件一覧'!M8:M50,"未入金")</f>
        <v>38</v>
      </c>
    </row>
    <row r="9" ht="15.75" customHeight="1">
      <c r="A9" s="4"/>
      <c r="D9" s="4"/>
      <c r="E9" s="4" t="s">
        <v>22</v>
      </c>
      <c r="F9" s="4">
        <f>COUNTIF('案件一覧'!M8:M50,"一部入金")</f>
        <v>0</v>
      </c>
    </row>
    <row r="10" ht="15.75" customHeight="1">
      <c r="A10" s="4" t="s">
        <v>23</v>
      </c>
      <c r="D10" s="4"/>
      <c r="E10" s="4" t="s">
        <v>24</v>
      </c>
      <c r="F10" s="4">
        <f>COUNTIF('案件一覧'!M8:M50,"入金済")</f>
        <v>5</v>
      </c>
    </row>
    <row r="11" ht="15.75" customHeight="1">
      <c r="A11" s="6" t="s">
        <v>25</v>
      </c>
      <c r="B11" s="4" t="s">
        <v>26</v>
      </c>
      <c r="C11" s="4" t="s">
        <v>27</v>
      </c>
    </row>
    <row r="12" ht="15.75" customHeight="1">
      <c r="A12" s="6" t="s">
        <v>28</v>
      </c>
      <c r="B12" s="4" t="s">
        <v>10</v>
      </c>
      <c r="C12" s="4" t="s">
        <v>29</v>
      </c>
    </row>
    <row r="13" ht="15.75" customHeight="1">
      <c r="A13" s="7" t="s">
        <v>30</v>
      </c>
      <c r="B13" s="5" t="s">
        <v>31</v>
      </c>
      <c r="C13" s="5" t="s">
        <v>32</v>
      </c>
    </row>
    <row r="14" ht="15.75" customHeight="1">
      <c r="A14" s="6" t="s">
        <v>33</v>
      </c>
      <c r="B14" s="4" t="s">
        <v>34</v>
      </c>
      <c r="C14" s="4" t="s">
        <v>35</v>
      </c>
    </row>
    <row r="15" ht="15.75" customHeight="1">
      <c r="A15" s="5" t="s">
        <v>36</v>
      </c>
      <c r="B15" s="5"/>
      <c r="C15" s="4"/>
    </row>
    <row r="16" ht="15.75" customHeight="1">
      <c r="A16" s="4" t="s">
        <v>37</v>
      </c>
      <c r="B16" s="4" t="s">
        <v>38</v>
      </c>
      <c r="C16" s="4"/>
    </row>
    <row r="17" ht="15.75" customHeight="1">
      <c r="A17" s="4" t="s">
        <v>39</v>
      </c>
      <c r="B17" s="4" t="s">
        <v>40</v>
      </c>
    </row>
    <row r="18" ht="15.75" customHeight="1">
      <c r="A18" s="5" t="s">
        <v>41</v>
      </c>
      <c r="B18" s="5" t="s">
        <v>42</v>
      </c>
      <c r="C18" s="5"/>
    </row>
    <row r="19" ht="15.75" customHeight="1">
      <c r="A19" s="4" t="s">
        <v>43</v>
      </c>
      <c r="B19" s="4" t="s">
        <v>44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75"/>
    <col customWidth="1" min="2" max="6" width="12.63"/>
  </cols>
  <sheetData>
    <row r="1" ht="15.75" customHeight="1">
      <c r="A1" s="8"/>
      <c r="B1" s="9">
        <v>46082.0</v>
      </c>
      <c r="C1" s="9">
        <v>46113.0</v>
      </c>
      <c r="D1" s="9">
        <v>46143.0</v>
      </c>
      <c r="E1" s="9">
        <v>46174.0</v>
      </c>
      <c r="F1" s="9">
        <v>46204.0</v>
      </c>
      <c r="G1" s="9">
        <v>46235.0</v>
      </c>
      <c r="H1" s="9">
        <v>46266.0</v>
      </c>
      <c r="I1" s="9">
        <v>46296.0</v>
      </c>
      <c r="J1" s="9">
        <v>46327.0</v>
      </c>
      <c r="K1" s="9">
        <v>46357.0</v>
      </c>
      <c r="L1" s="9">
        <v>46388.0</v>
      </c>
      <c r="M1" s="9">
        <v>46419.0</v>
      </c>
      <c r="N1" s="8"/>
      <c r="O1" s="8"/>
      <c r="P1" s="8"/>
      <c r="Q1" s="8"/>
      <c r="R1" s="8"/>
      <c r="S1" s="8"/>
      <c r="T1" s="8"/>
      <c r="U1" s="8"/>
      <c r="V1" s="8"/>
      <c r="W1" s="8"/>
    </row>
    <row r="2" ht="15.75" customHeight="1">
      <c r="A2" s="10" t="s">
        <v>45</v>
      </c>
      <c r="B2" s="11">
        <f t="shared" ref="B2:M2" si="1">B3+B4+B5</f>
        <v>67149856</v>
      </c>
      <c r="C2" s="11">
        <f t="shared" si="1"/>
        <v>-3138769</v>
      </c>
      <c r="D2" s="11">
        <f t="shared" si="1"/>
        <v>12121336</v>
      </c>
      <c r="E2" s="11">
        <f t="shared" si="1"/>
        <v>0</v>
      </c>
      <c r="F2" s="11">
        <f t="shared" si="1"/>
        <v>0</v>
      </c>
      <c r="G2" s="11">
        <f t="shared" si="1"/>
        <v>0</v>
      </c>
      <c r="H2" s="11">
        <f t="shared" si="1"/>
        <v>0</v>
      </c>
      <c r="I2" s="11">
        <f t="shared" si="1"/>
        <v>0</v>
      </c>
      <c r="J2" s="11">
        <f t="shared" si="1"/>
        <v>0</v>
      </c>
      <c r="K2" s="11">
        <f t="shared" si="1"/>
        <v>0</v>
      </c>
      <c r="L2" s="11">
        <f t="shared" si="1"/>
        <v>0</v>
      </c>
      <c r="M2" s="11">
        <f t="shared" si="1"/>
        <v>0</v>
      </c>
    </row>
    <row r="3" ht="15.75" customHeight="1">
      <c r="A3" s="12" t="s">
        <v>46</v>
      </c>
      <c r="B3" s="13">
        <f t="array" ref="B3">SUMIFS('クレカ・現金'!$E$2:$E1000,'クレカ・現金'!$F$2:$F1000,"現金",'クレカ・現金'!$I$2:$I1000,"&lt;&gt;未照合",'クレカ・現金'!$I$2:$I1000,"&lt;&gt;",TEXT('クレカ・現金'!$H$2:$H1000,"yyyy-mm"),TEXT(B$1,"yyyy-mm"))</f>
        <v>0</v>
      </c>
      <c r="C3" s="13">
        <f t="array" ref="C3">SUMIFS('クレカ・現金'!$E$2:$E1000,'クレカ・現金'!$F$2:$F1000,"現金",'クレカ・現金'!$I$2:$I1000,"&lt;&gt;未照合",'クレカ・現金'!$I$2:$I1000,"&lt;&gt;",TEXT('クレカ・現金'!$H$2:$H1000,"yyyy-mm"),TEXT(C$1,"yyyy-mm"))</f>
        <v>0</v>
      </c>
      <c r="D3" s="13">
        <f t="array" ref="D3">SUMIFS('クレカ・現金'!$E$2:$E1000,'クレカ・現金'!$F$2:$F1000,"現金",'クレカ・現金'!$I$2:$I1000,"&lt;&gt;未照合",'クレカ・現金'!$I$2:$I1000,"&lt;&gt;",TEXT('クレカ・現金'!$H$2:$H1000,"yyyy-mm"),TEXT(D$1,"yyyy-mm"))</f>
        <v>0</v>
      </c>
      <c r="E3" s="13">
        <f t="array" ref="E3">SUMIFS('クレカ・現金'!$E$2:$E1000,'クレカ・現金'!$F$2:$F1000,"現金",'クレカ・現金'!$I$2:$I1000,"&lt;&gt;未照合",'クレカ・現金'!$I$2:$I1000,"&lt;&gt;",TEXT('クレカ・現金'!$H$2:$H1000,"yyyy-mm"),TEXT(E$1,"yyyy-mm"))</f>
        <v>0</v>
      </c>
      <c r="F3" s="13">
        <f t="array" ref="F3">SUMIFS('クレカ・現金'!$E$2:$E1000,'クレカ・現金'!$F$2:$F1000,"現金",'クレカ・現金'!$I$2:$I1000,"&lt;&gt;未照合",'クレカ・現金'!$I$2:$I1000,"&lt;&gt;",TEXT('クレカ・現金'!$H$2:$H1000,"yyyy-mm"),TEXT(F$1,"yyyy-mm"))</f>
        <v>0</v>
      </c>
      <c r="G3" s="13">
        <f t="array" ref="G3">SUMIFS('クレカ・現金'!$E$2:$E1000,'クレカ・現金'!$F$2:$F1000,"現金",'クレカ・現金'!$I$2:$I1000,"&lt;&gt;未照合",'クレカ・現金'!$I$2:$I1000,"&lt;&gt;",TEXT('クレカ・現金'!$H$2:$H1000,"yyyy-mm"),TEXT(G$1,"yyyy-mm"))</f>
        <v>0</v>
      </c>
      <c r="H3" s="13">
        <f t="array" ref="H3">SUMIFS('クレカ・現金'!$E$2:$E1000,'クレカ・現金'!$F$2:$F1000,"現金",'クレカ・現金'!$I$2:$I1000,"&lt;&gt;未照合",'クレカ・現金'!$I$2:$I1000,"&lt;&gt;",TEXT('クレカ・現金'!$H$2:$H1000,"yyyy-mm"),TEXT(H$1,"yyyy-mm"))</f>
        <v>0</v>
      </c>
      <c r="I3" s="13">
        <f t="array" ref="I3">SUMIFS('クレカ・現金'!$E$2:$E1000,'クレカ・現金'!$F$2:$F1000,"現金",'クレカ・現金'!$I$2:$I1000,"&lt;&gt;未照合",'クレカ・現金'!$I$2:$I1000,"&lt;&gt;",TEXT('クレカ・現金'!$H$2:$H1000,"yyyy-mm"),TEXT(I$1,"yyyy-mm"))</f>
        <v>0</v>
      </c>
      <c r="J3" s="13">
        <f t="array" ref="J3">SUMIFS('クレカ・現金'!$E$2:$E1000,'クレカ・現金'!$F$2:$F1000,"現金",'クレカ・現金'!$I$2:$I1000,"&lt;&gt;未照合",'クレカ・現金'!$I$2:$I1000,"&lt;&gt;",TEXT('クレカ・現金'!$H$2:$H1000,"yyyy-mm"),TEXT(J$1,"yyyy-mm"))</f>
        <v>0</v>
      </c>
      <c r="K3" s="13">
        <f t="array" ref="K3">SUMIFS('クレカ・現金'!$E$2:$E1000,'クレカ・現金'!$F$2:$F1000,"現金",'クレカ・現金'!$I$2:$I1000,"&lt;&gt;未照合",'クレカ・現金'!$I$2:$I1000,"&lt;&gt;",TEXT('クレカ・現金'!$H$2:$H1000,"yyyy-mm"),TEXT(K$1,"yyyy-mm"))</f>
        <v>0</v>
      </c>
      <c r="L3" s="13">
        <f t="array" ref="L3">SUMIFS('クレカ・現金'!$E$2:$E1000,'クレカ・現金'!$F$2:$F1000,"現金",'クレカ・現金'!$I$2:$I1000,"&lt;&gt;未照合",'クレカ・現金'!$I$2:$I1000,"&lt;&gt;",TEXT('クレカ・現金'!$H$2:$H1000,"yyyy-mm"),TEXT(L$1,"yyyy-mm"))</f>
        <v>0</v>
      </c>
      <c r="M3" s="13">
        <f t="array" ref="M3">SUMIFS('クレカ・現金'!$E$2:$E1000,'クレカ・現金'!$F$2:$F1000,"現金",'クレカ・現金'!$I$2:$I1000,"&lt;&gt;未照合",'クレカ・現金'!$I$2:$I1000,"&lt;&gt;",TEXT('クレカ・現金'!$H$2:$H1000,"yyyy-mm"),TEXT(M$1,"yyyy-mm"))</f>
        <v>0</v>
      </c>
    </row>
    <row r="4" ht="15.75" customHeight="1">
      <c r="A4" s="14" t="s">
        <v>47</v>
      </c>
      <c r="B4" s="15">
        <f t="array" ref="B4">SUMIFS('クレカ・現金'!$E$2:$E1000,'クレカ・現金'!$F$2:$F1000,"クレカ",'クレカ・現金'!$I$2:$I1000,"&lt;&gt;未照合",'クレカ・現金'!$I$2:$I1000,"&lt;&gt;",TEXT('クレカ・現金'!$H$2:$H1000,"yyyy-mm"),TEXT(B$1,"yyyy-mm"))</f>
        <v>0</v>
      </c>
      <c r="C4" s="15">
        <f t="array" ref="C4">SUMIFS('クレカ・現金'!$E$2:$E1000,'クレカ・現金'!$F$2:$F1000,"クレカ",'クレカ・現金'!$I$2:$I1000,"&lt;&gt;未照合",'クレカ・現金'!$I$2:$I1000,"&lt;&gt;",TEXT('クレカ・現金'!$H$2:$H1000,"yyyy-mm"),TEXT(C$1,"yyyy-mm"))</f>
        <v>574991</v>
      </c>
      <c r="D4" s="15">
        <f t="array" ref="D4">SUMIFS('クレカ・現金'!$E$2:$E1000,'クレカ・現金'!$F$2:$F1000,"クレカ",'クレカ・現金'!$I$2:$I1000,"&lt;&gt;未照合",'クレカ・現金'!$I$2:$I1000,"&lt;&gt;",TEXT('クレカ・現金'!$H$2:$H1000,"yyyy-mm"),TEXT(D$1,"yyyy-mm"))</f>
        <v>162250</v>
      </c>
      <c r="E4" s="15">
        <f t="array" ref="E4">SUMIFS('クレカ・現金'!$E$2:$E1000,'クレカ・現金'!$F$2:$F1000,"クレカ",'クレカ・現金'!$I$2:$I1000,"&lt;&gt;未照合",'クレカ・現金'!$I$2:$I1000,"&lt;&gt;",TEXT('クレカ・現金'!$H$2:$H1000,"yyyy-mm"),TEXT(E$1,"yyyy-mm"))</f>
        <v>0</v>
      </c>
      <c r="F4" s="15">
        <f t="array" ref="F4">SUMIFS('クレカ・現金'!$E$2:$E1000,'クレカ・現金'!$F$2:$F1000,"クレカ",'クレカ・現金'!$I$2:$I1000,"&lt;&gt;未照合",'クレカ・現金'!$I$2:$I1000,"&lt;&gt;",TEXT('クレカ・現金'!$H$2:$H1000,"yyyy-mm"),TEXT(F$1,"yyyy-mm"))</f>
        <v>0</v>
      </c>
      <c r="G4" s="15">
        <f t="array" ref="G4">SUMIFS('クレカ・現金'!$E$2:$E1000,'クレカ・現金'!$F$2:$F1000,"クレカ",'クレカ・現金'!$I$2:$I1000,"&lt;&gt;未照合",'クレカ・現金'!$I$2:$I1000,"&lt;&gt;",TEXT('クレカ・現金'!$H$2:$H1000,"yyyy-mm"),TEXT(G$1,"yyyy-mm"))</f>
        <v>0</v>
      </c>
      <c r="H4" s="15">
        <f t="array" ref="H4">SUMIFS('クレカ・現金'!$E$2:$E1000,'クレカ・現金'!$F$2:$F1000,"クレカ",'クレカ・現金'!$I$2:$I1000,"&lt;&gt;未照合",'クレカ・現金'!$I$2:$I1000,"&lt;&gt;",TEXT('クレカ・現金'!$H$2:$H1000,"yyyy-mm"),TEXT(H$1,"yyyy-mm"))</f>
        <v>0</v>
      </c>
      <c r="I4" s="15">
        <f t="array" ref="I4">SUMIFS('クレカ・現金'!$E$2:$E1000,'クレカ・現金'!$F$2:$F1000,"クレカ",'クレカ・現金'!$I$2:$I1000,"&lt;&gt;未照合",'クレカ・現金'!$I$2:$I1000,"&lt;&gt;",TEXT('クレカ・現金'!$H$2:$H1000,"yyyy-mm"),TEXT(I$1,"yyyy-mm"))</f>
        <v>0</v>
      </c>
      <c r="J4" s="15">
        <f t="array" ref="J4">SUMIFS('クレカ・現金'!$E$2:$E1000,'クレカ・現金'!$F$2:$F1000,"クレカ",'クレカ・現金'!$I$2:$I1000,"&lt;&gt;未照合",'クレカ・現金'!$I$2:$I1000,"&lt;&gt;",TEXT('クレカ・現金'!$H$2:$H1000,"yyyy-mm"),TEXT(J$1,"yyyy-mm"))</f>
        <v>0</v>
      </c>
      <c r="K4" s="15">
        <f t="array" ref="K4">SUMIFS('クレカ・現金'!$E$2:$E1000,'クレカ・現金'!$F$2:$F1000,"クレカ",'クレカ・現金'!$I$2:$I1000,"&lt;&gt;未照合",'クレカ・現金'!$I$2:$I1000,"&lt;&gt;",TEXT('クレカ・現金'!$H$2:$H1000,"yyyy-mm"),TEXT(K$1,"yyyy-mm"))</f>
        <v>0</v>
      </c>
      <c r="L4" s="15">
        <f t="array" ref="L4">SUMIFS('クレカ・現金'!$E$2:$E1000,'クレカ・現金'!$F$2:$F1000,"クレカ",'クレカ・現金'!$I$2:$I1000,"&lt;&gt;未照合",'クレカ・現金'!$I$2:$I1000,"&lt;&gt;",TEXT('クレカ・現金'!$H$2:$H1000,"yyyy-mm"),TEXT(L$1,"yyyy-mm"))</f>
        <v>0</v>
      </c>
      <c r="M4" s="15">
        <f t="array" ref="M4">SUMIFS('クレカ・現金'!$E$2:$E1000,'クレカ・現金'!$F$2:$F1000,"クレカ",'クレカ・現金'!$I$2:$I1000,"&lt;&gt;未照合",'クレカ・現金'!$I$2:$I1000,"&lt;&gt;",TEXT('クレカ・現金'!$H$2:$H1000,"yyyy-mm"),TEXT(M$1,"yyyy-mm"))</f>
        <v>0</v>
      </c>
    </row>
    <row r="5" ht="15.75" customHeight="1">
      <c r="A5" s="10" t="s">
        <v>48</v>
      </c>
      <c r="B5" s="11">
        <f t="array" ref="B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TEXT('銀行データチェック用'!$H$2:$H1000,"yyyy-mm"),TEXT(B$1,"yyyy-mm")
)</f>
        <v>67149856</v>
      </c>
      <c r="C5" s="11">
        <f t="array" ref="C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TEXT('銀行データチェック用'!$H$2:$H1000,"yyyy-mm"),TEXT(C$1,"yyyy-mm")
)</f>
        <v>-3713760</v>
      </c>
      <c r="D5" s="11">
        <f t="array" ref="D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TEXT('銀行データチェック用'!$H$2:$H1000,"yyyy-mm"),TEXT(D$1,"yyyy-mm")
)</f>
        <v>11959086</v>
      </c>
      <c r="E5" s="11">
        <f t="array" ref="E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TEXT('銀行データチェック用'!$H$2:$H1000,"yyyy-mm"),TEXT(E$1,"yyyy-mm")
)</f>
        <v>0</v>
      </c>
      <c r="F5" s="11">
        <f t="array" ref="F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TEXT('銀行データチェック用'!$H$2:$H1000,"yyyy-mm"),TEXT(F$1,"yyyy-mm")
)</f>
        <v>0</v>
      </c>
      <c r="G5" s="11">
        <f t="array" ref="G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TEXT('銀行データチェック用'!$H$2:$H1000,"yyyy-mm"),TEXT(G$1,"yyyy-mm")
)</f>
        <v>0</v>
      </c>
      <c r="H5" s="11">
        <f t="array" ref="H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TEXT('銀行データチェック用'!$H$2:$H1000,"yyyy-mm"),TEXT(H$1,"yyyy-mm")
)</f>
        <v>0</v>
      </c>
      <c r="I5" s="11">
        <f t="array" ref="I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TEXT('銀行データチェック用'!$H$2:$H1000,"yyyy-mm"),TEXT(I$1,"yyyy-mm")
)</f>
        <v>0</v>
      </c>
      <c r="J5" s="11">
        <f t="array" ref="J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TEXT('銀行データチェック用'!$H$2:$H1000,"yyyy-mm"),TEXT(J$1,"yyyy-mm")
)</f>
        <v>0</v>
      </c>
      <c r="K5" s="11">
        <f t="array" ref="K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TEXT('銀行データチェック用'!$H$2:$H1000,"yyyy-mm"),TEXT(K$1,"yyyy-mm")
)</f>
        <v>0</v>
      </c>
      <c r="L5" s="11">
        <f t="array" ref="L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TEXT('銀行データチェック用'!$H$2:$H1000,"yyyy-mm"),TEXT(L$1,"yyyy-mm")
)</f>
        <v>0</v>
      </c>
      <c r="M5" s="11">
        <f t="array" ref="M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TEXT('銀行データチェック用'!$H$2:$H1000,"yyyy-mm"),TEXT(M$1,"yyyy-mm")
)</f>
        <v>0</v>
      </c>
    </row>
    <row r="6" ht="15.75" customHeight="1">
      <c r="A6" s="12" t="s">
        <v>49</v>
      </c>
      <c r="B6" s="13">
        <f t="array" ref="B6">SUMPRODUCT(('振込入金リスト一覧'!$AH$2:$AH1000*1),(TEXT('振込入金リスト一覧'!$D$2:$D1000,"yyyy-mm")=TEXT(B$1,"yyyy-mm")))</f>
        <v>57469460</v>
      </c>
      <c r="C6" s="13">
        <f t="array" ref="C6">SUMPRODUCT(('振込入金リスト一覧'!$AH$2:$AH1000*1),(TEXT('振込入金リスト一覧'!$D$2:$D1000,"yyyy-mm")=TEXT(C$1,"yyyy-mm")))</f>
        <v>70362465</v>
      </c>
      <c r="D6" s="13">
        <f t="array" ref="D6">SUMPRODUCT(('振込入金リスト一覧'!$AH$2:$AH1000*1),(TEXT('振込入金リスト一覧'!$D$2:$D1000,"yyyy-mm")=TEXT(D$1,"yyyy-mm")))</f>
        <v>0</v>
      </c>
      <c r="E6" s="13">
        <f t="array" ref="E6">SUMPRODUCT(('振込入金リスト一覧'!$AH$2:$AH1000*1),(TEXT('振込入金リスト一覧'!$D$2:$D1000,"yyyy-mm")=TEXT(E$1,"yyyy-mm")))</f>
        <v>0</v>
      </c>
      <c r="F6" s="13">
        <f t="array" ref="F6">SUMPRODUCT(('振込入金リスト一覧'!$AH$2:$AH1000*1),(TEXT('振込入金リスト一覧'!$D$2:$D1000,"yyyy-mm")=TEXT(F$1,"yyyy-mm")))</f>
        <v>8823110</v>
      </c>
      <c r="G6" s="13">
        <f t="array" ref="G6">SUMPRODUCT(('振込入金リスト一覧'!$AH$2:$AH1000*1),(TEXT('振込入金リスト一覧'!$D$2:$D1000,"yyyy-mm")=TEXT(G$1,"yyyy-mm")))</f>
        <v>0</v>
      </c>
      <c r="H6" s="13">
        <f t="array" ref="H6">SUMPRODUCT(('振込入金リスト一覧'!$AH$2:$AH1000*1),(TEXT('振込入金リスト一覧'!$D$2:$D1000,"yyyy-mm")=TEXT(H$1,"yyyy-mm")))</f>
        <v>10495280</v>
      </c>
      <c r="I6" s="13">
        <f t="array" ref="I6">SUMPRODUCT(('振込入金リスト一覧'!$AH$2:$AH1000*1),(TEXT('振込入金リスト一覧'!$D$2:$D1000,"yyyy-mm")=TEXT(I$1,"yyyy-mm")))</f>
        <v>25219213</v>
      </c>
      <c r="J6" s="13">
        <f t="array" ref="J6">SUMPRODUCT(('振込入金リスト一覧'!$AH$2:$AH1000*1),(TEXT('振込入金リスト一覧'!$D$2:$D1000,"yyyy-mm")=TEXT(J$1,"yyyy-mm")))</f>
        <v>0</v>
      </c>
      <c r="K6" s="13">
        <f t="array" ref="K6">SUMPRODUCT(('振込入金リスト一覧'!$AH$2:$AH1000*1),(TEXT('振込入金リスト一覧'!$D$2:$D1000,"yyyy-mm")=TEXT(K$1,"yyyy-mm")))</f>
        <v>34251630</v>
      </c>
      <c r="L6" s="13">
        <f t="array" ref="L6">SUMPRODUCT(('振込入金リスト一覧'!$AH$2:$AH1000*1),(TEXT('振込入金リスト一覧'!$D$2:$D1000,"yyyy-mm")=TEXT(L$1,"yyyy-mm")))</f>
        <v>0</v>
      </c>
      <c r="M6" s="13">
        <f t="array" ref="M6">SUMPRODUCT(('振込入金リスト一覧'!$AH$2:$AH1000*1),(TEXT('振込入金リスト一覧'!$D$2:$D1000,"yyyy-mm")=TEXT(M$1,"yyyy-mm")))</f>
        <v>0</v>
      </c>
    </row>
    <row r="7" ht="15.75" customHeight="1">
      <c r="A7" s="14" t="s">
        <v>50</v>
      </c>
      <c r="B7" s="15">
        <f t="shared" ref="B7:M7" si="2">B6-B2</f>
        <v>-9680396</v>
      </c>
      <c r="C7" s="15">
        <f t="shared" si="2"/>
        <v>73501234</v>
      </c>
      <c r="D7" s="15">
        <f t="shared" si="2"/>
        <v>-12121336</v>
      </c>
      <c r="E7" s="15">
        <f t="shared" si="2"/>
        <v>0</v>
      </c>
      <c r="F7" s="15">
        <f t="shared" si="2"/>
        <v>8823110</v>
      </c>
      <c r="G7" s="15">
        <f t="shared" si="2"/>
        <v>0</v>
      </c>
      <c r="H7" s="15">
        <f t="shared" si="2"/>
        <v>10495280</v>
      </c>
      <c r="I7" s="15">
        <f t="shared" si="2"/>
        <v>25219213</v>
      </c>
      <c r="J7" s="15">
        <f t="shared" si="2"/>
        <v>0</v>
      </c>
      <c r="K7" s="15">
        <f t="shared" si="2"/>
        <v>34251630</v>
      </c>
      <c r="L7" s="15">
        <f t="shared" si="2"/>
        <v>0</v>
      </c>
      <c r="M7" s="15">
        <f t="shared" si="2"/>
        <v>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6" width="12.63"/>
  </cols>
  <sheetData>
    <row r="1" ht="15.75" customHeight="1">
      <c r="A1" s="16" t="s">
        <v>10</v>
      </c>
      <c r="B1" s="16" t="s">
        <v>3</v>
      </c>
      <c r="C1" s="16" t="s">
        <v>3</v>
      </c>
      <c r="D1" s="16" t="s">
        <v>3</v>
      </c>
      <c r="E1" s="16" t="s">
        <v>3</v>
      </c>
      <c r="F1" s="16" t="s">
        <v>3</v>
      </c>
      <c r="G1" s="16" t="s">
        <v>3</v>
      </c>
      <c r="H1" s="16" t="s">
        <v>3</v>
      </c>
      <c r="I1" s="16" t="s">
        <v>3</v>
      </c>
      <c r="J1" s="16" t="s">
        <v>3</v>
      </c>
      <c r="K1" s="16" t="s">
        <v>3</v>
      </c>
      <c r="L1" s="16" t="s">
        <v>3</v>
      </c>
      <c r="M1" s="16" t="s">
        <v>3</v>
      </c>
    </row>
    <row r="2" ht="15.75" customHeight="1">
      <c r="A2" s="4" t="s">
        <v>51</v>
      </c>
    </row>
    <row r="3" ht="15.75" customHeight="1">
      <c r="A3" s="5" t="s">
        <v>52</v>
      </c>
      <c r="B3" s="5" t="s">
        <v>53</v>
      </c>
      <c r="C3" s="5" t="s">
        <v>3</v>
      </c>
      <c r="D3" s="5" t="s">
        <v>3</v>
      </c>
      <c r="E3" s="5" t="s">
        <v>54</v>
      </c>
      <c r="F3" s="5"/>
      <c r="G3" s="5"/>
      <c r="H3" s="5"/>
      <c r="I3" s="5"/>
      <c r="J3" s="5"/>
      <c r="K3" s="5"/>
      <c r="L3" s="5"/>
      <c r="M3" s="5"/>
    </row>
    <row r="4" ht="15.75" customHeight="1">
      <c r="A4" s="4" t="s">
        <v>55</v>
      </c>
      <c r="B4" s="4">
        <f>COUNTA(A8:A1200)</f>
        <v>73</v>
      </c>
      <c r="C4" s="4" t="s">
        <v>3</v>
      </c>
      <c r="D4" s="4" t="s">
        <v>3</v>
      </c>
      <c r="E4" s="4" t="s">
        <v>56</v>
      </c>
    </row>
    <row r="5" ht="15.75" customHeight="1">
      <c r="A5" s="4" t="s">
        <v>57</v>
      </c>
      <c r="B5" s="4">
        <f>COUNTIF(H8:H1200,"要確認")</f>
        <v>27</v>
      </c>
      <c r="C5" s="4" t="s">
        <v>3</v>
      </c>
      <c r="D5" s="4" t="s">
        <v>3</v>
      </c>
      <c r="E5" s="4" t="s">
        <v>58</v>
      </c>
    </row>
    <row r="6" ht="15.75" customHeight="1">
      <c r="A6" s="4" t="s">
        <v>59</v>
      </c>
      <c r="B6" s="4">
        <f>COUNTIF(H8:H1200,"対象外")</f>
        <v>19</v>
      </c>
      <c r="C6" s="4" t="s">
        <v>3</v>
      </c>
      <c r="D6" s="4" t="s">
        <v>3</v>
      </c>
      <c r="E6" s="4" t="s">
        <v>60</v>
      </c>
    </row>
    <row r="7" ht="15.75" customHeight="1">
      <c r="A7" s="5" t="s">
        <v>61</v>
      </c>
      <c r="B7" s="5" t="s">
        <v>62</v>
      </c>
      <c r="C7" s="5" t="s">
        <v>63</v>
      </c>
      <c r="D7" s="5" t="s">
        <v>64</v>
      </c>
      <c r="E7" s="5" t="s">
        <v>65</v>
      </c>
      <c r="F7" s="5" t="s">
        <v>66</v>
      </c>
      <c r="G7" s="5" t="s">
        <v>67</v>
      </c>
      <c r="H7" s="5" t="s">
        <v>68</v>
      </c>
      <c r="I7" s="5" t="s">
        <v>69</v>
      </c>
      <c r="J7" s="5" t="s">
        <v>70</v>
      </c>
      <c r="K7" s="5" t="s">
        <v>71</v>
      </c>
      <c r="L7" s="5" t="s">
        <v>72</v>
      </c>
      <c r="M7" s="5" t="s">
        <v>73</v>
      </c>
    </row>
    <row r="8" ht="15.75" customHeight="1">
      <c r="A8" s="17">
        <f>IFERROR(__xludf.DUMMYFUNCTION("FILTER('銀行データチェック用'!A2:A1200,'銀行データチェック用'!A2:A1200&lt;&gt;"""",'銀行データチェック用'!D2:D1200&gt;0)"),46084.0)</f>
        <v>46084</v>
      </c>
      <c r="B8" s="4" t="str">
        <f>IFERROR(__xludf.DUMMYFUNCTION("FILTER(IF(LEN('銀行データチェック用'!C2:C1200),'銀行データチェック用'!C2:C1200,'銀行データチェック用'!K2:K1200),'銀行データチェック用'!A2:A1200&lt;&gt;"""",'銀行データチェック用'!D2:D1200&gt;0)"),"齋藤誠様　ﾍﾞﾝﾄﾚｰｺﾝﾁﾈﾝﾀﾙ　AzureV8  PC006754")</f>
        <v>齋藤誠様　ﾍﾞﾝﾄﾚｰｺﾝﾁﾈﾝﾀﾙ　AzureV8  PC006754</v>
      </c>
      <c r="C8" s="4" t="str">
        <f>IFERROR(__xludf.DUMMYFUNCTION("FILTER('銀行データチェック用'!C2:C1200,'銀行データチェック用'!A2:A1200&lt;&gt;"""",'銀行データチェック用'!D2:D1200&gt;0)"),"齋藤誠様　ﾍﾞﾝﾄﾚｰｺﾝﾁﾈﾝﾀﾙ　AzureV8  PC006754")</f>
        <v>齋藤誠様　ﾍﾞﾝﾄﾚｰｺﾝﾁﾈﾝﾀﾙ　AzureV8  PC006754</v>
      </c>
      <c r="D8" s="4" t="str">
        <f>IFERROR(__xludf.DUMMYFUNCTION("FILTER('銀行データチェック用'!K2:K1200,'銀行データチェック用'!A2:A1200&lt;&gt;"""",'銀行データチェック用'!D2:D1200&gt;0)"),"齋藤誠様　ﾍﾞﾝﾄﾚｰｺﾝﾁﾈﾝﾀﾙ　AzureV8  PC006754")</f>
        <v>齋藤誠様　ﾍﾞﾝﾄﾚｰｺﾝﾁﾈﾝﾀﾙ　AzureV8  PC006754</v>
      </c>
      <c r="E8" s="4" t="str">
        <f>IFERROR(__xludf.DUMMYFUNCTION("FILTER('銀行データチェック用'!B2:B1200,'銀行データチェック用'!A2:A1200&lt;&gt;"""",'銀行データチェック用'!D2:D1200&gt;0)"),"売掛金")</f>
        <v>売掛金</v>
      </c>
      <c r="F8" s="18">
        <f>IFERROR(__xludf.DUMMYFUNCTION("FILTER('銀行データチェック用'!D2:D1200,'銀行データチェック用'!A2:A1200&lt;&gt;"""",'銀行データチェック用'!D2:D1200&gt;0)"),8000000.0)</f>
        <v>8000000</v>
      </c>
      <c r="G8" s="4" t="str">
        <f>IFERROR(__xludf.DUMMYFUNCTION("FILTER(IF((LEN('銀行データチェック用'!M2:M1200)=0)+('銀行データチェック用'!M2:M1200=0)+('銀行データチェック用'!M2:M1200=""0""),IF('銀行データチェック用'!D2:D1200&gt;0,""入金"",""出金""),'銀行データチェック用'!M2:M1200),'銀行データチェック用'!A2:A1200&lt;&gt;"""",'銀行データチェック用'!D2:D1200&gt;0)"),"入金")</f>
        <v>入金</v>
      </c>
      <c r="H8" s="4" t="str">
        <f>IFERROR(__xludf.DUMMYFUNCTION("FILTER('銀行データチェック用'!G2:G1200,'銀行データチェック用'!A2:A1200&lt;&gt;"""",'銀行データチェック用'!D2:D1200&gt;0)"),"自動消込")</f>
        <v>自動消込</v>
      </c>
      <c r="I8" s="4" t="str">
        <f>IFERROR(__xludf.DUMMYFUNCTION("FILTER('銀行データチェック用'!F2:F1200,'銀行データチェック用'!A2:A1200&lt;&gt;"""",'銀行データチェック用'!D2:D1200&gt;0)"),"")</f>
        <v/>
      </c>
      <c r="J8" s="4" t="str">
        <f>IFERROR(__xludf.DUMMYFUNCTION("FILTER('銀行データチェック用'!E2:E1200,'銀行データチェック用'!A2:A1200&lt;&gt;"""",'銀行データチェック用'!D2:D1200&gt;0)"),"")</f>
        <v/>
      </c>
      <c r="K8" s="19">
        <f>IFERROR(__xludf.DUMMYFUNCTION("FILTER('銀行データチェック用'!H2:H1200,'銀行データチェック用'!A2:A1200&lt;&gt;"""",'銀行データチェック用'!D2:D1200&gt;0)"),46082.0)</f>
        <v>46082</v>
      </c>
      <c r="L8" s="4">
        <f>IFERROR(__xludf.DUMMYFUNCTION("FILTER('銀行データチェック用'!L2:L1200,'銀行データチェック用'!A2:A1200&lt;&gt;"""",'銀行データチェック用'!D2:D1200&gt;0)"),2419.0)</f>
        <v>2419</v>
      </c>
      <c r="M8" s="4" t="str">
        <f>IFERROR(__xludf.DUMMYFUNCTION("FILTER('銀行データチェック用'!S2:S1200,'銀行データチェック用'!A2:A1200&lt;&gt;"""",'銀行データチェック用'!D2:D1200&gt;0)"),"")</f>
        <v/>
      </c>
    </row>
    <row r="9" ht="15.75" customHeight="1">
      <c r="A9" s="17">
        <f>IFERROR(__xludf.DUMMYFUNCTION("""COMPUTED_VALUE"""),46090.0)</f>
        <v>46090</v>
      </c>
      <c r="B9" s="4" t="str">
        <f>IFERROR(__xludf.DUMMYFUNCTION("""COMPUTED_VALUE"""),"笠信　決算利息")</f>
        <v>笠信　決算利息</v>
      </c>
      <c r="C9" s="4" t="str">
        <f>IFERROR(__xludf.DUMMYFUNCTION("""COMPUTED_VALUE"""),"笠信　決算利息")</f>
        <v>笠信　決算利息</v>
      </c>
      <c r="D9" s="4" t="str">
        <f>IFERROR(__xludf.DUMMYFUNCTION("""COMPUTED_VALUE"""),"笠信　決算利息")</f>
        <v>笠信　決算利息</v>
      </c>
      <c r="E9" s="4" t="str">
        <f>IFERROR(__xludf.DUMMYFUNCTION("""COMPUTED_VALUE"""),"受取利息")</f>
        <v>受取利息</v>
      </c>
      <c r="F9" s="18">
        <f>IFERROR(__xludf.DUMMYFUNCTION("""COMPUTED_VALUE"""),3026.0)</f>
        <v>3026</v>
      </c>
      <c r="G9" s="4" t="str">
        <f>IFERROR(__xludf.DUMMYFUNCTION("""COMPUTED_VALUE"""),"入金")</f>
        <v>入金</v>
      </c>
      <c r="H9" s="4" t="str">
        <f>IFERROR(__xludf.DUMMYFUNCTION("""COMPUTED_VALUE"""),"対象外")</f>
        <v>対象外</v>
      </c>
      <c r="I9" s="4"/>
      <c r="J9" s="4"/>
      <c r="K9" s="19">
        <f>IFERROR(__xludf.DUMMYFUNCTION("""COMPUTED_VALUE"""),46082.0)</f>
        <v>46082</v>
      </c>
      <c r="L9" s="4">
        <f>IFERROR(__xludf.DUMMYFUNCTION("""COMPUTED_VALUE"""),2465.0)</f>
        <v>2465</v>
      </c>
      <c r="M9" s="4"/>
    </row>
    <row r="10" ht="15.75" customHeight="1">
      <c r="A10" s="17">
        <f>IFERROR(__xludf.DUMMYFUNCTION("""COMPUTED_VALUE"""),46090.0)</f>
        <v>46090</v>
      </c>
      <c r="B10" s="4" t="str">
        <f>IFERROR(__xludf.DUMMYFUNCTION("""COMPUTED_VALUE"""),"広銀　受取利息")</f>
        <v>広銀　受取利息</v>
      </c>
      <c r="C10" s="4" t="str">
        <f>IFERROR(__xludf.DUMMYFUNCTION("""COMPUTED_VALUE"""),"広銀　受取利息")</f>
        <v>広銀　受取利息</v>
      </c>
      <c r="D10" s="4" t="str">
        <f>IFERROR(__xludf.DUMMYFUNCTION("""COMPUTED_VALUE"""),"広銀　受取利息")</f>
        <v>広銀　受取利息</v>
      </c>
      <c r="E10" s="4" t="str">
        <f>IFERROR(__xludf.DUMMYFUNCTION("""COMPUTED_VALUE"""),"受取利息")</f>
        <v>受取利息</v>
      </c>
      <c r="F10" s="18">
        <f>IFERROR(__xludf.DUMMYFUNCTION("""COMPUTED_VALUE"""),3754.0)</f>
        <v>3754</v>
      </c>
      <c r="G10" s="4" t="str">
        <f>IFERROR(__xludf.DUMMYFUNCTION("""COMPUTED_VALUE"""),"入金")</f>
        <v>入金</v>
      </c>
      <c r="H10" s="4" t="str">
        <f>IFERROR(__xludf.DUMMYFUNCTION("""COMPUTED_VALUE"""),"対象外")</f>
        <v>対象外</v>
      </c>
      <c r="I10" s="4"/>
      <c r="J10" s="4"/>
      <c r="K10" s="19">
        <f>IFERROR(__xludf.DUMMYFUNCTION("""COMPUTED_VALUE"""),46082.0)</f>
        <v>46082</v>
      </c>
      <c r="L10" s="4">
        <f>IFERROR(__xludf.DUMMYFUNCTION("""COMPUTED_VALUE"""),2467.0)</f>
        <v>2467</v>
      </c>
      <c r="M10" s="4"/>
    </row>
    <row r="11" ht="15.75" customHeight="1">
      <c r="A11" s="17">
        <f>IFERROR(__xludf.DUMMYFUNCTION("""COMPUTED_VALUE"""),46090.0)</f>
        <v>46090</v>
      </c>
      <c r="B11" s="4" t="str">
        <f>IFERROR(__xludf.DUMMYFUNCTION("""COMPUTED_VALUE"""),"該当なし カ)ブリツジ")</f>
        <v>該当なし カ)ブリツジ</v>
      </c>
      <c r="C11" s="4" t="str">
        <f>IFERROR(__xludf.DUMMYFUNCTION("""COMPUTED_VALUE"""),"該当なし カ)ブリツジ")</f>
        <v>該当なし カ)ブリツジ</v>
      </c>
      <c r="D11" s="4" t="str">
        <f>IFERROR(__xludf.DUMMYFUNCTION("""COMPUTED_VALUE"""),"該当なし カ)ブリツジ")</f>
        <v>該当なし カ)ブリツジ</v>
      </c>
      <c r="E11" s="4" t="str">
        <f>IFERROR(__xludf.DUMMYFUNCTION("""COMPUTED_VALUE"""),"諸口")</f>
        <v>諸口</v>
      </c>
      <c r="F11" s="18">
        <f>IFERROR(__xludf.DUMMYFUNCTION("""COMPUTED_VALUE"""),3000000.0)</f>
        <v>3000000</v>
      </c>
      <c r="G11" s="4" t="str">
        <f>IFERROR(__xludf.DUMMYFUNCTION("""COMPUTED_VALUE"""),"入金")</f>
        <v>入金</v>
      </c>
      <c r="H11" s="4" t="str">
        <f>IFERROR(__xludf.DUMMYFUNCTION("""COMPUTED_VALUE"""),"自動消込")</f>
        <v>自動消込</v>
      </c>
      <c r="I11" s="4"/>
      <c r="J11" s="4"/>
      <c r="K11" s="19">
        <f>IFERROR(__xludf.DUMMYFUNCTION("""COMPUTED_VALUE"""),46082.0)</f>
        <v>46082</v>
      </c>
      <c r="L11" s="4">
        <f>IFERROR(__xludf.DUMMYFUNCTION("""COMPUTED_VALUE"""),2481.0)</f>
        <v>2481</v>
      </c>
      <c r="M11" s="4"/>
    </row>
    <row r="12" ht="15.75" customHeight="1">
      <c r="A12" s="17">
        <f>IFERROR(__xludf.DUMMYFUNCTION("""COMPUTED_VALUE"""),46091.0)</f>
        <v>46091</v>
      </c>
      <c r="B12" s="4" t="str">
        <f>IFERROR(__xludf.DUMMYFUNCTION("""COMPUTED_VALUE"""),"(株)橋本商事　((株)A’crews)")</f>
        <v>(株)橋本商事　((株)A’crews)</v>
      </c>
      <c r="C12" s="4" t="str">
        <f>IFERROR(__xludf.DUMMYFUNCTION("""COMPUTED_VALUE"""),"(株)橋本商事　((株)A’crews)")</f>
        <v>(株)橋本商事　((株)A’crews)</v>
      </c>
      <c r="D12" s="4" t="str">
        <f>IFERROR(__xludf.DUMMYFUNCTION("""COMPUTED_VALUE"""),"(株)橋本商事　((株)A’crews)")</f>
        <v>(株)橋本商事　((株)A’crews)</v>
      </c>
      <c r="E12" s="4" t="str">
        <f>IFERROR(__xludf.DUMMYFUNCTION("""COMPUTED_VALUE"""),"売掛金")</f>
        <v>売掛金</v>
      </c>
      <c r="F12" s="18">
        <f>IFERROR(__xludf.DUMMYFUNCTION("""COMPUTED_VALUE"""),150000.0)</f>
        <v>150000</v>
      </c>
      <c r="G12" s="4" t="str">
        <f>IFERROR(__xludf.DUMMYFUNCTION("""COMPUTED_VALUE"""),"入金")</f>
        <v>入金</v>
      </c>
      <c r="H12" s="4" t="str">
        <f>IFERROR(__xludf.DUMMYFUNCTION("""COMPUTED_VALUE"""),"自動消込")</f>
        <v>自動消込</v>
      </c>
      <c r="I12" s="4"/>
      <c r="J12" s="4"/>
      <c r="K12" s="19">
        <f>IFERROR(__xludf.DUMMYFUNCTION("""COMPUTED_VALUE"""),46082.0)</f>
        <v>46082</v>
      </c>
      <c r="L12" s="4">
        <f>IFERROR(__xludf.DUMMYFUNCTION("""COMPUTED_VALUE"""),2509.0)</f>
        <v>2509</v>
      </c>
      <c r="M12" s="4"/>
    </row>
    <row r="13" ht="15.75" customHeight="1">
      <c r="A13" s="17">
        <f>IFERROR(__xludf.DUMMYFUNCTION("""COMPUTED_VALUE"""),46092.0)</f>
        <v>46092</v>
      </c>
      <c r="B13" s="4" t="str">
        <f>IFERROR(__xludf.DUMMYFUNCTION("""COMPUTED_VALUE"""),"手形貸付　短期借入　3,300万円　R8/3/11-R8/7/31")</f>
        <v>手形貸付　短期借入　3,300万円　R8/3/11-R8/7/31</v>
      </c>
      <c r="C13" s="4" t="str">
        <f>IFERROR(__xludf.DUMMYFUNCTION("""COMPUTED_VALUE"""),"手形貸付　短期借入　3,300万円　R8/3/11-R8/7/31")</f>
        <v>手形貸付　短期借入　3,300万円　R8/3/11-R8/7/31</v>
      </c>
      <c r="D13" s="4" t="str">
        <f>IFERROR(__xludf.DUMMYFUNCTION("""COMPUTED_VALUE"""),"手形貸付　短期借入　3,300万円　R8/3/11-R8/7/31")</f>
        <v>手形貸付　短期借入　3,300万円　R8/3/11-R8/7/31</v>
      </c>
      <c r="E13" s="4" t="str">
        <f>IFERROR(__xludf.DUMMYFUNCTION("""COMPUTED_VALUE"""),"短期借入金")</f>
        <v>短期借入金</v>
      </c>
      <c r="F13" s="18">
        <f>IFERROR(__xludf.DUMMYFUNCTION("""COMPUTED_VALUE"""),3.2676781E7)</f>
        <v>32676781</v>
      </c>
      <c r="G13" s="4" t="str">
        <f>IFERROR(__xludf.DUMMYFUNCTION("""COMPUTED_VALUE"""),"入金")</f>
        <v>入金</v>
      </c>
      <c r="H13" s="4" t="str">
        <f>IFERROR(__xludf.DUMMYFUNCTION("""COMPUTED_VALUE"""),"対象外")</f>
        <v>対象外</v>
      </c>
      <c r="I13" s="4"/>
      <c r="J13" s="4"/>
      <c r="K13" s="19">
        <f>IFERROR(__xludf.DUMMYFUNCTION("""COMPUTED_VALUE"""),46082.0)</f>
        <v>46082</v>
      </c>
      <c r="L13" s="4">
        <f>IFERROR(__xludf.DUMMYFUNCTION("""COMPUTED_VALUE"""),2590.0)</f>
        <v>2590</v>
      </c>
      <c r="M13" s="4"/>
    </row>
    <row r="14" ht="15.75" customHeight="1">
      <c r="A14" s="17">
        <f>IFERROR(__xludf.DUMMYFUNCTION("""COMPUTED_VALUE"""),46093.0)</f>
        <v>46093</v>
      </c>
      <c r="B14" s="4" t="str">
        <f>IFERROR(__xludf.DUMMYFUNCTION("""COMPUTED_VALUE"""),"(株)ｶｰｽﾞﾄﾞﾛｯﾌﾟｲﾝ　MB/Gｸﾗｽ.W1N4653102X006860")</f>
        <v>(株)ｶｰｽﾞﾄﾞﾛｯﾌﾟｲﾝ　MB/Gｸﾗｽ.W1N4653102X006860</v>
      </c>
      <c r="C14" s="4" t="str">
        <f>IFERROR(__xludf.DUMMYFUNCTION("""COMPUTED_VALUE"""),"(株)ｶｰｽﾞﾄﾞﾛｯﾌﾟｲﾝ　MB/Gｸﾗｽ.W1N4653102X006860")</f>
        <v>(株)ｶｰｽﾞﾄﾞﾛｯﾌﾟｲﾝ　MB/Gｸﾗｽ.W1N4653102X006860</v>
      </c>
      <c r="D14" s="4" t="str">
        <f>IFERROR(__xludf.DUMMYFUNCTION("""COMPUTED_VALUE"""),"(株)ｶｰｽﾞﾄﾞﾛｯﾌﾟｲﾝ　MB/Gｸﾗｽ.W1N4653102X006860")</f>
        <v>(株)ｶｰｽﾞﾄﾞﾛｯﾌﾟｲﾝ　MB/Gｸﾗｽ.W1N4653102X006860</v>
      </c>
      <c r="E14" s="4" t="str">
        <f>IFERROR(__xludf.DUMMYFUNCTION("""COMPUTED_VALUE"""),"売掛金")</f>
        <v>売掛金</v>
      </c>
      <c r="F14" s="18">
        <f>IFERROR(__xludf.DUMMYFUNCTION("""COMPUTED_VALUE"""),401860.0)</f>
        <v>401860</v>
      </c>
      <c r="G14" s="4" t="str">
        <f>IFERROR(__xludf.DUMMYFUNCTION("""COMPUTED_VALUE"""),"入金")</f>
        <v>入金</v>
      </c>
      <c r="H14" s="4" t="str">
        <f>IFERROR(__xludf.DUMMYFUNCTION("""COMPUTED_VALUE"""),"自動消込")</f>
        <v>自動消込</v>
      </c>
      <c r="I14" s="4"/>
      <c r="J14" s="4"/>
      <c r="K14" s="19">
        <f>IFERROR(__xludf.DUMMYFUNCTION("""COMPUTED_VALUE"""),46082.0)</f>
        <v>46082</v>
      </c>
      <c r="L14" s="4">
        <f>IFERROR(__xludf.DUMMYFUNCTION("""COMPUTED_VALUE"""),2530.0)</f>
        <v>2530</v>
      </c>
      <c r="M14" s="4"/>
    </row>
    <row r="15" ht="15.75" customHeight="1">
      <c r="A15" s="17">
        <f>IFERROR(__xludf.DUMMYFUNCTION("""COMPUTED_VALUE"""),46097.0)</f>
        <v>46097</v>
      </c>
      <c r="B15" s="4" t="str">
        <f>IFERROR(__xludf.DUMMYFUNCTION("""COMPUTED_VALUE"""),"中銀ｶｰﾄﾞ　JCB　(株)アクセ　高垣圭一朗様　SB24431")</f>
        <v>中銀ｶｰﾄﾞ　JCB　(株)アクセ　高垣圭一朗様　SB24431</v>
      </c>
      <c r="C15" s="4" t="str">
        <f>IFERROR(__xludf.DUMMYFUNCTION("""COMPUTED_VALUE"""),"中銀ｶｰﾄﾞ　JCB　(株)アクセ　高垣圭一朗様　SB24431")</f>
        <v>中銀ｶｰﾄﾞ　JCB　(株)アクセ　高垣圭一朗様　SB24431</v>
      </c>
      <c r="D15" s="4" t="str">
        <f>IFERROR(__xludf.DUMMYFUNCTION("""COMPUTED_VALUE"""),"中銀ｶｰﾄﾞ　JCB")</f>
        <v>中銀ｶｰﾄﾞ　JCB</v>
      </c>
      <c r="E15" s="4" t="str">
        <f>IFERROR(__xludf.DUMMYFUNCTION("""COMPUTED_VALUE"""),"売掛金")</f>
        <v>売掛金</v>
      </c>
      <c r="F15" s="18">
        <f>IFERROR(__xludf.DUMMYFUNCTION("""COMPUTED_VALUE"""),380712.0)</f>
        <v>380712</v>
      </c>
      <c r="G15" s="4" t="str">
        <f>IFERROR(__xludf.DUMMYFUNCTION("""COMPUTED_VALUE"""),"入金")</f>
        <v>入金</v>
      </c>
      <c r="H15" s="4" t="str">
        <f>IFERROR(__xludf.DUMMYFUNCTION("""COMPUTED_VALUE"""),"自動消込")</f>
        <v>自動消込</v>
      </c>
      <c r="I15" s="4" t="str">
        <f>IFERROR(__xludf.DUMMYFUNCTION("""COMPUTED_VALUE"""),"KK00001711")</f>
        <v>KK00001711</v>
      </c>
      <c r="J15" s="4" t="str">
        <f>IFERROR(__xludf.DUMMYFUNCTION("""COMPUTED_VALUE"""),"SB00024431")</f>
        <v>SB00024431</v>
      </c>
      <c r="K15" s="19">
        <f>IFERROR(__xludf.DUMMYFUNCTION("""COMPUTED_VALUE"""),46082.0)</f>
        <v>46082</v>
      </c>
      <c r="L15" s="4">
        <f>IFERROR(__xludf.DUMMYFUNCTION("""COMPUTED_VALUE"""),2565.0)</f>
        <v>2565</v>
      </c>
      <c r="M15" s="4"/>
    </row>
    <row r="16" ht="15.75" customHeight="1">
      <c r="A16" s="17">
        <f>IFERROR(__xludf.DUMMYFUNCTION("""COMPUTED_VALUE"""),46097.0)</f>
        <v>46097</v>
      </c>
      <c r="B16" s="4" t="str">
        <f>IFERROR(__xludf.DUMMYFUNCTION("""COMPUTED_VALUE"""),"中銀ｶｰﾄﾞ　VISA")</f>
        <v>中銀ｶｰﾄﾞ　VISA</v>
      </c>
      <c r="C16" s="4" t="str">
        <f>IFERROR(__xludf.DUMMYFUNCTION("""COMPUTED_VALUE"""),"中銀ｶｰﾄﾞ　VISA")</f>
        <v>中銀ｶｰﾄﾞ　VISA</v>
      </c>
      <c r="D16" s="4" t="str">
        <f>IFERROR(__xludf.DUMMYFUNCTION("""COMPUTED_VALUE"""),"中銀ｶｰﾄﾞ　VISA")</f>
        <v>中銀ｶｰﾄﾞ　VISA</v>
      </c>
      <c r="E16" s="4" t="str">
        <f>IFERROR(__xludf.DUMMYFUNCTION("""COMPUTED_VALUE"""),"諸口")</f>
        <v>諸口</v>
      </c>
      <c r="F16" s="18">
        <f>IFERROR(__xludf.DUMMYFUNCTION("""COMPUTED_VALUE"""),117612.0)</f>
        <v>117612</v>
      </c>
      <c r="G16" s="4" t="str">
        <f>IFERROR(__xludf.DUMMYFUNCTION("""COMPUTED_VALUE"""),"入金")</f>
        <v>入金</v>
      </c>
      <c r="H16" s="4" t="str">
        <f>IFERROR(__xludf.DUMMYFUNCTION("""COMPUTED_VALUE"""),"自動消込")</f>
        <v>自動消込</v>
      </c>
      <c r="I16" s="4"/>
      <c r="J16" s="4"/>
      <c r="K16" s="19">
        <f>IFERROR(__xludf.DUMMYFUNCTION("""COMPUTED_VALUE"""),46082.0)</f>
        <v>46082</v>
      </c>
      <c r="L16" s="4">
        <f>IFERROR(__xludf.DUMMYFUNCTION("""COMPUTED_VALUE"""),2566.0)</f>
        <v>2566</v>
      </c>
      <c r="M16" s="4"/>
    </row>
    <row r="17" ht="15.75" customHeight="1">
      <c r="A17" s="17">
        <f>IFERROR(__xludf.DUMMYFUNCTION("""COMPUTED_VALUE"""),46097.0)</f>
        <v>46097</v>
      </c>
      <c r="B17" s="4" t="str">
        <f>IFERROR(__xludf.DUMMYFUNCTION("""COMPUTED_VALUE"""),"三井住友海上火災保険㈱代理店保険手数料")</f>
        <v>三井住友海上火災保険㈱代理店保険手数料</v>
      </c>
      <c r="C17" s="4" t="str">
        <f>IFERROR(__xludf.DUMMYFUNCTION("""COMPUTED_VALUE"""),"三井住友海上火災保険㈱代理店保険手数料")</f>
        <v>三井住友海上火災保険㈱代理店保険手数料</v>
      </c>
      <c r="D17" s="4" t="str">
        <f>IFERROR(__xludf.DUMMYFUNCTION("""COMPUTED_VALUE"""),"三井住友海上火災保険㈱代理店保険手数料")</f>
        <v>三井住友海上火災保険㈱代理店保険手数料</v>
      </c>
      <c r="E17" s="4" t="str">
        <f>IFERROR(__xludf.DUMMYFUNCTION("""COMPUTED_VALUE"""),"保険手数料")</f>
        <v>保険手数料</v>
      </c>
      <c r="F17" s="18">
        <f>IFERROR(__xludf.DUMMYFUNCTION("""COMPUTED_VALUE"""),194799.0)</f>
        <v>194799</v>
      </c>
      <c r="G17" s="4" t="str">
        <f>IFERROR(__xludf.DUMMYFUNCTION("""COMPUTED_VALUE"""),"入金")</f>
        <v>入金</v>
      </c>
      <c r="H17" s="4" t="str">
        <f>IFERROR(__xludf.DUMMYFUNCTION("""COMPUTED_VALUE"""),"対象外")</f>
        <v>対象外</v>
      </c>
      <c r="I17" s="4"/>
      <c r="J17" s="4"/>
      <c r="K17" s="19">
        <f>IFERROR(__xludf.DUMMYFUNCTION("""COMPUTED_VALUE"""),46082.0)</f>
        <v>46082</v>
      </c>
      <c r="L17" s="4">
        <f>IFERROR(__xludf.DUMMYFUNCTION("""COMPUTED_VALUE"""),2567.0)</f>
        <v>2567</v>
      </c>
      <c r="M17" s="4"/>
    </row>
    <row r="18" ht="15.75" customHeight="1">
      <c r="A18" s="17">
        <f>IFERROR(__xludf.DUMMYFUNCTION("""COMPUTED_VALUE"""),46099.0)</f>
        <v>46099</v>
      </c>
      <c r="B18" s="4" t="str">
        <f>IFERROR(__xludf.DUMMYFUNCTION("""COMPUTED_VALUE"""),"ﾌﾟﾚﾐｱ㈱斎藤誠様　ﾍﾞﾝﾄﾚｰｺﾝﾁﾈﾝﾀﾙ　3PC006754")</f>
        <v>ﾌﾟﾚﾐｱ㈱斎藤誠様　ﾍﾞﾝﾄﾚｰｺﾝﾁﾈﾝﾀﾙ　3PC006754</v>
      </c>
      <c r="C18" s="4" t="str">
        <f>IFERROR(__xludf.DUMMYFUNCTION("""COMPUTED_VALUE"""),"ﾌﾟﾚﾐｱ㈱斎藤誠様　ﾍﾞﾝﾄﾚｰｺﾝﾁﾈﾝﾀﾙ　3PC006754")</f>
        <v>ﾌﾟﾚﾐｱ㈱斎藤誠様　ﾍﾞﾝﾄﾚｰｺﾝﾁﾈﾝﾀﾙ　3PC006754</v>
      </c>
      <c r="D18" s="4" t="str">
        <f>IFERROR(__xludf.DUMMYFUNCTION("""COMPUTED_VALUE"""),"ﾌﾟﾚﾐｱ㈱斎藤誠様　ﾍﾞﾝﾄﾚｰｺﾝﾁﾈﾝﾀﾙ　3PC006754")</f>
        <v>ﾌﾟﾚﾐｱ㈱斎藤誠様　ﾍﾞﾝﾄﾚｰｺﾝﾁﾈﾝﾀﾙ　3PC006754</v>
      </c>
      <c r="E18" s="4" t="str">
        <f>IFERROR(__xludf.DUMMYFUNCTION("""COMPUTED_VALUE"""),"売掛金")</f>
        <v>売掛金</v>
      </c>
      <c r="F18" s="18">
        <f>IFERROR(__xludf.DUMMYFUNCTION("""COMPUTED_VALUE"""),9283350.0)</f>
        <v>9283350</v>
      </c>
      <c r="G18" s="4" t="str">
        <f>IFERROR(__xludf.DUMMYFUNCTION("""COMPUTED_VALUE"""),"入金")</f>
        <v>入金</v>
      </c>
      <c r="H18" s="4" t="str">
        <f>IFERROR(__xludf.DUMMYFUNCTION("""COMPUTED_VALUE"""),"自動消込")</f>
        <v>自動消込</v>
      </c>
      <c r="I18" s="4"/>
      <c r="J18" s="4"/>
      <c r="K18" s="19">
        <f>IFERROR(__xludf.DUMMYFUNCTION("""COMPUTED_VALUE"""),46082.0)</f>
        <v>46082</v>
      </c>
      <c r="L18" s="4">
        <f>IFERROR(__xludf.DUMMYFUNCTION("""COMPUTED_VALUE"""),2575.0)</f>
        <v>2575</v>
      </c>
      <c r="M18" s="4"/>
    </row>
    <row r="19" ht="15.75" customHeight="1">
      <c r="A19" s="17">
        <f>IFERROR(__xludf.DUMMYFUNCTION("""COMPUTED_VALUE"""),46105.0)</f>
        <v>46105</v>
      </c>
      <c r="B19" s="4" t="str">
        <f>IFERROR(__xludf.DUMMYFUNCTION("""COMPUTED_VALUE"""),"小俣英夫様　Grecale Trofeo")</f>
        <v>小俣英夫様　Grecale Trofeo</v>
      </c>
      <c r="C19" s="4" t="str">
        <f>IFERROR(__xludf.DUMMYFUNCTION("""COMPUTED_VALUE"""),"小俣英夫様　Grecale Trofeo")</f>
        <v>小俣英夫様　Grecale Trofeo</v>
      </c>
      <c r="D19" s="4" t="str">
        <f>IFERROR(__xludf.DUMMYFUNCTION("""COMPUTED_VALUE"""),"小俣英夫様　Grecale Trofeo")</f>
        <v>小俣英夫様　Grecale Trofeo</v>
      </c>
      <c r="E19" s="4" t="str">
        <f>IFERROR(__xludf.DUMMYFUNCTION("""COMPUTED_VALUE"""),"仮受金")</f>
        <v>仮受金</v>
      </c>
      <c r="F19" s="18">
        <f>IFERROR(__xludf.DUMMYFUNCTION("""COMPUTED_VALUE"""),9882700.0)</f>
        <v>9882700</v>
      </c>
      <c r="G19" s="4" t="str">
        <f>IFERROR(__xludf.DUMMYFUNCTION("""COMPUTED_VALUE"""),"入金")</f>
        <v>入金</v>
      </c>
      <c r="H19" s="4" t="str">
        <f>IFERROR(__xludf.DUMMYFUNCTION("""COMPUTED_VALUE"""),"自動消込")</f>
        <v>自動消込</v>
      </c>
      <c r="I19" s="4"/>
      <c r="J19" s="4"/>
      <c r="K19" s="19">
        <f>IFERROR(__xludf.DUMMYFUNCTION("""COMPUTED_VALUE"""),46082.0)</f>
        <v>46082</v>
      </c>
      <c r="L19" s="4">
        <f>IFERROR(__xludf.DUMMYFUNCTION("""COMPUTED_VALUE"""),2613.0)</f>
        <v>2613</v>
      </c>
      <c r="M19" s="4"/>
    </row>
    <row r="20" ht="15.75" customHeight="1">
      <c r="A20" s="17">
        <f>IFERROR(__xludf.DUMMYFUNCTION("""COMPUTED_VALUE"""),46112.0)</f>
        <v>46112</v>
      </c>
      <c r="B20" s="4" t="str">
        <f>IFERROR(__xludf.DUMMYFUNCTION("""COMPUTED_VALUE"""),"中銀ｶｰﾄﾞ　JCB　寺岡栞様　SB24481")</f>
        <v>中銀ｶｰﾄﾞ　JCB　寺岡栞様　SB24481</v>
      </c>
      <c r="C20" s="4" t="str">
        <f>IFERROR(__xludf.DUMMYFUNCTION("""COMPUTED_VALUE"""),"中銀ｶｰﾄﾞ　JCB　寺岡栞様　SB24481")</f>
        <v>中銀ｶｰﾄﾞ　JCB　寺岡栞様　SB24481</v>
      </c>
      <c r="D20" s="4" t="str">
        <f>IFERROR(__xludf.DUMMYFUNCTION("""COMPUTED_VALUE"""),"中銀ｶｰﾄﾞ　JCB")</f>
        <v>中銀ｶｰﾄﾞ　JCB</v>
      </c>
      <c r="E20" s="4" t="str">
        <f>IFERROR(__xludf.DUMMYFUNCTION("""COMPUTED_VALUE"""),"売掛金")</f>
        <v>売掛金</v>
      </c>
      <c r="F20" s="18">
        <f>IFERROR(__xludf.DUMMYFUNCTION("""COMPUTED_VALUE"""),258698.0)</f>
        <v>258698</v>
      </c>
      <c r="G20" s="4" t="str">
        <f>IFERROR(__xludf.DUMMYFUNCTION("""COMPUTED_VALUE"""),"入金")</f>
        <v>入金</v>
      </c>
      <c r="H20" s="4" t="str">
        <f>IFERROR(__xludf.DUMMYFUNCTION("""COMPUTED_VALUE"""),"要確認")</f>
        <v>要確認</v>
      </c>
      <c r="I20" s="4" t="str">
        <f>IFERROR(__xludf.DUMMYFUNCTION("""COMPUTED_VALUE"""),"KK00001934")</f>
        <v>KK00001934</v>
      </c>
      <c r="J20" s="4" t="str">
        <f>IFERROR(__xludf.DUMMYFUNCTION("""COMPUTED_VALUE"""),"SB00024481")</f>
        <v>SB00024481</v>
      </c>
      <c r="K20" s="19">
        <f>IFERROR(__xludf.DUMMYFUNCTION("""COMPUTED_VALUE"""),46082.0)</f>
        <v>46082</v>
      </c>
      <c r="L20" s="4">
        <f>IFERROR(__xludf.DUMMYFUNCTION("""COMPUTED_VALUE"""),2701.0)</f>
        <v>2701</v>
      </c>
      <c r="M20" s="4"/>
    </row>
    <row r="21" ht="15.75" customHeight="1">
      <c r="A21" s="17">
        <f>IFERROR(__xludf.DUMMYFUNCTION("""COMPUTED_VALUE"""),46112.0)</f>
        <v>46112</v>
      </c>
      <c r="B21" s="4" t="str">
        <f>IFERROR(__xludf.DUMMYFUNCTION("""COMPUTED_VALUE"""),"中銀ｶｰﾄﾞ　VISA")</f>
        <v>中銀ｶｰﾄﾞ　VISA</v>
      </c>
      <c r="C21" s="4" t="str">
        <f>IFERROR(__xludf.DUMMYFUNCTION("""COMPUTED_VALUE"""),"中銀ｶｰﾄﾞ　VISA")</f>
        <v>中銀ｶｰﾄﾞ　VISA</v>
      </c>
      <c r="D21" s="4" t="str">
        <f>IFERROR(__xludf.DUMMYFUNCTION("""COMPUTED_VALUE"""),"中銀ｶｰﾄﾞ　VISA")</f>
        <v>中銀ｶｰﾄﾞ　VISA</v>
      </c>
      <c r="E21" s="4" t="str">
        <f>IFERROR(__xludf.DUMMYFUNCTION("""COMPUTED_VALUE"""),"諸口")</f>
        <v>諸口</v>
      </c>
      <c r="F21" s="18">
        <f>IFERROR(__xludf.DUMMYFUNCTION("""COMPUTED_VALUE"""),508157.0)</f>
        <v>508157</v>
      </c>
      <c r="G21" s="4" t="str">
        <f>IFERROR(__xludf.DUMMYFUNCTION("""COMPUTED_VALUE"""),"入金")</f>
        <v>入金</v>
      </c>
      <c r="H21" s="4" t="str">
        <f>IFERROR(__xludf.DUMMYFUNCTION("""COMPUTED_VALUE"""),"自動消込")</f>
        <v>自動消込</v>
      </c>
      <c r="I21" s="4"/>
      <c r="J21" s="4"/>
      <c r="K21" s="19">
        <f>IFERROR(__xludf.DUMMYFUNCTION("""COMPUTED_VALUE"""),46082.0)</f>
        <v>46082</v>
      </c>
      <c r="L21" s="4">
        <f>IFERROR(__xludf.DUMMYFUNCTION("""COMPUTED_VALUE"""),2702.0)</f>
        <v>2702</v>
      </c>
      <c r="M21" s="4"/>
    </row>
    <row r="22" ht="15.75" customHeight="1">
      <c r="A22" s="17">
        <f>IFERROR(__xludf.DUMMYFUNCTION("""COMPUTED_VALUE"""),46112.0)</f>
        <v>46112</v>
      </c>
      <c r="B22" s="4" t="str">
        <f>IFERROR(__xludf.DUMMYFUNCTION("""COMPUTED_VALUE"""),"(株)ｺﾝｸｴｽﾄ　2月分")</f>
        <v>(株)ｺﾝｸｴｽﾄ　2月分</v>
      </c>
      <c r="C22" s="4" t="str">
        <f>IFERROR(__xludf.DUMMYFUNCTION("""COMPUTED_VALUE"""),"(株)ｺﾝｸｴｽﾄ　2月分")</f>
        <v>(株)ｺﾝｸｴｽﾄ　2月分</v>
      </c>
      <c r="D22" s="4" t="str">
        <f>IFERROR(__xludf.DUMMYFUNCTION("""COMPUTED_VALUE"""),"(株)ｺﾝｸｴｽﾄ　2月分")</f>
        <v>(株)ｺﾝｸｴｽﾄ　2月分</v>
      </c>
      <c r="E22" s="4" t="str">
        <f>IFERROR(__xludf.DUMMYFUNCTION("""COMPUTED_VALUE"""),"諸口")</f>
        <v>諸口</v>
      </c>
      <c r="F22" s="18">
        <f>IFERROR(__xludf.DUMMYFUNCTION("""COMPUTED_VALUE"""),1457088.0)</f>
        <v>1457088</v>
      </c>
      <c r="G22" s="4" t="str">
        <f>IFERROR(__xludf.DUMMYFUNCTION("""COMPUTED_VALUE"""),"入金")</f>
        <v>入金</v>
      </c>
      <c r="H22" s="4" t="str">
        <f>IFERROR(__xludf.DUMMYFUNCTION("""COMPUTED_VALUE"""),"自動消込")</f>
        <v>自動消込</v>
      </c>
      <c r="I22" s="4"/>
      <c r="J22" s="4"/>
      <c r="K22" s="19">
        <f>IFERROR(__xludf.DUMMYFUNCTION("""COMPUTED_VALUE"""),46082.0)</f>
        <v>46082</v>
      </c>
      <c r="L22" s="4">
        <f>IFERROR(__xludf.DUMMYFUNCTION("""COMPUTED_VALUE"""),2736.0)</f>
        <v>2736</v>
      </c>
      <c r="M22" s="4"/>
    </row>
    <row r="23" ht="15.75" customHeight="1">
      <c r="A23" s="17">
        <f>IFERROR(__xludf.DUMMYFUNCTION("""COMPUTED_VALUE"""),46112.0)</f>
        <v>46112</v>
      </c>
      <c r="B23" s="4" t="str">
        <f>IFERROR(__xludf.DUMMYFUNCTION("""COMPUTED_VALUE"""),"該当なし カ) コンクエスト")</f>
        <v>該当なし カ) コンクエスト</v>
      </c>
      <c r="C23" s="4" t="str">
        <f>IFERROR(__xludf.DUMMYFUNCTION("""COMPUTED_VALUE"""),"該当なし カ) コンクエスト")</f>
        <v>該当なし カ) コンクエスト</v>
      </c>
      <c r="D23" s="4" t="str">
        <f>IFERROR(__xludf.DUMMYFUNCTION("""COMPUTED_VALUE"""),"広島銀行②")</f>
        <v>広島銀行②</v>
      </c>
      <c r="E23" s="4" t="str">
        <f>IFERROR(__xludf.DUMMYFUNCTION("""COMPUTED_VALUE"""),"諸口")</f>
        <v>諸口</v>
      </c>
      <c r="F23" s="18">
        <f>IFERROR(__xludf.DUMMYFUNCTION("""COMPUTED_VALUE"""),1457088.0)</f>
        <v>1457088</v>
      </c>
      <c r="G23" s="4" t="str">
        <f>IFERROR(__xludf.DUMMYFUNCTION("""COMPUTED_VALUE"""),"入金")</f>
        <v>入金</v>
      </c>
      <c r="H23" s="4" t="str">
        <f>IFERROR(__xludf.DUMMYFUNCTION("""COMPUTED_VALUE"""),"自動消込")</f>
        <v>自動消込</v>
      </c>
      <c r="I23" s="4"/>
      <c r="J23" s="4"/>
      <c r="K23" s="19">
        <f>IFERROR(__xludf.DUMMYFUNCTION("""COMPUTED_VALUE"""),46082.0)</f>
        <v>46082</v>
      </c>
      <c r="L23" s="4">
        <f>IFERROR(__xludf.DUMMYFUNCTION("""COMPUTED_VALUE"""),2696.0)</f>
        <v>2696</v>
      </c>
      <c r="M23" s="4"/>
    </row>
    <row r="24" ht="15.75" customHeight="1">
      <c r="A24" s="17">
        <f>IFERROR(__xludf.DUMMYFUNCTION("""COMPUTED_VALUE"""),46113.0)</f>
        <v>46113</v>
      </c>
      <c r="B24" s="4" t="str">
        <f>IFERROR(__xludf.DUMMYFUNCTION("""COMPUTED_VALUE"""),"該当なし カ) ナルネットコミュニケーシ ヨンズ")</f>
        <v>該当なし カ) ナルネットコミュニケーシ ヨンズ</v>
      </c>
      <c r="C24" s="4" t="str">
        <f>IFERROR(__xludf.DUMMYFUNCTION("""COMPUTED_VALUE"""),"該当なし カ) ナルネットコミュニケーシ ヨンズ")</f>
        <v>該当なし カ) ナルネットコミュニケーシ ヨンズ</v>
      </c>
      <c r="D24" s="4" t="str">
        <f>IFERROR(__xludf.DUMMYFUNCTION("""COMPUTED_VALUE"""),"該当なしカ)ナルネットコミュニケーシ 広島(蔵王)")</f>
        <v>該当なしカ)ナルネットコミュニケーシ 広島(蔵王)</v>
      </c>
      <c r="E24" s="4" t="str">
        <f>IFERROR(__xludf.DUMMYFUNCTION("""COMPUTED_VALUE"""),"諸口")</f>
        <v>諸口</v>
      </c>
      <c r="F24" s="18">
        <f>IFERROR(__xludf.DUMMYFUNCTION("""COMPUTED_VALUE"""),66850.0)</f>
        <v>66850</v>
      </c>
      <c r="G24" s="4" t="str">
        <f>IFERROR(__xludf.DUMMYFUNCTION("""COMPUTED_VALUE"""),"入金")</f>
        <v>入金</v>
      </c>
      <c r="H24" s="4" t="str">
        <f>IFERROR(__xludf.DUMMYFUNCTION("""COMPUTED_VALUE"""),"要確認")</f>
        <v>要確認</v>
      </c>
      <c r="I24" s="4"/>
      <c r="J24" s="4"/>
      <c r="K24" s="20">
        <f>IFERROR(__xludf.DUMMYFUNCTION("""COMPUTED_VALUE"""),46113.0)</f>
        <v>46113</v>
      </c>
      <c r="L24" s="4">
        <f>IFERROR(__xludf.DUMMYFUNCTION("""COMPUTED_VALUE"""),2700.0)</f>
        <v>2700</v>
      </c>
      <c r="M24" s="4"/>
    </row>
    <row r="25" ht="15.75" customHeight="1">
      <c r="A25" s="17">
        <f>IFERROR(__xludf.DUMMYFUNCTION("""COMPUTED_VALUE"""),46114.0)</f>
        <v>46114</v>
      </c>
      <c r="B25" s="4" t="str">
        <f>IFERROR(__xludf.DUMMYFUNCTION("""COMPUTED_VALUE"""),"(有)ユナイテッドクローパーズ様 SB24484")</f>
        <v>(有)ユナイテッドクローパーズ様 SB24484</v>
      </c>
      <c r="C25" s="4" t="str">
        <f>IFERROR(__xludf.DUMMYFUNCTION("""COMPUTED_VALUE"""),"(有)ユナイテッドクローパーズ様 SB24484")</f>
        <v>(有)ユナイテッドクローパーズ様 SB24484</v>
      </c>
      <c r="D25" s="4" t="str">
        <f>IFERROR(__xludf.DUMMYFUNCTION("""COMPUTED_VALUE"""),"(有)ユナイテッドクローパーズ様 SB24484 広島(蔵王)")</f>
        <v>(有)ユナイテッドクローパーズ様 SB24484 広島(蔵王)</v>
      </c>
      <c r="E25" s="4" t="str">
        <f>IFERROR(__xludf.DUMMYFUNCTION("""COMPUTED_VALUE"""),"売掛金 整備")</f>
        <v>売掛金 整備</v>
      </c>
      <c r="F25" s="18">
        <f>IFERROR(__xludf.DUMMYFUNCTION("""COMPUTED_VALUE"""),27280.0)</f>
        <v>27280</v>
      </c>
      <c r="G25" s="4" t="str">
        <f>IFERROR(__xludf.DUMMYFUNCTION("""COMPUTED_VALUE"""),"入金")</f>
        <v>入金</v>
      </c>
      <c r="H25" s="4" t="str">
        <f>IFERROR(__xludf.DUMMYFUNCTION("""COMPUTED_VALUE"""),"自動消込")</f>
        <v>自動消込</v>
      </c>
      <c r="I25" s="4" t="str">
        <f>IFERROR(__xludf.DUMMYFUNCTION("""COMPUTED_VALUE"""),"KK00003353")</f>
        <v>KK00003353</v>
      </c>
      <c r="J25" s="4" t="str">
        <f>IFERROR(__xludf.DUMMYFUNCTION("""COMPUTED_VALUE"""),"SB00024484")</f>
        <v>SB00024484</v>
      </c>
      <c r="K25" s="20">
        <f>IFERROR(__xludf.DUMMYFUNCTION("""COMPUTED_VALUE"""),46113.0)</f>
        <v>46113</v>
      </c>
      <c r="L25" s="4">
        <f>IFERROR(__xludf.DUMMYFUNCTION("""COMPUTED_VALUE"""),2707.0)</f>
        <v>2707</v>
      </c>
      <c r="M25" s="4"/>
    </row>
    <row r="26" ht="15.75" customHeight="1">
      <c r="A26" s="17">
        <f>IFERROR(__xludf.DUMMYFUNCTION("""COMPUTED_VALUE"""),46115.0)</f>
        <v>46115</v>
      </c>
      <c r="B26" s="4" t="str">
        <f>IFERROR(__xludf.DUMMYFUNCTION("""COMPUTED_VALUE"""),"該当なし トウキョウカイジョウニチド ウ 4322 (ジドウシャ、ジバイ)")</f>
        <v>該当なし トウキョウカイジョウニチド ウ 4322 (ジドウシャ、ジバイ)</v>
      </c>
      <c r="C26" s="4" t="str">
        <f>IFERROR(__xludf.DUMMYFUNCTION("""COMPUTED_VALUE"""),"該当なし トウキョウカイジョウニチド ウ 4322 (ジドウシャ、ジバイ)")</f>
        <v>該当なし トウキョウカイジョウニチド ウ 4322 (ジドウシャ、ジバイ)</v>
      </c>
      <c r="D26" s="4" t="str">
        <f>IFERROR(__xludf.DUMMYFUNCTION("""COMPUTED_VALUE"""),"該当なし トウキョウカイジョウニチド ウ 4322 (ジドウシャ、ジバイ) 広島(蔵王)")</f>
        <v>該当なし トウキョウカイジョウニチド ウ 4322 (ジドウシャ、ジバイ) 広島(蔵王)</v>
      </c>
      <c r="E26" s="4" t="str">
        <f>IFERROR(__xludf.DUMMYFUNCTION("""COMPUTED_VALUE"""),"諸口")</f>
        <v>諸口</v>
      </c>
      <c r="F26" s="18">
        <f>IFERROR(__xludf.DUMMYFUNCTION("""COMPUTED_VALUE"""),70000.0)</f>
        <v>70000</v>
      </c>
      <c r="G26" s="4" t="str">
        <f>IFERROR(__xludf.DUMMYFUNCTION("""COMPUTED_VALUE"""),"入金")</f>
        <v>入金</v>
      </c>
      <c r="H26" s="4" t="str">
        <f>IFERROR(__xludf.DUMMYFUNCTION("""COMPUTED_VALUE"""),"自動消込")</f>
        <v>自動消込</v>
      </c>
      <c r="I26" s="4" t="str">
        <f>IFERROR(__xludf.DUMMYFUNCTION("""COMPUTED_VALUE"""),"KK00006550")</f>
        <v>KK00006550</v>
      </c>
      <c r="J26" s="4" t="str">
        <f>IFERROR(__xludf.DUMMYFUNCTION("""COMPUTED_VALUE"""),"SB00024520")</f>
        <v>SB00024520</v>
      </c>
      <c r="K26" s="19">
        <f>IFERROR(__xludf.DUMMYFUNCTION("""COMPUTED_VALUE"""),46113.0)</f>
        <v>46113</v>
      </c>
      <c r="L26" s="4">
        <f>IFERROR(__xludf.DUMMYFUNCTION("""COMPUTED_VALUE"""),2722.0)</f>
        <v>2722</v>
      </c>
      <c r="M26" s="4"/>
    </row>
    <row r="27" ht="15.75" customHeight="1">
      <c r="A27" s="17">
        <f>IFERROR(__xludf.DUMMYFUNCTION("""COMPUTED_VALUE"""),46115.0)</f>
        <v>46115</v>
      </c>
      <c r="B27" s="4" t="str">
        <f>IFERROR(__xludf.DUMMYFUNCTION("""COMPUTED_VALUE"""),"該当なし エクラ(カ")</f>
        <v>該当なし エクラ(カ</v>
      </c>
      <c r="C27" s="4" t="str">
        <f>IFERROR(__xludf.DUMMYFUNCTION("""COMPUTED_VALUE"""),"該当なし エクラ(カ")</f>
        <v>該当なし エクラ(カ</v>
      </c>
      <c r="D27" s="4" t="str">
        <f>IFERROR(__xludf.DUMMYFUNCTION("""COMPUTED_VALUE"""),"該当なし エクラ(カ 広島(蔵王)")</f>
        <v>該当なし エクラ(カ 広島(蔵王)</v>
      </c>
      <c r="E27" s="4" t="str">
        <f>IFERROR(__xludf.DUMMYFUNCTION("""COMPUTED_VALUE"""),"諸口")</f>
        <v>諸口</v>
      </c>
      <c r="F27" s="18">
        <f>IFERROR(__xludf.DUMMYFUNCTION("""COMPUTED_VALUE"""),1550000.0)</f>
        <v>1550000</v>
      </c>
      <c r="G27" s="4" t="str">
        <f>IFERROR(__xludf.DUMMYFUNCTION("""COMPUTED_VALUE"""),"入金")</f>
        <v>入金</v>
      </c>
      <c r="H27" s="4" t="str">
        <f>IFERROR(__xludf.DUMMYFUNCTION("""COMPUTED_VALUE"""),"自動消込")</f>
        <v>自動消込</v>
      </c>
      <c r="I27" s="4"/>
      <c r="J27" s="4"/>
      <c r="K27" s="19">
        <f>IFERROR(__xludf.DUMMYFUNCTION("""COMPUTED_VALUE"""),46113.0)</f>
        <v>46113</v>
      </c>
      <c r="L27" s="4">
        <f>IFERROR(__xludf.DUMMYFUNCTION("""COMPUTED_VALUE"""),2728.0)</f>
        <v>2728</v>
      </c>
      <c r="M27" s="4"/>
    </row>
    <row r="28" ht="15.75" customHeight="1">
      <c r="A28" s="17">
        <f>IFERROR(__xludf.DUMMYFUNCTION("""COMPUTED_VALUE"""),46118.0)</f>
        <v>46118</v>
      </c>
      <c r="B28" s="4" t="str">
        <f>IFERROR(__xludf.DUMMYFUNCTION("""COMPUTED_VALUE"""),"安保雅文様 SB24521")</f>
        <v>安保雅文様 SB24521</v>
      </c>
      <c r="C28" s="4" t="str">
        <f>IFERROR(__xludf.DUMMYFUNCTION("""COMPUTED_VALUE"""),"安保雅文様 SB24521")</f>
        <v>安保雅文様 SB24521</v>
      </c>
      <c r="D28" s="4" t="str">
        <f>IFERROR(__xludf.DUMMYFUNCTION("""COMPUTED_VALUE"""),"安保雅文様 SB24521")</f>
        <v>安保雅文様 SB24521</v>
      </c>
      <c r="E28" s="4" t="str">
        <f>IFERROR(__xludf.DUMMYFUNCTION("""COMPUTED_VALUE"""),"売掛金")</f>
        <v>売掛金</v>
      </c>
      <c r="F28" s="18">
        <f>IFERROR(__xludf.DUMMYFUNCTION("""COMPUTED_VALUE"""),99000.0)</f>
        <v>99000</v>
      </c>
      <c r="G28" s="4" t="str">
        <f>IFERROR(__xludf.DUMMYFUNCTION("""COMPUTED_VALUE"""),"入金")</f>
        <v>入金</v>
      </c>
      <c r="H28" s="4" t="str">
        <f>IFERROR(__xludf.DUMMYFUNCTION("""COMPUTED_VALUE"""),"自動消込")</f>
        <v>自動消込</v>
      </c>
      <c r="I28" s="4" t="str">
        <f>IFERROR(__xludf.DUMMYFUNCTION("""COMPUTED_VALUE"""),"KK00006775")</f>
        <v>KK00006775</v>
      </c>
      <c r="J28" s="4" t="str">
        <f>IFERROR(__xludf.DUMMYFUNCTION("""COMPUTED_VALUE"""),"SB00024521")</f>
        <v>SB00024521</v>
      </c>
      <c r="K28" s="19">
        <f>IFERROR(__xludf.DUMMYFUNCTION("""COMPUTED_VALUE"""),46113.0)</f>
        <v>46113</v>
      </c>
      <c r="L28" s="4">
        <f>IFERROR(__xludf.DUMMYFUNCTION("""COMPUTED_VALUE"""),2741.0)</f>
        <v>2741</v>
      </c>
      <c r="M28" s="4"/>
    </row>
    <row r="29" ht="15.75" customHeight="1">
      <c r="A29" s="17">
        <f>IFERROR(__xludf.DUMMYFUNCTION("""COMPUTED_VALUE"""),46119.0)</f>
        <v>46119</v>
      </c>
      <c r="B29" s="4" t="str">
        <f>IFERROR(__xludf.DUMMYFUNCTION("""COMPUTED_VALUE"""),"該当なし ミツイスミトモカイジョウB")</f>
        <v>該当なし ミツイスミトモカイジョウB</v>
      </c>
      <c r="C29" s="4" t="str">
        <f>IFERROR(__xludf.DUMMYFUNCTION("""COMPUTED_VALUE"""),"該当なし ミツイスミトモカイジョウB")</f>
        <v>該当なし ミツイスミトモカイジョウB</v>
      </c>
      <c r="D29" s="4" t="str">
        <f>IFERROR(__xludf.DUMMYFUNCTION("""COMPUTED_VALUE"""),"該当なし ミツイスミトモカイジョウB")</f>
        <v>該当なし ミツイスミトモカイジョウB</v>
      </c>
      <c r="E29" s="4" t="str">
        <f>IFERROR(__xludf.DUMMYFUNCTION("""COMPUTED_VALUE"""),"諸口")</f>
        <v>諸口</v>
      </c>
      <c r="F29" s="18">
        <f>IFERROR(__xludf.DUMMYFUNCTION("""COMPUTED_VALUE"""),1150000.0)</f>
        <v>1150000</v>
      </c>
      <c r="G29" s="4" t="str">
        <f>IFERROR(__xludf.DUMMYFUNCTION("""COMPUTED_VALUE"""),"入金")</f>
        <v>入金</v>
      </c>
      <c r="H29" s="4" t="str">
        <f>IFERROR(__xludf.DUMMYFUNCTION("""COMPUTED_VALUE"""),"要確認")</f>
        <v>要確認</v>
      </c>
      <c r="I29" s="4"/>
      <c r="J29" s="4"/>
      <c r="K29" s="19">
        <f>IFERROR(__xludf.DUMMYFUNCTION("""COMPUTED_VALUE"""),46113.0)</f>
        <v>46113</v>
      </c>
      <c r="L29" s="4">
        <f>IFERROR(__xludf.DUMMYFUNCTION("""COMPUTED_VALUE"""),2746.0)</f>
        <v>2746</v>
      </c>
      <c r="M29" s="4"/>
    </row>
    <row r="30" ht="15.75" customHeight="1">
      <c r="A30" s="17">
        <f>IFERROR(__xludf.DUMMYFUNCTION("""COMPUTED_VALUE"""),46120.0)</f>
        <v>46120</v>
      </c>
      <c r="B30" s="4" t="str">
        <f>IFERROR(__xludf.DUMMYFUNCTION("""COMPUTED_VALUE"""),"該当なし サンエイセキュユ(カ")</f>
        <v>該当なし サンエイセキュユ(カ</v>
      </c>
      <c r="C30" s="4" t="str">
        <f>IFERROR(__xludf.DUMMYFUNCTION("""COMPUTED_VALUE"""),"該当なし サンエイセキュユ(カ")</f>
        <v>該当なし サンエイセキュユ(カ</v>
      </c>
      <c r="D30" s="4" t="str">
        <f>IFERROR(__xludf.DUMMYFUNCTION("""COMPUTED_VALUE"""),"該当なし サンエイセキュ(カ")</f>
        <v>該当なし サンエイセキュ(カ</v>
      </c>
      <c r="E30" s="4" t="str">
        <f>IFERROR(__xludf.DUMMYFUNCTION("""COMPUTED_VALUE"""),"諸口")</f>
        <v>諸口</v>
      </c>
      <c r="F30" s="18">
        <f>IFERROR(__xludf.DUMMYFUNCTION("""COMPUTED_VALUE"""),302670.0)</f>
        <v>302670</v>
      </c>
      <c r="G30" s="4" t="str">
        <f>IFERROR(__xludf.DUMMYFUNCTION("""COMPUTED_VALUE"""),"入金")</f>
        <v>入金</v>
      </c>
      <c r="H30" s="4" t="str">
        <f>IFERROR(__xludf.DUMMYFUNCTION("""COMPUTED_VALUE"""),"自動消込")</f>
        <v>自動消込</v>
      </c>
      <c r="I30" s="4" t="str">
        <f>IFERROR(__xludf.DUMMYFUNCTION("""COMPUTED_VALUE"""),"KK00000241")</f>
        <v>KK00000241</v>
      </c>
      <c r="J30" s="4" t="str">
        <f>IFERROR(__xludf.DUMMYFUNCTION("""COMPUTED_VALUE"""),"SB00024507")</f>
        <v>SB00024507</v>
      </c>
      <c r="K30" s="19">
        <f>IFERROR(__xludf.DUMMYFUNCTION("""COMPUTED_VALUE"""),46113.0)</f>
        <v>46113</v>
      </c>
      <c r="L30" s="4">
        <f>IFERROR(__xludf.DUMMYFUNCTION("""COMPUTED_VALUE"""),2747.0)</f>
        <v>2747</v>
      </c>
      <c r="M30" s="4"/>
    </row>
    <row r="31" ht="15.75" customHeight="1">
      <c r="A31" s="17">
        <f>IFERROR(__xludf.DUMMYFUNCTION("""COMPUTED_VALUE"""),46121.0)</f>
        <v>46121</v>
      </c>
      <c r="B31" s="4" t="str">
        <f>IFERROR(__xludf.DUMMYFUNCTION("""COMPUTED_VALUE"""),"土肥良太郎様 CH3536")</f>
        <v>土肥良太郎様 CH3536</v>
      </c>
      <c r="C31" s="4" t="str">
        <f>IFERROR(__xludf.DUMMYFUNCTION("""COMPUTED_VALUE"""),"土肥良太郎様 CH3536")</f>
        <v>土肥良太郎様 CH3536</v>
      </c>
      <c r="D31" s="4" t="str">
        <f>IFERROR(__xludf.DUMMYFUNCTION("""COMPUTED_VALUE"""),"土肥良太郎様 CH3536")</f>
        <v>土肥良太郎様 CH3536</v>
      </c>
      <c r="E31" s="4" t="str">
        <f>IFERROR(__xludf.DUMMYFUNCTION("""COMPUTED_VALUE"""),"売掛金")</f>
        <v>売掛金</v>
      </c>
      <c r="F31" s="18">
        <f>IFERROR(__xludf.DUMMYFUNCTION("""COMPUTED_VALUE"""),25000.0)</f>
        <v>25000</v>
      </c>
      <c r="G31" s="4" t="str">
        <f>IFERROR(__xludf.DUMMYFUNCTION("""COMPUTED_VALUE"""),"入金")</f>
        <v>入金</v>
      </c>
      <c r="H31" s="4" t="str">
        <f>IFERROR(__xludf.DUMMYFUNCTION("""COMPUTED_VALUE"""),"要確認")</f>
        <v>要確認</v>
      </c>
      <c r="I31" s="4"/>
      <c r="J31" s="4"/>
      <c r="K31" s="20">
        <f>IFERROR(__xludf.DUMMYFUNCTION("""COMPUTED_VALUE"""),46113.0)</f>
        <v>46113</v>
      </c>
      <c r="L31" s="4">
        <f>IFERROR(__xludf.DUMMYFUNCTION("""COMPUTED_VALUE"""),2779.0)</f>
        <v>2779</v>
      </c>
      <c r="M31" s="4"/>
    </row>
    <row r="32" ht="15.75" customHeight="1">
      <c r="A32" s="17">
        <f>IFERROR(__xludf.DUMMYFUNCTION("""COMPUTED_VALUE"""),46121.0)</f>
        <v>46121</v>
      </c>
      <c r="B32" s="4" t="str">
        <f>IFERROR(__xludf.DUMMYFUNCTION("""COMPUTED_VALUE"""),"(株)橋本商事((株)A' crews)")</f>
        <v>(株)橋本商事((株)A' crews)</v>
      </c>
      <c r="C32" s="4" t="str">
        <f>IFERROR(__xludf.DUMMYFUNCTION("""COMPUTED_VALUE"""),"(株)橋本商事((株)A' crews)")</f>
        <v>(株)橋本商事((株)A' crews)</v>
      </c>
      <c r="D32" s="4" t="str">
        <f>IFERROR(__xludf.DUMMYFUNCTION("""COMPUTED_VALUE"""),"中国銀行")</f>
        <v>中国銀行</v>
      </c>
      <c r="E32" s="4" t="str">
        <f>IFERROR(__xludf.DUMMYFUNCTION("""COMPUTED_VALUE"""),"売掛金")</f>
        <v>売掛金</v>
      </c>
      <c r="F32" s="18">
        <f>IFERROR(__xludf.DUMMYFUNCTION("""COMPUTED_VALUE"""),150000.0)</f>
        <v>150000</v>
      </c>
      <c r="G32" s="4" t="str">
        <f>IFERROR(__xludf.DUMMYFUNCTION("""COMPUTED_VALUE"""),"入金")</f>
        <v>入金</v>
      </c>
      <c r="H32" s="4" t="str">
        <f>IFERROR(__xludf.DUMMYFUNCTION("""COMPUTED_VALUE"""),"要確認")</f>
        <v>要確認</v>
      </c>
      <c r="I32" s="4"/>
      <c r="J32" s="4"/>
      <c r="K32" s="20">
        <f>IFERROR(__xludf.DUMMYFUNCTION("""COMPUTED_VALUE"""),46113.0)</f>
        <v>46113</v>
      </c>
      <c r="L32" s="4">
        <f>IFERROR(__xludf.DUMMYFUNCTION("""COMPUTED_VALUE"""),2754.0)</f>
        <v>2754</v>
      </c>
      <c r="M32" s="4"/>
    </row>
    <row r="33" ht="15.75" customHeight="1">
      <c r="A33" s="17">
        <f>IFERROR(__xludf.DUMMYFUNCTION("""COMPUTED_VALUE"""),46122.0)</f>
        <v>46122</v>
      </c>
      <c r="B33" s="4" t="str">
        <f>IFERROR(__xludf.DUMMYFUNCTION("""COMPUTED_VALUE"""),"ﾌﾟﾚﾐｱ㈱ｷｯｸﾊﾞｯｸ")</f>
        <v>ﾌﾟﾚﾐｱ㈱ｷｯｸﾊﾞｯｸ</v>
      </c>
      <c r="C33" s="4" t="str">
        <f>IFERROR(__xludf.DUMMYFUNCTION("""COMPUTED_VALUE"""),"ﾌﾟﾚﾐｱ㈱ｷｯｸﾊﾞｯｸ")</f>
        <v>ﾌﾟﾚﾐｱ㈱ｷｯｸﾊﾞｯｸ</v>
      </c>
      <c r="D33" s="4" t="str">
        <f>IFERROR(__xludf.DUMMYFUNCTION("""COMPUTED_VALUE"""),"ﾌﾟﾚﾐｱ㈱ｷｯｸﾊﾞｯｸ")</f>
        <v>ﾌﾟﾚﾐｱ㈱ｷｯｸﾊﾞｯｸ</v>
      </c>
      <c r="E33" s="4" t="str">
        <f>IFERROR(__xludf.DUMMYFUNCTION("""COMPUTED_VALUE"""),"受取手数料")</f>
        <v>受取手数料</v>
      </c>
      <c r="F33" s="18">
        <f>IFERROR(__xludf.DUMMYFUNCTION("""COMPUTED_VALUE"""),159158.0)</f>
        <v>159158</v>
      </c>
      <c r="G33" s="4" t="str">
        <f>IFERROR(__xludf.DUMMYFUNCTION("""COMPUTED_VALUE"""),"入金")</f>
        <v>入金</v>
      </c>
      <c r="H33" s="4" t="str">
        <f>IFERROR(__xludf.DUMMYFUNCTION("""COMPUTED_VALUE"""),"対象外")</f>
        <v>対象外</v>
      </c>
      <c r="I33" s="4"/>
      <c r="J33" s="4"/>
      <c r="K33" s="20">
        <f>IFERROR(__xludf.DUMMYFUNCTION("""COMPUTED_VALUE"""),46113.0)</f>
        <v>46113</v>
      </c>
      <c r="L33" s="4">
        <f>IFERROR(__xludf.DUMMYFUNCTION("""COMPUTED_VALUE"""),2767.0)</f>
        <v>2767</v>
      </c>
      <c r="M33" s="4"/>
    </row>
    <row r="34" ht="15.75" customHeight="1">
      <c r="A34" s="17">
        <f>IFERROR(__xludf.DUMMYFUNCTION("""COMPUTED_VALUE"""),46122.0)</f>
        <v>46122</v>
      </c>
      <c r="B34" s="4" t="str">
        <f>IFERROR(__xludf.DUMMYFUNCTION("""COMPUTED_VALUE"""),"ﾌﾟﾚﾐｱ㈱ｷｯｸﾊﾞｯｸ")</f>
        <v>ﾌﾟﾚﾐｱ㈱ｷｯｸﾊﾞｯｸ</v>
      </c>
      <c r="C34" s="4" t="str">
        <f>IFERROR(__xludf.DUMMYFUNCTION("""COMPUTED_VALUE"""),"ﾌﾟﾚﾐｱ㈱ｷｯｸﾊﾞｯｸ")</f>
        <v>ﾌﾟﾚﾐｱ㈱ｷｯｸﾊﾞｯｸ</v>
      </c>
      <c r="D34" s="4" t="str">
        <f>IFERROR(__xludf.DUMMYFUNCTION("""COMPUTED_VALUE"""),"ﾌﾟﾚﾐｱ㈱ｷｯｸﾊﾞｯｸ")</f>
        <v>ﾌﾟﾚﾐｱ㈱ｷｯｸﾊﾞｯｸ</v>
      </c>
      <c r="E34" s="4" t="str">
        <f>IFERROR(__xludf.DUMMYFUNCTION("""COMPUTED_VALUE"""),"受取手数料")</f>
        <v>受取手数料</v>
      </c>
      <c r="F34" s="18">
        <f>IFERROR(__xludf.DUMMYFUNCTION("""COMPUTED_VALUE"""),79577.0)</f>
        <v>79577</v>
      </c>
      <c r="G34" s="4" t="str">
        <f>IFERROR(__xludf.DUMMYFUNCTION("""COMPUTED_VALUE"""),"入金")</f>
        <v>入金</v>
      </c>
      <c r="H34" s="4" t="str">
        <f>IFERROR(__xludf.DUMMYFUNCTION("""COMPUTED_VALUE"""),"対象外")</f>
        <v>対象外</v>
      </c>
      <c r="I34" s="4"/>
      <c r="J34" s="4"/>
      <c r="K34" s="20">
        <f>IFERROR(__xludf.DUMMYFUNCTION("""COMPUTED_VALUE"""),46113.0)</f>
        <v>46113</v>
      </c>
      <c r="L34" s="4">
        <f>IFERROR(__xludf.DUMMYFUNCTION("""COMPUTED_VALUE"""),2768.0)</f>
        <v>2768</v>
      </c>
      <c r="M34" s="4"/>
    </row>
    <row r="35" ht="15.75" customHeight="1">
      <c r="A35" s="17">
        <f>IFERROR(__xludf.DUMMYFUNCTION("""COMPUTED_VALUE"""),46122.0)</f>
        <v>46122</v>
      </c>
      <c r="B35" s="4" t="str">
        <f>IFERROR(__xludf.DUMMYFUNCTION("""COMPUTED_VALUE"""),"(株)ウェルテック様 SB24486")</f>
        <v>(株)ウェルテック様 SB24486</v>
      </c>
      <c r="C35" s="4" t="str">
        <f>IFERROR(__xludf.DUMMYFUNCTION("""COMPUTED_VALUE"""),"(株)ウェルテック様 SB24486")</f>
        <v>(株)ウェルテック様 SB24486</v>
      </c>
      <c r="D35" s="4" t="str">
        <f>IFERROR(__xludf.DUMMYFUNCTION("""COMPUTED_VALUE"""),"(株)ウェルテック様 SB24486")</f>
        <v>(株)ウェルテック様 SB24486</v>
      </c>
      <c r="E35" s="4" t="str">
        <f>IFERROR(__xludf.DUMMYFUNCTION("""COMPUTED_VALUE"""),"売掛金")</f>
        <v>売掛金</v>
      </c>
      <c r="F35" s="18">
        <f>IFERROR(__xludf.DUMMYFUNCTION("""COMPUTED_VALUE"""),104643.0)</f>
        <v>104643</v>
      </c>
      <c r="G35" s="4" t="str">
        <f>IFERROR(__xludf.DUMMYFUNCTION("""COMPUTED_VALUE"""),"入金")</f>
        <v>入金</v>
      </c>
      <c r="H35" s="4" t="str">
        <f>IFERROR(__xludf.DUMMYFUNCTION("""COMPUTED_VALUE"""),"自動消込")</f>
        <v>自動消込</v>
      </c>
      <c r="I35" s="4" t="str">
        <f>IFERROR(__xludf.DUMMYFUNCTION("""COMPUTED_VALUE"""),"KK00001662")</f>
        <v>KK00001662</v>
      </c>
      <c r="J35" s="4" t="str">
        <f>IFERROR(__xludf.DUMMYFUNCTION("""COMPUTED_VALUE"""),"SB00024486")</f>
        <v>SB00024486</v>
      </c>
      <c r="K35" s="19">
        <f>IFERROR(__xludf.DUMMYFUNCTION("""COMPUTED_VALUE"""),46113.0)</f>
        <v>46113</v>
      </c>
      <c r="L35" s="4">
        <f>IFERROR(__xludf.DUMMYFUNCTION("""COMPUTED_VALUE"""),2771.0)</f>
        <v>2771</v>
      </c>
      <c r="M35" s="4"/>
    </row>
    <row r="36" ht="15.75" customHeight="1">
      <c r="A36" s="17">
        <f>IFERROR(__xludf.DUMMYFUNCTION("""COMPUTED_VALUE"""),46122.0)</f>
        <v>46122</v>
      </c>
      <c r="B36" s="4" t="str">
        <f>IFERROR(__xludf.DUMMYFUNCTION("""COMPUTED_VALUE"""),"(有)エルグレコ様 SB24548/24461")</f>
        <v>(有)エルグレコ様 SB24548/24461</v>
      </c>
      <c r="C36" s="4" t="str">
        <f>IFERROR(__xludf.DUMMYFUNCTION("""COMPUTED_VALUE"""),"(有)エルグレコ様 SB24548/24461")</f>
        <v>(有)エルグレコ様 SB24548/24461</v>
      </c>
      <c r="D36" s="4" t="str">
        <f>IFERROR(__xludf.DUMMYFUNCTION("""COMPUTED_VALUE"""),"(有)エルグレコ様 SB24548/24461")</f>
        <v>(有)エルグレコ様 SB24548/24461</v>
      </c>
      <c r="E36" s="4" t="str">
        <f>IFERROR(__xludf.DUMMYFUNCTION("""COMPUTED_VALUE"""),"諸口")</f>
        <v>諸口</v>
      </c>
      <c r="F36" s="18">
        <f>IFERROR(__xludf.DUMMYFUNCTION("""COMPUTED_VALUE"""),57700.0)</f>
        <v>57700</v>
      </c>
      <c r="G36" s="4" t="str">
        <f>IFERROR(__xludf.DUMMYFUNCTION("""COMPUTED_VALUE"""),"入金")</f>
        <v>入金</v>
      </c>
      <c r="H36" s="4" t="str">
        <f>IFERROR(__xludf.DUMMYFUNCTION("""COMPUTED_VALUE"""),"要確認")</f>
        <v>要確認</v>
      </c>
      <c r="I36" s="4" t="str">
        <f>IFERROR(__xludf.DUMMYFUNCTION("""COMPUTED_VALUE"""),"KK00001837")</f>
        <v>KK00001837</v>
      </c>
      <c r="J36" s="4"/>
      <c r="K36" s="20">
        <f>IFERROR(__xludf.DUMMYFUNCTION("""COMPUTED_VALUE"""),46113.0)</f>
        <v>46113</v>
      </c>
      <c r="L36" s="4">
        <f>IFERROR(__xludf.DUMMYFUNCTION("""COMPUTED_VALUE"""),2772.0)</f>
        <v>2772</v>
      </c>
      <c r="M36" s="4"/>
    </row>
    <row r="37" ht="15.75" customHeight="1">
      <c r="A37" s="17">
        <f>IFERROR(__xludf.DUMMYFUNCTION("""COMPUTED_VALUE"""),46122.0)</f>
        <v>46122</v>
      </c>
      <c r="B37" s="4" t="str">
        <f>IFERROR(__xludf.DUMMYFUNCTION("""COMPUTED_VALUE"""),"ストロングマウンテン㈱")</f>
        <v>ストロングマウンテン㈱</v>
      </c>
      <c r="C37" s="4" t="str">
        <f>IFERROR(__xludf.DUMMYFUNCTION("""COMPUTED_VALUE"""),"ストロングマウンテン㈱")</f>
        <v>ストロングマウンテン㈱</v>
      </c>
      <c r="D37" s="4" t="str">
        <f>IFERROR(__xludf.DUMMYFUNCTION("""COMPUTED_VALUE"""),"ストロングマウンテン㈱")</f>
        <v>ストロングマウンテン㈱</v>
      </c>
      <c r="E37" s="4" t="str">
        <f>IFERROR(__xludf.DUMMYFUNCTION("""COMPUTED_VALUE"""),"売掛金")</f>
        <v>売掛金</v>
      </c>
      <c r="F37" s="18">
        <f>IFERROR(__xludf.DUMMYFUNCTION("""COMPUTED_VALUE"""),8439760.0)</f>
        <v>8439760</v>
      </c>
      <c r="G37" s="4" t="str">
        <f>IFERROR(__xludf.DUMMYFUNCTION("""COMPUTED_VALUE"""),"入金")</f>
        <v>入金</v>
      </c>
      <c r="H37" s="4" t="str">
        <f>IFERROR(__xludf.DUMMYFUNCTION("""COMPUTED_VALUE"""),"自動消込")</f>
        <v>自動消込</v>
      </c>
      <c r="I37" s="4"/>
      <c r="J37" s="4"/>
      <c r="K37" s="19">
        <f>IFERROR(__xludf.DUMMYFUNCTION("""COMPUTED_VALUE"""),46113.0)</f>
        <v>46113</v>
      </c>
      <c r="L37" s="4">
        <f>IFERROR(__xludf.DUMMYFUNCTION("""COMPUTED_VALUE"""),2815.0)</f>
        <v>2815</v>
      </c>
      <c r="M37" s="4"/>
    </row>
    <row r="38" ht="15.75" customHeight="1">
      <c r="A38" s="17">
        <f>IFERROR(__xludf.DUMMYFUNCTION("""COMPUTED_VALUE"""),46122.0)</f>
        <v>46122</v>
      </c>
      <c r="B38" s="4" t="str">
        <f>IFERROR(__xludf.DUMMYFUNCTION("""COMPUTED_VALUE"""),"もみじへ資金移動")</f>
        <v>もみじへ資金移動</v>
      </c>
      <c r="C38" s="4" t="str">
        <f>IFERROR(__xludf.DUMMYFUNCTION("""COMPUTED_VALUE"""),"もみじへ資金移動")</f>
        <v>もみじへ資金移動</v>
      </c>
      <c r="D38" s="4" t="str">
        <f>IFERROR(__xludf.DUMMYFUNCTION("""COMPUTED_VALUE"""),"広銀蔵王よりもみじへ資金移動")</f>
        <v>広銀蔵王よりもみじへ資金移動</v>
      </c>
      <c r="E38" s="4" t="str">
        <f>IFERROR(__xludf.DUMMYFUNCTION("""COMPUTED_VALUE"""),"普通預金(入金)")</f>
        <v>普通預金(入金)</v>
      </c>
      <c r="F38" s="18">
        <f>IFERROR(__xludf.DUMMYFUNCTION("""COMPUTED_VALUE"""),1000000.0)</f>
        <v>1000000</v>
      </c>
      <c r="G38" s="4" t="str">
        <f>IFERROR(__xludf.DUMMYFUNCTION("""COMPUTED_VALUE"""),"入金")</f>
        <v>入金</v>
      </c>
      <c r="H38" s="4" t="str">
        <f>IFERROR(__xludf.DUMMYFUNCTION("""COMPUTED_VALUE"""),"対象外")</f>
        <v>対象外</v>
      </c>
      <c r="I38" s="4"/>
      <c r="J38" s="4"/>
      <c r="K38" s="19">
        <f>IFERROR(__xludf.DUMMYFUNCTION("""COMPUTED_VALUE"""),46113.0)</f>
        <v>46113</v>
      </c>
      <c r="L38" s="4"/>
      <c r="M38" s="4"/>
    </row>
    <row r="39" ht="15.75" customHeight="1">
      <c r="A39" s="17">
        <f>IFERROR(__xludf.DUMMYFUNCTION("""COMPUTED_VALUE"""),46122.0)</f>
        <v>46122</v>
      </c>
      <c r="B39" s="4" t="str">
        <f>IFERROR(__xludf.DUMMYFUNCTION("""COMPUTED_VALUE"""),"笠信へ資金移動")</f>
        <v>笠信へ資金移動</v>
      </c>
      <c r="C39" s="4" t="str">
        <f>IFERROR(__xludf.DUMMYFUNCTION("""COMPUTED_VALUE"""),"笠信へ資金移動")</f>
        <v>笠信へ資金移動</v>
      </c>
      <c r="D39" s="4" t="str">
        <f>IFERROR(__xludf.DUMMYFUNCTION("""COMPUTED_VALUE"""),"広銀蔵王より笠信へ資金移動")</f>
        <v>広銀蔵王より笠信へ資金移動</v>
      </c>
      <c r="E39" s="4" t="str">
        <f>IFERROR(__xludf.DUMMYFUNCTION("""COMPUTED_VALUE"""),"普通預金(入金)")</f>
        <v>普通預金(入金)</v>
      </c>
      <c r="F39" s="18">
        <f>IFERROR(__xludf.DUMMYFUNCTION("""COMPUTED_VALUE"""),2700000.0)</f>
        <v>2700000</v>
      </c>
      <c r="G39" s="4" t="str">
        <f>IFERROR(__xludf.DUMMYFUNCTION("""COMPUTED_VALUE"""),"入金")</f>
        <v>入金</v>
      </c>
      <c r="H39" s="4" t="str">
        <f>IFERROR(__xludf.DUMMYFUNCTION("""COMPUTED_VALUE"""),"対象外")</f>
        <v>対象外</v>
      </c>
      <c r="I39" s="4"/>
      <c r="J39" s="4"/>
      <c r="K39" s="19">
        <f>IFERROR(__xludf.DUMMYFUNCTION("""COMPUTED_VALUE"""),46113.0)</f>
        <v>46113</v>
      </c>
      <c r="L39" s="4"/>
      <c r="M39" s="4"/>
    </row>
    <row r="40" ht="15.75" customHeight="1">
      <c r="A40" s="17">
        <f>IFERROR(__xludf.DUMMYFUNCTION("""COMPUTED_VALUE"""),46126.0)</f>
        <v>46126</v>
      </c>
      <c r="B40" s="4" t="str">
        <f>IFERROR(__xludf.DUMMYFUNCTION("""COMPUTED_VALUE"""),"該当なし ソンポジヤパン")</f>
        <v>該当なし ソンポジヤパン</v>
      </c>
      <c r="C40" s="4" t="str">
        <f>IFERROR(__xludf.DUMMYFUNCTION("""COMPUTED_VALUE"""),"該当なし ソンポジヤパン")</f>
        <v>該当なし ソンポジヤパン</v>
      </c>
      <c r="D40" s="4" t="str">
        <f>IFERROR(__xludf.DUMMYFUNCTION("""COMPUTED_VALUE"""),"該当なし ソンポジヤパン")</f>
        <v>該当なし ソンポジヤパン</v>
      </c>
      <c r="E40" s="4" t="str">
        <f>IFERROR(__xludf.DUMMYFUNCTION("""COMPUTED_VALUE"""),"諸口")</f>
        <v>諸口</v>
      </c>
      <c r="F40" s="18">
        <f>IFERROR(__xludf.DUMMYFUNCTION("""COMPUTED_VALUE"""),198000.0)</f>
        <v>198000</v>
      </c>
      <c r="G40" s="4" t="str">
        <f>IFERROR(__xludf.DUMMYFUNCTION("""COMPUTED_VALUE"""),"入金")</f>
        <v>入金</v>
      </c>
      <c r="H40" s="4" t="str">
        <f>IFERROR(__xludf.DUMMYFUNCTION("""COMPUTED_VALUE"""),"要確認")</f>
        <v>要確認</v>
      </c>
      <c r="I40" s="4"/>
      <c r="J40" s="4"/>
      <c r="K40" s="19">
        <f>IFERROR(__xludf.DUMMYFUNCTION("""COMPUTED_VALUE"""),46113.0)</f>
        <v>46113</v>
      </c>
      <c r="L40" s="4">
        <f>IFERROR(__xludf.DUMMYFUNCTION("""COMPUTED_VALUE"""),2833.0)</f>
        <v>2833</v>
      </c>
      <c r="M40" s="4"/>
    </row>
    <row r="41" ht="15.75" customHeight="1">
      <c r="A41" s="17">
        <f>IFERROR(__xludf.DUMMYFUNCTION("""COMPUTED_VALUE"""),46127.0)</f>
        <v>46127</v>
      </c>
      <c r="B41" s="4" t="str">
        <f>IFERROR(__xludf.DUMMYFUNCTION("""COMPUTED_VALUE"""),"㈱ﾃﾞｲﾜｲﾏｰｹﾃｨﾝｸﾞ様　SB24539")</f>
        <v>㈱ﾃﾞｲﾜｲﾏｰｹﾃｨﾝｸﾞ様　SB24539</v>
      </c>
      <c r="C41" s="4" t="str">
        <f>IFERROR(__xludf.DUMMYFUNCTION("""COMPUTED_VALUE"""),"㈱ﾃﾞｲﾜｲﾏｰｹﾃｨﾝｸﾞ様　SB24539")</f>
        <v>㈱ﾃﾞｲﾜｲﾏｰｹﾃｨﾝｸﾞ様　SB24539</v>
      </c>
      <c r="D41" s="4" t="str">
        <f>IFERROR(__xludf.DUMMYFUNCTION("""COMPUTED_VALUE"""),"㈱ﾃﾞｲﾜｲﾏｰｹﾃｨﾝｸﾞ様　SB24539")</f>
        <v>㈱ﾃﾞｲﾜｲﾏｰｹﾃｨﾝｸﾞ様　SB24539</v>
      </c>
      <c r="E41" s="4" t="str">
        <f>IFERROR(__xludf.DUMMYFUNCTION("""COMPUTED_VALUE"""),"売掛金")</f>
        <v>売掛金</v>
      </c>
      <c r="F41" s="18">
        <f>IFERROR(__xludf.DUMMYFUNCTION("""COMPUTED_VALUE"""),50270.0)</f>
        <v>50270</v>
      </c>
      <c r="G41" s="4" t="str">
        <f>IFERROR(__xludf.DUMMYFUNCTION("""COMPUTED_VALUE"""),"入金")</f>
        <v>入金</v>
      </c>
      <c r="H41" s="4" t="str">
        <f>IFERROR(__xludf.DUMMYFUNCTION("""COMPUTED_VALUE"""),"自動消込")</f>
        <v>自動消込</v>
      </c>
      <c r="I41" s="4" t="str">
        <f>IFERROR(__xludf.DUMMYFUNCTION("""COMPUTED_VALUE"""),"KK00005321")</f>
        <v>KK00005321</v>
      </c>
      <c r="J41" s="4" t="str">
        <f>IFERROR(__xludf.DUMMYFUNCTION("""COMPUTED_VALUE"""),"SB00024539")</f>
        <v>SB00024539</v>
      </c>
      <c r="K41" s="19">
        <f>IFERROR(__xludf.DUMMYFUNCTION("""COMPUTED_VALUE"""),46113.0)</f>
        <v>46113</v>
      </c>
      <c r="L41" s="4">
        <f>IFERROR(__xludf.DUMMYFUNCTION("""COMPUTED_VALUE"""),2834.0)</f>
        <v>2834</v>
      </c>
      <c r="M41" s="4"/>
    </row>
    <row r="42" ht="15.75" customHeight="1">
      <c r="A42" s="17">
        <f>IFERROR(__xludf.DUMMYFUNCTION("""COMPUTED_VALUE"""),46127.0)</f>
        <v>46127</v>
      </c>
      <c r="B42" s="4" t="str">
        <f>IFERROR(__xludf.DUMMYFUNCTION("""COMPUTED_VALUE"""),"該当なし チユウギンカードVIS")</f>
        <v>該当なし チユウギンカードVIS</v>
      </c>
      <c r="C42" s="4" t="str">
        <f>IFERROR(__xludf.DUMMYFUNCTION("""COMPUTED_VALUE"""),"該当なし チユウギンカードVIS")</f>
        <v>該当なし チユウギンカードVIS</v>
      </c>
      <c r="D42" s="4" t="str">
        <f>IFERROR(__xludf.DUMMYFUNCTION("""COMPUTED_VALUE"""),"該当なし チユウギンカードVIS")</f>
        <v>該当なし チユウギンカードVIS</v>
      </c>
      <c r="E42" s="4" t="str">
        <f>IFERROR(__xludf.DUMMYFUNCTION("""COMPUTED_VALUE"""),"諸口")</f>
        <v>諸口</v>
      </c>
      <c r="F42" s="18">
        <f>IFERROR(__xludf.DUMMYFUNCTION("""COMPUTED_VALUE"""),440822.0)</f>
        <v>440822</v>
      </c>
      <c r="G42" s="4" t="str">
        <f>IFERROR(__xludf.DUMMYFUNCTION("""COMPUTED_VALUE"""),"入金")</f>
        <v>入金</v>
      </c>
      <c r="H42" s="4" t="str">
        <f>IFERROR(__xludf.DUMMYFUNCTION("""COMPUTED_VALUE"""),"要確認")</f>
        <v>要確認</v>
      </c>
      <c r="I42" s="4"/>
      <c r="J42" s="4"/>
      <c r="K42" s="19">
        <f>IFERROR(__xludf.DUMMYFUNCTION("""COMPUTED_VALUE"""),46113.0)</f>
        <v>46113</v>
      </c>
      <c r="L42" s="4">
        <f>IFERROR(__xludf.DUMMYFUNCTION("""COMPUTED_VALUE"""),2836.0)</f>
        <v>2836</v>
      </c>
      <c r="M42" s="4"/>
    </row>
    <row r="43" ht="15.75" customHeight="1">
      <c r="A43" s="17">
        <f>IFERROR(__xludf.DUMMYFUNCTION("""COMPUTED_VALUE"""),46127.0)</f>
        <v>46127</v>
      </c>
      <c r="B43" s="4" t="str">
        <f>IFERROR(__xludf.DUMMYFUNCTION("""COMPUTED_VALUE"""),"該当なし 振込1 キムラユニテイ− カ")</f>
        <v>該当なし 振込1 キムラユニテイ− カ</v>
      </c>
      <c r="C43" s="4" t="str">
        <f>IFERROR(__xludf.DUMMYFUNCTION("""COMPUTED_VALUE"""),"該当なし 振込1 キムラユニテイ− カ")</f>
        <v>該当なし 振込1 キムラユニテイ− カ</v>
      </c>
      <c r="D43" s="4" t="str">
        <f>IFERROR(__xludf.DUMMYFUNCTION("""COMPUTED_VALUE"""),"該当なし 振込1 キムラユニテイ− カ")</f>
        <v>該当なし 振込1 キムラユニテイ− カ</v>
      </c>
      <c r="E43" s="4" t="str">
        <f>IFERROR(__xludf.DUMMYFUNCTION("""COMPUTED_VALUE"""),"諸口")</f>
        <v>諸口</v>
      </c>
      <c r="F43" s="18">
        <f>IFERROR(__xludf.DUMMYFUNCTION("""COMPUTED_VALUE"""),14520.0)</f>
        <v>14520</v>
      </c>
      <c r="G43" s="4" t="str">
        <f>IFERROR(__xludf.DUMMYFUNCTION("""COMPUTED_VALUE"""),"入金")</f>
        <v>入金</v>
      </c>
      <c r="H43" s="4" t="str">
        <f>IFERROR(__xludf.DUMMYFUNCTION("""COMPUTED_VALUE"""),"要確認")</f>
        <v>要確認</v>
      </c>
      <c r="I43" s="4" t="str">
        <f>IFERROR(__xludf.DUMMYFUNCTION("""COMPUTED_VALUE"""),"KK00003002")</f>
        <v>KK00003002</v>
      </c>
      <c r="J43" s="4"/>
      <c r="K43" s="20">
        <f>IFERROR(__xludf.DUMMYFUNCTION("""COMPUTED_VALUE"""),46113.0)</f>
        <v>46113</v>
      </c>
      <c r="L43" s="4">
        <f>IFERROR(__xludf.DUMMYFUNCTION("""COMPUTED_VALUE"""),2837.0)</f>
        <v>2837</v>
      </c>
      <c r="M43" s="4"/>
    </row>
    <row r="44" ht="15.75" customHeight="1">
      <c r="A44" s="17">
        <f>IFERROR(__xludf.DUMMYFUNCTION("""COMPUTED_VALUE"""),46127.0)</f>
        <v>46127</v>
      </c>
      <c r="B44" s="4" t="str">
        <f>IFERROR(__xludf.DUMMYFUNCTION("""COMPUTED_VALUE"""),"三井住友海上火災保険㈱代理店保険手数料")</f>
        <v>三井住友海上火災保険㈱代理店保険手数料</v>
      </c>
      <c r="C44" s="4" t="str">
        <f>IFERROR(__xludf.DUMMYFUNCTION("""COMPUTED_VALUE"""),"三井住友海上火災保険㈱代理店保険手数料")</f>
        <v>三井住友海上火災保険㈱代理店保険手数料</v>
      </c>
      <c r="D44" s="4" t="str">
        <f>IFERROR(__xludf.DUMMYFUNCTION("""COMPUTED_VALUE"""),"三井住友海上火災保険㈱代理店保険手数料")</f>
        <v>三井住友海上火災保険㈱代理店保険手数料</v>
      </c>
      <c r="E44" s="4" t="str">
        <f>IFERROR(__xludf.DUMMYFUNCTION("""COMPUTED_VALUE"""),"保険手数料")</f>
        <v>保険手数料</v>
      </c>
      <c r="F44" s="18">
        <f>IFERROR(__xludf.DUMMYFUNCTION("""COMPUTED_VALUE"""),187886.0)</f>
        <v>187886</v>
      </c>
      <c r="G44" s="4" t="str">
        <f>IFERROR(__xludf.DUMMYFUNCTION("""COMPUTED_VALUE"""),"入金")</f>
        <v>入金</v>
      </c>
      <c r="H44" s="4" t="str">
        <f>IFERROR(__xludf.DUMMYFUNCTION("""COMPUTED_VALUE"""),"対象外")</f>
        <v>対象外</v>
      </c>
      <c r="I44" s="4"/>
      <c r="J44" s="4"/>
      <c r="K44" s="20">
        <f>IFERROR(__xludf.DUMMYFUNCTION("""COMPUTED_VALUE"""),46113.0)</f>
        <v>46113</v>
      </c>
      <c r="L44" s="4">
        <f>IFERROR(__xludf.DUMMYFUNCTION("""COMPUTED_VALUE"""),2838.0)</f>
        <v>2838</v>
      </c>
      <c r="M44" s="4"/>
    </row>
    <row r="45" ht="15.75" customHeight="1">
      <c r="A45" s="17">
        <f>IFERROR(__xludf.DUMMYFUNCTION("""COMPUTED_VALUE"""),46128.0)</f>
        <v>46128</v>
      </c>
      <c r="B45" s="4" t="str">
        <f>IFERROR(__xludf.DUMMYFUNCTION("""COMPUTED_VALUE"""),"損保ｼﾞｬﾊﾟﾝ　SB24564")</f>
        <v>損保ｼﾞｬﾊﾟﾝ　SB24564</v>
      </c>
      <c r="C45" s="4" t="str">
        <f>IFERROR(__xludf.DUMMYFUNCTION("""COMPUTED_VALUE"""),"損保ｼﾞｬﾊﾟﾝ　SB24564")</f>
        <v>損保ｼﾞｬﾊﾟﾝ　SB24564</v>
      </c>
      <c r="D45" s="4" t="str">
        <f>IFERROR(__xludf.DUMMYFUNCTION("""COMPUTED_VALUE"""),"損保ｼﾞｬﾊﾟﾝ　SB24564")</f>
        <v>損保ｼﾞｬﾊﾟﾝ　SB24564</v>
      </c>
      <c r="E45" s="4" t="str">
        <f>IFERROR(__xludf.DUMMYFUNCTION("""COMPUTED_VALUE"""),"売掛金")</f>
        <v>売掛金</v>
      </c>
      <c r="F45" s="18">
        <f>IFERROR(__xludf.DUMMYFUNCTION("""COMPUTED_VALUE"""),75000.0)</f>
        <v>75000</v>
      </c>
      <c r="G45" s="4" t="str">
        <f>IFERROR(__xludf.DUMMYFUNCTION("""COMPUTED_VALUE"""),"入金")</f>
        <v>入金</v>
      </c>
      <c r="H45" s="4" t="str">
        <f>IFERROR(__xludf.DUMMYFUNCTION("""COMPUTED_VALUE"""),"自動消込")</f>
        <v>自動消込</v>
      </c>
      <c r="I45" s="4" t="str">
        <f>IFERROR(__xludf.DUMMYFUNCTION("""COMPUTED_VALUE"""),"KK00000241")</f>
        <v>KK00000241</v>
      </c>
      <c r="J45" s="4" t="str">
        <f>IFERROR(__xludf.DUMMYFUNCTION("""COMPUTED_VALUE"""),"SB00024564")</f>
        <v>SB00024564</v>
      </c>
      <c r="K45" s="20">
        <f>IFERROR(__xludf.DUMMYFUNCTION("""COMPUTED_VALUE"""),46113.0)</f>
        <v>46113</v>
      </c>
      <c r="L45" s="4">
        <f>IFERROR(__xludf.DUMMYFUNCTION("""COMPUTED_VALUE"""),2835.0)</f>
        <v>2835</v>
      </c>
      <c r="M45" s="4"/>
    </row>
    <row r="46" ht="15.75" customHeight="1">
      <c r="A46" s="17">
        <f>IFERROR(__xludf.DUMMYFUNCTION("""COMPUTED_VALUE"""),46129.0)</f>
        <v>46129</v>
      </c>
      <c r="B46" s="4" t="str">
        <f>IFERROR(__xludf.DUMMYFUNCTION("""COMPUTED_VALUE"""),"三井住友海上火災保険㈱SB24559")</f>
        <v>三井住友海上火災保険㈱SB24559</v>
      </c>
      <c r="C46" s="4" t="str">
        <f>IFERROR(__xludf.DUMMYFUNCTION("""COMPUTED_VALUE"""),"三井住友海上火災保険㈱SB24559")</f>
        <v>三井住友海上火災保険㈱SB24559</v>
      </c>
      <c r="D46" s="4" t="str">
        <f>IFERROR(__xludf.DUMMYFUNCTION("""COMPUTED_VALUE"""),"三井住友海上火災保険㈱SB24559")</f>
        <v>三井住友海上火災保険㈱SB24559</v>
      </c>
      <c r="E46" s="4" t="str">
        <f>IFERROR(__xludf.DUMMYFUNCTION("""COMPUTED_VALUE"""),"売掛金")</f>
        <v>売掛金</v>
      </c>
      <c r="F46" s="18">
        <f>IFERROR(__xludf.DUMMYFUNCTION("""COMPUTED_VALUE"""),210000.0)</f>
        <v>210000</v>
      </c>
      <c r="G46" s="4" t="str">
        <f>IFERROR(__xludf.DUMMYFUNCTION("""COMPUTED_VALUE"""),"入金")</f>
        <v>入金</v>
      </c>
      <c r="H46" s="4" t="str">
        <f>IFERROR(__xludf.DUMMYFUNCTION("""COMPUTED_VALUE"""),"自動消込")</f>
        <v>自動消込</v>
      </c>
      <c r="I46" s="4" t="str">
        <f>IFERROR(__xludf.DUMMYFUNCTION("""COMPUTED_VALUE"""),"KK00001837")</f>
        <v>KK00001837</v>
      </c>
      <c r="J46" s="4" t="str">
        <f>IFERROR(__xludf.DUMMYFUNCTION("""COMPUTED_VALUE"""),"SB00024559")</f>
        <v>SB00024559</v>
      </c>
      <c r="K46" s="20">
        <f>IFERROR(__xludf.DUMMYFUNCTION("""COMPUTED_VALUE"""),46113.0)</f>
        <v>46113</v>
      </c>
      <c r="L46" s="4">
        <f>IFERROR(__xludf.DUMMYFUNCTION("""COMPUTED_VALUE"""),2857.0)</f>
        <v>2857</v>
      </c>
      <c r="M46" s="4"/>
    </row>
    <row r="47" ht="15.75" customHeight="1">
      <c r="A47" s="17">
        <f>IFERROR(__xludf.DUMMYFUNCTION("""COMPUTED_VALUE"""),46132.0)</f>
        <v>46132</v>
      </c>
      <c r="B47" s="4" t="str">
        <f>IFERROR(__xludf.DUMMYFUNCTION("""COMPUTED_VALUE"""),"該当なし ミツイスミトモカイジヨウB")</f>
        <v>該当なし ミツイスミトモカイジヨウB</v>
      </c>
      <c r="C47" s="4" t="str">
        <f>IFERROR(__xludf.DUMMYFUNCTION("""COMPUTED_VALUE"""),"該当なし ミツイスミトモカイジヨウB")</f>
        <v>該当なし ミツイスミトモカイジヨウB</v>
      </c>
      <c r="D47" s="4" t="str">
        <f>IFERROR(__xludf.DUMMYFUNCTION("""COMPUTED_VALUE"""),"該当なし ミツイスミトモカイジヨウB")</f>
        <v>該当なし ミツイスミトモカイジヨウB</v>
      </c>
      <c r="E47" s="4" t="str">
        <f>IFERROR(__xludf.DUMMYFUNCTION("""COMPUTED_VALUE"""),"諸口")</f>
        <v>諸口</v>
      </c>
      <c r="F47" s="18">
        <f>IFERROR(__xludf.DUMMYFUNCTION("""COMPUTED_VALUE"""),1132941.0)</f>
        <v>1132941</v>
      </c>
      <c r="G47" s="4" t="str">
        <f>IFERROR(__xludf.DUMMYFUNCTION("""COMPUTED_VALUE"""),"入金")</f>
        <v>入金</v>
      </c>
      <c r="H47" s="4" t="str">
        <f>IFERROR(__xludf.DUMMYFUNCTION("""COMPUTED_VALUE"""),"自動消込")</f>
        <v>自動消込</v>
      </c>
      <c r="I47" s="4" t="str">
        <f>IFERROR(__xludf.DUMMYFUNCTION("""COMPUTED_VALUE"""),"KK00000935")</f>
        <v>KK00000935</v>
      </c>
      <c r="J47" s="4" t="str">
        <f>IFERROR(__xludf.DUMMYFUNCTION("""COMPUTED_VALUE"""),"SB00024553")</f>
        <v>SB00024553</v>
      </c>
      <c r="K47" s="19">
        <f>IFERROR(__xludf.DUMMYFUNCTION("""COMPUTED_VALUE"""),46113.0)</f>
        <v>46113</v>
      </c>
      <c r="L47" s="4">
        <f>IFERROR(__xludf.DUMMYFUNCTION("""COMPUTED_VALUE"""),2874.0)</f>
        <v>2874</v>
      </c>
      <c r="M47" s="4"/>
    </row>
    <row r="48" ht="15.75" customHeight="1">
      <c r="A48" s="17">
        <f>IFERROR(__xludf.DUMMYFUNCTION("""COMPUTED_VALUE"""),46133.0)</f>
        <v>46133</v>
      </c>
      <c r="B48" s="4" t="str">
        <f>IFERROR(__xludf.DUMMYFUNCTION("""COMPUTED_VALUE"""),"該当なし イ)サイセイカイ")</f>
        <v>該当なし イ)サイセイカイ</v>
      </c>
      <c r="C48" s="4" t="str">
        <f>IFERROR(__xludf.DUMMYFUNCTION("""COMPUTED_VALUE"""),"該当なし イ)サイセイカイ")</f>
        <v>該当なし イ)サイセイカイ</v>
      </c>
      <c r="D48" s="4" t="str">
        <f>IFERROR(__xludf.DUMMYFUNCTION("""COMPUTED_VALUE"""),"該当なし イ)サイセイカイ")</f>
        <v>該当なし イ)サイセイカイ</v>
      </c>
      <c r="E48" s="4" t="str">
        <f>IFERROR(__xludf.DUMMYFUNCTION("""COMPUTED_VALUE"""),"諸口")</f>
        <v>諸口</v>
      </c>
      <c r="F48" s="18">
        <f>IFERROR(__xludf.DUMMYFUNCTION("""COMPUTED_VALUE"""),64350.0)</f>
        <v>64350</v>
      </c>
      <c r="G48" s="4" t="str">
        <f>IFERROR(__xludf.DUMMYFUNCTION("""COMPUTED_VALUE"""),"入金")</f>
        <v>入金</v>
      </c>
      <c r="H48" s="4" t="str">
        <f>IFERROR(__xludf.DUMMYFUNCTION("""COMPUTED_VALUE"""),"要確認")</f>
        <v>要確認</v>
      </c>
      <c r="I48" s="4"/>
      <c r="J48" s="4"/>
      <c r="K48" s="20">
        <f>IFERROR(__xludf.DUMMYFUNCTION("""COMPUTED_VALUE"""),46113.0)</f>
        <v>46113</v>
      </c>
      <c r="L48" s="4">
        <f>IFERROR(__xludf.DUMMYFUNCTION("""COMPUTED_VALUE"""),2899.0)</f>
        <v>2899</v>
      </c>
      <c r="M48" s="4"/>
    </row>
    <row r="49" ht="15.75" customHeight="1">
      <c r="A49" s="17">
        <f>IFERROR(__xludf.DUMMYFUNCTION("""COMPUTED_VALUE"""),46135.0)</f>
        <v>46135</v>
      </c>
      <c r="B49" s="4" t="str">
        <f>IFERROR(__xludf.DUMMYFUNCTION("""COMPUTED_VALUE"""),"該当なし ミツイスミトモカイジヨウB")</f>
        <v>該当なし ミツイスミトモカイジヨウB</v>
      </c>
      <c r="C49" s="4" t="str">
        <f>IFERROR(__xludf.DUMMYFUNCTION("""COMPUTED_VALUE"""),"該当なし ミツイスミトモカイジヨウB")</f>
        <v>該当なし ミツイスミトモカイジヨウB</v>
      </c>
      <c r="D49" s="4" t="str">
        <f>IFERROR(__xludf.DUMMYFUNCTION("""COMPUTED_VALUE"""),"該当なし ミツイスミトモカイジヨウB")</f>
        <v>該当なし ミツイスミトモカイジヨウB</v>
      </c>
      <c r="E49" s="4" t="str">
        <f>IFERROR(__xludf.DUMMYFUNCTION("""COMPUTED_VALUE"""),"諸口")</f>
        <v>諸口</v>
      </c>
      <c r="F49" s="18">
        <f>IFERROR(__xludf.DUMMYFUNCTION("""COMPUTED_VALUE"""),57310.0)</f>
        <v>57310</v>
      </c>
      <c r="G49" s="4" t="str">
        <f>IFERROR(__xludf.DUMMYFUNCTION("""COMPUTED_VALUE"""),"入金")</f>
        <v>入金</v>
      </c>
      <c r="H49" s="4" t="str">
        <f>IFERROR(__xludf.DUMMYFUNCTION("""COMPUTED_VALUE"""),"要確認")</f>
        <v>要確認</v>
      </c>
      <c r="I49" s="4"/>
      <c r="J49" s="4"/>
      <c r="K49" s="20">
        <f>IFERROR(__xludf.DUMMYFUNCTION("""COMPUTED_VALUE"""),46113.0)</f>
        <v>46113</v>
      </c>
      <c r="L49" s="4">
        <f>IFERROR(__xludf.DUMMYFUNCTION("""COMPUTED_VALUE"""),2900.0)</f>
        <v>2900</v>
      </c>
      <c r="M49" s="4"/>
    </row>
    <row r="50" ht="15.75" customHeight="1">
      <c r="A50" s="17">
        <f>IFERROR(__xludf.DUMMYFUNCTION("""COMPUTED_VALUE"""),46136.0)</f>
        <v>46136</v>
      </c>
      <c r="B50" s="4" t="str">
        <f>IFERROR(__xludf.DUMMYFUNCTION("""COMPUTED_VALUE"""),"(株)ｻﾝｴｽ様　SB24522")</f>
        <v>(株)ｻﾝｴｽ様　SB24522</v>
      </c>
      <c r="C50" s="4" t="str">
        <f>IFERROR(__xludf.DUMMYFUNCTION("""COMPUTED_VALUE"""),"(株)ｻﾝｴｽ様　SB24522")</f>
        <v>(株)ｻﾝｴｽ様　SB24522</v>
      </c>
      <c r="D50" s="4" t="str">
        <f>IFERROR(__xludf.DUMMYFUNCTION("""COMPUTED_VALUE"""),"(株)ｻﾝｴｽ様　SB24522")</f>
        <v>(株)ｻﾝｴｽ様　SB24522</v>
      </c>
      <c r="E50" s="4" t="str">
        <f>IFERROR(__xludf.DUMMYFUNCTION("""COMPUTED_VALUE"""),"売掛金")</f>
        <v>売掛金</v>
      </c>
      <c r="F50" s="18">
        <f>IFERROR(__xludf.DUMMYFUNCTION("""COMPUTED_VALUE"""),200000.0)</f>
        <v>200000</v>
      </c>
      <c r="G50" s="4" t="str">
        <f>IFERROR(__xludf.DUMMYFUNCTION("""COMPUTED_VALUE"""),"入金")</f>
        <v>入金</v>
      </c>
      <c r="H50" s="4" t="str">
        <f>IFERROR(__xludf.DUMMYFUNCTION("""COMPUTED_VALUE"""),"自動消込")</f>
        <v>自動消込</v>
      </c>
      <c r="I50" s="4" t="str">
        <f>IFERROR(__xludf.DUMMYFUNCTION("""COMPUTED_VALUE"""),"KK00001694")</f>
        <v>KK00001694</v>
      </c>
      <c r="J50" s="4" t="str">
        <f>IFERROR(__xludf.DUMMYFUNCTION("""COMPUTED_VALUE"""),"SB00024587")</f>
        <v>SB00024587</v>
      </c>
      <c r="K50" s="19">
        <f>IFERROR(__xludf.DUMMYFUNCTION("""COMPUTED_VALUE"""),46113.0)</f>
        <v>46113</v>
      </c>
      <c r="L50" s="4">
        <f>IFERROR(__xludf.DUMMYFUNCTION("""COMPUTED_VALUE"""),2919.0)</f>
        <v>2919</v>
      </c>
      <c r="M50" s="4"/>
    </row>
    <row r="51" ht="15.75" customHeight="1">
      <c r="A51" s="17">
        <f>IFERROR(__xludf.DUMMYFUNCTION("""COMPUTED_VALUE"""),46136.0)</f>
        <v>46136</v>
      </c>
      <c r="B51" s="4" t="str">
        <f>IFERROR(__xludf.DUMMYFUNCTION("""COMPUTED_VALUE"""),"藤田勲様　CH3803")</f>
        <v>藤田勲様　CH3803</v>
      </c>
      <c r="C51" s="4" t="str">
        <f>IFERROR(__xludf.DUMMYFUNCTION("""COMPUTED_VALUE"""),"藤田勲様　CH3803")</f>
        <v>藤田勲様　CH3803</v>
      </c>
      <c r="D51" s="4" t="str">
        <f>IFERROR(__xludf.DUMMYFUNCTION("""COMPUTED_VALUE"""),"藤田勲様　CH3803")</f>
        <v>藤田勲様　CH3803</v>
      </c>
      <c r="E51" s="4" t="str">
        <f>IFERROR(__xludf.DUMMYFUNCTION("""COMPUTED_VALUE"""),"売掛金")</f>
        <v>売掛金</v>
      </c>
      <c r="F51" s="18">
        <f>IFERROR(__xludf.DUMMYFUNCTION("""COMPUTED_VALUE"""),50000.0)</f>
        <v>50000</v>
      </c>
      <c r="G51" s="4" t="str">
        <f>IFERROR(__xludf.DUMMYFUNCTION("""COMPUTED_VALUE"""),"入金")</f>
        <v>入金</v>
      </c>
      <c r="H51" s="4" t="str">
        <f>IFERROR(__xludf.DUMMYFUNCTION("""COMPUTED_VALUE"""),"自動消込")</f>
        <v>自動消込</v>
      </c>
      <c r="I51" s="4" t="str">
        <f>IFERROR(__xludf.DUMMYFUNCTION("""COMPUTED_VALUE"""),"KK00001837")</f>
        <v>KK00001837</v>
      </c>
      <c r="J51" s="4" t="str">
        <f>IFERROR(__xludf.DUMMYFUNCTION("""COMPUTED_VALUE"""),"SB00024461")</f>
        <v>SB00024461</v>
      </c>
      <c r="K51" s="19">
        <f>IFERROR(__xludf.DUMMYFUNCTION("""COMPUTED_VALUE"""),46113.0)</f>
        <v>46113</v>
      </c>
      <c r="L51" s="4">
        <f>IFERROR(__xludf.DUMMYFUNCTION("""COMPUTED_VALUE"""),2920.0)</f>
        <v>2920</v>
      </c>
      <c r="M51" s="4"/>
    </row>
    <row r="52" ht="15.75" customHeight="1">
      <c r="A52" s="17">
        <f>IFERROR(__xludf.DUMMYFUNCTION("""COMPUTED_VALUE"""),46136.0)</f>
        <v>46136</v>
      </c>
      <c r="B52" s="4" t="str">
        <f>IFERROR(__xludf.DUMMYFUNCTION("""COMPUTED_VALUE"""),"該当なし ユ)アトリエ.ピユア")</f>
        <v>該当なし ユ)アトリエ.ピユア</v>
      </c>
      <c r="C52" s="4" t="str">
        <f>IFERROR(__xludf.DUMMYFUNCTION("""COMPUTED_VALUE"""),"該当なし ユ)アトリエ.ピユア")</f>
        <v>該当なし ユ)アトリエ.ピユア</v>
      </c>
      <c r="D52" s="4" t="str">
        <f>IFERROR(__xludf.DUMMYFUNCTION("""COMPUTED_VALUE"""),"該当なし ユ)アトリエ.ピユア")</f>
        <v>該当なし ユ)アトリエ.ピユア</v>
      </c>
      <c r="E52" s="4" t="str">
        <f>IFERROR(__xludf.DUMMYFUNCTION("""COMPUTED_VALUE"""),"諸口")</f>
        <v>諸口</v>
      </c>
      <c r="F52" s="18">
        <f>IFERROR(__xludf.DUMMYFUNCTION("""COMPUTED_VALUE"""),110000.0)</f>
        <v>110000</v>
      </c>
      <c r="G52" s="4" t="str">
        <f>IFERROR(__xludf.DUMMYFUNCTION("""COMPUTED_VALUE"""),"入金")</f>
        <v>入金</v>
      </c>
      <c r="H52" s="4" t="str">
        <f>IFERROR(__xludf.DUMMYFUNCTION("""COMPUTED_VALUE"""),"要確認")</f>
        <v>要確認</v>
      </c>
      <c r="I52" s="4"/>
      <c r="J52" s="4"/>
      <c r="K52" s="19">
        <f>IFERROR(__xludf.DUMMYFUNCTION("""COMPUTED_VALUE"""),46113.0)</f>
        <v>46113</v>
      </c>
      <c r="L52" s="4">
        <f>IFERROR(__xludf.DUMMYFUNCTION("""COMPUTED_VALUE"""),2925.0)</f>
        <v>2925</v>
      </c>
      <c r="M52" s="4"/>
    </row>
    <row r="53" ht="15.75" customHeight="1">
      <c r="A53" s="17">
        <f>IFERROR(__xludf.DUMMYFUNCTION("""COMPUTED_VALUE"""),46136.0)</f>
        <v>46136</v>
      </c>
      <c r="B53" s="4" t="str">
        <f>IFERROR(__xludf.DUMMYFUNCTION("""COMPUTED_VALUE"""),"該当なし ド)ソーラーエナジー")</f>
        <v>該当なし ド)ソーラーエナジー</v>
      </c>
      <c r="C53" s="4" t="str">
        <f>IFERROR(__xludf.DUMMYFUNCTION("""COMPUTED_VALUE"""),"該当なし ド)ソーラーエナジー")</f>
        <v>該当なし ド)ソーラーエナジー</v>
      </c>
      <c r="D53" s="4" t="str">
        <f>IFERROR(__xludf.DUMMYFUNCTION("""COMPUTED_VALUE"""),"該当なし ド)ソーラーエナジー")</f>
        <v>該当なし ド)ソーラーエナジー</v>
      </c>
      <c r="E53" s="4" t="str">
        <f>IFERROR(__xludf.DUMMYFUNCTION("""COMPUTED_VALUE"""),"諸口")</f>
        <v>諸口</v>
      </c>
      <c r="F53" s="18">
        <f>IFERROR(__xludf.DUMMYFUNCTION("""COMPUTED_VALUE"""),7500000.0)</f>
        <v>7500000</v>
      </c>
      <c r="G53" s="4" t="str">
        <f>IFERROR(__xludf.DUMMYFUNCTION("""COMPUTED_VALUE"""),"入金")</f>
        <v>入金</v>
      </c>
      <c r="H53" s="4" t="str">
        <f>IFERROR(__xludf.DUMMYFUNCTION("""COMPUTED_VALUE"""),"要確認")</f>
        <v>要確認</v>
      </c>
      <c r="I53" s="4"/>
      <c r="J53" s="4"/>
      <c r="K53" s="19">
        <f>IFERROR(__xludf.DUMMYFUNCTION("""COMPUTED_VALUE"""),46113.0)</f>
        <v>46113</v>
      </c>
      <c r="L53" s="4">
        <f>IFERROR(__xludf.DUMMYFUNCTION("""COMPUTED_VALUE"""),2917.0)</f>
        <v>2917</v>
      </c>
      <c r="M53" s="4"/>
    </row>
    <row r="54" ht="15.75" customHeight="1">
      <c r="A54" s="17">
        <f>IFERROR(__xludf.DUMMYFUNCTION("""COMPUTED_VALUE"""),46136.0)</f>
        <v>46136</v>
      </c>
      <c r="B54" s="4" t="str">
        <f>IFERROR(__xludf.DUMMYFUNCTION("""COMPUTED_VALUE"""),"該当なし ハシモトシヨウコ")</f>
        <v>該当なし ハシモトシヨウコ</v>
      </c>
      <c r="C54" s="4" t="str">
        <f>IFERROR(__xludf.DUMMYFUNCTION("""COMPUTED_VALUE"""),"該当なし ハシモトシヨウコ")</f>
        <v>該当なし ハシモトシヨウコ</v>
      </c>
      <c r="D54" s="4" t="str">
        <f>IFERROR(__xludf.DUMMYFUNCTION("""COMPUTED_VALUE"""),"該当なし ハシモトシヨウコ")</f>
        <v>該当なし ハシモトシヨウコ</v>
      </c>
      <c r="E54" s="4" t="str">
        <f>IFERROR(__xludf.DUMMYFUNCTION("""COMPUTED_VALUE"""),"諸口")</f>
        <v>諸口</v>
      </c>
      <c r="F54" s="18">
        <f>IFERROR(__xludf.DUMMYFUNCTION("""COMPUTED_VALUE"""),2545300.0)</f>
        <v>2545300</v>
      </c>
      <c r="G54" s="4" t="str">
        <f>IFERROR(__xludf.DUMMYFUNCTION("""COMPUTED_VALUE"""),"入金")</f>
        <v>入金</v>
      </c>
      <c r="H54" s="4" t="str">
        <f>IFERROR(__xludf.DUMMYFUNCTION("""COMPUTED_VALUE"""),"要確認")</f>
        <v>要確認</v>
      </c>
      <c r="I54" s="4"/>
      <c r="J54" s="4"/>
      <c r="K54" s="20">
        <f>IFERROR(__xludf.DUMMYFUNCTION("""COMPUTED_VALUE"""),46113.0)</f>
        <v>46113</v>
      </c>
      <c r="L54" s="4">
        <f>IFERROR(__xludf.DUMMYFUNCTION("""COMPUTED_VALUE"""),2918.0)</f>
        <v>2918</v>
      </c>
      <c r="M54" s="4"/>
    </row>
    <row r="55" ht="15.75" customHeight="1">
      <c r="A55" s="17">
        <f>IFERROR(__xludf.DUMMYFUNCTION("""COMPUTED_VALUE"""),46136.0)</f>
        <v>46136</v>
      </c>
      <c r="B55" s="4" t="str">
        <f>IFERROR(__xludf.DUMMYFUNCTION("""COMPUTED_VALUE"""),"(株)ｻﾝｴｽ様　SB24522")</f>
        <v>(株)ｻﾝｴｽ様　SB24522</v>
      </c>
      <c r="C55" s="4" t="str">
        <f>IFERROR(__xludf.DUMMYFUNCTION("""COMPUTED_VALUE"""),"(株)ｻﾝｴｽ様　SB24522")</f>
        <v>(株)ｻﾝｴｽ様　SB24522</v>
      </c>
      <c r="D55" s="4" t="str">
        <f>IFERROR(__xludf.DUMMYFUNCTION("""COMPUTED_VALUE"""),"(株)ｻﾝｴｽ様　SB24522")</f>
        <v>(株)ｻﾝｴｽ様　SB24522</v>
      </c>
      <c r="E55" s="4" t="str">
        <f>IFERROR(__xludf.DUMMYFUNCTION("""COMPUTED_VALUE"""),"売掛金")</f>
        <v>売掛金</v>
      </c>
      <c r="F55" s="18" t="str">
        <f>IFERROR(__xludf.DUMMYFUNCTION("""COMPUTED_VALUE"""),"200,000")</f>
        <v>200,000</v>
      </c>
      <c r="G55" s="4" t="str">
        <f>IFERROR(__xludf.DUMMYFUNCTION("""COMPUTED_VALUE"""),"入金")</f>
        <v>入金</v>
      </c>
      <c r="H55" s="4" t="str">
        <f>IFERROR(__xludf.DUMMYFUNCTION("""COMPUTED_VALUE"""),"要確認")</f>
        <v>要確認</v>
      </c>
      <c r="I55" s="4" t="str">
        <f>IFERROR(__xludf.DUMMYFUNCTION("""COMPUTED_VALUE"""),"KK00001694")</f>
        <v>KK00001694</v>
      </c>
      <c r="J55" s="4" t="str">
        <f>IFERROR(__xludf.DUMMYFUNCTION("""COMPUTED_VALUE"""),"SB00024587")</f>
        <v>SB00024587</v>
      </c>
      <c r="K55" s="20">
        <f>IFERROR(__xludf.DUMMYFUNCTION("""COMPUTED_VALUE"""),46113.0)</f>
        <v>46113</v>
      </c>
      <c r="L55" s="4"/>
      <c r="M55" s="4"/>
    </row>
    <row r="56" ht="15.75" customHeight="1">
      <c r="A56" s="17">
        <f>IFERROR(__xludf.DUMMYFUNCTION("""COMPUTED_VALUE"""),46136.0)</f>
        <v>46136</v>
      </c>
      <c r="B56" s="4" t="str">
        <f>IFERROR(__xludf.DUMMYFUNCTION("""COMPUTED_VALUE"""),"(有)ｱﾄﾘｴﾋﾟｭｱ様　ｸﾞﾚｶｰﾚ")</f>
        <v>(有)ｱﾄﾘｴﾋﾟｭｱ様　ｸﾞﾚｶｰﾚ</v>
      </c>
      <c r="C56" s="4" t="str">
        <f>IFERROR(__xludf.DUMMYFUNCTION("""COMPUTED_VALUE"""),"(有)ｱﾄﾘｴﾋﾟｭｱ様　ｸﾞﾚｶｰﾚ")</f>
        <v>(有)ｱﾄﾘｴﾋﾟｭｱ様　ｸﾞﾚｶｰﾚ</v>
      </c>
      <c r="D56" s="4" t="str">
        <f>IFERROR(__xludf.DUMMYFUNCTION("""COMPUTED_VALUE"""),"(有)ｱﾄﾘｴﾋﾟｭｱ様　ｸﾞﾚｶｰﾚ")</f>
        <v>(有)ｱﾄﾘｴﾋﾟｭｱ様　ｸﾞﾚｶｰﾚ</v>
      </c>
      <c r="E56" s="4" t="str">
        <f>IFERROR(__xludf.DUMMYFUNCTION("""COMPUTED_VALUE"""),"売掛金")</f>
        <v>売掛金</v>
      </c>
      <c r="F56" s="18" t="str">
        <f>IFERROR(__xludf.DUMMYFUNCTION("""COMPUTED_VALUE"""),"110,000")</f>
        <v>110,000</v>
      </c>
      <c r="G56" s="4" t="str">
        <f>IFERROR(__xludf.DUMMYFUNCTION("""COMPUTED_VALUE"""),"入金")</f>
        <v>入金</v>
      </c>
      <c r="H56" s="4" t="str">
        <f>IFERROR(__xludf.DUMMYFUNCTION("""COMPUTED_VALUE"""),"要確認")</f>
        <v>要確認</v>
      </c>
      <c r="I56" s="4" t="str">
        <f>IFERROR(__xludf.DUMMYFUNCTION("""COMPUTED_VALUE"""),"")</f>
        <v/>
      </c>
      <c r="J56" s="4" t="str">
        <f>IFERROR(__xludf.DUMMYFUNCTION("""COMPUTED_VALUE"""),"")</f>
        <v/>
      </c>
      <c r="K56" s="20">
        <f>IFERROR(__xludf.DUMMYFUNCTION("""COMPUTED_VALUE"""),46113.0)</f>
        <v>46113</v>
      </c>
      <c r="L56" s="4"/>
      <c r="M56" s="4"/>
    </row>
    <row r="57" ht="15.75" customHeight="1">
      <c r="A57" s="17">
        <f>IFERROR(__xludf.DUMMYFUNCTION("""COMPUTED_VALUE"""),46136.0)</f>
        <v>46136</v>
      </c>
      <c r="B57" s="4" t="str">
        <f>IFERROR(__xludf.DUMMYFUNCTION("""COMPUTED_VALUE"""),"CB リース料（販） その他")</f>
        <v>CB リース料（販） その他</v>
      </c>
      <c r="C57" s="4" t="str">
        <f>IFERROR(__xludf.DUMMYFUNCTION("""COMPUTED_VALUE"""),"CB リース料（販） その他")</f>
        <v>CB リース料（販） その他</v>
      </c>
      <c r="D57" s="4" t="str">
        <f>IFERROR(__xludf.DUMMYFUNCTION("""COMPUTED_VALUE"""),"ﾘｰｽ　ﾚｯﾁｪﾎﾞｽｺ様　ﾏｾﾗﾃｨ　ｸﾞﾗﾝﾄｩﾘｽﾞﾓ")</f>
        <v>ﾘｰｽ　ﾚｯﾁｪﾎﾞｽｺ様　ﾏｾﾗﾃｨ　ｸﾞﾗﾝﾄｩﾘｽﾞﾓ</v>
      </c>
      <c r="E57" s="4" t="str">
        <f>IFERROR(__xludf.DUMMYFUNCTION("""COMPUTED_VALUE"""),"諸口")</f>
        <v>諸口</v>
      </c>
      <c r="F57" s="18" t="str">
        <f>IFERROR(__xludf.DUMMYFUNCTION("""COMPUTED_VALUE"""),"-55,330")</f>
        <v>-55,330</v>
      </c>
      <c r="G57" s="4" t="str">
        <f>IFERROR(__xludf.DUMMYFUNCTION("""COMPUTED_VALUE"""),"入金")</f>
        <v>入金</v>
      </c>
      <c r="H57" s="4" t="str">
        <f>IFERROR(__xludf.DUMMYFUNCTION("""COMPUTED_VALUE"""),"対象外")</f>
        <v>対象外</v>
      </c>
      <c r="I57" s="4" t="str">
        <f>IFERROR(__xludf.DUMMYFUNCTION("""COMPUTED_VALUE"""),"")</f>
        <v/>
      </c>
      <c r="J57" s="4" t="str">
        <f>IFERROR(__xludf.DUMMYFUNCTION("""COMPUTED_VALUE"""),"")</f>
        <v/>
      </c>
      <c r="K57" s="19">
        <f>IFERROR(__xludf.DUMMYFUNCTION("""COMPUTED_VALUE"""),46113.0)</f>
        <v>46113</v>
      </c>
      <c r="L57" s="4"/>
      <c r="M57" s="4"/>
    </row>
    <row r="58" ht="15.75" customHeight="1">
      <c r="A58" s="17">
        <f>IFERROR(__xludf.DUMMYFUNCTION("""COMPUTED_VALUE"""),46139.0)</f>
        <v>46139</v>
      </c>
      <c r="B58" s="4" t="str">
        <f>IFERROR(__xludf.DUMMYFUNCTION("""COMPUTED_VALUE"""),"三井住友海上火災保険㈱損害保険")</f>
        <v>三井住友海上火災保険㈱損害保険</v>
      </c>
      <c r="C58" s="4" t="str">
        <f>IFERROR(__xludf.DUMMYFUNCTION("""COMPUTED_VALUE"""),"三井住友海上火災保険㈱損害保険")</f>
        <v>三井住友海上火災保険㈱損害保険</v>
      </c>
      <c r="D58" s="4" t="str">
        <f>IFERROR(__xludf.DUMMYFUNCTION("""COMPUTED_VALUE"""),"三井住友海上火災保険㈱損害保険")</f>
        <v>三井住友海上火災保険㈱損害保険</v>
      </c>
      <c r="E58" s="4" t="str">
        <f>IFERROR(__xludf.DUMMYFUNCTION("""COMPUTED_VALUE"""),"支払保険料")</f>
        <v>支払保険料</v>
      </c>
      <c r="F58" s="18" t="str">
        <f>IFERROR(__xludf.DUMMYFUNCTION("""COMPUTED_VALUE"""),"-140,710")</f>
        <v>-140,710</v>
      </c>
      <c r="G58" s="4" t="str">
        <f>IFERROR(__xludf.DUMMYFUNCTION("""COMPUTED_VALUE"""),"入金")</f>
        <v>入金</v>
      </c>
      <c r="H58" s="4" t="str">
        <f>IFERROR(__xludf.DUMMYFUNCTION("""COMPUTED_VALUE"""),"対象外")</f>
        <v>対象外</v>
      </c>
      <c r="I58" s="4" t="str">
        <f>IFERROR(__xludf.DUMMYFUNCTION("""COMPUTED_VALUE"""),"")</f>
        <v/>
      </c>
      <c r="J58" s="4" t="str">
        <f>IFERROR(__xludf.DUMMYFUNCTION("""COMPUTED_VALUE"""),"")</f>
        <v/>
      </c>
      <c r="K58" s="19">
        <f>IFERROR(__xludf.DUMMYFUNCTION("""COMPUTED_VALUE"""),46113.0)</f>
        <v>46113</v>
      </c>
      <c r="L58" s="4"/>
      <c r="M58" s="4"/>
    </row>
    <row r="59" ht="15.75" customHeight="1">
      <c r="A59" s="17">
        <f>IFERROR(__xludf.DUMMYFUNCTION("""COMPUTED_VALUE"""),46139.0)</f>
        <v>46139</v>
      </c>
      <c r="B59" s="4" t="str">
        <f>IFERROR(__xludf.DUMMYFUNCTION("""COMPUTED_VALUE"""),"ユニマットライフ　ﾏｯﾄ代")</f>
        <v>ユニマットライフ　ﾏｯﾄ代</v>
      </c>
      <c r="C59" s="4" t="str">
        <f>IFERROR(__xludf.DUMMYFUNCTION("""COMPUTED_VALUE"""),"ユニマットライフ　ﾏｯﾄ代")</f>
        <v>ユニマットライフ　ﾏｯﾄ代</v>
      </c>
      <c r="D59" s="4" t="str">
        <f>IFERROR(__xludf.DUMMYFUNCTION("""COMPUTED_VALUE"""),"ユニマットライフ　ﾏｯﾄ代")</f>
        <v>ユニマットライフ　ﾏｯﾄ代</v>
      </c>
      <c r="E59" s="4" t="str">
        <f>IFERROR(__xludf.DUMMYFUNCTION("""COMPUTED_VALUE"""),"販売促進費")</f>
        <v>販売促進費</v>
      </c>
      <c r="F59" s="18" t="str">
        <f>IFERROR(__xludf.DUMMYFUNCTION("""COMPUTED_VALUE"""),"-4,400")</f>
        <v>-4,400</v>
      </c>
      <c r="G59" s="4" t="str">
        <f>IFERROR(__xludf.DUMMYFUNCTION("""COMPUTED_VALUE"""),"入金")</f>
        <v>入金</v>
      </c>
      <c r="H59" s="4" t="str">
        <f>IFERROR(__xludf.DUMMYFUNCTION("""COMPUTED_VALUE"""),"対象外")</f>
        <v>対象外</v>
      </c>
      <c r="I59" s="4" t="str">
        <f>IFERROR(__xludf.DUMMYFUNCTION("""COMPUTED_VALUE"""),"")</f>
        <v/>
      </c>
      <c r="J59" s="4" t="str">
        <f>IFERROR(__xludf.DUMMYFUNCTION("""COMPUTED_VALUE"""),"")</f>
        <v/>
      </c>
      <c r="K59" s="19">
        <f>IFERROR(__xludf.DUMMYFUNCTION("""COMPUTED_VALUE"""),46113.0)</f>
        <v>46113</v>
      </c>
      <c r="L59" s="4"/>
      <c r="M59" s="4"/>
    </row>
    <row r="60" ht="15.75" customHeight="1">
      <c r="A60" s="17">
        <f>IFERROR(__xludf.DUMMYFUNCTION("""COMPUTED_VALUE"""),46139.0)</f>
        <v>46139</v>
      </c>
      <c r="B60" s="4" t="str">
        <f>IFERROR(__xludf.DUMMYFUNCTION("""COMPUTED_VALUE"""),"該当なし カ)ブリツジ")</f>
        <v>該当なし カ)ブリツジ</v>
      </c>
      <c r="C60" s="4" t="str">
        <f>IFERROR(__xludf.DUMMYFUNCTION("""COMPUTED_VALUE"""),"該当なし カ)ブリツジ")</f>
        <v>該当なし カ)ブリツジ</v>
      </c>
      <c r="D60" s="4" t="str">
        <f>IFERROR(__xludf.DUMMYFUNCTION("""COMPUTED_VALUE"""),"該当なし カ)ブリツジ")</f>
        <v>該当なし カ)ブリツジ</v>
      </c>
      <c r="E60" s="4" t="str">
        <f>IFERROR(__xludf.DUMMYFUNCTION("""COMPUTED_VALUE"""),"諸口")</f>
        <v>諸口</v>
      </c>
      <c r="F60" s="18">
        <f>IFERROR(__xludf.DUMMYFUNCTION("""COMPUTED_VALUE"""),5000000.0)</f>
        <v>5000000</v>
      </c>
      <c r="G60" s="4" t="str">
        <f>IFERROR(__xludf.DUMMYFUNCTION("""COMPUTED_VALUE"""),"入金")</f>
        <v>入金</v>
      </c>
      <c r="H60" s="4" t="str">
        <f>IFERROR(__xludf.DUMMYFUNCTION("""COMPUTED_VALUE"""),"対象外")</f>
        <v>対象外</v>
      </c>
      <c r="I60" s="4"/>
      <c r="J60" s="4"/>
      <c r="K60" s="19">
        <f>IFERROR(__xludf.DUMMYFUNCTION("""COMPUTED_VALUE"""),46113.0)</f>
        <v>46113</v>
      </c>
      <c r="L60" s="4"/>
      <c r="M60" s="4"/>
    </row>
    <row r="61" ht="15.75" customHeight="1">
      <c r="A61" s="17">
        <f>IFERROR(__xludf.DUMMYFUNCTION("""COMPUTED_VALUE"""),46139.0)</f>
        <v>46139</v>
      </c>
      <c r="B61" s="4" t="str">
        <f>IFERROR(__xludf.DUMMYFUNCTION("""COMPUTED_VALUE"""),"該当なし EBフリカエ カ)ブリツジ")</f>
        <v>該当なし EBフリカエ カ)ブリツジ</v>
      </c>
      <c r="C61" s="4" t="str">
        <f>IFERROR(__xludf.DUMMYFUNCTION("""COMPUTED_VALUE"""),"該当なし EBフリカエ カ)ブリツジ")</f>
        <v>該当なし EBフリカエ カ)ブリツジ</v>
      </c>
      <c r="D61" s="4" t="str">
        <f>IFERROR(__xludf.DUMMYFUNCTION("""COMPUTED_VALUE"""),"該当なし EBフリカエ カ)ブリツジ")</f>
        <v>該当なし EBフリカエ カ)ブリツジ</v>
      </c>
      <c r="E61" s="4" t="str">
        <f>IFERROR(__xludf.DUMMYFUNCTION("""COMPUTED_VALUE"""),"諸口")</f>
        <v>諸口</v>
      </c>
      <c r="F61" s="18">
        <f>IFERROR(__xludf.DUMMYFUNCTION("""COMPUTED_VALUE"""),880000.0)</f>
        <v>880000</v>
      </c>
      <c r="G61" s="4" t="str">
        <f>IFERROR(__xludf.DUMMYFUNCTION("""COMPUTED_VALUE"""),"入金")</f>
        <v>入金</v>
      </c>
      <c r="H61" s="4" t="str">
        <f>IFERROR(__xludf.DUMMYFUNCTION("""COMPUTED_VALUE"""),"対象外")</f>
        <v>対象外</v>
      </c>
      <c r="I61" s="4"/>
      <c r="J61" s="4"/>
      <c r="K61" s="19">
        <f>IFERROR(__xludf.DUMMYFUNCTION("""COMPUTED_VALUE"""),46113.0)</f>
        <v>46113</v>
      </c>
      <c r="L61" s="4"/>
      <c r="M61" s="4"/>
    </row>
    <row r="62" ht="15.75" customHeight="1">
      <c r="A62" s="17">
        <f>IFERROR(__xludf.DUMMYFUNCTION("""COMPUTED_VALUE"""),46149.0)</f>
        <v>46149</v>
      </c>
      <c r="B62" s="4" t="str">
        <f>IFERROR(__xludf.DUMMYFUNCTION("""COMPUTED_VALUE"""),"金森洋人様　SB24585")</f>
        <v>金森洋人様　SB24585</v>
      </c>
      <c r="C62" s="4" t="str">
        <f>IFERROR(__xludf.DUMMYFUNCTION("""COMPUTED_VALUE"""),"金森洋人様　SB24585")</f>
        <v>金森洋人様　SB24585</v>
      </c>
      <c r="D62" s="4" t="str">
        <f>IFERROR(__xludf.DUMMYFUNCTION("""COMPUTED_VALUE"""),"金森洋人様　SB24585")</f>
        <v>金森洋人様　SB24585</v>
      </c>
      <c r="E62" s="4" t="str">
        <f>IFERROR(__xludf.DUMMYFUNCTION("""COMPUTED_VALUE"""),"売掛金")</f>
        <v>売掛金</v>
      </c>
      <c r="F62" s="18">
        <f>IFERROR(__xludf.DUMMYFUNCTION("""COMPUTED_VALUE"""),58400.0)</f>
        <v>58400</v>
      </c>
      <c r="G62" s="4" t="str">
        <f>IFERROR(__xludf.DUMMYFUNCTION("""COMPUTED_VALUE"""),"入金")</f>
        <v>入金</v>
      </c>
      <c r="H62" s="4" t="str">
        <f>IFERROR(__xludf.DUMMYFUNCTION("""COMPUTED_VALUE"""),"要確認")</f>
        <v>要確認</v>
      </c>
      <c r="I62" s="4"/>
      <c r="J62" s="4"/>
      <c r="K62" s="19">
        <f>IFERROR(__xludf.DUMMYFUNCTION("""COMPUTED_VALUE"""),46143.0)</f>
        <v>46143</v>
      </c>
      <c r="L62" s="4"/>
      <c r="M62" s="4" t="str">
        <f>IFERROR(__xludf.DUMMYFUNCTION("""COMPUTED_VALUE"""),"20260508.2hori .xlsx.csv")</f>
        <v>20260508.2hori .xlsx.csv</v>
      </c>
    </row>
    <row r="63" ht="15.75" customHeight="1">
      <c r="A63" s="17">
        <f>IFERROR(__xludf.DUMMYFUNCTION("""COMPUTED_VALUE"""),46150.0)</f>
        <v>46150</v>
      </c>
      <c r="B63" s="4" t="str">
        <f>IFERROR(__xludf.DUMMYFUNCTION("""COMPUTED_VALUE"""),"大中誠二様　SB24593")</f>
        <v>大中誠二様　SB24593</v>
      </c>
      <c r="C63" s="4" t="str">
        <f>IFERROR(__xludf.DUMMYFUNCTION("""COMPUTED_VALUE"""),"大中誠二様　SB24593")</f>
        <v>大中誠二様　SB24593</v>
      </c>
      <c r="D63" s="4" t="str">
        <f>IFERROR(__xludf.DUMMYFUNCTION("""COMPUTED_VALUE"""),"大中誠二様　SB24593")</f>
        <v>大中誠二様　SB24593</v>
      </c>
      <c r="E63" s="4" t="str">
        <f>IFERROR(__xludf.DUMMYFUNCTION("""COMPUTED_VALUE"""),"売掛金")</f>
        <v>売掛金</v>
      </c>
      <c r="F63" s="18">
        <f>IFERROR(__xludf.DUMMYFUNCTION("""COMPUTED_VALUE"""),93260.0)</f>
        <v>93260</v>
      </c>
      <c r="G63" s="4" t="str">
        <f>IFERROR(__xludf.DUMMYFUNCTION("""COMPUTED_VALUE"""),"入金")</f>
        <v>入金</v>
      </c>
      <c r="H63" s="4" t="str">
        <f>IFERROR(__xludf.DUMMYFUNCTION("""COMPUTED_VALUE"""),"要確認")</f>
        <v>要確認</v>
      </c>
      <c r="I63" s="4"/>
      <c r="J63" s="4"/>
      <c r="K63" s="19">
        <f>IFERROR(__xludf.DUMMYFUNCTION("""COMPUTED_VALUE"""),46143.0)</f>
        <v>46143</v>
      </c>
      <c r="L63" s="4"/>
      <c r="M63" s="4" t="str">
        <f>IFERROR(__xludf.DUMMYFUNCTION("""COMPUTED_VALUE"""),"20260508.2hori .xlsx.csv")</f>
        <v>20260508.2hori .xlsx.csv</v>
      </c>
    </row>
    <row r="64" ht="15.75" customHeight="1">
      <c r="A64" s="17">
        <f>IFERROR(__xludf.DUMMYFUNCTION("""COMPUTED_VALUE"""),46149.0)</f>
        <v>46149</v>
      </c>
      <c r="B64" s="4" t="str">
        <f>IFERROR(__xludf.DUMMYFUNCTION("""COMPUTED_VALUE"""),"該当なし 振込1 オリコ")</f>
        <v>該当なし 振込1 オリコ</v>
      </c>
      <c r="C64" s="4" t="str">
        <f>IFERROR(__xludf.DUMMYFUNCTION("""COMPUTED_VALUE"""),"該当なし 振込1 オリコ")</f>
        <v>該当なし 振込1 オリコ</v>
      </c>
      <c r="D64" s="4" t="str">
        <f>IFERROR(__xludf.DUMMYFUNCTION("""COMPUTED_VALUE"""),"該当なし 振込1 オリコ")</f>
        <v>該当なし 振込1 オリコ</v>
      </c>
      <c r="E64" s="4" t="str">
        <f>IFERROR(__xludf.DUMMYFUNCTION("""COMPUTED_VALUE"""),"諸口")</f>
        <v>諸口</v>
      </c>
      <c r="F64" s="18">
        <f>IFERROR(__xludf.DUMMYFUNCTION("""COMPUTED_VALUE"""),8265500.0)</f>
        <v>8265500</v>
      </c>
      <c r="G64" s="4" t="str">
        <f>IFERROR(__xludf.DUMMYFUNCTION("""COMPUTED_VALUE"""),"入金")</f>
        <v>入金</v>
      </c>
      <c r="H64" s="4" t="str">
        <f>IFERROR(__xludf.DUMMYFUNCTION("""COMPUTED_VALUE"""),"要確認")</f>
        <v>要確認</v>
      </c>
      <c r="I64" s="4"/>
      <c r="J64" s="4"/>
      <c r="K64" s="19">
        <f>IFERROR(__xludf.DUMMYFUNCTION("""COMPUTED_VALUE"""),46143.0)</f>
        <v>46143</v>
      </c>
      <c r="L64" s="4"/>
      <c r="M64" s="4" t="str">
        <f>IFERROR(__xludf.DUMMYFUNCTION("""COMPUTED_VALUE"""),"20260508.1hori .xlsx.csv")</f>
        <v>20260508.1hori .xlsx.csv</v>
      </c>
    </row>
    <row r="65" ht="15.75" customHeight="1">
      <c r="A65" s="17">
        <f>IFERROR(__xludf.DUMMYFUNCTION("""COMPUTED_VALUE"""),46150.0)</f>
        <v>46150</v>
      </c>
      <c r="B65" s="4" t="str">
        <f>IFERROR(__xludf.DUMMYFUNCTION("""COMPUTED_VALUE"""),"手形貸付　短期借入金　1,000万円　R8/05/08～【支払期日9/10】")</f>
        <v>手形貸付　短期借入金　1,000万円　R8/05/08～【支払期日9/10】</v>
      </c>
      <c r="C65" s="4" t="str">
        <f>IFERROR(__xludf.DUMMYFUNCTION("""COMPUTED_VALUE"""),"手形貸付　短期借入金　1,000万円　R8/05/08～【支払期日9/10】")</f>
        <v>手形貸付　短期借入金　1,000万円　R8/05/08～【支払期日9/10】</v>
      </c>
      <c r="D65" s="4" t="str">
        <f>IFERROR(__xludf.DUMMYFUNCTION("""COMPUTED_VALUE"""),"手形貸付　短期借入金　1,000万円　R8/05/08～【支払期日9/10】")</f>
        <v>手形貸付　短期借入金　1,000万円　R8/05/08～【支払期日9/10】</v>
      </c>
      <c r="E65" s="4" t="str">
        <f>IFERROR(__xludf.DUMMYFUNCTION("""COMPUTED_VALUE"""),"短期借入金")</f>
        <v>短期借入金</v>
      </c>
      <c r="F65" s="18">
        <f>IFERROR(__xludf.DUMMYFUNCTION("""COMPUTED_VALUE"""),9913699.0)</f>
        <v>9913699</v>
      </c>
      <c r="G65" s="4" t="str">
        <f>IFERROR(__xludf.DUMMYFUNCTION("""COMPUTED_VALUE"""),"入金")</f>
        <v>入金</v>
      </c>
      <c r="H65" s="4" t="str">
        <f>IFERROR(__xludf.DUMMYFUNCTION("""COMPUTED_VALUE"""),"対象外")</f>
        <v>対象外</v>
      </c>
      <c r="I65" s="4"/>
      <c r="J65" s="4"/>
      <c r="K65" s="19">
        <f>IFERROR(__xludf.DUMMYFUNCTION("""COMPUTED_VALUE"""),46143.0)</f>
        <v>46143</v>
      </c>
      <c r="L65" s="4"/>
      <c r="M65" s="4" t="str">
        <f>IFERROR(__xludf.DUMMYFUNCTION("""COMPUTED_VALUE"""),"20260508.1hori .xlsx.csv")</f>
        <v>20260508.1hori .xlsx.csv</v>
      </c>
    </row>
    <row r="66" ht="15.75" customHeight="1">
      <c r="A66" s="17">
        <f>IFERROR(__xludf.DUMMYFUNCTION("""COMPUTED_VALUE"""),46143.0)</f>
        <v>46143</v>
      </c>
      <c r="B66" s="4" t="str">
        <f>IFERROR(__xludf.DUMMYFUNCTION("""COMPUTED_VALUE"""),"もみじへ資金移動")</f>
        <v>もみじへ資金移動</v>
      </c>
      <c r="C66" s="4" t="str">
        <f>IFERROR(__xludf.DUMMYFUNCTION("""COMPUTED_VALUE"""),"もみじへ資金移動")</f>
        <v>もみじへ資金移動</v>
      </c>
      <c r="D66" s="4" t="str">
        <f>IFERROR(__xludf.DUMMYFUNCTION("""COMPUTED_VALUE"""),"広銀蔵王よりもみじへ資金移動")</f>
        <v>広銀蔵王よりもみじへ資金移動</v>
      </c>
      <c r="E66" s="4" t="str">
        <f>IFERROR(__xludf.DUMMYFUNCTION("""COMPUTED_VALUE"""),"普通預金(入金)")</f>
        <v>普通預金(入金)</v>
      </c>
      <c r="F66" s="18">
        <f>IFERROR(__xludf.DUMMYFUNCTION("""COMPUTED_VALUE"""),2000000.0)</f>
        <v>2000000</v>
      </c>
      <c r="G66" s="4" t="str">
        <f>IFERROR(__xludf.DUMMYFUNCTION("""COMPUTED_VALUE"""),"入金")</f>
        <v>入金</v>
      </c>
      <c r="H66" s="4" t="str">
        <f>IFERROR(__xludf.DUMMYFUNCTION("""COMPUTED_VALUE"""),"対象外")</f>
        <v>対象外</v>
      </c>
      <c r="I66" s="4"/>
      <c r="J66" s="4"/>
      <c r="K66" s="19">
        <f>IFERROR(__xludf.DUMMYFUNCTION("""COMPUTED_VALUE"""),46143.0)</f>
        <v>46143</v>
      </c>
      <c r="L66" s="4"/>
      <c r="M66" s="4" t="str">
        <f>IFERROR(__xludf.DUMMYFUNCTION("""COMPUTED_VALUE"""),"20260507.2hori .xlsx.csv")</f>
        <v>20260507.2hori .xlsx.csv</v>
      </c>
    </row>
    <row r="67" ht="15.75" customHeight="1">
      <c r="A67" s="17">
        <f>IFERROR(__xludf.DUMMYFUNCTION("""COMPUTED_VALUE"""),46140.0)</f>
        <v>46140</v>
      </c>
      <c r="B67" s="4" t="str">
        <f>IFERROR(__xludf.DUMMYFUNCTION("""COMPUTED_VALUE"""),"映ｸﾗ㈱様　CH3844")</f>
        <v>映ｸﾗ㈱様　CH3844</v>
      </c>
      <c r="C67" s="4" t="str">
        <f>IFERROR(__xludf.DUMMYFUNCTION("""COMPUTED_VALUE"""),"映ｸﾗ㈱様　CH3844")</f>
        <v>映ｸﾗ㈱様　CH3844</v>
      </c>
      <c r="D67" s="4" t="str">
        <f>IFERROR(__xludf.DUMMYFUNCTION("""COMPUTED_VALUE"""),"映ｸﾗ㈱様　CH3844")</f>
        <v>映ｸﾗ㈱様　CH3844</v>
      </c>
      <c r="E67" s="4" t="str">
        <f>IFERROR(__xludf.DUMMYFUNCTION("""COMPUTED_VALUE"""),"売掛金")</f>
        <v>売掛金</v>
      </c>
      <c r="F67" s="18">
        <f>IFERROR(__xludf.DUMMYFUNCTION("""COMPUTED_VALUE"""),1100000.0)</f>
        <v>1100000</v>
      </c>
      <c r="G67" s="4" t="str">
        <f>IFERROR(__xludf.DUMMYFUNCTION("""COMPUTED_VALUE"""),"入金")</f>
        <v>入金</v>
      </c>
      <c r="H67" s="4" t="str">
        <f>IFERROR(__xludf.DUMMYFUNCTION("""COMPUTED_VALUE"""),"要確認")</f>
        <v>要確認</v>
      </c>
      <c r="I67" s="4"/>
      <c r="J67" s="4"/>
      <c r="K67" s="19">
        <f>IFERROR(__xludf.DUMMYFUNCTION("""COMPUTED_VALUE"""),46113.0)</f>
        <v>46113</v>
      </c>
      <c r="L67" s="4"/>
      <c r="M67" s="4" t="str">
        <f>IFERROR(__xludf.DUMMYFUNCTION("""COMPUTED_VALUE"""),"20260430.2hori .xlsx.csv")</f>
        <v>20260430.2hori .xlsx.csv</v>
      </c>
    </row>
    <row r="68" ht="15.75" customHeight="1">
      <c r="A68" s="17">
        <f>IFERROR(__xludf.DUMMYFUNCTION("""COMPUTED_VALUE"""),46140.0)</f>
        <v>46140</v>
      </c>
      <c r="B68" s="4" t="str">
        <f>IFERROR(__xludf.DUMMYFUNCTION("""COMPUTED_VALUE"""),"該当なし ミツイスミトモカイジヨウB")</f>
        <v>該当なし ミツイスミトモカイジヨウB</v>
      </c>
      <c r="C68" s="4" t="str">
        <f>IFERROR(__xludf.DUMMYFUNCTION("""COMPUTED_VALUE"""),"該当なし ミツイスミトモカイジヨウB")</f>
        <v>該当なし ミツイスミトモカイジヨウB</v>
      </c>
      <c r="D68" s="4" t="str">
        <f>IFERROR(__xludf.DUMMYFUNCTION("""COMPUTED_VALUE"""),"該当なし ミツイスミトモカイジヨウB")</f>
        <v>該当なし ミツイスミトモカイジヨウB</v>
      </c>
      <c r="E68" s="4" t="str">
        <f>IFERROR(__xludf.DUMMYFUNCTION("""COMPUTED_VALUE"""),"諸口")</f>
        <v>諸口</v>
      </c>
      <c r="F68" s="18">
        <f>IFERROR(__xludf.DUMMYFUNCTION("""COMPUTED_VALUE"""),100000.0)</f>
        <v>100000</v>
      </c>
      <c r="G68" s="4" t="str">
        <f>IFERROR(__xludf.DUMMYFUNCTION("""COMPUTED_VALUE"""),"入金")</f>
        <v>入金</v>
      </c>
      <c r="H68" s="4" t="str">
        <f>IFERROR(__xludf.DUMMYFUNCTION("""COMPUTED_VALUE"""),"要確認")</f>
        <v>要確認</v>
      </c>
      <c r="I68" s="4"/>
      <c r="J68" s="4"/>
      <c r="K68" s="19">
        <f>IFERROR(__xludf.DUMMYFUNCTION("""COMPUTED_VALUE"""),46113.0)</f>
        <v>46113</v>
      </c>
      <c r="L68" s="4"/>
      <c r="M68" s="4" t="str">
        <f>IFERROR(__xludf.DUMMYFUNCTION("""COMPUTED_VALUE"""),"20260430.2hori .xlsx.csv")</f>
        <v>20260430.2hori .xlsx.csv</v>
      </c>
    </row>
    <row r="69" ht="15.75" customHeight="1">
      <c r="A69" s="17">
        <f>IFERROR(__xludf.DUMMYFUNCTION("""COMPUTED_VALUE"""),46140.0)</f>
        <v>46140</v>
      </c>
      <c r="B69" s="4" t="str">
        <f>IFERROR(__xludf.DUMMYFUNCTION("""COMPUTED_VALUE"""),"関根ﾜｶﾅ様　SB24524")</f>
        <v>関根ﾜｶﾅ様　SB24524</v>
      </c>
      <c r="C69" s="4" t="str">
        <f>IFERROR(__xludf.DUMMYFUNCTION("""COMPUTED_VALUE"""),"関根ﾜｶﾅ様　SB24524")</f>
        <v>関根ﾜｶﾅ様　SB24524</v>
      </c>
      <c r="D69" s="4" t="str">
        <f>IFERROR(__xludf.DUMMYFUNCTION("""COMPUTED_VALUE"""),"関根ﾜｶﾅ様　SB24524")</f>
        <v>関根ﾜｶﾅ様　SB24524</v>
      </c>
      <c r="E69" s="4" t="str">
        <f>IFERROR(__xludf.DUMMYFUNCTION("""COMPUTED_VALUE"""),"売掛金")</f>
        <v>売掛金</v>
      </c>
      <c r="F69" s="18">
        <f>IFERROR(__xludf.DUMMYFUNCTION("""COMPUTED_VALUE"""),93720.0)</f>
        <v>93720</v>
      </c>
      <c r="G69" s="4" t="str">
        <f>IFERROR(__xludf.DUMMYFUNCTION("""COMPUTED_VALUE"""),"入金")</f>
        <v>入金</v>
      </c>
      <c r="H69" s="4" t="str">
        <f>IFERROR(__xludf.DUMMYFUNCTION("""COMPUTED_VALUE"""),"自動消込")</f>
        <v>自動消込</v>
      </c>
      <c r="I69" s="4" t="str">
        <f>IFERROR(__xludf.DUMMYFUNCTION("""COMPUTED_VALUE"""),"KK00000660")</f>
        <v>KK00000660</v>
      </c>
      <c r="J69" s="4" t="str">
        <f>IFERROR(__xludf.DUMMYFUNCTION("""COMPUTED_VALUE"""),"SB00024524")</f>
        <v>SB00024524</v>
      </c>
      <c r="K69" s="19">
        <f>IFERROR(__xludf.DUMMYFUNCTION("""COMPUTED_VALUE"""),46113.0)</f>
        <v>46113</v>
      </c>
      <c r="L69" s="4"/>
      <c r="M69" s="4" t="str">
        <f>IFERROR(__xludf.DUMMYFUNCTION("""COMPUTED_VALUE"""),"20260430.2hori .xlsx.csv")</f>
        <v>20260430.2hori .xlsx.csv</v>
      </c>
    </row>
    <row r="70" ht="15.75" customHeight="1">
      <c r="A70" s="17">
        <f>IFERROR(__xludf.DUMMYFUNCTION("""COMPUTED_VALUE"""),46142.0)</f>
        <v>46142</v>
      </c>
      <c r="B70" s="4" t="str">
        <f>IFERROR(__xludf.DUMMYFUNCTION("""COMPUTED_VALUE"""),"㈱ｾﾞﾈｺｽ様　SB24529")</f>
        <v>㈱ｾﾞﾈｺｽ様　SB24529</v>
      </c>
      <c r="C70" s="4" t="str">
        <f>IFERROR(__xludf.DUMMYFUNCTION("""COMPUTED_VALUE"""),"㈱ｾﾞﾈｺｽ様　SB24529")</f>
        <v>㈱ｾﾞﾈｺｽ様　SB24529</v>
      </c>
      <c r="D70" s="4" t="str">
        <f>IFERROR(__xludf.DUMMYFUNCTION("""COMPUTED_VALUE"""),"㈱ｾﾞﾈｺｽ様　SB24529")</f>
        <v>㈱ｾﾞﾈｺｽ様　SB24529</v>
      </c>
      <c r="E70" s="4" t="str">
        <f>IFERROR(__xludf.DUMMYFUNCTION("""COMPUTED_VALUE"""),"売掛金")</f>
        <v>売掛金</v>
      </c>
      <c r="F70" s="18">
        <f>IFERROR(__xludf.DUMMYFUNCTION("""COMPUTED_VALUE"""),282690.0)</f>
        <v>282690</v>
      </c>
      <c r="G70" s="4" t="str">
        <f>IFERROR(__xludf.DUMMYFUNCTION("""COMPUTED_VALUE"""),"入金")</f>
        <v>入金</v>
      </c>
      <c r="H70" s="4" t="str">
        <f>IFERROR(__xludf.DUMMYFUNCTION("""COMPUTED_VALUE"""),"要確認")</f>
        <v>要確認</v>
      </c>
      <c r="I70" s="4"/>
      <c r="J70" s="4"/>
      <c r="K70" s="19">
        <f>IFERROR(__xludf.DUMMYFUNCTION("""COMPUTED_VALUE"""),46113.0)</f>
        <v>46113</v>
      </c>
      <c r="L70" s="4"/>
      <c r="M70" s="4" t="str">
        <f>IFERROR(__xludf.DUMMYFUNCTION("""COMPUTED_VALUE"""),"20260430.2hori .xlsx.csv")</f>
        <v>20260430.2hori .xlsx.csv</v>
      </c>
    </row>
    <row r="71" ht="15.75" customHeight="1">
      <c r="A71" s="17">
        <f>IFERROR(__xludf.DUMMYFUNCTION("""COMPUTED_VALUE"""),46142.0)</f>
        <v>46142</v>
      </c>
      <c r="B71" s="4" t="str">
        <f>IFERROR(__xludf.DUMMYFUNCTION("""COMPUTED_VALUE"""),"㈱円福寺様　SB24510")</f>
        <v>㈱円福寺様　SB24510</v>
      </c>
      <c r="C71" s="4" t="str">
        <f>IFERROR(__xludf.DUMMYFUNCTION("""COMPUTED_VALUE"""),"㈱円福寺様　SB24510")</f>
        <v>㈱円福寺様　SB24510</v>
      </c>
      <c r="D71" s="4" t="str">
        <f>IFERROR(__xludf.DUMMYFUNCTION("""COMPUTED_VALUE"""),"㈱円福寺様　SB24510")</f>
        <v>㈱円福寺様　SB24510</v>
      </c>
      <c r="E71" s="4" t="str">
        <f>IFERROR(__xludf.DUMMYFUNCTION("""COMPUTED_VALUE"""),"売掛金")</f>
        <v>売掛金</v>
      </c>
      <c r="F71" s="18">
        <f>IFERROR(__xludf.DUMMYFUNCTION("""COMPUTED_VALUE"""),3850.0)</f>
        <v>3850</v>
      </c>
      <c r="G71" s="4" t="str">
        <f>IFERROR(__xludf.DUMMYFUNCTION("""COMPUTED_VALUE"""),"入金")</f>
        <v>入金</v>
      </c>
      <c r="H71" s="4" t="str">
        <f>IFERROR(__xludf.DUMMYFUNCTION("""COMPUTED_VALUE"""),"自動消込")</f>
        <v>自動消込</v>
      </c>
      <c r="I71" s="4" t="str">
        <f>IFERROR(__xludf.DUMMYFUNCTION("""COMPUTED_VALUE"""),"KK00006243")</f>
        <v>KK00006243</v>
      </c>
      <c r="J71" s="4" t="str">
        <f>IFERROR(__xludf.DUMMYFUNCTION("""COMPUTED_VALUE"""),"SB00024510")</f>
        <v>SB00024510</v>
      </c>
      <c r="K71" s="19">
        <f>IFERROR(__xludf.DUMMYFUNCTION("""COMPUTED_VALUE"""),46113.0)</f>
        <v>46113</v>
      </c>
      <c r="L71" s="4"/>
      <c r="M71" s="4" t="str">
        <f>IFERROR(__xludf.DUMMYFUNCTION("""COMPUTED_VALUE"""),"20260430.2hori .xlsx.csv")</f>
        <v>20260430.2hori .xlsx.csv</v>
      </c>
    </row>
    <row r="72" ht="15.75" customHeight="1">
      <c r="A72" s="17">
        <f>IFERROR(__xludf.DUMMYFUNCTION("""COMPUTED_VALUE"""),46142.0)</f>
        <v>46142</v>
      </c>
      <c r="B72" s="4" t="str">
        <f>IFERROR(__xludf.DUMMYFUNCTION("""COMPUTED_VALUE"""),"㈱はなまる様　CH3839")</f>
        <v>㈱はなまる様　CH3839</v>
      </c>
      <c r="C72" s="4" t="str">
        <f>IFERROR(__xludf.DUMMYFUNCTION("""COMPUTED_VALUE"""),"㈱はなまる様　CH3839")</f>
        <v>㈱はなまる様　CH3839</v>
      </c>
      <c r="D72" s="4" t="str">
        <f>IFERROR(__xludf.DUMMYFUNCTION("""COMPUTED_VALUE"""),"㈱はなまる様　CH3839")</f>
        <v>㈱はなまる様　CH3839</v>
      </c>
      <c r="E72" s="4" t="str">
        <f>IFERROR(__xludf.DUMMYFUNCTION("""COMPUTED_VALUE"""),"売掛金")</f>
        <v>売掛金</v>
      </c>
      <c r="F72" s="18">
        <f>IFERROR(__xludf.DUMMYFUNCTION("""COMPUTED_VALUE"""),842430.0)</f>
        <v>842430</v>
      </c>
      <c r="G72" s="4" t="str">
        <f>IFERROR(__xludf.DUMMYFUNCTION("""COMPUTED_VALUE"""),"入金")</f>
        <v>入金</v>
      </c>
      <c r="H72" s="4" t="str">
        <f>IFERROR(__xludf.DUMMYFUNCTION("""COMPUTED_VALUE"""),"要確認")</f>
        <v>要確認</v>
      </c>
      <c r="I72" s="4"/>
      <c r="J72" s="4"/>
      <c r="K72" s="19">
        <f>IFERROR(__xludf.DUMMYFUNCTION("""COMPUTED_VALUE"""),46113.0)</f>
        <v>46113</v>
      </c>
      <c r="L72" s="4"/>
      <c r="M72" s="4" t="str">
        <f>IFERROR(__xludf.DUMMYFUNCTION("""COMPUTED_VALUE"""),"20260430.2hori .xlsx.csv")</f>
        <v>20260430.2hori .xlsx.csv</v>
      </c>
    </row>
    <row r="73" ht="15.75" customHeight="1">
      <c r="A73" s="17">
        <f>IFERROR(__xludf.DUMMYFUNCTION("""COMPUTED_VALUE"""),46142.0)</f>
        <v>46142</v>
      </c>
      <c r="B73" s="4" t="str">
        <f>IFERROR(__xludf.DUMMYFUNCTION("""COMPUTED_VALUE"""),"㈱ﾙｯｸ様　SB24547")</f>
        <v>㈱ﾙｯｸ様　SB24547</v>
      </c>
      <c r="C73" s="4" t="str">
        <f>IFERROR(__xludf.DUMMYFUNCTION("""COMPUTED_VALUE"""),"㈱ﾙｯｸ様　SB24547")</f>
        <v>㈱ﾙｯｸ様　SB24547</v>
      </c>
      <c r="D73" s="4" t="str">
        <f>IFERROR(__xludf.DUMMYFUNCTION("""COMPUTED_VALUE"""),"㈱ﾙｯｸ様　SB24547")</f>
        <v>㈱ﾙｯｸ様　SB24547</v>
      </c>
      <c r="E73" s="4" t="str">
        <f>IFERROR(__xludf.DUMMYFUNCTION("""COMPUTED_VALUE"""),"売掛金")</f>
        <v>売掛金</v>
      </c>
      <c r="F73" s="18">
        <f>IFERROR(__xludf.DUMMYFUNCTION("""COMPUTED_VALUE"""),137410.0)</f>
        <v>137410</v>
      </c>
      <c r="G73" s="4" t="str">
        <f>IFERROR(__xludf.DUMMYFUNCTION("""COMPUTED_VALUE"""),"入金")</f>
        <v>入金</v>
      </c>
      <c r="H73" s="4" t="str">
        <f>IFERROR(__xludf.DUMMYFUNCTION("""COMPUTED_VALUE"""),"自動消込")</f>
        <v>自動消込</v>
      </c>
      <c r="I73" s="4" t="str">
        <f>IFERROR(__xludf.DUMMYFUNCTION("""COMPUTED_VALUE"""),"KK00001702")</f>
        <v>KK00001702</v>
      </c>
      <c r="J73" s="4" t="str">
        <f>IFERROR(__xludf.DUMMYFUNCTION("""COMPUTED_VALUE"""),"SB00024547")</f>
        <v>SB00024547</v>
      </c>
      <c r="K73" s="19">
        <f>IFERROR(__xludf.DUMMYFUNCTION("""COMPUTED_VALUE"""),46113.0)</f>
        <v>46113</v>
      </c>
      <c r="L73" s="4"/>
      <c r="M73" s="4" t="str">
        <f>IFERROR(__xludf.DUMMYFUNCTION("""COMPUTED_VALUE"""),"20260430.2hori .xlsx.csv")</f>
        <v>20260430.2hori .xlsx.csv</v>
      </c>
    </row>
    <row r="74" ht="15.75" customHeight="1">
      <c r="A74" s="17">
        <f>IFERROR(__xludf.DUMMYFUNCTION("""COMPUTED_VALUE"""),46142.0)</f>
        <v>46142</v>
      </c>
      <c r="B74" s="4" t="str">
        <f>IFERROR(__xludf.DUMMYFUNCTION("""COMPUTED_VALUE"""),"㈱水島設備様　SB24556")</f>
        <v>㈱水島設備様　SB24556</v>
      </c>
      <c r="C74" s="4" t="str">
        <f>IFERROR(__xludf.DUMMYFUNCTION("""COMPUTED_VALUE"""),"㈱水島設備様　SB24556")</f>
        <v>㈱水島設備様　SB24556</v>
      </c>
      <c r="D74" s="4" t="str">
        <f>IFERROR(__xludf.DUMMYFUNCTION("""COMPUTED_VALUE"""),"㈱水島設備様　SB24556")</f>
        <v>㈱水島設備様　SB24556</v>
      </c>
      <c r="E74" s="4" t="str">
        <f>IFERROR(__xludf.DUMMYFUNCTION("""COMPUTED_VALUE"""),"売掛金")</f>
        <v>売掛金</v>
      </c>
      <c r="F74" s="18">
        <f>IFERROR(__xludf.DUMMYFUNCTION("""COMPUTED_VALUE"""),188100.0)</f>
        <v>188100</v>
      </c>
      <c r="G74" s="4" t="str">
        <f>IFERROR(__xludf.DUMMYFUNCTION("""COMPUTED_VALUE"""),"入金")</f>
        <v>入金</v>
      </c>
      <c r="H74" s="4" t="str">
        <f>IFERROR(__xludf.DUMMYFUNCTION("""COMPUTED_VALUE"""),"要確認")</f>
        <v>要確認</v>
      </c>
      <c r="I74" s="4"/>
      <c r="J74" s="4"/>
      <c r="K74" s="19">
        <f>IFERROR(__xludf.DUMMYFUNCTION("""COMPUTED_VALUE"""),46113.0)</f>
        <v>46113</v>
      </c>
      <c r="L74" s="4"/>
      <c r="M74" s="4" t="str">
        <f>IFERROR(__xludf.DUMMYFUNCTION("""COMPUTED_VALUE"""),"20260430.2hori .xlsx.csv")</f>
        <v>20260430.2hori .xlsx.csv</v>
      </c>
    </row>
    <row r="75" ht="15.75" customHeight="1">
      <c r="A75" s="17">
        <f>IFERROR(__xludf.DUMMYFUNCTION("""COMPUTED_VALUE"""),46139.0)</f>
        <v>46139</v>
      </c>
      <c r="B75" s="4" t="str">
        <f>IFERROR(__xludf.DUMMYFUNCTION("""COMPUTED_VALUE"""),"笠信へ資金移動")</f>
        <v>笠信へ資金移動</v>
      </c>
      <c r="C75" s="4" t="str">
        <f>IFERROR(__xludf.DUMMYFUNCTION("""COMPUTED_VALUE"""),"笠信へ資金移動")</f>
        <v>笠信へ資金移動</v>
      </c>
      <c r="D75" s="4" t="str">
        <f>IFERROR(__xludf.DUMMYFUNCTION("""COMPUTED_VALUE"""),"広銀本社から笠信へ資金移動")</f>
        <v>広銀本社から笠信へ資金移動</v>
      </c>
      <c r="E75" s="4" t="str">
        <f>IFERROR(__xludf.DUMMYFUNCTION("""COMPUTED_VALUE"""),"普通預金")</f>
        <v>普通預金</v>
      </c>
      <c r="F75" s="18">
        <f>IFERROR(__xludf.DUMMYFUNCTION("""COMPUTED_VALUE"""),5000000.0)</f>
        <v>5000000</v>
      </c>
      <c r="G75" s="4" t="str">
        <f>IFERROR(__xludf.DUMMYFUNCTION("""COMPUTED_VALUE"""),"入金")</f>
        <v>入金</v>
      </c>
      <c r="H75" s="4" t="str">
        <f>IFERROR(__xludf.DUMMYFUNCTION("""COMPUTED_VALUE"""),"対象外")</f>
        <v>対象外</v>
      </c>
      <c r="I75" s="4"/>
      <c r="J75" s="4"/>
      <c r="K75" s="19">
        <f>IFERROR(__xludf.DUMMYFUNCTION("""COMPUTED_VALUE"""),46113.0)</f>
        <v>46113</v>
      </c>
      <c r="L75" s="4"/>
      <c r="M75" s="4" t="str">
        <f>IFERROR(__xludf.DUMMYFUNCTION("""COMPUTED_VALUE"""),"20260430.1hori .xlsx.csv")</f>
        <v>20260430.1hori .xlsx.csv</v>
      </c>
    </row>
    <row r="76" ht="15.75" customHeight="1">
      <c r="A76" s="17">
        <f>IFERROR(__xludf.DUMMYFUNCTION("""COMPUTED_VALUE"""),46139.0)</f>
        <v>46139</v>
      </c>
      <c r="B76" s="4" t="str">
        <f>IFERROR(__xludf.DUMMYFUNCTION("""COMPUTED_VALUE"""),"広銀本社へ資金移動")</f>
        <v>広銀本社へ資金移動</v>
      </c>
      <c r="C76" s="4" t="str">
        <f>IFERROR(__xludf.DUMMYFUNCTION("""COMPUTED_VALUE"""),"広銀本社へ資金移動")</f>
        <v>広銀本社へ資金移動</v>
      </c>
      <c r="D76" s="4" t="str">
        <f>IFERROR(__xludf.DUMMYFUNCTION("""COMPUTED_VALUE"""),"広銀蔵王より広銀本社へ資金移動")</f>
        <v>広銀蔵王より広銀本社へ資金移動</v>
      </c>
      <c r="E76" s="4" t="str">
        <f>IFERROR(__xludf.DUMMYFUNCTION("""COMPUTED_VALUE"""),"普通預金(入金)")</f>
        <v>普通預金(入金)</v>
      </c>
      <c r="F76" s="18">
        <f>IFERROR(__xludf.DUMMYFUNCTION("""COMPUTED_VALUE"""),880000.0)</f>
        <v>880000</v>
      </c>
      <c r="G76" s="4" t="str">
        <f>IFERROR(__xludf.DUMMYFUNCTION("""COMPUTED_VALUE"""),"入金")</f>
        <v>入金</v>
      </c>
      <c r="H76" s="4" t="str">
        <f>IFERROR(__xludf.DUMMYFUNCTION("""COMPUTED_VALUE"""),"対象外")</f>
        <v>対象外</v>
      </c>
      <c r="I76" s="4"/>
      <c r="J76" s="4"/>
      <c r="K76" s="19">
        <f>IFERROR(__xludf.DUMMYFUNCTION("""COMPUTED_VALUE"""),46113.0)</f>
        <v>46113</v>
      </c>
      <c r="L76" s="4"/>
      <c r="M76" s="4" t="str">
        <f>IFERROR(__xludf.DUMMYFUNCTION("""COMPUTED_VALUE"""),"20260430.1hori .xlsx.csv")</f>
        <v>20260430.1hori .xlsx.csv</v>
      </c>
    </row>
    <row r="77" ht="15.75" customHeight="1">
      <c r="A77" s="17">
        <f>IFERROR(__xludf.DUMMYFUNCTION("""COMPUTED_VALUE"""),46142.0)</f>
        <v>46142</v>
      </c>
      <c r="B77" s="4" t="str">
        <f>IFERROR(__xludf.DUMMYFUNCTION("""COMPUTED_VALUE"""),"該当なし カ)コンクエスト")</f>
        <v>該当なし カ)コンクエスト</v>
      </c>
      <c r="C77" s="4" t="str">
        <f>IFERROR(__xludf.DUMMYFUNCTION("""COMPUTED_VALUE"""),"該当なし カ)コンクエスト")</f>
        <v>該当なし カ)コンクエスト</v>
      </c>
      <c r="D77" s="4" t="str">
        <f>IFERROR(__xludf.DUMMYFUNCTION("""COMPUTED_VALUE"""),"該当なし カ)コンクエスト")</f>
        <v>該当なし カ)コンクエスト</v>
      </c>
      <c r="E77" s="4" t="str">
        <f>IFERROR(__xludf.DUMMYFUNCTION("""COMPUTED_VALUE"""),"諸口")</f>
        <v>諸口</v>
      </c>
      <c r="F77" s="18">
        <f>IFERROR(__xludf.DUMMYFUNCTION("""COMPUTED_VALUE"""),4327083.0)</f>
        <v>4327083</v>
      </c>
      <c r="G77" s="4" t="str">
        <f>IFERROR(__xludf.DUMMYFUNCTION("""COMPUTED_VALUE"""),"入金")</f>
        <v>入金</v>
      </c>
      <c r="H77" s="4" t="str">
        <f>IFERROR(__xludf.DUMMYFUNCTION("""COMPUTED_VALUE"""),"対象外")</f>
        <v>対象外</v>
      </c>
      <c r="I77" s="4"/>
      <c r="J77" s="4"/>
      <c r="K77" s="19">
        <f>IFERROR(__xludf.DUMMYFUNCTION("""COMPUTED_VALUE"""),46113.0)</f>
        <v>46113</v>
      </c>
      <c r="L77" s="4"/>
      <c r="M77" s="4" t="str">
        <f>IFERROR(__xludf.DUMMYFUNCTION("""COMPUTED_VALUE"""),"20260430.1hori .xlsx.csv")</f>
        <v>20260430.1hori .xlsx.csv</v>
      </c>
    </row>
    <row r="78" ht="15.75" customHeight="1">
      <c r="A78" s="17">
        <f>IFERROR(__xludf.DUMMYFUNCTION("""COMPUTED_VALUE"""),46142.0)</f>
        <v>46142</v>
      </c>
      <c r="B78" s="4" t="str">
        <f>IFERROR(__xludf.DUMMYFUNCTION("""COMPUTED_VALUE"""),"該当なし チユウギンカードVIS")</f>
        <v>該当なし チユウギンカードVIS</v>
      </c>
      <c r="C78" s="4" t="str">
        <f>IFERROR(__xludf.DUMMYFUNCTION("""COMPUTED_VALUE"""),"該当なし チユウギンカードVIS")</f>
        <v>該当なし チユウギンカードVIS</v>
      </c>
      <c r="D78" s="4" t="str">
        <f>IFERROR(__xludf.DUMMYFUNCTION("""COMPUTED_VALUE"""),"該当なし チユウギンカードVIS")</f>
        <v>該当なし チユウギンカードVIS</v>
      </c>
      <c r="E78" s="4" t="str">
        <f>IFERROR(__xludf.DUMMYFUNCTION("""COMPUTED_VALUE"""),"諸口")</f>
        <v>諸口</v>
      </c>
      <c r="F78" s="18">
        <f>IFERROR(__xludf.DUMMYFUNCTION("""COMPUTED_VALUE"""),296214.0)</f>
        <v>296214</v>
      </c>
      <c r="G78" s="4" t="str">
        <f>IFERROR(__xludf.DUMMYFUNCTION("""COMPUTED_VALUE"""),"入金")</f>
        <v>入金</v>
      </c>
      <c r="H78" s="4" t="str">
        <f>IFERROR(__xludf.DUMMYFUNCTION("""COMPUTED_VALUE"""),"要確認")</f>
        <v>要確認</v>
      </c>
      <c r="I78" s="4"/>
      <c r="J78" s="4"/>
      <c r="K78" s="19">
        <f>IFERROR(__xludf.DUMMYFUNCTION("""COMPUTED_VALUE"""),46113.0)</f>
        <v>46113</v>
      </c>
      <c r="L78" s="4"/>
      <c r="M78" s="4" t="str">
        <f>IFERROR(__xludf.DUMMYFUNCTION("""COMPUTED_VALUE"""),"20260430.1hori .xlsx.csv")</f>
        <v>20260430.1hori .xlsx.csv</v>
      </c>
    </row>
    <row r="79" ht="15.75" customHeight="1">
      <c r="A79" s="17">
        <f>IFERROR(__xludf.DUMMYFUNCTION("""COMPUTED_VALUE"""),46142.0)</f>
        <v>46142</v>
      </c>
      <c r="B79" s="4" t="str">
        <f>IFERROR(__xludf.DUMMYFUNCTION("""COMPUTED_VALUE"""),"該当なし チユウギンカードJCB")</f>
        <v>該当なし チユウギンカードJCB</v>
      </c>
      <c r="C79" s="4" t="str">
        <f>IFERROR(__xludf.DUMMYFUNCTION("""COMPUTED_VALUE"""),"該当なし チユウギンカードJCB")</f>
        <v>該当なし チユウギンカードJCB</v>
      </c>
      <c r="D79" s="4" t="str">
        <f>IFERROR(__xludf.DUMMYFUNCTION("""COMPUTED_VALUE"""),"該当なし チユウギンカードJCB")</f>
        <v>該当なし チユウギンカードJCB</v>
      </c>
      <c r="E79" s="4" t="str">
        <f>IFERROR(__xludf.DUMMYFUNCTION("""COMPUTED_VALUE"""),"諸口")</f>
        <v>諸口</v>
      </c>
      <c r="F79" s="18">
        <f>IFERROR(__xludf.DUMMYFUNCTION("""COMPUTED_VALUE"""),269946.0)</f>
        <v>269946</v>
      </c>
      <c r="G79" s="4" t="str">
        <f>IFERROR(__xludf.DUMMYFUNCTION("""COMPUTED_VALUE"""),"入金")</f>
        <v>入金</v>
      </c>
      <c r="H79" s="4" t="str">
        <f>IFERROR(__xludf.DUMMYFUNCTION("""COMPUTED_VALUE"""),"要確認")</f>
        <v>要確認</v>
      </c>
      <c r="I79" s="4"/>
      <c r="J79" s="4"/>
      <c r="K79" s="19">
        <f>IFERROR(__xludf.DUMMYFUNCTION("""COMPUTED_VALUE"""),46113.0)</f>
        <v>46113</v>
      </c>
      <c r="L79" s="4"/>
      <c r="M79" s="4" t="str">
        <f>IFERROR(__xludf.DUMMYFUNCTION("""COMPUTED_VALUE"""),"20260430.1hori .xlsx.csv")</f>
        <v>20260430.1hori .xlsx.csv</v>
      </c>
    </row>
    <row r="80" ht="15.75" customHeight="1">
      <c r="A80" s="17">
        <f>IFERROR(__xludf.DUMMYFUNCTION("""COMPUTED_VALUE"""),46142.0)</f>
        <v>46142</v>
      </c>
      <c r="B80" s="4" t="str">
        <f>IFERROR(__xludf.DUMMYFUNCTION("""COMPUTED_VALUE"""),"㈱橋本商事　(㈱A’crews)")</f>
        <v>㈱橋本商事　(㈱A’crews)</v>
      </c>
      <c r="C80" s="4" t="str">
        <f>IFERROR(__xludf.DUMMYFUNCTION("""COMPUTED_VALUE"""),"㈱橋本商事　(㈱A’crews)")</f>
        <v>㈱橋本商事　(㈱A’crews)</v>
      </c>
      <c r="D80" s="4" t="str">
        <f>IFERROR(__xludf.DUMMYFUNCTION("""COMPUTED_VALUE"""),"㈱橋本商事　(㈱A’crews)")</f>
        <v>㈱橋本商事　(㈱A’crews)</v>
      </c>
      <c r="E80" s="4" t="str">
        <f>IFERROR(__xludf.DUMMYFUNCTION("""COMPUTED_VALUE"""),"売掛金")</f>
        <v>売掛金</v>
      </c>
      <c r="F80" s="18">
        <f>IFERROR(__xludf.DUMMYFUNCTION("""COMPUTED_VALUE"""),150000.0)</f>
        <v>150000</v>
      </c>
      <c r="G80" s="4" t="str">
        <f>IFERROR(__xludf.DUMMYFUNCTION("""COMPUTED_VALUE"""),"入金")</f>
        <v>入金</v>
      </c>
      <c r="H80" s="4" t="str">
        <f>IFERROR(__xludf.DUMMYFUNCTION("""COMPUTED_VALUE"""),"要確認")</f>
        <v>要確認</v>
      </c>
      <c r="I80" s="4"/>
      <c r="J80" s="4"/>
      <c r="K80" s="19">
        <f>IFERROR(__xludf.DUMMYFUNCTION("""COMPUTED_VALUE"""),46113.0)</f>
        <v>46113</v>
      </c>
      <c r="L80" s="4"/>
      <c r="M80" s="4" t="str">
        <f>IFERROR(__xludf.DUMMYFUNCTION("""COMPUTED_VALUE"""),"20260430.1hori .xlsx.csv")</f>
        <v>20260430.1hori .xlsx.csv</v>
      </c>
    </row>
    <row r="81" ht="15.75" customHeight="1">
      <c r="A81" s="17"/>
      <c r="F81" s="18"/>
    </row>
    <row r="82" ht="15.75" customHeight="1">
      <c r="A82" s="17"/>
      <c r="F82" s="18"/>
    </row>
    <row r="83" ht="15.75" customHeight="1">
      <c r="A83" s="17"/>
      <c r="F83" s="18"/>
    </row>
    <row r="84" ht="15.75" customHeight="1">
      <c r="A84" s="17"/>
      <c r="F84" s="18"/>
    </row>
    <row r="85" ht="15.75" customHeight="1">
      <c r="A85" s="17"/>
      <c r="F85" s="18"/>
    </row>
    <row r="86" ht="15.75" customHeight="1">
      <c r="A86" s="17"/>
      <c r="F86" s="18"/>
    </row>
    <row r="87" ht="15.75" customHeight="1">
      <c r="A87" s="17"/>
      <c r="F87" s="18"/>
    </row>
    <row r="88" ht="15.75" customHeight="1">
      <c r="A88" s="17"/>
      <c r="F88" s="18"/>
    </row>
    <row r="89" ht="15.75" customHeight="1">
      <c r="A89" s="17"/>
      <c r="F89" s="18"/>
    </row>
    <row r="90" ht="15.75" customHeight="1">
      <c r="A90" s="17"/>
      <c r="F90" s="18"/>
    </row>
    <row r="91" ht="15.75" customHeight="1">
      <c r="A91" s="17"/>
      <c r="F91" s="18"/>
    </row>
    <row r="92" ht="15.75" customHeight="1">
      <c r="A92" s="17"/>
      <c r="F92" s="18"/>
    </row>
    <row r="93" ht="15.75" customHeight="1">
      <c r="A93" s="17"/>
      <c r="F93" s="18"/>
    </row>
    <row r="94" ht="15.75" customHeight="1">
      <c r="A94" s="17"/>
      <c r="F94" s="18"/>
    </row>
    <row r="95" ht="15.75" customHeight="1">
      <c r="A95" s="17"/>
      <c r="F95" s="18"/>
    </row>
    <row r="96" ht="15.75" customHeight="1">
      <c r="A96" s="17"/>
      <c r="F96" s="18"/>
    </row>
    <row r="97" ht="15.75" customHeight="1">
      <c r="A97" s="17"/>
      <c r="F97" s="18"/>
    </row>
    <row r="98" ht="15.75" customHeight="1">
      <c r="A98" s="17"/>
      <c r="F98" s="18"/>
    </row>
    <row r="99" ht="15.75" customHeight="1">
      <c r="A99" s="17"/>
      <c r="F99" s="18"/>
    </row>
    <row r="100" ht="15.75" customHeight="1">
      <c r="A100" s="17"/>
      <c r="F100" s="18"/>
    </row>
    <row r="101" ht="15.75" customHeight="1">
      <c r="A101" s="17"/>
      <c r="F101" s="18"/>
    </row>
    <row r="102" ht="15.75" customHeight="1">
      <c r="A102" s="17"/>
      <c r="F102" s="18"/>
    </row>
    <row r="103" ht="15.75" customHeight="1">
      <c r="A103" s="17"/>
      <c r="F103" s="18"/>
    </row>
    <row r="104" ht="15.75" customHeight="1">
      <c r="A104" s="17"/>
      <c r="F104" s="18"/>
    </row>
    <row r="105" ht="15.75" customHeight="1">
      <c r="A105" s="17"/>
      <c r="F105" s="18"/>
    </row>
    <row r="106" ht="15.75" customHeight="1">
      <c r="A106" s="17"/>
      <c r="F106" s="18"/>
    </row>
    <row r="107" ht="15.75" customHeight="1">
      <c r="A107" s="17"/>
      <c r="F107" s="18"/>
    </row>
    <row r="108" ht="15.75" customHeight="1">
      <c r="A108" s="17"/>
      <c r="F108" s="18"/>
    </row>
    <row r="109" ht="15.75" customHeight="1">
      <c r="A109" s="17"/>
      <c r="F109" s="18"/>
    </row>
    <row r="110" ht="15.75" customHeight="1">
      <c r="A110" s="17"/>
      <c r="F110" s="18"/>
    </row>
    <row r="111" ht="15.75" customHeight="1">
      <c r="A111" s="17"/>
      <c r="F111" s="18"/>
    </row>
    <row r="112" ht="15.75" customHeight="1">
      <c r="A112" s="17"/>
      <c r="F112" s="18"/>
    </row>
    <row r="113" ht="15.75" customHeight="1">
      <c r="A113" s="17"/>
      <c r="F113" s="18"/>
    </row>
    <row r="114" ht="15.75" customHeight="1">
      <c r="A114" s="17"/>
      <c r="F114" s="18"/>
    </row>
    <row r="115" ht="15.75" customHeight="1">
      <c r="A115" s="17"/>
      <c r="F115" s="18"/>
    </row>
    <row r="116" ht="15.75" customHeight="1">
      <c r="A116" s="17"/>
      <c r="F116" s="18"/>
    </row>
    <row r="117" ht="15.75" customHeight="1">
      <c r="A117" s="17"/>
      <c r="F117" s="18"/>
    </row>
    <row r="118" ht="15.75" customHeight="1">
      <c r="A118" s="17"/>
      <c r="F118" s="18"/>
    </row>
    <row r="119" ht="15.75" customHeight="1">
      <c r="A119" s="17"/>
      <c r="F119" s="18"/>
    </row>
    <row r="120" ht="15.75" customHeight="1">
      <c r="A120" s="17"/>
      <c r="F120" s="18"/>
    </row>
    <row r="121" ht="15.75" customHeight="1">
      <c r="A121" s="17"/>
      <c r="F121" s="18"/>
    </row>
    <row r="122" ht="15.75" customHeight="1">
      <c r="A122" s="17"/>
      <c r="F122" s="18"/>
    </row>
    <row r="123" ht="15.75" customHeight="1">
      <c r="A123" s="17"/>
      <c r="F123" s="18"/>
    </row>
    <row r="124" ht="15.75" customHeight="1">
      <c r="A124" s="17"/>
      <c r="F124" s="18"/>
    </row>
    <row r="125" ht="15.75" customHeight="1">
      <c r="A125" s="17"/>
      <c r="F125" s="18"/>
    </row>
    <row r="126" ht="15.75" customHeight="1">
      <c r="A126" s="17"/>
      <c r="F126" s="18"/>
    </row>
    <row r="127" ht="15.75" customHeight="1">
      <c r="A127" s="17"/>
      <c r="F127" s="18"/>
    </row>
    <row r="128" ht="15.75" customHeight="1">
      <c r="A128" s="17"/>
      <c r="F128" s="18"/>
    </row>
    <row r="129" ht="15.75" customHeight="1">
      <c r="A129" s="17"/>
      <c r="F129" s="18"/>
    </row>
    <row r="130" ht="15.75" customHeight="1">
      <c r="A130" s="17"/>
      <c r="F130" s="18"/>
    </row>
    <row r="131" ht="15.75" customHeight="1">
      <c r="A131" s="17"/>
      <c r="F131" s="18"/>
    </row>
    <row r="132" ht="15.75" customHeight="1">
      <c r="A132" s="17"/>
      <c r="F132" s="18"/>
    </row>
    <row r="133" ht="15.75" customHeight="1">
      <c r="A133" s="17"/>
      <c r="F133" s="18"/>
    </row>
    <row r="134" ht="15.75" customHeight="1">
      <c r="A134" s="17"/>
      <c r="F134" s="18"/>
    </row>
    <row r="135" ht="15.75" customHeight="1">
      <c r="A135" s="17"/>
      <c r="F135" s="18"/>
    </row>
    <row r="136" ht="15.75" customHeight="1">
      <c r="A136" s="17"/>
      <c r="F136" s="18"/>
    </row>
    <row r="137" ht="15.75" customHeight="1">
      <c r="A137" s="17"/>
      <c r="F137" s="18"/>
    </row>
    <row r="138" ht="15.75" customHeight="1">
      <c r="A138" s="17"/>
      <c r="F138" s="18"/>
    </row>
    <row r="139" ht="15.75" customHeight="1">
      <c r="A139" s="17"/>
      <c r="F139" s="18"/>
    </row>
    <row r="140" ht="15.75" customHeight="1">
      <c r="A140" s="17"/>
      <c r="F140" s="18"/>
    </row>
    <row r="141" ht="15.75" customHeight="1">
      <c r="A141" s="17"/>
      <c r="F141" s="18"/>
    </row>
    <row r="142" ht="15.75" customHeight="1">
      <c r="A142" s="17"/>
      <c r="F142" s="18"/>
    </row>
    <row r="143" ht="15.75" customHeight="1">
      <c r="A143" s="17"/>
      <c r="F143" s="18"/>
    </row>
    <row r="144" ht="15.75" customHeight="1">
      <c r="A144" s="17"/>
      <c r="F144" s="18"/>
    </row>
    <row r="145" ht="15.75" customHeight="1">
      <c r="A145" s="17"/>
      <c r="F145" s="18"/>
    </row>
    <row r="146" ht="15.75" customHeight="1">
      <c r="A146" s="17"/>
      <c r="F146" s="18"/>
    </row>
    <row r="147" ht="15.75" customHeight="1">
      <c r="A147" s="17"/>
      <c r="F147" s="18"/>
    </row>
    <row r="148" ht="15.75" customHeight="1">
      <c r="A148" s="17"/>
      <c r="F148" s="18"/>
    </row>
    <row r="149" ht="15.75" customHeight="1">
      <c r="A149" s="17"/>
      <c r="F149" s="18"/>
    </row>
    <row r="150" ht="15.75" customHeight="1">
      <c r="A150" s="17"/>
      <c r="F150" s="18"/>
    </row>
    <row r="151" ht="15.75" customHeight="1">
      <c r="A151" s="17"/>
      <c r="F151" s="18"/>
    </row>
    <row r="152" ht="15.75" customHeight="1">
      <c r="A152" s="17"/>
      <c r="F152" s="18"/>
    </row>
    <row r="153" ht="15.75" customHeight="1">
      <c r="A153" s="17"/>
      <c r="F153" s="18"/>
    </row>
    <row r="154" ht="15.75" customHeight="1">
      <c r="A154" s="17"/>
      <c r="F154" s="18"/>
    </row>
    <row r="155" ht="15.75" customHeight="1">
      <c r="A155" s="17"/>
      <c r="F155" s="18"/>
    </row>
    <row r="156" ht="15.75" customHeight="1">
      <c r="A156" s="17"/>
      <c r="F156" s="18"/>
    </row>
    <row r="157" ht="15.75" customHeight="1">
      <c r="A157" s="17"/>
      <c r="F157" s="18"/>
    </row>
    <row r="158" ht="15.75" customHeight="1">
      <c r="A158" s="17"/>
      <c r="F158" s="18"/>
    </row>
    <row r="159" ht="15.75" customHeight="1">
      <c r="A159" s="17"/>
      <c r="F159" s="18"/>
    </row>
    <row r="160" ht="15.75" customHeight="1">
      <c r="A160" s="17"/>
      <c r="F160" s="18"/>
    </row>
    <row r="161" ht="15.75" customHeight="1">
      <c r="A161" s="17"/>
      <c r="F161" s="18"/>
    </row>
    <row r="162" ht="15.75" customHeight="1">
      <c r="A162" s="17"/>
      <c r="F162" s="18"/>
    </row>
    <row r="163" ht="15.75" customHeight="1">
      <c r="A163" s="17"/>
      <c r="F163" s="18"/>
    </row>
    <row r="164" ht="15.75" customHeight="1">
      <c r="A164" s="17"/>
      <c r="F164" s="18"/>
    </row>
    <row r="165" ht="15.75" customHeight="1">
      <c r="A165" s="17"/>
      <c r="F165" s="18"/>
    </row>
    <row r="166" ht="15.75" customHeight="1">
      <c r="A166" s="17"/>
      <c r="F166" s="18"/>
    </row>
    <row r="167" ht="15.75" customHeight="1">
      <c r="A167" s="17"/>
      <c r="F167" s="18"/>
    </row>
    <row r="168" ht="15.75" customHeight="1">
      <c r="A168" s="17"/>
      <c r="F168" s="18"/>
    </row>
    <row r="169" ht="15.75" customHeight="1">
      <c r="A169" s="17"/>
      <c r="F169" s="18"/>
    </row>
    <row r="170" ht="15.75" customHeight="1">
      <c r="A170" s="17"/>
      <c r="F170" s="18"/>
    </row>
    <row r="171" ht="15.75" customHeight="1">
      <c r="A171" s="17"/>
      <c r="F171" s="18"/>
    </row>
    <row r="172" ht="15.75" customHeight="1">
      <c r="A172" s="17"/>
      <c r="F172" s="18"/>
    </row>
    <row r="173" ht="15.75" customHeight="1">
      <c r="A173" s="17"/>
      <c r="F173" s="18"/>
    </row>
    <row r="174" ht="15.75" customHeight="1">
      <c r="A174" s="17"/>
      <c r="F174" s="18"/>
    </row>
    <row r="175" ht="15.75" customHeight="1">
      <c r="A175" s="17"/>
      <c r="F175" s="18"/>
    </row>
    <row r="176" ht="15.75" customHeight="1">
      <c r="A176" s="17"/>
      <c r="F176" s="18"/>
    </row>
    <row r="177" ht="15.75" customHeight="1">
      <c r="A177" s="17"/>
      <c r="F177" s="18"/>
    </row>
    <row r="178" ht="15.75" customHeight="1">
      <c r="A178" s="17"/>
      <c r="F178" s="18"/>
    </row>
    <row r="179" ht="15.75" customHeight="1">
      <c r="A179" s="17"/>
      <c r="F179" s="18"/>
    </row>
    <row r="180" ht="15.75" customHeight="1">
      <c r="A180" s="17"/>
      <c r="F180" s="18"/>
    </row>
    <row r="181" ht="15.75" customHeight="1">
      <c r="A181" s="17"/>
      <c r="F181" s="18"/>
    </row>
    <row r="182" ht="15.75" customHeight="1">
      <c r="A182" s="17"/>
      <c r="F182" s="18"/>
    </row>
    <row r="183" ht="15.75" customHeight="1">
      <c r="A183" s="17"/>
      <c r="F183" s="18"/>
    </row>
    <row r="184" ht="15.75" customHeight="1">
      <c r="A184" s="17"/>
      <c r="F184" s="18"/>
    </row>
    <row r="185" ht="15.75" customHeight="1">
      <c r="A185" s="17"/>
      <c r="F185" s="18"/>
    </row>
    <row r="186" ht="15.75" customHeight="1">
      <c r="A186" s="17"/>
      <c r="F186" s="18"/>
    </row>
    <row r="187" ht="15.75" customHeight="1">
      <c r="A187" s="17"/>
      <c r="F187" s="18"/>
    </row>
    <row r="188" ht="15.75" customHeight="1">
      <c r="A188" s="17"/>
      <c r="F188" s="18"/>
    </row>
    <row r="189" ht="15.75" customHeight="1">
      <c r="A189" s="17"/>
      <c r="F189" s="18"/>
    </row>
    <row r="190" ht="15.75" customHeight="1">
      <c r="A190" s="17"/>
      <c r="F190" s="18"/>
    </row>
    <row r="191" ht="15.75" customHeight="1">
      <c r="A191" s="17"/>
      <c r="F191" s="18"/>
    </row>
    <row r="192" ht="15.75" customHeight="1">
      <c r="A192" s="17"/>
      <c r="F192" s="18"/>
    </row>
    <row r="193" ht="15.75" customHeight="1">
      <c r="A193" s="17"/>
      <c r="F193" s="18"/>
    </row>
    <row r="194" ht="15.75" customHeight="1">
      <c r="A194" s="17"/>
      <c r="F194" s="18"/>
    </row>
    <row r="195" ht="15.75" customHeight="1">
      <c r="A195" s="17"/>
      <c r="F195" s="18"/>
    </row>
    <row r="196" ht="15.75" customHeight="1">
      <c r="A196" s="17"/>
      <c r="F196" s="18"/>
    </row>
    <row r="197" ht="15.75" customHeight="1">
      <c r="A197" s="17"/>
      <c r="F197" s="18"/>
    </row>
    <row r="198" ht="15.75" customHeight="1">
      <c r="A198" s="17"/>
      <c r="F198" s="18"/>
    </row>
    <row r="199" ht="15.75" customHeight="1">
      <c r="A199" s="17"/>
      <c r="F199" s="18"/>
    </row>
    <row r="200" ht="15.75" customHeight="1">
      <c r="A200" s="17"/>
      <c r="F200" s="18"/>
    </row>
    <row r="201" ht="15.75" customHeight="1">
      <c r="A201" s="17"/>
      <c r="F201" s="18"/>
    </row>
    <row r="202" ht="15.75" customHeight="1">
      <c r="A202" s="17"/>
      <c r="F202" s="18"/>
    </row>
    <row r="203" ht="15.75" customHeight="1">
      <c r="A203" s="17"/>
      <c r="F203" s="18"/>
    </row>
    <row r="204" ht="15.75" customHeight="1">
      <c r="A204" s="17"/>
      <c r="F204" s="18"/>
    </row>
    <row r="205" ht="15.75" customHeight="1">
      <c r="A205" s="17"/>
      <c r="F205" s="18"/>
    </row>
    <row r="206" ht="15.75" customHeight="1">
      <c r="A206" s="17"/>
      <c r="F206" s="18"/>
    </row>
    <row r="207" ht="15.75" customHeight="1">
      <c r="A207" s="17"/>
      <c r="F207" s="18"/>
    </row>
    <row r="208" ht="15.75" customHeight="1">
      <c r="A208" s="17"/>
      <c r="F208" s="18"/>
    </row>
    <row r="209" ht="15.75" customHeight="1">
      <c r="A209" s="17"/>
      <c r="F209" s="18"/>
    </row>
    <row r="210" ht="15.75" customHeight="1">
      <c r="A210" s="17"/>
      <c r="F210" s="18"/>
    </row>
    <row r="211" ht="15.75" customHeight="1">
      <c r="A211" s="17"/>
      <c r="F211" s="18"/>
    </row>
    <row r="212" ht="15.75" customHeight="1">
      <c r="A212" s="17"/>
      <c r="F212" s="18"/>
    </row>
    <row r="213" ht="15.75" customHeight="1">
      <c r="A213" s="17"/>
      <c r="F213" s="18"/>
    </row>
    <row r="214" ht="15.75" customHeight="1">
      <c r="A214" s="17"/>
      <c r="F214" s="18"/>
    </row>
    <row r="215" ht="15.75" customHeight="1">
      <c r="A215" s="17"/>
      <c r="F215" s="18"/>
    </row>
    <row r="216" ht="15.75" customHeight="1">
      <c r="A216" s="17"/>
      <c r="F216" s="18"/>
    </row>
    <row r="217" ht="15.75" customHeight="1">
      <c r="A217" s="17"/>
      <c r="F217" s="18"/>
    </row>
    <row r="218" ht="15.75" customHeight="1">
      <c r="A218" s="17"/>
      <c r="F218" s="18"/>
    </row>
    <row r="219" ht="15.75" customHeight="1">
      <c r="A219" s="17"/>
      <c r="F219" s="18"/>
    </row>
    <row r="220" ht="15.75" customHeight="1">
      <c r="A220" s="17"/>
      <c r="F220" s="18"/>
    </row>
    <row r="221" ht="15.75" customHeight="1">
      <c r="A221" s="17"/>
      <c r="F221" s="18"/>
    </row>
    <row r="222" ht="15.75" customHeight="1">
      <c r="A222" s="17"/>
      <c r="F222" s="18"/>
    </row>
    <row r="223" ht="15.75" customHeight="1">
      <c r="A223" s="17"/>
      <c r="F223" s="18"/>
    </row>
    <row r="224" ht="15.75" customHeight="1">
      <c r="A224" s="17"/>
      <c r="F224" s="18"/>
    </row>
    <row r="225" ht="15.75" customHeight="1">
      <c r="A225" s="17"/>
      <c r="F225" s="18"/>
    </row>
    <row r="226" ht="15.75" customHeight="1">
      <c r="A226" s="17"/>
      <c r="F226" s="18"/>
    </row>
    <row r="227" ht="15.75" customHeight="1">
      <c r="A227" s="17"/>
      <c r="F227" s="18"/>
    </row>
    <row r="228" ht="15.75" customHeight="1">
      <c r="A228" s="17"/>
      <c r="F228" s="18"/>
    </row>
    <row r="229" ht="15.75" customHeight="1">
      <c r="A229" s="17"/>
      <c r="F229" s="18"/>
    </row>
    <row r="230" ht="15.75" customHeight="1">
      <c r="A230" s="17"/>
      <c r="F230" s="18"/>
    </row>
    <row r="231" ht="15.75" customHeight="1">
      <c r="A231" s="17"/>
      <c r="F231" s="18"/>
    </row>
    <row r="232" ht="15.75" customHeight="1">
      <c r="A232" s="17"/>
      <c r="F232" s="18"/>
    </row>
    <row r="233" ht="15.75" customHeight="1">
      <c r="A233" s="17"/>
      <c r="F233" s="18"/>
    </row>
    <row r="234" ht="15.75" customHeight="1">
      <c r="A234" s="17"/>
      <c r="F234" s="18"/>
    </row>
    <row r="235" ht="15.75" customHeight="1">
      <c r="A235" s="17"/>
      <c r="F235" s="18"/>
    </row>
    <row r="236" ht="15.75" customHeight="1">
      <c r="A236" s="17"/>
      <c r="F236" s="18"/>
    </row>
    <row r="237" ht="15.75" customHeight="1">
      <c r="A237" s="17"/>
      <c r="F237" s="18"/>
    </row>
    <row r="238" ht="15.75" customHeight="1">
      <c r="A238" s="17"/>
      <c r="F238" s="18"/>
    </row>
    <row r="239" ht="15.75" customHeight="1">
      <c r="A239" s="17"/>
      <c r="F239" s="18"/>
    </row>
    <row r="240" ht="15.75" customHeight="1">
      <c r="A240" s="17"/>
      <c r="F240" s="18"/>
    </row>
    <row r="241" ht="15.75" customHeight="1">
      <c r="A241" s="17"/>
      <c r="F241" s="18"/>
    </row>
    <row r="242" ht="15.75" customHeight="1">
      <c r="A242" s="17"/>
      <c r="F242" s="18"/>
    </row>
    <row r="243" ht="15.75" customHeight="1">
      <c r="A243" s="17"/>
      <c r="F243" s="18"/>
    </row>
    <row r="244" ht="15.75" customHeight="1">
      <c r="A244" s="17"/>
      <c r="F244" s="18"/>
    </row>
    <row r="245" ht="15.75" customHeight="1">
      <c r="A245" s="17"/>
      <c r="F245" s="18"/>
    </row>
    <row r="246" ht="15.75" customHeight="1">
      <c r="A246" s="17"/>
      <c r="F246" s="18"/>
    </row>
    <row r="247" ht="15.75" customHeight="1">
      <c r="A247" s="17"/>
      <c r="F247" s="18"/>
    </row>
    <row r="248" ht="15.75" customHeight="1">
      <c r="A248" s="17"/>
      <c r="F248" s="18"/>
    </row>
    <row r="249" ht="15.75" customHeight="1">
      <c r="A249" s="17"/>
      <c r="F249" s="18"/>
    </row>
    <row r="250" ht="15.75" customHeight="1">
      <c r="A250" s="17"/>
      <c r="F250" s="18"/>
    </row>
    <row r="251" ht="15.75" customHeight="1">
      <c r="A251" s="17"/>
      <c r="F251" s="18"/>
    </row>
    <row r="252" ht="15.75" customHeight="1">
      <c r="A252" s="17"/>
      <c r="F252" s="18"/>
    </row>
    <row r="253" ht="15.75" customHeight="1">
      <c r="A253" s="17"/>
      <c r="F253" s="18"/>
    </row>
    <row r="254" ht="15.75" customHeight="1">
      <c r="A254" s="17"/>
      <c r="F254" s="18"/>
    </row>
    <row r="255" ht="15.75" customHeight="1">
      <c r="A255" s="17"/>
      <c r="F255" s="18"/>
    </row>
    <row r="256" ht="15.75" customHeight="1">
      <c r="A256" s="17"/>
      <c r="F256" s="18"/>
    </row>
    <row r="257" ht="15.75" customHeight="1">
      <c r="A257" s="17"/>
      <c r="F257" s="18"/>
    </row>
    <row r="258" ht="15.75" customHeight="1">
      <c r="A258" s="17"/>
      <c r="F258" s="18"/>
    </row>
    <row r="259" ht="15.75" customHeight="1">
      <c r="A259" s="17"/>
      <c r="F259" s="18"/>
    </row>
    <row r="260" ht="15.75" customHeight="1">
      <c r="A260" s="17"/>
      <c r="F260" s="18"/>
    </row>
    <row r="261" ht="15.75" customHeight="1">
      <c r="A261" s="17"/>
      <c r="F261" s="18"/>
    </row>
    <row r="262" ht="15.75" customHeight="1">
      <c r="A262" s="17"/>
      <c r="F262" s="18"/>
    </row>
    <row r="263" ht="15.75" customHeight="1">
      <c r="A263" s="17"/>
      <c r="F263" s="18"/>
    </row>
    <row r="264" ht="15.75" customHeight="1">
      <c r="A264" s="17"/>
      <c r="F264" s="18"/>
    </row>
    <row r="265" ht="15.75" customHeight="1">
      <c r="A265" s="17"/>
      <c r="F265" s="18"/>
    </row>
    <row r="266" ht="15.75" customHeight="1">
      <c r="A266" s="17"/>
      <c r="F266" s="18"/>
    </row>
    <row r="267" ht="15.75" customHeight="1">
      <c r="A267" s="17"/>
      <c r="F267" s="18"/>
    </row>
    <row r="268" ht="15.75" customHeight="1">
      <c r="A268" s="17"/>
      <c r="F268" s="18"/>
    </row>
    <row r="269" ht="15.75" customHeight="1">
      <c r="A269" s="17"/>
      <c r="F269" s="18"/>
    </row>
    <row r="270" ht="15.75" customHeight="1">
      <c r="A270" s="17"/>
      <c r="F270" s="18"/>
    </row>
    <row r="271" ht="15.75" customHeight="1">
      <c r="A271" s="17"/>
      <c r="F271" s="18"/>
    </row>
    <row r="272" ht="15.75" customHeight="1">
      <c r="A272" s="17"/>
      <c r="F272" s="18"/>
    </row>
    <row r="273" ht="15.75" customHeight="1">
      <c r="A273" s="17"/>
      <c r="F273" s="18"/>
    </row>
    <row r="274" ht="15.75" customHeight="1">
      <c r="A274" s="17"/>
      <c r="F274" s="18"/>
    </row>
    <row r="275" ht="15.75" customHeight="1">
      <c r="A275" s="17"/>
      <c r="F275" s="18"/>
    </row>
    <row r="276" ht="15.75" customHeight="1">
      <c r="A276" s="17"/>
      <c r="F276" s="18"/>
    </row>
    <row r="277" ht="15.75" customHeight="1">
      <c r="A277" s="17"/>
      <c r="F277" s="18"/>
    </row>
    <row r="278" ht="15.75" customHeight="1">
      <c r="A278" s="17"/>
      <c r="F278" s="18"/>
    </row>
    <row r="279" ht="15.75" customHeight="1">
      <c r="A279" s="17"/>
      <c r="F279" s="18"/>
    </row>
    <row r="280" ht="15.75" customHeight="1">
      <c r="A280" s="17"/>
      <c r="F280" s="18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985CC"/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0" width="18.88"/>
    <col customWidth="1" min="11" max="12" width="13.88"/>
  </cols>
  <sheetData>
    <row r="1" ht="15.75" customHeight="1">
      <c r="A1" s="2" t="s">
        <v>14</v>
      </c>
      <c r="B1" s="2" t="s">
        <v>3</v>
      </c>
      <c r="C1" s="2" t="s">
        <v>3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3</v>
      </c>
      <c r="J1" s="2" t="s">
        <v>3</v>
      </c>
      <c r="K1" s="21"/>
      <c r="L1" s="21"/>
    </row>
    <row r="2" ht="15.75" customHeight="1">
      <c r="A2" s="4" t="s">
        <v>74</v>
      </c>
      <c r="K2" s="4"/>
    </row>
    <row r="3" ht="15.75" customHeight="1">
      <c r="A3" s="4" t="s">
        <v>52</v>
      </c>
      <c r="B3" s="4" t="s">
        <v>53</v>
      </c>
      <c r="C3" s="4" t="s">
        <v>3</v>
      </c>
      <c r="D3" s="4" t="s">
        <v>3</v>
      </c>
      <c r="E3" s="4" t="s">
        <v>75</v>
      </c>
      <c r="G3" s="4"/>
      <c r="H3" s="4"/>
      <c r="K3" s="4"/>
    </row>
    <row r="4" ht="15.75" customHeight="1">
      <c r="A4" s="4" t="s">
        <v>76</v>
      </c>
      <c r="B4" s="4">
        <f>COUNTIF(H8:H1200,"自動消込")+COUNTIF(H8:H1200,"手動消込")+COUNTIF(H8:H1200,"補正適用")</f>
        <v>27</v>
      </c>
      <c r="C4" s="4" t="s">
        <v>3</v>
      </c>
      <c r="D4" s="4" t="s">
        <v>3</v>
      </c>
      <c r="E4" s="4" t="s">
        <v>77</v>
      </c>
      <c r="F4" s="4"/>
      <c r="H4" s="4"/>
      <c r="K4" s="4"/>
    </row>
    <row r="5" ht="15.75" customHeight="1">
      <c r="A5" s="4" t="s">
        <v>57</v>
      </c>
      <c r="B5" s="4">
        <f>COUNTIF(H8:H1200,"要確認")</f>
        <v>27</v>
      </c>
      <c r="C5" s="4" t="s">
        <v>3</v>
      </c>
      <c r="D5" s="4" t="s">
        <v>3</v>
      </c>
      <c r="E5" s="4" t="s">
        <v>78</v>
      </c>
      <c r="F5" s="4"/>
      <c r="H5" s="4"/>
      <c r="K5" s="4"/>
    </row>
    <row r="6" ht="15.75" customHeight="1">
      <c r="A6" s="4" t="s">
        <v>79</v>
      </c>
      <c r="B6" s="4">
        <f>COUNTIF(H8:H1200,"未照合")+COUNTIF(H8:H1200,"カード入金照合")</f>
        <v>0</v>
      </c>
      <c r="C6" s="4" t="s">
        <v>3</v>
      </c>
      <c r="D6" s="4" t="s">
        <v>3</v>
      </c>
      <c r="E6" s="4" t="s">
        <v>80</v>
      </c>
      <c r="F6" s="4"/>
      <c r="H6" s="4"/>
    </row>
    <row r="7" ht="15.75" customHeight="1">
      <c r="A7" s="22" t="s">
        <v>61</v>
      </c>
      <c r="B7" s="22" t="s">
        <v>81</v>
      </c>
      <c r="C7" s="22" t="s">
        <v>66</v>
      </c>
      <c r="D7" s="22" t="s">
        <v>67</v>
      </c>
      <c r="E7" s="22" t="s">
        <v>73</v>
      </c>
      <c r="F7" s="22" t="s">
        <v>70</v>
      </c>
      <c r="G7" s="22" t="s">
        <v>69</v>
      </c>
      <c r="H7" s="22" t="s">
        <v>68</v>
      </c>
      <c r="I7" s="22" t="s">
        <v>71</v>
      </c>
      <c r="J7" s="22" t="s">
        <v>82</v>
      </c>
    </row>
    <row r="8" ht="15.75" customHeight="1">
      <c r="A8" s="17">
        <f>IFERROR(__xludf.DUMMYFUNCTION("FILTER('銀行取込一覧'!A8:A1200,'銀行取込一覧'!A8:A1200&lt;&gt;"""",'銀行取込一覧'!H8:H1200&lt;&gt;""対象外"")"),46084.0)</f>
        <v>46084</v>
      </c>
      <c r="B8" s="4" t="str">
        <f>IFERROR(__xludf.DUMMYFUNCTION("FILTER('銀行取込一覧'!B8:B1200,'銀行取込一覧'!A8:A1200&lt;&gt;"""",'銀行取込一覧'!H8:H1200&lt;&gt;""対象外"")"),"齋藤誠様　ﾍﾞﾝﾄﾚｰｺﾝﾁﾈﾝﾀﾙ　AzureV8  PC006754")</f>
        <v>齋藤誠様　ﾍﾞﾝﾄﾚｰｺﾝﾁﾈﾝﾀﾙ　AzureV8  PC006754</v>
      </c>
      <c r="C8" s="23">
        <f>IFERROR(__xludf.DUMMYFUNCTION("FILTER('銀行取込一覧'!F8:F1200,'銀行取込一覧'!A8:A1200&lt;&gt;"""",'銀行取込一覧'!H8:H1200&lt;&gt;""対象外"")"),8000000.0)</f>
        <v>8000000</v>
      </c>
      <c r="D8" s="4" t="str">
        <f>IFERROR(__xludf.DUMMYFUNCTION("FILTER('銀行取込一覧'!G8:G1200,'銀行取込一覧'!A8:A1200&lt;&gt;"""",'銀行取込一覧'!H8:H1200&lt;&gt;""対象外"")"),"入金")</f>
        <v>入金</v>
      </c>
      <c r="E8" s="4" t="str">
        <f>IFERROR(__xludf.DUMMYFUNCTION("FILTER('銀行取込一覧'!M8:M1200,'銀行取込一覧'!A8:A1200&lt;&gt;"""",'銀行取込一覧'!H8:H1200&lt;&gt;""対象外"")"),"")</f>
        <v/>
      </c>
      <c r="F8" s="4" t="str">
        <f>IFERROR(__xludf.DUMMYFUNCTION("FILTER('銀行取込一覧'!J8:J1200,'銀行取込一覧'!A8:A1200&lt;&gt;"""",'銀行取込一覧'!H8:H1200&lt;&gt;""対象外"")"),"")</f>
        <v/>
      </c>
      <c r="G8" s="4" t="str">
        <f>IFERROR(__xludf.DUMMYFUNCTION("FILTER('銀行取込一覧'!I8:I1200,'銀行取込一覧'!A8:A1200&lt;&gt;"""",'銀行取込一覧'!H8:H1200&lt;&gt;""対象外"")"),"")</f>
        <v/>
      </c>
      <c r="H8" s="4" t="str">
        <f>IFERROR(__xludf.DUMMYFUNCTION("FILTER('銀行取込一覧'!H8:H1200,'銀行取込一覧'!A8:A1200&lt;&gt;"""",'銀行取込一覧'!H8:H1200&lt;&gt;""対象外"")"),"自動消込")</f>
        <v>自動消込</v>
      </c>
      <c r="I8" s="20">
        <f>IFERROR(__xludf.DUMMYFUNCTION("FILTER('銀行取込一覧'!K8:K1200,'銀行取込一覧'!A8:A1200&lt;&gt;"""",'銀行取込一覧'!H8:H1200&lt;&gt;""対象外"")"),46082.0)</f>
        <v>46082</v>
      </c>
      <c r="J8" s="4" t="str">
        <f t="array" ref="J8:J1200">IF(A8:A1200="","",IFNA(VLOOKUP(TEXT(A8:A1200,"yyyy/mm/dd")&amp;"|"&amp;B8:B1200&amp;"|"&amp;TEXT(C8:C1200,"0"),{TEXT('銀行要確認メモ'!A2:A1200,"yyyy/mm/dd")&amp;"|"&amp;'銀行要確認メモ'!B2:B1200&amp;"|"&amp;TEXT('銀行要確認メモ'!C2:C1200,"0"),'銀行要確認メモ'!F2:F1200},2,FALSE),""))</f>
        <v/>
      </c>
    </row>
    <row r="9" ht="15.75" customHeight="1">
      <c r="A9" s="17">
        <f>IFERROR(__xludf.DUMMYFUNCTION("""COMPUTED_VALUE"""),46090.0)</f>
        <v>46090</v>
      </c>
      <c r="B9" s="4" t="str">
        <f>IFERROR(__xludf.DUMMYFUNCTION("""COMPUTED_VALUE"""),"該当なし カ)ブリツジ")</f>
        <v>該当なし カ)ブリツジ</v>
      </c>
      <c r="C9" s="23">
        <f>IFERROR(__xludf.DUMMYFUNCTION("""COMPUTED_VALUE"""),3000000.0)</f>
        <v>3000000</v>
      </c>
      <c r="D9" s="4" t="str">
        <f>IFERROR(__xludf.DUMMYFUNCTION("""COMPUTED_VALUE"""),"入金")</f>
        <v>入金</v>
      </c>
      <c r="E9" s="4"/>
      <c r="F9" s="4"/>
      <c r="G9" s="4"/>
      <c r="H9" s="4" t="str">
        <f>IFERROR(__xludf.DUMMYFUNCTION("""COMPUTED_VALUE"""),"自動消込")</f>
        <v>自動消込</v>
      </c>
      <c r="I9" s="20">
        <f>IFERROR(__xludf.DUMMYFUNCTION("""COMPUTED_VALUE"""),46082.0)</f>
        <v>46082</v>
      </c>
      <c r="J9" s="4" t="s">
        <v>3</v>
      </c>
    </row>
    <row r="10" ht="15.75" customHeight="1">
      <c r="A10" s="17">
        <f>IFERROR(__xludf.DUMMYFUNCTION("""COMPUTED_VALUE"""),46091.0)</f>
        <v>46091</v>
      </c>
      <c r="B10" s="4" t="str">
        <f>IFERROR(__xludf.DUMMYFUNCTION("""COMPUTED_VALUE"""),"(株)橋本商事　((株)A’crews)")</f>
        <v>(株)橋本商事　((株)A’crews)</v>
      </c>
      <c r="C10" s="23">
        <f>IFERROR(__xludf.DUMMYFUNCTION("""COMPUTED_VALUE"""),150000.0)</f>
        <v>150000</v>
      </c>
      <c r="D10" s="4" t="str">
        <f>IFERROR(__xludf.DUMMYFUNCTION("""COMPUTED_VALUE"""),"入金")</f>
        <v>入金</v>
      </c>
      <c r="E10" s="4"/>
      <c r="F10" s="4"/>
      <c r="G10" s="4"/>
      <c r="H10" s="4" t="str">
        <f>IFERROR(__xludf.DUMMYFUNCTION("""COMPUTED_VALUE"""),"自動消込")</f>
        <v>自動消込</v>
      </c>
      <c r="I10" s="20">
        <f>IFERROR(__xludf.DUMMYFUNCTION("""COMPUTED_VALUE"""),46082.0)</f>
        <v>46082</v>
      </c>
      <c r="J10" s="4" t="s">
        <v>3</v>
      </c>
    </row>
    <row r="11" ht="15.75" customHeight="1">
      <c r="A11" s="17">
        <f>IFERROR(__xludf.DUMMYFUNCTION("""COMPUTED_VALUE"""),46093.0)</f>
        <v>46093</v>
      </c>
      <c r="B11" s="4" t="str">
        <f>IFERROR(__xludf.DUMMYFUNCTION("""COMPUTED_VALUE"""),"(株)ｶｰｽﾞﾄﾞﾛｯﾌﾟｲﾝ　MB/Gｸﾗｽ.W1N4653102X006860")</f>
        <v>(株)ｶｰｽﾞﾄﾞﾛｯﾌﾟｲﾝ　MB/Gｸﾗｽ.W1N4653102X006860</v>
      </c>
      <c r="C11" s="23">
        <f>IFERROR(__xludf.DUMMYFUNCTION("""COMPUTED_VALUE"""),401860.0)</f>
        <v>401860</v>
      </c>
      <c r="D11" s="4" t="str">
        <f>IFERROR(__xludf.DUMMYFUNCTION("""COMPUTED_VALUE"""),"入金")</f>
        <v>入金</v>
      </c>
      <c r="E11" s="4"/>
      <c r="F11" s="4"/>
      <c r="G11" s="4"/>
      <c r="H11" s="4" t="str">
        <f>IFERROR(__xludf.DUMMYFUNCTION("""COMPUTED_VALUE"""),"自動消込")</f>
        <v>自動消込</v>
      </c>
      <c r="I11" s="20">
        <f>IFERROR(__xludf.DUMMYFUNCTION("""COMPUTED_VALUE"""),46082.0)</f>
        <v>46082</v>
      </c>
      <c r="J11" s="4" t="s">
        <v>3</v>
      </c>
    </row>
    <row r="12" ht="15.75" customHeight="1">
      <c r="A12" s="17">
        <f>IFERROR(__xludf.DUMMYFUNCTION("""COMPUTED_VALUE"""),46097.0)</f>
        <v>46097</v>
      </c>
      <c r="B12" s="4" t="str">
        <f>IFERROR(__xludf.DUMMYFUNCTION("""COMPUTED_VALUE"""),"中銀ｶｰﾄﾞ　JCB　(株)アクセ　高垣圭一朗様　SB24431")</f>
        <v>中銀ｶｰﾄﾞ　JCB　(株)アクセ　高垣圭一朗様　SB24431</v>
      </c>
      <c r="C12" s="23">
        <f>IFERROR(__xludf.DUMMYFUNCTION("""COMPUTED_VALUE"""),380712.0)</f>
        <v>380712</v>
      </c>
      <c r="D12" s="4" t="str">
        <f>IFERROR(__xludf.DUMMYFUNCTION("""COMPUTED_VALUE"""),"入金")</f>
        <v>入金</v>
      </c>
      <c r="E12" s="4"/>
      <c r="F12" s="4" t="str">
        <f>IFERROR(__xludf.DUMMYFUNCTION("""COMPUTED_VALUE"""),"SB00024431")</f>
        <v>SB00024431</v>
      </c>
      <c r="G12" s="4" t="str">
        <f>IFERROR(__xludf.DUMMYFUNCTION("""COMPUTED_VALUE"""),"KK00001711")</f>
        <v>KK00001711</v>
      </c>
      <c r="H12" s="4" t="str">
        <f>IFERROR(__xludf.DUMMYFUNCTION("""COMPUTED_VALUE"""),"自動消込")</f>
        <v>自動消込</v>
      </c>
      <c r="I12" s="20">
        <f>IFERROR(__xludf.DUMMYFUNCTION("""COMPUTED_VALUE"""),46082.0)</f>
        <v>46082</v>
      </c>
      <c r="J12" s="4" t="s">
        <v>3</v>
      </c>
    </row>
    <row r="13" ht="15.75" customHeight="1">
      <c r="A13" s="17">
        <f>IFERROR(__xludf.DUMMYFUNCTION("""COMPUTED_VALUE"""),46097.0)</f>
        <v>46097</v>
      </c>
      <c r="B13" s="4" t="str">
        <f>IFERROR(__xludf.DUMMYFUNCTION("""COMPUTED_VALUE"""),"中銀ｶｰﾄﾞ　VISA")</f>
        <v>中銀ｶｰﾄﾞ　VISA</v>
      </c>
      <c r="C13" s="23">
        <f>IFERROR(__xludf.DUMMYFUNCTION("""COMPUTED_VALUE"""),117612.0)</f>
        <v>117612</v>
      </c>
      <c r="D13" s="4" t="str">
        <f>IFERROR(__xludf.DUMMYFUNCTION("""COMPUTED_VALUE"""),"入金")</f>
        <v>入金</v>
      </c>
      <c r="E13" s="4"/>
      <c r="F13" s="4"/>
      <c r="G13" s="4"/>
      <c r="H13" s="4" t="str">
        <f>IFERROR(__xludf.DUMMYFUNCTION("""COMPUTED_VALUE"""),"自動消込")</f>
        <v>自動消込</v>
      </c>
      <c r="I13" s="20">
        <f>IFERROR(__xludf.DUMMYFUNCTION("""COMPUTED_VALUE"""),46082.0)</f>
        <v>46082</v>
      </c>
      <c r="J13" s="4" t="s">
        <v>3</v>
      </c>
    </row>
    <row r="14" ht="15.75" customHeight="1">
      <c r="A14" s="17">
        <f>IFERROR(__xludf.DUMMYFUNCTION("""COMPUTED_VALUE"""),46099.0)</f>
        <v>46099</v>
      </c>
      <c r="B14" s="4" t="str">
        <f>IFERROR(__xludf.DUMMYFUNCTION("""COMPUTED_VALUE"""),"ﾌﾟﾚﾐｱ㈱斎藤誠様　ﾍﾞﾝﾄﾚｰｺﾝﾁﾈﾝﾀﾙ　3PC006754")</f>
        <v>ﾌﾟﾚﾐｱ㈱斎藤誠様　ﾍﾞﾝﾄﾚｰｺﾝﾁﾈﾝﾀﾙ　3PC006754</v>
      </c>
      <c r="C14" s="23">
        <f>IFERROR(__xludf.DUMMYFUNCTION("""COMPUTED_VALUE"""),9283350.0)</f>
        <v>9283350</v>
      </c>
      <c r="D14" s="4" t="str">
        <f>IFERROR(__xludf.DUMMYFUNCTION("""COMPUTED_VALUE"""),"入金")</f>
        <v>入金</v>
      </c>
      <c r="E14" s="4"/>
      <c r="F14" s="4"/>
      <c r="G14" s="4"/>
      <c r="H14" s="4" t="str">
        <f>IFERROR(__xludf.DUMMYFUNCTION("""COMPUTED_VALUE"""),"自動消込")</f>
        <v>自動消込</v>
      </c>
      <c r="I14" s="20">
        <f>IFERROR(__xludf.DUMMYFUNCTION("""COMPUTED_VALUE"""),46082.0)</f>
        <v>46082</v>
      </c>
      <c r="J14" s="4" t="s">
        <v>3</v>
      </c>
    </row>
    <row r="15" ht="15.75" customHeight="1">
      <c r="A15" s="17">
        <f>IFERROR(__xludf.DUMMYFUNCTION("""COMPUTED_VALUE"""),46105.0)</f>
        <v>46105</v>
      </c>
      <c r="B15" s="4" t="str">
        <f>IFERROR(__xludf.DUMMYFUNCTION("""COMPUTED_VALUE"""),"小俣英夫様　Grecale Trofeo")</f>
        <v>小俣英夫様　Grecale Trofeo</v>
      </c>
      <c r="C15" s="23">
        <f>IFERROR(__xludf.DUMMYFUNCTION("""COMPUTED_VALUE"""),9882700.0)</f>
        <v>9882700</v>
      </c>
      <c r="D15" s="4" t="str">
        <f>IFERROR(__xludf.DUMMYFUNCTION("""COMPUTED_VALUE"""),"入金")</f>
        <v>入金</v>
      </c>
      <c r="E15" s="4"/>
      <c r="F15" s="4"/>
      <c r="G15" s="4"/>
      <c r="H15" s="4" t="str">
        <f>IFERROR(__xludf.DUMMYFUNCTION("""COMPUTED_VALUE"""),"自動消込")</f>
        <v>自動消込</v>
      </c>
      <c r="I15" s="20">
        <f>IFERROR(__xludf.DUMMYFUNCTION("""COMPUTED_VALUE"""),46082.0)</f>
        <v>46082</v>
      </c>
      <c r="J15" s="4" t="s">
        <v>3</v>
      </c>
    </row>
    <row r="16" ht="15.75" customHeight="1">
      <c r="A16" s="17">
        <f>IFERROR(__xludf.DUMMYFUNCTION("""COMPUTED_VALUE"""),46112.0)</f>
        <v>46112</v>
      </c>
      <c r="B16" s="4" t="str">
        <f>IFERROR(__xludf.DUMMYFUNCTION("""COMPUTED_VALUE"""),"中銀ｶｰﾄﾞ　JCB　寺岡栞様　SB24481")</f>
        <v>中銀ｶｰﾄﾞ　JCB　寺岡栞様　SB24481</v>
      </c>
      <c r="C16" s="23">
        <f>IFERROR(__xludf.DUMMYFUNCTION("""COMPUTED_VALUE"""),258698.0)</f>
        <v>258698</v>
      </c>
      <c r="D16" s="4" t="str">
        <f>IFERROR(__xludf.DUMMYFUNCTION("""COMPUTED_VALUE"""),"入金")</f>
        <v>入金</v>
      </c>
      <c r="E16" s="4"/>
      <c r="F16" s="4" t="str">
        <f>IFERROR(__xludf.DUMMYFUNCTION("""COMPUTED_VALUE"""),"SB00024481")</f>
        <v>SB00024481</v>
      </c>
      <c r="G16" s="4" t="str">
        <f>IFERROR(__xludf.DUMMYFUNCTION("""COMPUTED_VALUE"""),"KK00001934")</f>
        <v>KK00001934</v>
      </c>
      <c r="H16" s="4" t="str">
        <f>IFERROR(__xludf.DUMMYFUNCTION("""COMPUTED_VALUE"""),"要確認")</f>
        <v>要確認</v>
      </c>
      <c r="I16" s="20">
        <f>IFERROR(__xludf.DUMMYFUNCTION("""COMPUTED_VALUE"""),46082.0)</f>
        <v>46082</v>
      </c>
      <c r="J16" s="4" t="s">
        <v>83</v>
      </c>
    </row>
    <row r="17" ht="15.75" customHeight="1">
      <c r="A17" s="17">
        <f>IFERROR(__xludf.DUMMYFUNCTION("""COMPUTED_VALUE"""),46112.0)</f>
        <v>46112</v>
      </c>
      <c r="B17" s="4" t="str">
        <f>IFERROR(__xludf.DUMMYFUNCTION("""COMPUTED_VALUE"""),"中銀ｶｰﾄﾞ　VISA")</f>
        <v>中銀ｶｰﾄﾞ　VISA</v>
      </c>
      <c r="C17" s="23">
        <f>IFERROR(__xludf.DUMMYFUNCTION("""COMPUTED_VALUE"""),508157.0)</f>
        <v>508157</v>
      </c>
      <c r="D17" s="4" t="str">
        <f>IFERROR(__xludf.DUMMYFUNCTION("""COMPUTED_VALUE"""),"入金")</f>
        <v>入金</v>
      </c>
      <c r="E17" s="4"/>
      <c r="F17" s="4"/>
      <c r="G17" s="4"/>
      <c r="H17" s="4" t="str">
        <f>IFERROR(__xludf.DUMMYFUNCTION("""COMPUTED_VALUE"""),"自動消込")</f>
        <v>自動消込</v>
      </c>
      <c r="I17" s="20">
        <f>IFERROR(__xludf.DUMMYFUNCTION("""COMPUTED_VALUE"""),46082.0)</f>
        <v>46082</v>
      </c>
      <c r="J17" s="4" t="s">
        <v>3</v>
      </c>
    </row>
    <row r="18" ht="15.75" customHeight="1">
      <c r="A18" s="17">
        <f>IFERROR(__xludf.DUMMYFUNCTION("""COMPUTED_VALUE"""),46112.0)</f>
        <v>46112</v>
      </c>
      <c r="B18" s="4" t="str">
        <f>IFERROR(__xludf.DUMMYFUNCTION("""COMPUTED_VALUE"""),"(株)ｺﾝｸｴｽﾄ　2月分")</f>
        <v>(株)ｺﾝｸｴｽﾄ　2月分</v>
      </c>
      <c r="C18" s="23">
        <f>IFERROR(__xludf.DUMMYFUNCTION("""COMPUTED_VALUE"""),1457088.0)</f>
        <v>1457088</v>
      </c>
      <c r="D18" s="4" t="str">
        <f>IFERROR(__xludf.DUMMYFUNCTION("""COMPUTED_VALUE"""),"入金")</f>
        <v>入金</v>
      </c>
      <c r="E18" s="4"/>
      <c r="F18" s="4"/>
      <c r="G18" s="4"/>
      <c r="H18" s="4" t="str">
        <f>IFERROR(__xludf.DUMMYFUNCTION("""COMPUTED_VALUE"""),"自動消込")</f>
        <v>自動消込</v>
      </c>
      <c r="I18" s="20">
        <f>IFERROR(__xludf.DUMMYFUNCTION("""COMPUTED_VALUE"""),46082.0)</f>
        <v>46082</v>
      </c>
      <c r="J18" s="4" t="s">
        <v>3</v>
      </c>
    </row>
    <row r="19" ht="15.75" customHeight="1">
      <c r="A19" s="17">
        <f>IFERROR(__xludf.DUMMYFUNCTION("""COMPUTED_VALUE"""),46112.0)</f>
        <v>46112</v>
      </c>
      <c r="B19" s="4" t="str">
        <f>IFERROR(__xludf.DUMMYFUNCTION("""COMPUTED_VALUE"""),"該当なし カ) コンクエスト")</f>
        <v>該当なし カ) コンクエスト</v>
      </c>
      <c r="C19" s="23">
        <f>IFERROR(__xludf.DUMMYFUNCTION("""COMPUTED_VALUE"""),1457088.0)</f>
        <v>1457088</v>
      </c>
      <c r="D19" s="4" t="str">
        <f>IFERROR(__xludf.DUMMYFUNCTION("""COMPUTED_VALUE"""),"入金")</f>
        <v>入金</v>
      </c>
      <c r="E19" s="4"/>
      <c r="F19" s="4"/>
      <c r="G19" s="4"/>
      <c r="H19" s="4" t="str">
        <f>IFERROR(__xludf.DUMMYFUNCTION("""COMPUTED_VALUE"""),"自動消込")</f>
        <v>自動消込</v>
      </c>
      <c r="I19" s="20">
        <f>IFERROR(__xludf.DUMMYFUNCTION("""COMPUTED_VALUE"""),46082.0)</f>
        <v>46082</v>
      </c>
      <c r="J19" s="4" t="s">
        <v>3</v>
      </c>
    </row>
    <row r="20" ht="15.75" customHeight="1">
      <c r="A20" s="17">
        <f>IFERROR(__xludf.DUMMYFUNCTION("""COMPUTED_VALUE"""),46113.0)</f>
        <v>46113</v>
      </c>
      <c r="B20" s="4" t="str">
        <f>IFERROR(__xludf.DUMMYFUNCTION("""COMPUTED_VALUE"""),"該当なし カ) ナルネットコミュニケーシ ヨンズ")</f>
        <v>該当なし カ) ナルネットコミュニケーシ ヨンズ</v>
      </c>
      <c r="C20" s="23">
        <f>IFERROR(__xludf.DUMMYFUNCTION("""COMPUTED_VALUE"""),66850.0)</f>
        <v>66850</v>
      </c>
      <c r="D20" s="4" t="str">
        <f>IFERROR(__xludf.DUMMYFUNCTION("""COMPUTED_VALUE"""),"入金")</f>
        <v>入金</v>
      </c>
      <c r="E20" s="4"/>
      <c r="F20" s="4"/>
      <c r="G20" s="4"/>
      <c r="H20" s="4" t="str">
        <f>IFERROR(__xludf.DUMMYFUNCTION("""COMPUTED_VALUE"""),"要確認")</f>
        <v>要確認</v>
      </c>
      <c r="I20" s="20">
        <f>IFERROR(__xludf.DUMMYFUNCTION("""COMPUTED_VALUE"""),46113.0)</f>
        <v>46113</v>
      </c>
      <c r="J20" s="4" t="s">
        <v>84</v>
      </c>
    </row>
    <row r="21" ht="15.75" customHeight="1">
      <c r="A21" s="17">
        <f>IFERROR(__xludf.DUMMYFUNCTION("""COMPUTED_VALUE"""),46114.0)</f>
        <v>46114</v>
      </c>
      <c r="B21" s="4" t="str">
        <f>IFERROR(__xludf.DUMMYFUNCTION("""COMPUTED_VALUE"""),"(有)ユナイテッドクローパーズ様 SB24484")</f>
        <v>(有)ユナイテッドクローパーズ様 SB24484</v>
      </c>
      <c r="C21" s="23">
        <f>IFERROR(__xludf.DUMMYFUNCTION("""COMPUTED_VALUE"""),27280.0)</f>
        <v>27280</v>
      </c>
      <c r="D21" s="4" t="str">
        <f>IFERROR(__xludf.DUMMYFUNCTION("""COMPUTED_VALUE"""),"入金")</f>
        <v>入金</v>
      </c>
      <c r="E21" s="4"/>
      <c r="F21" s="4" t="str">
        <f>IFERROR(__xludf.DUMMYFUNCTION("""COMPUTED_VALUE"""),"SB00024484")</f>
        <v>SB00024484</v>
      </c>
      <c r="G21" s="4" t="str">
        <f>IFERROR(__xludf.DUMMYFUNCTION("""COMPUTED_VALUE"""),"KK00003353")</f>
        <v>KK00003353</v>
      </c>
      <c r="H21" s="4" t="str">
        <f>IFERROR(__xludf.DUMMYFUNCTION("""COMPUTED_VALUE"""),"自動消込")</f>
        <v>自動消込</v>
      </c>
      <c r="I21" s="20">
        <f>IFERROR(__xludf.DUMMYFUNCTION("""COMPUTED_VALUE"""),46113.0)</f>
        <v>46113</v>
      </c>
      <c r="J21" s="4" t="s">
        <v>3</v>
      </c>
    </row>
    <row r="22" ht="15.75" customHeight="1">
      <c r="A22" s="17">
        <f>IFERROR(__xludf.DUMMYFUNCTION("""COMPUTED_VALUE"""),46115.0)</f>
        <v>46115</v>
      </c>
      <c r="B22" s="4" t="str">
        <f>IFERROR(__xludf.DUMMYFUNCTION("""COMPUTED_VALUE"""),"該当なし トウキョウカイジョウニチド ウ 4322 (ジドウシャ、ジバイ)")</f>
        <v>該当なし トウキョウカイジョウニチド ウ 4322 (ジドウシャ、ジバイ)</v>
      </c>
      <c r="C22" s="23">
        <f>IFERROR(__xludf.DUMMYFUNCTION("""COMPUTED_VALUE"""),70000.0)</f>
        <v>70000</v>
      </c>
      <c r="D22" s="4" t="str">
        <f>IFERROR(__xludf.DUMMYFUNCTION("""COMPUTED_VALUE"""),"入金")</f>
        <v>入金</v>
      </c>
      <c r="E22" s="4"/>
      <c r="F22" s="4" t="str">
        <f>IFERROR(__xludf.DUMMYFUNCTION("""COMPUTED_VALUE"""),"SB00024520")</f>
        <v>SB00024520</v>
      </c>
      <c r="G22" s="4" t="str">
        <f>IFERROR(__xludf.DUMMYFUNCTION("""COMPUTED_VALUE"""),"KK00006550")</f>
        <v>KK00006550</v>
      </c>
      <c r="H22" s="4" t="str">
        <f>IFERROR(__xludf.DUMMYFUNCTION("""COMPUTED_VALUE"""),"自動消込")</f>
        <v>自動消込</v>
      </c>
      <c r="I22" s="20">
        <f>IFERROR(__xludf.DUMMYFUNCTION("""COMPUTED_VALUE"""),46113.0)</f>
        <v>46113</v>
      </c>
      <c r="J22" s="4" t="s">
        <v>3</v>
      </c>
    </row>
    <row r="23" ht="15.75" customHeight="1">
      <c r="A23" s="17">
        <f>IFERROR(__xludf.DUMMYFUNCTION("""COMPUTED_VALUE"""),46115.0)</f>
        <v>46115</v>
      </c>
      <c r="B23" s="4" t="str">
        <f>IFERROR(__xludf.DUMMYFUNCTION("""COMPUTED_VALUE"""),"該当なし エクラ(カ")</f>
        <v>該当なし エクラ(カ</v>
      </c>
      <c r="C23" s="23">
        <f>IFERROR(__xludf.DUMMYFUNCTION("""COMPUTED_VALUE"""),1550000.0)</f>
        <v>1550000</v>
      </c>
      <c r="D23" s="4" t="str">
        <f>IFERROR(__xludf.DUMMYFUNCTION("""COMPUTED_VALUE"""),"入金")</f>
        <v>入金</v>
      </c>
      <c r="E23" s="4"/>
      <c r="F23" s="4"/>
      <c r="G23" s="4"/>
      <c r="H23" s="4" t="str">
        <f>IFERROR(__xludf.DUMMYFUNCTION("""COMPUTED_VALUE"""),"自動消込")</f>
        <v>自動消込</v>
      </c>
      <c r="I23" s="20">
        <f>IFERROR(__xludf.DUMMYFUNCTION("""COMPUTED_VALUE"""),46113.0)</f>
        <v>46113</v>
      </c>
      <c r="J23" s="4" t="s">
        <v>3</v>
      </c>
    </row>
    <row r="24" ht="15.75" customHeight="1">
      <c r="A24" s="17">
        <f>IFERROR(__xludf.DUMMYFUNCTION("""COMPUTED_VALUE"""),46118.0)</f>
        <v>46118</v>
      </c>
      <c r="B24" s="4" t="str">
        <f>IFERROR(__xludf.DUMMYFUNCTION("""COMPUTED_VALUE"""),"安保雅文様 SB24521")</f>
        <v>安保雅文様 SB24521</v>
      </c>
      <c r="C24" s="23">
        <f>IFERROR(__xludf.DUMMYFUNCTION("""COMPUTED_VALUE"""),99000.0)</f>
        <v>99000</v>
      </c>
      <c r="D24" s="4" t="str">
        <f>IFERROR(__xludf.DUMMYFUNCTION("""COMPUTED_VALUE"""),"入金")</f>
        <v>入金</v>
      </c>
      <c r="E24" s="4"/>
      <c r="F24" s="4" t="str">
        <f>IFERROR(__xludf.DUMMYFUNCTION("""COMPUTED_VALUE"""),"SB00024521")</f>
        <v>SB00024521</v>
      </c>
      <c r="G24" s="4" t="str">
        <f>IFERROR(__xludf.DUMMYFUNCTION("""COMPUTED_VALUE"""),"KK00006775")</f>
        <v>KK00006775</v>
      </c>
      <c r="H24" s="4" t="str">
        <f>IFERROR(__xludf.DUMMYFUNCTION("""COMPUTED_VALUE"""),"自動消込")</f>
        <v>自動消込</v>
      </c>
      <c r="I24" s="20">
        <f>IFERROR(__xludf.DUMMYFUNCTION("""COMPUTED_VALUE"""),46113.0)</f>
        <v>46113</v>
      </c>
      <c r="J24" s="4" t="s">
        <v>3</v>
      </c>
    </row>
    <row r="25" ht="15.75" customHeight="1">
      <c r="A25" s="17">
        <f>IFERROR(__xludf.DUMMYFUNCTION("""COMPUTED_VALUE"""),46119.0)</f>
        <v>46119</v>
      </c>
      <c r="B25" s="4" t="str">
        <f>IFERROR(__xludf.DUMMYFUNCTION("""COMPUTED_VALUE"""),"該当なし ミツイスミトモカイジョウB")</f>
        <v>該当なし ミツイスミトモカイジョウB</v>
      </c>
      <c r="C25" s="23">
        <f>IFERROR(__xludf.DUMMYFUNCTION("""COMPUTED_VALUE"""),1150000.0)</f>
        <v>1150000</v>
      </c>
      <c r="D25" s="4" t="str">
        <f>IFERROR(__xludf.DUMMYFUNCTION("""COMPUTED_VALUE"""),"入金")</f>
        <v>入金</v>
      </c>
      <c r="E25" s="4"/>
      <c r="F25" s="4"/>
      <c r="G25" s="4"/>
      <c r="H25" s="4" t="str">
        <f>IFERROR(__xludf.DUMMYFUNCTION("""COMPUTED_VALUE"""),"要確認")</f>
        <v>要確認</v>
      </c>
      <c r="I25" s="20">
        <f>IFERROR(__xludf.DUMMYFUNCTION("""COMPUTED_VALUE"""),46113.0)</f>
        <v>46113</v>
      </c>
      <c r="J25" s="4" t="s">
        <v>85</v>
      </c>
    </row>
    <row r="26" ht="15.75" customHeight="1">
      <c r="A26" s="17">
        <f>IFERROR(__xludf.DUMMYFUNCTION("""COMPUTED_VALUE"""),46120.0)</f>
        <v>46120</v>
      </c>
      <c r="B26" s="4" t="str">
        <f>IFERROR(__xludf.DUMMYFUNCTION("""COMPUTED_VALUE"""),"該当なし サンエイセキュユ(カ")</f>
        <v>該当なし サンエイセキュユ(カ</v>
      </c>
      <c r="C26" s="23">
        <f>IFERROR(__xludf.DUMMYFUNCTION("""COMPUTED_VALUE"""),302670.0)</f>
        <v>302670</v>
      </c>
      <c r="D26" s="4" t="str">
        <f>IFERROR(__xludf.DUMMYFUNCTION("""COMPUTED_VALUE"""),"入金")</f>
        <v>入金</v>
      </c>
      <c r="E26" s="4"/>
      <c r="F26" s="4" t="str">
        <f>IFERROR(__xludf.DUMMYFUNCTION("""COMPUTED_VALUE"""),"SB00024507")</f>
        <v>SB00024507</v>
      </c>
      <c r="G26" s="4" t="str">
        <f>IFERROR(__xludf.DUMMYFUNCTION("""COMPUTED_VALUE"""),"KK00000241")</f>
        <v>KK00000241</v>
      </c>
      <c r="H26" s="4" t="str">
        <f>IFERROR(__xludf.DUMMYFUNCTION("""COMPUTED_VALUE"""),"自動消込")</f>
        <v>自動消込</v>
      </c>
      <c r="I26" s="20">
        <f>IFERROR(__xludf.DUMMYFUNCTION("""COMPUTED_VALUE"""),46113.0)</f>
        <v>46113</v>
      </c>
      <c r="J26" s="4" t="s">
        <v>3</v>
      </c>
    </row>
    <row r="27" ht="15.75" customHeight="1">
      <c r="A27" s="17">
        <f>IFERROR(__xludf.DUMMYFUNCTION("""COMPUTED_VALUE"""),46121.0)</f>
        <v>46121</v>
      </c>
      <c r="B27" s="4" t="str">
        <f>IFERROR(__xludf.DUMMYFUNCTION("""COMPUTED_VALUE"""),"土肥良太郎様 CH3536")</f>
        <v>土肥良太郎様 CH3536</v>
      </c>
      <c r="C27" s="23">
        <f>IFERROR(__xludf.DUMMYFUNCTION("""COMPUTED_VALUE"""),25000.0)</f>
        <v>25000</v>
      </c>
      <c r="D27" s="4" t="str">
        <f>IFERROR(__xludf.DUMMYFUNCTION("""COMPUTED_VALUE"""),"入金")</f>
        <v>入金</v>
      </c>
      <c r="E27" s="4"/>
      <c r="F27" s="4"/>
      <c r="G27" s="4"/>
      <c r="H27" s="4" t="str">
        <f>IFERROR(__xludf.DUMMYFUNCTION("""COMPUTED_VALUE"""),"要確認")</f>
        <v>要確認</v>
      </c>
      <c r="I27" s="20">
        <f>IFERROR(__xludf.DUMMYFUNCTION("""COMPUTED_VALUE"""),46113.0)</f>
        <v>46113</v>
      </c>
      <c r="J27" s="4" t="s">
        <v>86</v>
      </c>
    </row>
    <row r="28" ht="15.75" customHeight="1">
      <c r="A28" s="17">
        <f>IFERROR(__xludf.DUMMYFUNCTION("""COMPUTED_VALUE"""),46121.0)</f>
        <v>46121</v>
      </c>
      <c r="B28" s="4" t="str">
        <f>IFERROR(__xludf.DUMMYFUNCTION("""COMPUTED_VALUE"""),"(株)橋本商事((株)A' crews)")</f>
        <v>(株)橋本商事((株)A' crews)</v>
      </c>
      <c r="C28" s="23">
        <f>IFERROR(__xludf.DUMMYFUNCTION("""COMPUTED_VALUE"""),150000.0)</f>
        <v>150000</v>
      </c>
      <c r="D28" s="4" t="str">
        <f>IFERROR(__xludf.DUMMYFUNCTION("""COMPUTED_VALUE"""),"入金")</f>
        <v>入金</v>
      </c>
      <c r="E28" s="4"/>
      <c r="F28" s="4"/>
      <c r="G28" s="4"/>
      <c r="H28" s="4" t="str">
        <f>IFERROR(__xludf.DUMMYFUNCTION("""COMPUTED_VALUE"""),"要確認")</f>
        <v>要確認</v>
      </c>
      <c r="I28" s="20">
        <f>IFERROR(__xludf.DUMMYFUNCTION("""COMPUTED_VALUE"""),46113.0)</f>
        <v>46113</v>
      </c>
      <c r="J28" s="4" t="s">
        <v>87</v>
      </c>
    </row>
    <row r="29" ht="15.75" customHeight="1">
      <c r="A29" s="17">
        <f>IFERROR(__xludf.DUMMYFUNCTION("""COMPUTED_VALUE"""),46122.0)</f>
        <v>46122</v>
      </c>
      <c r="B29" s="4" t="str">
        <f>IFERROR(__xludf.DUMMYFUNCTION("""COMPUTED_VALUE"""),"(株)ウェルテック様 SB24486")</f>
        <v>(株)ウェルテック様 SB24486</v>
      </c>
      <c r="C29" s="23">
        <f>IFERROR(__xludf.DUMMYFUNCTION("""COMPUTED_VALUE"""),104643.0)</f>
        <v>104643</v>
      </c>
      <c r="D29" s="4" t="str">
        <f>IFERROR(__xludf.DUMMYFUNCTION("""COMPUTED_VALUE"""),"入金")</f>
        <v>入金</v>
      </c>
      <c r="E29" s="4"/>
      <c r="F29" s="4" t="str">
        <f>IFERROR(__xludf.DUMMYFUNCTION("""COMPUTED_VALUE"""),"SB00024486")</f>
        <v>SB00024486</v>
      </c>
      <c r="G29" s="4" t="str">
        <f>IFERROR(__xludf.DUMMYFUNCTION("""COMPUTED_VALUE"""),"KK00001662")</f>
        <v>KK00001662</v>
      </c>
      <c r="H29" s="4" t="str">
        <f>IFERROR(__xludf.DUMMYFUNCTION("""COMPUTED_VALUE"""),"自動消込")</f>
        <v>自動消込</v>
      </c>
      <c r="I29" s="20">
        <f>IFERROR(__xludf.DUMMYFUNCTION("""COMPUTED_VALUE"""),46113.0)</f>
        <v>46113</v>
      </c>
      <c r="J29" s="4" t="s">
        <v>3</v>
      </c>
    </row>
    <row r="30" ht="15.75" customHeight="1">
      <c r="A30" s="17">
        <f>IFERROR(__xludf.DUMMYFUNCTION("""COMPUTED_VALUE"""),46122.0)</f>
        <v>46122</v>
      </c>
      <c r="B30" s="4" t="str">
        <f>IFERROR(__xludf.DUMMYFUNCTION("""COMPUTED_VALUE"""),"(有)エルグレコ様 SB24548/24461")</f>
        <v>(有)エルグレコ様 SB24548/24461</v>
      </c>
      <c r="C30" s="23">
        <f>IFERROR(__xludf.DUMMYFUNCTION("""COMPUTED_VALUE"""),57700.0)</f>
        <v>57700</v>
      </c>
      <c r="D30" s="4" t="str">
        <f>IFERROR(__xludf.DUMMYFUNCTION("""COMPUTED_VALUE"""),"入金")</f>
        <v>入金</v>
      </c>
      <c r="E30" s="4"/>
      <c r="F30" s="4"/>
      <c r="G30" s="4" t="str">
        <f>IFERROR(__xludf.DUMMYFUNCTION("""COMPUTED_VALUE"""),"KK00001837")</f>
        <v>KK00001837</v>
      </c>
      <c r="H30" s="4" t="str">
        <f>IFERROR(__xludf.DUMMYFUNCTION("""COMPUTED_VALUE"""),"要確認")</f>
        <v>要確認</v>
      </c>
      <c r="I30" s="20">
        <f>IFERROR(__xludf.DUMMYFUNCTION("""COMPUTED_VALUE"""),46113.0)</f>
        <v>46113</v>
      </c>
      <c r="J30" s="4" t="s">
        <v>88</v>
      </c>
    </row>
    <row r="31" ht="15.75" customHeight="1">
      <c r="A31" s="17">
        <f>IFERROR(__xludf.DUMMYFUNCTION("""COMPUTED_VALUE"""),46122.0)</f>
        <v>46122</v>
      </c>
      <c r="B31" s="4" t="str">
        <f>IFERROR(__xludf.DUMMYFUNCTION("""COMPUTED_VALUE"""),"ストロングマウンテン㈱")</f>
        <v>ストロングマウンテン㈱</v>
      </c>
      <c r="C31" s="23">
        <f>IFERROR(__xludf.DUMMYFUNCTION("""COMPUTED_VALUE"""),8439760.0)</f>
        <v>8439760</v>
      </c>
      <c r="D31" s="4" t="str">
        <f>IFERROR(__xludf.DUMMYFUNCTION("""COMPUTED_VALUE"""),"入金")</f>
        <v>入金</v>
      </c>
      <c r="E31" s="4"/>
      <c r="F31" s="4"/>
      <c r="G31" s="4"/>
      <c r="H31" s="4" t="str">
        <f>IFERROR(__xludf.DUMMYFUNCTION("""COMPUTED_VALUE"""),"自動消込")</f>
        <v>自動消込</v>
      </c>
      <c r="I31" s="20">
        <f>IFERROR(__xludf.DUMMYFUNCTION("""COMPUTED_VALUE"""),46113.0)</f>
        <v>46113</v>
      </c>
      <c r="J31" s="4" t="s">
        <v>3</v>
      </c>
    </row>
    <row r="32" ht="15.75" customHeight="1">
      <c r="A32" s="17">
        <f>IFERROR(__xludf.DUMMYFUNCTION("""COMPUTED_VALUE"""),46126.0)</f>
        <v>46126</v>
      </c>
      <c r="B32" s="4" t="str">
        <f>IFERROR(__xludf.DUMMYFUNCTION("""COMPUTED_VALUE"""),"該当なし ソンポジヤパン")</f>
        <v>該当なし ソンポジヤパン</v>
      </c>
      <c r="C32" s="23">
        <f>IFERROR(__xludf.DUMMYFUNCTION("""COMPUTED_VALUE"""),198000.0)</f>
        <v>198000</v>
      </c>
      <c r="D32" s="4" t="str">
        <f>IFERROR(__xludf.DUMMYFUNCTION("""COMPUTED_VALUE"""),"入金")</f>
        <v>入金</v>
      </c>
      <c r="E32" s="4"/>
      <c r="F32" s="4"/>
      <c r="G32" s="4"/>
      <c r="H32" s="4" t="str">
        <f>IFERROR(__xludf.DUMMYFUNCTION("""COMPUTED_VALUE"""),"要確認")</f>
        <v>要確認</v>
      </c>
      <c r="I32" s="20">
        <f>IFERROR(__xludf.DUMMYFUNCTION("""COMPUTED_VALUE"""),46113.0)</f>
        <v>46113</v>
      </c>
      <c r="J32" s="4" t="s">
        <v>89</v>
      </c>
    </row>
    <row r="33" ht="15.75" customHeight="1">
      <c r="A33" s="17">
        <f>IFERROR(__xludf.DUMMYFUNCTION("""COMPUTED_VALUE"""),46127.0)</f>
        <v>46127</v>
      </c>
      <c r="B33" s="4" t="str">
        <f>IFERROR(__xludf.DUMMYFUNCTION("""COMPUTED_VALUE"""),"㈱ﾃﾞｲﾜｲﾏｰｹﾃｨﾝｸﾞ様　SB24539")</f>
        <v>㈱ﾃﾞｲﾜｲﾏｰｹﾃｨﾝｸﾞ様　SB24539</v>
      </c>
      <c r="C33" s="23">
        <f>IFERROR(__xludf.DUMMYFUNCTION("""COMPUTED_VALUE"""),50270.0)</f>
        <v>50270</v>
      </c>
      <c r="D33" s="4" t="str">
        <f>IFERROR(__xludf.DUMMYFUNCTION("""COMPUTED_VALUE"""),"入金")</f>
        <v>入金</v>
      </c>
      <c r="E33" s="4"/>
      <c r="F33" s="4" t="str">
        <f>IFERROR(__xludf.DUMMYFUNCTION("""COMPUTED_VALUE"""),"SB00024539")</f>
        <v>SB00024539</v>
      </c>
      <c r="G33" s="4" t="str">
        <f>IFERROR(__xludf.DUMMYFUNCTION("""COMPUTED_VALUE"""),"KK00005321")</f>
        <v>KK00005321</v>
      </c>
      <c r="H33" s="4" t="str">
        <f>IFERROR(__xludf.DUMMYFUNCTION("""COMPUTED_VALUE"""),"自動消込")</f>
        <v>自動消込</v>
      </c>
      <c r="I33" s="20">
        <f>IFERROR(__xludf.DUMMYFUNCTION("""COMPUTED_VALUE"""),46113.0)</f>
        <v>46113</v>
      </c>
      <c r="J33" s="4" t="s">
        <v>3</v>
      </c>
    </row>
    <row r="34" ht="15.75" customHeight="1">
      <c r="A34" s="17">
        <f>IFERROR(__xludf.DUMMYFUNCTION("""COMPUTED_VALUE"""),46127.0)</f>
        <v>46127</v>
      </c>
      <c r="B34" s="4" t="str">
        <f>IFERROR(__xludf.DUMMYFUNCTION("""COMPUTED_VALUE"""),"該当なし チユウギンカードVIS")</f>
        <v>該当なし チユウギンカードVIS</v>
      </c>
      <c r="C34" s="23">
        <f>IFERROR(__xludf.DUMMYFUNCTION("""COMPUTED_VALUE"""),440822.0)</f>
        <v>440822</v>
      </c>
      <c r="D34" s="4" t="str">
        <f>IFERROR(__xludf.DUMMYFUNCTION("""COMPUTED_VALUE"""),"入金")</f>
        <v>入金</v>
      </c>
      <c r="E34" s="4"/>
      <c r="F34" s="4"/>
      <c r="G34" s="4"/>
      <c r="H34" s="4" t="str">
        <f>IFERROR(__xludf.DUMMYFUNCTION("""COMPUTED_VALUE"""),"要確認")</f>
        <v>要確認</v>
      </c>
      <c r="I34" s="20">
        <f>IFERROR(__xludf.DUMMYFUNCTION("""COMPUTED_VALUE"""),46113.0)</f>
        <v>46113</v>
      </c>
      <c r="J34" s="4" t="s">
        <v>90</v>
      </c>
    </row>
    <row r="35" ht="15.75" customHeight="1">
      <c r="A35" s="17">
        <f>IFERROR(__xludf.DUMMYFUNCTION("""COMPUTED_VALUE"""),46127.0)</f>
        <v>46127</v>
      </c>
      <c r="B35" s="4" t="str">
        <f>IFERROR(__xludf.DUMMYFUNCTION("""COMPUTED_VALUE"""),"該当なし 振込1 キムラユニテイ− カ")</f>
        <v>該当なし 振込1 キムラユニテイ− カ</v>
      </c>
      <c r="C35" s="23">
        <f>IFERROR(__xludf.DUMMYFUNCTION("""COMPUTED_VALUE"""),14520.0)</f>
        <v>14520</v>
      </c>
      <c r="D35" s="4" t="str">
        <f>IFERROR(__xludf.DUMMYFUNCTION("""COMPUTED_VALUE"""),"入金")</f>
        <v>入金</v>
      </c>
      <c r="E35" s="4"/>
      <c r="F35" s="4"/>
      <c r="G35" s="4" t="str">
        <f>IFERROR(__xludf.DUMMYFUNCTION("""COMPUTED_VALUE"""),"KK00003002")</f>
        <v>KK00003002</v>
      </c>
      <c r="H35" s="4" t="str">
        <f>IFERROR(__xludf.DUMMYFUNCTION("""COMPUTED_VALUE"""),"要確認")</f>
        <v>要確認</v>
      </c>
      <c r="I35" s="20">
        <f>IFERROR(__xludf.DUMMYFUNCTION("""COMPUTED_VALUE"""),46113.0)</f>
        <v>46113</v>
      </c>
      <c r="J35" s="4" t="s">
        <v>91</v>
      </c>
    </row>
    <row r="36" ht="15.75" customHeight="1">
      <c r="A36" s="17">
        <f>IFERROR(__xludf.DUMMYFUNCTION("""COMPUTED_VALUE"""),46128.0)</f>
        <v>46128</v>
      </c>
      <c r="B36" s="4" t="str">
        <f>IFERROR(__xludf.DUMMYFUNCTION("""COMPUTED_VALUE"""),"損保ｼﾞｬﾊﾟﾝ　SB24564")</f>
        <v>損保ｼﾞｬﾊﾟﾝ　SB24564</v>
      </c>
      <c r="C36" s="23">
        <f>IFERROR(__xludf.DUMMYFUNCTION("""COMPUTED_VALUE"""),75000.0)</f>
        <v>75000</v>
      </c>
      <c r="D36" s="4" t="str">
        <f>IFERROR(__xludf.DUMMYFUNCTION("""COMPUTED_VALUE"""),"入金")</f>
        <v>入金</v>
      </c>
      <c r="E36" s="4"/>
      <c r="F36" s="4" t="str">
        <f>IFERROR(__xludf.DUMMYFUNCTION("""COMPUTED_VALUE"""),"SB00024564")</f>
        <v>SB00024564</v>
      </c>
      <c r="G36" s="4" t="str">
        <f>IFERROR(__xludf.DUMMYFUNCTION("""COMPUTED_VALUE"""),"KK00000241")</f>
        <v>KK00000241</v>
      </c>
      <c r="H36" s="4" t="str">
        <f>IFERROR(__xludf.DUMMYFUNCTION("""COMPUTED_VALUE"""),"自動消込")</f>
        <v>自動消込</v>
      </c>
      <c r="I36" s="20">
        <f>IFERROR(__xludf.DUMMYFUNCTION("""COMPUTED_VALUE"""),46113.0)</f>
        <v>46113</v>
      </c>
      <c r="J36" s="4" t="s">
        <v>3</v>
      </c>
    </row>
    <row r="37" ht="15.75" customHeight="1">
      <c r="A37" s="17">
        <f>IFERROR(__xludf.DUMMYFUNCTION("""COMPUTED_VALUE"""),46129.0)</f>
        <v>46129</v>
      </c>
      <c r="B37" s="4" t="str">
        <f>IFERROR(__xludf.DUMMYFUNCTION("""COMPUTED_VALUE"""),"三井住友海上火災保険㈱SB24559")</f>
        <v>三井住友海上火災保険㈱SB24559</v>
      </c>
      <c r="C37" s="23">
        <f>IFERROR(__xludf.DUMMYFUNCTION("""COMPUTED_VALUE"""),210000.0)</f>
        <v>210000</v>
      </c>
      <c r="D37" s="4" t="str">
        <f>IFERROR(__xludf.DUMMYFUNCTION("""COMPUTED_VALUE"""),"入金")</f>
        <v>入金</v>
      </c>
      <c r="E37" s="4"/>
      <c r="F37" s="4" t="str">
        <f>IFERROR(__xludf.DUMMYFUNCTION("""COMPUTED_VALUE"""),"SB00024559")</f>
        <v>SB00024559</v>
      </c>
      <c r="G37" s="4" t="str">
        <f>IFERROR(__xludf.DUMMYFUNCTION("""COMPUTED_VALUE"""),"KK00001837")</f>
        <v>KK00001837</v>
      </c>
      <c r="H37" s="4" t="str">
        <f>IFERROR(__xludf.DUMMYFUNCTION("""COMPUTED_VALUE"""),"自動消込")</f>
        <v>自動消込</v>
      </c>
      <c r="I37" s="20">
        <f>IFERROR(__xludf.DUMMYFUNCTION("""COMPUTED_VALUE"""),46113.0)</f>
        <v>46113</v>
      </c>
      <c r="J37" s="4" t="s">
        <v>3</v>
      </c>
    </row>
    <row r="38" ht="15.75" customHeight="1">
      <c r="A38" s="17">
        <f>IFERROR(__xludf.DUMMYFUNCTION("""COMPUTED_VALUE"""),46132.0)</f>
        <v>46132</v>
      </c>
      <c r="B38" s="4" t="str">
        <f>IFERROR(__xludf.DUMMYFUNCTION("""COMPUTED_VALUE"""),"該当なし ミツイスミトモカイジヨウB")</f>
        <v>該当なし ミツイスミトモカイジヨウB</v>
      </c>
      <c r="C38" s="23">
        <f>IFERROR(__xludf.DUMMYFUNCTION("""COMPUTED_VALUE"""),1132941.0)</f>
        <v>1132941</v>
      </c>
      <c r="D38" s="4" t="str">
        <f>IFERROR(__xludf.DUMMYFUNCTION("""COMPUTED_VALUE"""),"入金")</f>
        <v>入金</v>
      </c>
      <c r="E38" s="4"/>
      <c r="F38" s="4" t="str">
        <f>IFERROR(__xludf.DUMMYFUNCTION("""COMPUTED_VALUE"""),"SB00024553")</f>
        <v>SB00024553</v>
      </c>
      <c r="G38" s="4" t="str">
        <f>IFERROR(__xludf.DUMMYFUNCTION("""COMPUTED_VALUE"""),"KK00000935")</f>
        <v>KK00000935</v>
      </c>
      <c r="H38" s="4" t="str">
        <f>IFERROR(__xludf.DUMMYFUNCTION("""COMPUTED_VALUE"""),"自動消込")</f>
        <v>自動消込</v>
      </c>
      <c r="I38" s="20">
        <f>IFERROR(__xludf.DUMMYFUNCTION("""COMPUTED_VALUE"""),46113.0)</f>
        <v>46113</v>
      </c>
      <c r="J38" s="4" t="s">
        <v>3</v>
      </c>
    </row>
    <row r="39" ht="15.75" customHeight="1">
      <c r="A39" s="17">
        <f>IFERROR(__xludf.DUMMYFUNCTION("""COMPUTED_VALUE"""),46133.0)</f>
        <v>46133</v>
      </c>
      <c r="B39" s="4" t="str">
        <f>IFERROR(__xludf.DUMMYFUNCTION("""COMPUTED_VALUE"""),"該当なし イ)サイセイカイ")</f>
        <v>該当なし イ)サイセイカイ</v>
      </c>
      <c r="C39" s="23">
        <f>IFERROR(__xludf.DUMMYFUNCTION("""COMPUTED_VALUE"""),64350.0)</f>
        <v>64350</v>
      </c>
      <c r="D39" s="4" t="str">
        <f>IFERROR(__xludf.DUMMYFUNCTION("""COMPUTED_VALUE"""),"入金")</f>
        <v>入金</v>
      </c>
      <c r="E39" s="4"/>
      <c r="F39" s="4"/>
      <c r="G39" s="4"/>
      <c r="H39" s="4" t="str">
        <f>IFERROR(__xludf.DUMMYFUNCTION("""COMPUTED_VALUE"""),"要確認")</f>
        <v>要確認</v>
      </c>
      <c r="I39" s="20">
        <f>IFERROR(__xludf.DUMMYFUNCTION("""COMPUTED_VALUE"""),46113.0)</f>
        <v>46113</v>
      </c>
      <c r="J39" s="4" t="s">
        <v>92</v>
      </c>
    </row>
    <row r="40" ht="15.75" customHeight="1">
      <c r="A40" s="17">
        <f>IFERROR(__xludf.DUMMYFUNCTION("""COMPUTED_VALUE"""),46135.0)</f>
        <v>46135</v>
      </c>
      <c r="B40" s="4" t="str">
        <f>IFERROR(__xludf.DUMMYFUNCTION("""COMPUTED_VALUE"""),"該当なし ミツイスミトモカイジヨウB")</f>
        <v>該当なし ミツイスミトモカイジヨウB</v>
      </c>
      <c r="C40" s="23">
        <f>IFERROR(__xludf.DUMMYFUNCTION("""COMPUTED_VALUE"""),57310.0)</f>
        <v>57310</v>
      </c>
      <c r="D40" s="4" t="str">
        <f>IFERROR(__xludf.DUMMYFUNCTION("""COMPUTED_VALUE"""),"入金")</f>
        <v>入金</v>
      </c>
      <c r="E40" s="4"/>
      <c r="F40" s="4"/>
      <c r="G40" s="4"/>
      <c r="H40" s="4" t="str">
        <f>IFERROR(__xludf.DUMMYFUNCTION("""COMPUTED_VALUE"""),"要確認")</f>
        <v>要確認</v>
      </c>
      <c r="I40" s="20">
        <f>IFERROR(__xludf.DUMMYFUNCTION("""COMPUTED_VALUE"""),46113.0)</f>
        <v>46113</v>
      </c>
      <c r="J40" s="4" t="s">
        <v>93</v>
      </c>
    </row>
    <row r="41" ht="15.75" customHeight="1">
      <c r="A41" s="17">
        <f>IFERROR(__xludf.DUMMYFUNCTION("""COMPUTED_VALUE"""),46136.0)</f>
        <v>46136</v>
      </c>
      <c r="B41" s="4" t="str">
        <f>IFERROR(__xludf.DUMMYFUNCTION("""COMPUTED_VALUE"""),"(株)ｻﾝｴｽ様　SB24522")</f>
        <v>(株)ｻﾝｴｽ様　SB24522</v>
      </c>
      <c r="C41" s="23">
        <f>IFERROR(__xludf.DUMMYFUNCTION("""COMPUTED_VALUE"""),200000.0)</f>
        <v>200000</v>
      </c>
      <c r="D41" s="4" t="str">
        <f>IFERROR(__xludf.DUMMYFUNCTION("""COMPUTED_VALUE"""),"入金")</f>
        <v>入金</v>
      </c>
      <c r="E41" s="4"/>
      <c r="F41" s="4" t="str">
        <f>IFERROR(__xludf.DUMMYFUNCTION("""COMPUTED_VALUE"""),"SB00024587")</f>
        <v>SB00024587</v>
      </c>
      <c r="G41" s="4" t="str">
        <f>IFERROR(__xludf.DUMMYFUNCTION("""COMPUTED_VALUE"""),"KK00001694")</f>
        <v>KK00001694</v>
      </c>
      <c r="H41" s="4" t="str">
        <f>IFERROR(__xludf.DUMMYFUNCTION("""COMPUTED_VALUE"""),"自動消込")</f>
        <v>自動消込</v>
      </c>
      <c r="I41" s="20">
        <f>IFERROR(__xludf.DUMMYFUNCTION("""COMPUTED_VALUE"""),46113.0)</f>
        <v>46113</v>
      </c>
      <c r="J41" s="4" t="s">
        <v>94</v>
      </c>
    </row>
    <row r="42" ht="15.75" customHeight="1">
      <c r="A42" s="17">
        <f>IFERROR(__xludf.DUMMYFUNCTION("""COMPUTED_VALUE"""),46136.0)</f>
        <v>46136</v>
      </c>
      <c r="B42" s="4" t="str">
        <f>IFERROR(__xludf.DUMMYFUNCTION("""COMPUTED_VALUE"""),"藤田勲様　CH3803")</f>
        <v>藤田勲様　CH3803</v>
      </c>
      <c r="C42" s="23">
        <f>IFERROR(__xludf.DUMMYFUNCTION("""COMPUTED_VALUE"""),50000.0)</f>
        <v>50000</v>
      </c>
      <c r="D42" s="4" t="str">
        <f>IFERROR(__xludf.DUMMYFUNCTION("""COMPUTED_VALUE"""),"入金")</f>
        <v>入金</v>
      </c>
      <c r="E42" s="4"/>
      <c r="F42" s="4" t="str">
        <f>IFERROR(__xludf.DUMMYFUNCTION("""COMPUTED_VALUE"""),"SB00024461")</f>
        <v>SB00024461</v>
      </c>
      <c r="G42" s="4" t="str">
        <f>IFERROR(__xludf.DUMMYFUNCTION("""COMPUTED_VALUE"""),"KK00001837")</f>
        <v>KK00001837</v>
      </c>
      <c r="H42" s="4" t="str">
        <f>IFERROR(__xludf.DUMMYFUNCTION("""COMPUTED_VALUE"""),"自動消込")</f>
        <v>自動消込</v>
      </c>
      <c r="I42" s="20">
        <f>IFERROR(__xludf.DUMMYFUNCTION("""COMPUTED_VALUE"""),46113.0)</f>
        <v>46113</v>
      </c>
      <c r="J42" s="4" t="s">
        <v>3</v>
      </c>
    </row>
    <row r="43" ht="15.75" customHeight="1">
      <c r="A43" s="17">
        <f>IFERROR(__xludf.DUMMYFUNCTION("""COMPUTED_VALUE"""),46136.0)</f>
        <v>46136</v>
      </c>
      <c r="B43" s="4" t="str">
        <f>IFERROR(__xludf.DUMMYFUNCTION("""COMPUTED_VALUE"""),"該当なし ユ)アトリエ.ピユア")</f>
        <v>該当なし ユ)アトリエ.ピユア</v>
      </c>
      <c r="C43" s="23">
        <f>IFERROR(__xludf.DUMMYFUNCTION("""COMPUTED_VALUE"""),110000.0)</f>
        <v>110000</v>
      </c>
      <c r="D43" s="4" t="str">
        <f>IFERROR(__xludf.DUMMYFUNCTION("""COMPUTED_VALUE"""),"入金")</f>
        <v>入金</v>
      </c>
      <c r="E43" s="4"/>
      <c r="F43" s="4"/>
      <c r="G43" s="4"/>
      <c r="H43" s="4" t="str">
        <f>IFERROR(__xludf.DUMMYFUNCTION("""COMPUTED_VALUE"""),"要確認")</f>
        <v>要確認</v>
      </c>
      <c r="I43" s="20">
        <f>IFERROR(__xludf.DUMMYFUNCTION("""COMPUTED_VALUE"""),46113.0)</f>
        <v>46113</v>
      </c>
      <c r="J43" s="4" t="s">
        <v>95</v>
      </c>
    </row>
    <row r="44" ht="15.75" customHeight="1">
      <c r="A44" s="17">
        <f>IFERROR(__xludf.DUMMYFUNCTION("""COMPUTED_VALUE"""),46136.0)</f>
        <v>46136</v>
      </c>
      <c r="B44" s="4" t="str">
        <f>IFERROR(__xludf.DUMMYFUNCTION("""COMPUTED_VALUE"""),"該当なし ド)ソーラーエナジー")</f>
        <v>該当なし ド)ソーラーエナジー</v>
      </c>
      <c r="C44" s="23">
        <f>IFERROR(__xludf.DUMMYFUNCTION("""COMPUTED_VALUE"""),7500000.0)</f>
        <v>7500000</v>
      </c>
      <c r="D44" s="4" t="str">
        <f>IFERROR(__xludf.DUMMYFUNCTION("""COMPUTED_VALUE"""),"入金")</f>
        <v>入金</v>
      </c>
      <c r="E44" s="4"/>
      <c r="F44" s="4"/>
      <c r="G44" s="4"/>
      <c r="H44" s="4" t="str">
        <f>IFERROR(__xludf.DUMMYFUNCTION("""COMPUTED_VALUE"""),"要確認")</f>
        <v>要確認</v>
      </c>
      <c r="I44" s="20">
        <f>IFERROR(__xludf.DUMMYFUNCTION("""COMPUTED_VALUE"""),46113.0)</f>
        <v>46113</v>
      </c>
      <c r="J44" s="4" t="s">
        <v>96</v>
      </c>
    </row>
    <row r="45" ht="15.75" customHeight="1">
      <c r="A45" s="17">
        <f>IFERROR(__xludf.DUMMYFUNCTION("""COMPUTED_VALUE"""),46136.0)</f>
        <v>46136</v>
      </c>
      <c r="B45" s="4" t="str">
        <f>IFERROR(__xludf.DUMMYFUNCTION("""COMPUTED_VALUE"""),"該当なし ハシモトシヨウコ")</f>
        <v>該当なし ハシモトシヨウコ</v>
      </c>
      <c r="C45" s="23">
        <f>IFERROR(__xludf.DUMMYFUNCTION("""COMPUTED_VALUE"""),2545300.0)</f>
        <v>2545300</v>
      </c>
      <c r="D45" s="4" t="str">
        <f>IFERROR(__xludf.DUMMYFUNCTION("""COMPUTED_VALUE"""),"入金")</f>
        <v>入金</v>
      </c>
      <c r="E45" s="4"/>
      <c r="F45" s="4"/>
      <c r="G45" s="4"/>
      <c r="H45" s="4" t="str">
        <f>IFERROR(__xludf.DUMMYFUNCTION("""COMPUTED_VALUE"""),"要確認")</f>
        <v>要確認</v>
      </c>
      <c r="I45" s="20">
        <f>IFERROR(__xludf.DUMMYFUNCTION("""COMPUTED_VALUE"""),46113.0)</f>
        <v>46113</v>
      </c>
      <c r="J45" s="4" t="s">
        <v>97</v>
      </c>
    </row>
    <row r="46" ht="15.75" customHeight="1">
      <c r="A46" s="17">
        <f>IFERROR(__xludf.DUMMYFUNCTION("""COMPUTED_VALUE"""),46136.0)</f>
        <v>46136</v>
      </c>
      <c r="B46" s="4" t="str">
        <f>IFERROR(__xludf.DUMMYFUNCTION("""COMPUTED_VALUE"""),"(株)ｻﾝｴｽ様　SB24522")</f>
        <v>(株)ｻﾝｴｽ様　SB24522</v>
      </c>
      <c r="C46" s="23" t="str">
        <f>IFERROR(__xludf.DUMMYFUNCTION("""COMPUTED_VALUE"""),"200,000")</f>
        <v>200,000</v>
      </c>
      <c r="D46" s="4" t="str">
        <f>IFERROR(__xludf.DUMMYFUNCTION("""COMPUTED_VALUE"""),"入金")</f>
        <v>入金</v>
      </c>
      <c r="E46" s="4"/>
      <c r="F46" s="4" t="str">
        <f>IFERROR(__xludf.DUMMYFUNCTION("""COMPUTED_VALUE"""),"SB00024587")</f>
        <v>SB00024587</v>
      </c>
      <c r="G46" s="4" t="str">
        <f>IFERROR(__xludf.DUMMYFUNCTION("""COMPUTED_VALUE"""),"KK00001694")</f>
        <v>KK00001694</v>
      </c>
      <c r="H46" s="4" t="str">
        <f>IFERROR(__xludf.DUMMYFUNCTION("""COMPUTED_VALUE"""),"要確認")</f>
        <v>要確認</v>
      </c>
      <c r="I46" s="20">
        <f>IFERROR(__xludf.DUMMYFUNCTION("""COMPUTED_VALUE"""),46113.0)</f>
        <v>46113</v>
      </c>
      <c r="J46" s="4" t="s">
        <v>94</v>
      </c>
    </row>
    <row r="47" ht="15.75" customHeight="1">
      <c r="A47" s="17">
        <f>IFERROR(__xludf.DUMMYFUNCTION("""COMPUTED_VALUE"""),46136.0)</f>
        <v>46136</v>
      </c>
      <c r="B47" s="4" t="str">
        <f>IFERROR(__xludf.DUMMYFUNCTION("""COMPUTED_VALUE"""),"(有)ｱﾄﾘｴﾋﾟｭｱ様　ｸﾞﾚｶｰﾚ")</f>
        <v>(有)ｱﾄﾘｴﾋﾟｭｱ様　ｸﾞﾚｶｰﾚ</v>
      </c>
      <c r="C47" s="23" t="str">
        <f>IFERROR(__xludf.DUMMYFUNCTION("""COMPUTED_VALUE"""),"110,000")</f>
        <v>110,000</v>
      </c>
      <c r="D47" s="4" t="str">
        <f>IFERROR(__xludf.DUMMYFUNCTION("""COMPUTED_VALUE"""),"入金")</f>
        <v>入金</v>
      </c>
      <c r="E47" s="4"/>
      <c r="F47" s="4" t="str">
        <f>IFERROR(__xludf.DUMMYFUNCTION("""COMPUTED_VALUE"""),"")</f>
        <v/>
      </c>
      <c r="G47" s="4" t="str">
        <f>IFERROR(__xludf.DUMMYFUNCTION("""COMPUTED_VALUE"""),"")</f>
        <v/>
      </c>
      <c r="H47" s="4" t="str">
        <f>IFERROR(__xludf.DUMMYFUNCTION("""COMPUTED_VALUE"""),"要確認")</f>
        <v>要確認</v>
      </c>
      <c r="I47" s="20">
        <f>IFERROR(__xludf.DUMMYFUNCTION("""COMPUTED_VALUE"""),46113.0)</f>
        <v>46113</v>
      </c>
      <c r="J47" s="4" t="s">
        <v>98</v>
      </c>
    </row>
    <row r="48" ht="15.75" customHeight="1">
      <c r="A48" s="17">
        <f>IFERROR(__xludf.DUMMYFUNCTION("""COMPUTED_VALUE"""),46149.0)</f>
        <v>46149</v>
      </c>
      <c r="B48" s="4" t="str">
        <f>IFERROR(__xludf.DUMMYFUNCTION("""COMPUTED_VALUE"""),"金森洋人様　SB24585")</f>
        <v>金森洋人様　SB24585</v>
      </c>
      <c r="C48" s="23">
        <f>IFERROR(__xludf.DUMMYFUNCTION("""COMPUTED_VALUE"""),58400.0)</f>
        <v>58400</v>
      </c>
      <c r="D48" s="4" t="str">
        <f>IFERROR(__xludf.DUMMYFUNCTION("""COMPUTED_VALUE"""),"入金")</f>
        <v>入金</v>
      </c>
      <c r="E48" s="4" t="str">
        <f>IFERROR(__xludf.DUMMYFUNCTION("""COMPUTED_VALUE"""),"20260508.2hori .xlsx.csv")</f>
        <v>20260508.2hori .xlsx.csv</v>
      </c>
      <c r="F48" s="4"/>
      <c r="G48" s="4"/>
      <c r="H48" s="4" t="str">
        <f>IFERROR(__xludf.DUMMYFUNCTION("""COMPUTED_VALUE"""),"要確認")</f>
        <v>要確認</v>
      </c>
      <c r="I48" s="20">
        <f>IFERROR(__xludf.DUMMYFUNCTION("""COMPUTED_VALUE"""),46143.0)</f>
        <v>46143</v>
      </c>
      <c r="J48" s="4" t="s">
        <v>99</v>
      </c>
    </row>
    <row r="49" ht="15.75" customHeight="1">
      <c r="A49" s="17">
        <f>IFERROR(__xludf.DUMMYFUNCTION("""COMPUTED_VALUE"""),46150.0)</f>
        <v>46150</v>
      </c>
      <c r="B49" s="4" t="str">
        <f>IFERROR(__xludf.DUMMYFUNCTION("""COMPUTED_VALUE"""),"大中誠二様　SB24593")</f>
        <v>大中誠二様　SB24593</v>
      </c>
      <c r="C49" s="23">
        <f>IFERROR(__xludf.DUMMYFUNCTION("""COMPUTED_VALUE"""),93260.0)</f>
        <v>93260</v>
      </c>
      <c r="D49" s="4" t="str">
        <f>IFERROR(__xludf.DUMMYFUNCTION("""COMPUTED_VALUE"""),"入金")</f>
        <v>入金</v>
      </c>
      <c r="E49" s="4" t="str">
        <f>IFERROR(__xludf.DUMMYFUNCTION("""COMPUTED_VALUE"""),"20260508.2hori .xlsx.csv")</f>
        <v>20260508.2hori .xlsx.csv</v>
      </c>
      <c r="F49" s="4"/>
      <c r="G49" s="4"/>
      <c r="H49" s="4" t="str">
        <f>IFERROR(__xludf.DUMMYFUNCTION("""COMPUTED_VALUE"""),"要確認")</f>
        <v>要確認</v>
      </c>
      <c r="I49" s="20">
        <f>IFERROR(__xludf.DUMMYFUNCTION("""COMPUTED_VALUE"""),46143.0)</f>
        <v>46143</v>
      </c>
      <c r="J49" s="4" t="s">
        <v>100</v>
      </c>
    </row>
    <row r="50" ht="15.75" customHeight="1">
      <c r="A50" s="17">
        <f>IFERROR(__xludf.DUMMYFUNCTION("""COMPUTED_VALUE"""),46149.0)</f>
        <v>46149</v>
      </c>
      <c r="B50" s="4" t="str">
        <f>IFERROR(__xludf.DUMMYFUNCTION("""COMPUTED_VALUE"""),"該当なし 振込1 オリコ")</f>
        <v>該当なし 振込1 オリコ</v>
      </c>
      <c r="C50" s="23">
        <f>IFERROR(__xludf.DUMMYFUNCTION("""COMPUTED_VALUE"""),8265500.0)</f>
        <v>8265500</v>
      </c>
      <c r="D50" s="4" t="str">
        <f>IFERROR(__xludf.DUMMYFUNCTION("""COMPUTED_VALUE"""),"入金")</f>
        <v>入金</v>
      </c>
      <c r="E50" s="4" t="str">
        <f>IFERROR(__xludf.DUMMYFUNCTION("""COMPUTED_VALUE"""),"20260508.1hori .xlsx.csv")</f>
        <v>20260508.1hori .xlsx.csv</v>
      </c>
      <c r="F50" s="4"/>
      <c r="G50" s="4"/>
      <c r="H50" s="4" t="str">
        <f>IFERROR(__xludf.DUMMYFUNCTION("""COMPUTED_VALUE"""),"要確認")</f>
        <v>要確認</v>
      </c>
      <c r="I50" s="20">
        <f>IFERROR(__xludf.DUMMYFUNCTION("""COMPUTED_VALUE"""),46143.0)</f>
        <v>46143</v>
      </c>
      <c r="J50" s="4" t="s">
        <v>101</v>
      </c>
    </row>
    <row r="51" ht="15.75" customHeight="1">
      <c r="A51" s="17">
        <f>IFERROR(__xludf.DUMMYFUNCTION("""COMPUTED_VALUE"""),46140.0)</f>
        <v>46140</v>
      </c>
      <c r="B51" s="4" t="str">
        <f>IFERROR(__xludf.DUMMYFUNCTION("""COMPUTED_VALUE"""),"映ｸﾗ㈱様　CH3844")</f>
        <v>映ｸﾗ㈱様　CH3844</v>
      </c>
      <c r="C51" s="23">
        <f>IFERROR(__xludf.DUMMYFUNCTION("""COMPUTED_VALUE"""),1100000.0)</f>
        <v>1100000</v>
      </c>
      <c r="D51" s="4" t="str">
        <f>IFERROR(__xludf.DUMMYFUNCTION("""COMPUTED_VALUE"""),"入金")</f>
        <v>入金</v>
      </c>
      <c r="E51" s="4" t="str">
        <f>IFERROR(__xludf.DUMMYFUNCTION("""COMPUTED_VALUE"""),"20260430.2hori .xlsx.csv")</f>
        <v>20260430.2hori .xlsx.csv</v>
      </c>
      <c r="F51" s="4"/>
      <c r="G51" s="4"/>
      <c r="H51" s="4" t="str">
        <f>IFERROR(__xludf.DUMMYFUNCTION("""COMPUTED_VALUE"""),"要確認")</f>
        <v>要確認</v>
      </c>
      <c r="I51" s="20">
        <f>IFERROR(__xludf.DUMMYFUNCTION("""COMPUTED_VALUE"""),46113.0)</f>
        <v>46113</v>
      </c>
      <c r="J51" s="4" t="s">
        <v>102</v>
      </c>
    </row>
    <row r="52" ht="15.75" customHeight="1">
      <c r="A52" s="17">
        <f>IFERROR(__xludf.DUMMYFUNCTION("""COMPUTED_VALUE"""),46140.0)</f>
        <v>46140</v>
      </c>
      <c r="B52" s="4" t="str">
        <f>IFERROR(__xludf.DUMMYFUNCTION("""COMPUTED_VALUE"""),"該当なし ミツイスミトモカイジヨウB")</f>
        <v>該当なし ミツイスミトモカイジヨウB</v>
      </c>
      <c r="C52" s="23">
        <f>IFERROR(__xludf.DUMMYFUNCTION("""COMPUTED_VALUE"""),100000.0)</f>
        <v>100000</v>
      </c>
      <c r="D52" s="4" t="str">
        <f>IFERROR(__xludf.DUMMYFUNCTION("""COMPUTED_VALUE"""),"入金")</f>
        <v>入金</v>
      </c>
      <c r="E52" s="4" t="str">
        <f>IFERROR(__xludf.DUMMYFUNCTION("""COMPUTED_VALUE"""),"20260430.2hori .xlsx.csv")</f>
        <v>20260430.2hori .xlsx.csv</v>
      </c>
      <c r="F52" s="4"/>
      <c r="G52" s="4"/>
      <c r="H52" s="4" t="str">
        <f>IFERROR(__xludf.DUMMYFUNCTION("""COMPUTED_VALUE"""),"要確認")</f>
        <v>要確認</v>
      </c>
      <c r="I52" s="20">
        <f>IFERROR(__xludf.DUMMYFUNCTION("""COMPUTED_VALUE"""),46113.0)</f>
        <v>46113</v>
      </c>
      <c r="J52" s="4" t="s">
        <v>103</v>
      </c>
    </row>
    <row r="53" ht="15.75" customHeight="1">
      <c r="A53" s="17">
        <f>IFERROR(__xludf.DUMMYFUNCTION("""COMPUTED_VALUE"""),46140.0)</f>
        <v>46140</v>
      </c>
      <c r="B53" s="4" t="str">
        <f>IFERROR(__xludf.DUMMYFUNCTION("""COMPUTED_VALUE"""),"関根ﾜｶﾅ様　SB24524")</f>
        <v>関根ﾜｶﾅ様　SB24524</v>
      </c>
      <c r="C53" s="23">
        <f>IFERROR(__xludf.DUMMYFUNCTION("""COMPUTED_VALUE"""),93720.0)</f>
        <v>93720</v>
      </c>
      <c r="D53" s="4" t="str">
        <f>IFERROR(__xludf.DUMMYFUNCTION("""COMPUTED_VALUE"""),"入金")</f>
        <v>入金</v>
      </c>
      <c r="E53" s="4" t="str">
        <f>IFERROR(__xludf.DUMMYFUNCTION("""COMPUTED_VALUE"""),"20260430.2hori .xlsx.csv")</f>
        <v>20260430.2hori .xlsx.csv</v>
      </c>
      <c r="F53" s="4" t="str">
        <f>IFERROR(__xludf.DUMMYFUNCTION("""COMPUTED_VALUE"""),"SB00024524")</f>
        <v>SB00024524</v>
      </c>
      <c r="G53" s="4" t="str">
        <f>IFERROR(__xludf.DUMMYFUNCTION("""COMPUTED_VALUE"""),"KK00000660")</f>
        <v>KK00000660</v>
      </c>
      <c r="H53" s="4" t="str">
        <f>IFERROR(__xludf.DUMMYFUNCTION("""COMPUTED_VALUE"""),"自動消込")</f>
        <v>自動消込</v>
      </c>
      <c r="I53" s="20">
        <f>IFERROR(__xludf.DUMMYFUNCTION("""COMPUTED_VALUE"""),46113.0)</f>
        <v>46113</v>
      </c>
      <c r="J53" s="4" t="s">
        <v>3</v>
      </c>
    </row>
    <row r="54" ht="15.75" customHeight="1">
      <c r="A54" s="17">
        <f>IFERROR(__xludf.DUMMYFUNCTION("""COMPUTED_VALUE"""),46142.0)</f>
        <v>46142</v>
      </c>
      <c r="B54" s="4" t="str">
        <f>IFERROR(__xludf.DUMMYFUNCTION("""COMPUTED_VALUE"""),"㈱ｾﾞﾈｺｽ様　SB24529")</f>
        <v>㈱ｾﾞﾈｺｽ様　SB24529</v>
      </c>
      <c r="C54" s="23">
        <f>IFERROR(__xludf.DUMMYFUNCTION("""COMPUTED_VALUE"""),282690.0)</f>
        <v>282690</v>
      </c>
      <c r="D54" s="4" t="str">
        <f>IFERROR(__xludf.DUMMYFUNCTION("""COMPUTED_VALUE"""),"入金")</f>
        <v>入金</v>
      </c>
      <c r="E54" s="4" t="str">
        <f>IFERROR(__xludf.DUMMYFUNCTION("""COMPUTED_VALUE"""),"20260430.2hori .xlsx.csv")</f>
        <v>20260430.2hori .xlsx.csv</v>
      </c>
      <c r="F54" s="4"/>
      <c r="G54" s="4"/>
      <c r="H54" s="4" t="str">
        <f>IFERROR(__xludf.DUMMYFUNCTION("""COMPUTED_VALUE"""),"要確認")</f>
        <v>要確認</v>
      </c>
      <c r="I54" s="20">
        <f>IFERROR(__xludf.DUMMYFUNCTION("""COMPUTED_VALUE"""),46113.0)</f>
        <v>46113</v>
      </c>
      <c r="J54" s="4" t="s">
        <v>104</v>
      </c>
    </row>
    <row r="55" ht="15.75" customHeight="1">
      <c r="A55" s="17">
        <f>IFERROR(__xludf.DUMMYFUNCTION("""COMPUTED_VALUE"""),46142.0)</f>
        <v>46142</v>
      </c>
      <c r="B55" s="4" t="str">
        <f>IFERROR(__xludf.DUMMYFUNCTION("""COMPUTED_VALUE"""),"㈱円福寺様　SB24510")</f>
        <v>㈱円福寺様　SB24510</v>
      </c>
      <c r="C55" s="23">
        <f>IFERROR(__xludf.DUMMYFUNCTION("""COMPUTED_VALUE"""),3850.0)</f>
        <v>3850</v>
      </c>
      <c r="D55" s="4" t="str">
        <f>IFERROR(__xludf.DUMMYFUNCTION("""COMPUTED_VALUE"""),"入金")</f>
        <v>入金</v>
      </c>
      <c r="E55" s="4" t="str">
        <f>IFERROR(__xludf.DUMMYFUNCTION("""COMPUTED_VALUE"""),"20260430.2hori .xlsx.csv")</f>
        <v>20260430.2hori .xlsx.csv</v>
      </c>
      <c r="F55" s="4" t="str">
        <f>IFERROR(__xludf.DUMMYFUNCTION("""COMPUTED_VALUE"""),"SB00024510")</f>
        <v>SB00024510</v>
      </c>
      <c r="G55" s="4" t="str">
        <f>IFERROR(__xludf.DUMMYFUNCTION("""COMPUTED_VALUE"""),"KK00006243")</f>
        <v>KK00006243</v>
      </c>
      <c r="H55" s="4" t="str">
        <f>IFERROR(__xludf.DUMMYFUNCTION("""COMPUTED_VALUE"""),"自動消込")</f>
        <v>自動消込</v>
      </c>
      <c r="I55" s="20">
        <f>IFERROR(__xludf.DUMMYFUNCTION("""COMPUTED_VALUE"""),46113.0)</f>
        <v>46113</v>
      </c>
      <c r="J55" s="4" t="s">
        <v>3</v>
      </c>
    </row>
    <row r="56" ht="15.75" customHeight="1">
      <c r="A56" s="17">
        <f>IFERROR(__xludf.DUMMYFUNCTION("""COMPUTED_VALUE"""),46142.0)</f>
        <v>46142</v>
      </c>
      <c r="B56" s="4" t="str">
        <f>IFERROR(__xludf.DUMMYFUNCTION("""COMPUTED_VALUE"""),"㈱はなまる様　CH3839")</f>
        <v>㈱はなまる様　CH3839</v>
      </c>
      <c r="C56" s="23">
        <f>IFERROR(__xludf.DUMMYFUNCTION("""COMPUTED_VALUE"""),842430.0)</f>
        <v>842430</v>
      </c>
      <c r="D56" s="4" t="str">
        <f>IFERROR(__xludf.DUMMYFUNCTION("""COMPUTED_VALUE"""),"入金")</f>
        <v>入金</v>
      </c>
      <c r="E56" s="4" t="str">
        <f>IFERROR(__xludf.DUMMYFUNCTION("""COMPUTED_VALUE"""),"20260430.2hori .xlsx.csv")</f>
        <v>20260430.2hori .xlsx.csv</v>
      </c>
      <c r="F56" s="4"/>
      <c r="G56" s="4"/>
      <c r="H56" s="4" t="str">
        <f>IFERROR(__xludf.DUMMYFUNCTION("""COMPUTED_VALUE"""),"要確認")</f>
        <v>要確認</v>
      </c>
      <c r="I56" s="20">
        <f>IFERROR(__xludf.DUMMYFUNCTION("""COMPUTED_VALUE"""),46113.0)</f>
        <v>46113</v>
      </c>
      <c r="J56" s="4" t="s">
        <v>105</v>
      </c>
    </row>
    <row r="57" ht="15.75" customHeight="1">
      <c r="A57" s="17">
        <f>IFERROR(__xludf.DUMMYFUNCTION("""COMPUTED_VALUE"""),46142.0)</f>
        <v>46142</v>
      </c>
      <c r="B57" s="4" t="str">
        <f>IFERROR(__xludf.DUMMYFUNCTION("""COMPUTED_VALUE"""),"㈱ﾙｯｸ様　SB24547")</f>
        <v>㈱ﾙｯｸ様　SB24547</v>
      </c>
      <c r="C57" s="23">
        <f>IFERROR(__xludf.DUMMYFUNCTION("""COMPUTED_VALUE"""),137410.0)</f>
        <v>137410</v>
      </c>
      <c r="D57" s="4" t="str">
        <f>IFERROR(__xludf.DUMMYFUNCTION("""COMPUTED_VALUE"""),"入金")</f>
        <v>入金</v>
      </c>
      <c r="E57" s="4" t="str">
        <f>IFERROR(__xludf.DUMMYFUNCTION("""COMPUTED_VALUE"""),"20260430.2hori .xlsx.csv")</f>
        <v>20260430.2hori .xlsx.csv</v>
      </c>
      <c r="F57" s="4" t="str">
        <f>IFERROR(__xludf.DUMMYFUNCTION("""COMPUTED_VALUE"""),"SB00024547")</f>
        <v>SB00024547</v>
      </c>
      <c r="G57" s="4" t="str">
        <f>IFERROR(__xludf.DUMMYFUNCTION("""COMPUTED_VALUE"""),"KK00001702")</f>
        <v>KK00001702</v>
      </c>
      <c r="H57" s="4" t="str">
        <f>IFERROR(__xludf.DUMMYFUNCTION("""COMPUTED_VALUE"""),"自動消込")</f>
        <v>自動消込</v>
      </c>
      <c r="I57" s="20">
        <f>IFERROR(__xludf.DUMMYFUNCTION("""COMPUTED_VALUE"""),46113.0)</f>
        <v>46113</v>
      </c>
      <c r="J57" s="4" t="s">
        <v>3</v>
      </c>
    </row>
    <row r="58" ht="15.75" customHeight="1">
      <c r="A58" s="17">
        <f>IFERROR(__xludf.DUMMYFUNCTION("""COMPUTED_VALUE"""),46142.0)</f>
        <v>46142</v>
      </c>
      <c r="B58" s="4" t="str">
        <f>IFERROR(__xludf.DUMMYFUNCTION("""COMPUTED_VALUE"""),"㈱水島設備様　SB24556")</f>
        <v>㈱水島設備様　SB24556</v>
      </c>
      <c r="C58" s="23">
        <f>IFERROR(__xludf.DUMMYFUNCTION("""COMPUTED_VALUE"""),188100.0)</f>
        <v>188100</v>
      </c>
      <c r="D58" s="4" t="str">
        <f>IFERROR(__xludf.DUMMYFUNCTION("""COMPUTED_VALUE"""),"入金")</f>
        <v>入金</v>
      </c>
      <c r="E58" s="4" t="str">
        <f>IFERROR(__xludf.DUMMYFUNCTION("""COMPUTED_VALUE"""),"20260430.2hori .xlsx.csv")</f>
        <v>20260430.2hori .xlsx.csv</v>
      </c>
      <c r="F58" s="4"/>
      <c r="G58" s="4"/>
      <c r="H58" s="4" t="str">
        <f>IFERROR(__xludf.DUMMYFUNCTION("""COMPUTED_VALUE"""),"要確認")</f>
        <v>要確認</v>
      </c>
      <c r="I58" s="20">
        <f>IFERROR(__xludf.DUMMYFUNCTION("""COMPUTED_VALUE"""),46113.0)</f>
        <v>46113</v>
      </c>
      <c r="J58" s="4" t="s">
        <v>106</v>
      </c>
    </row>
    <row r="59" ht="15.75" customHeight="1">
      <c r="A59" s="17">
        <f>IFERROR(__xludf.DUMMYFUNCTION("""COMPUTED_VALUE"""),46142.0)</f>
        <v>46142</v>
      </c>
      <c r="B59" s="4" t="str">
        <f>IFERROR(__xludf.DUMMYFUNCTION("""COMPUTED_VALUE"""),"該当なし チユウギンカードVIS")</f>
        <v>該当なし チユウギンカードVIS</v>
      </c>
      <c r="C59" s="23">
        <f>IFERROR(__xludf.DUMMYFUNCTION("""COMPUTED_VALUE"""),296214.0)</f>
        <v>296214</v>
      </c>
      <c r="D59" s="4" t="str">
        <f>IFERROR(__xludf.DUMMYFUNCTION("""COMPUTED_VALUE"""),"入金")</f>
        <v>入金</v>
      </c>
      <c r="E59" s="4" t="str">
        <f>IFERROR(__xludf.DUMMYFUNCTION("""COMPUTED_VALUE"""),"20260430.1hori .xlsx.csv")</f>
        <v>20260430.1hori .xlsx.csv</v>
      </c>
      <c r="F59" s="4"/>
      <c r="G59" s="4"/>
      <c r="H59" s="4" t="str">
        <f>IFERROR(__xludf.DUMMYFUNCTION("""COMPUTED_VALUE"""),"要確認")</f>
        <v>要確認</v>
      </c>
      <c r="I59" s="20">
        <f>IFERROR(__xludf.DUMMYFUNCTION("""COMPUTED_VALUE"""),46113.0)</f>
        <v>46113</v>
      </c>
      <c r="J59" s="4" t="s">
        <v>107</v>
      </c>
    </row>
    <row r="60" ht="15.75" customHeight="1">
      <c r="A60" s="17">
        <f>IFERROR(__xludf.DUMMYFUNCTION("""COMPUTED_VALUE"""),46142.0)</f>
        <v>46142</v>
      </c>
      <c r="B60" s="4" t="str">
        <f>IFERROR(__xludf.DUMMYFUNCTION("""COMPUTED_VALUE"""),"該当なし チユウギンカードJCB")</f>
        <v>該当なし チユウギンカードJCB</v>
      </c>
      <c r="C60" s="23">
        <f>IFERROR(__xludf.DUMMYFUNCTION("""COMPUTED_VALUE"""),269946.0)</f>
        <v>269946</v>
      </c>
      <c r="D60" s="4" t="str">
        <f>IFERROR(__xludf.DUMMYFUNCTION("""COMPUTED_VALUE"""),"入金")</f>
        <v>入金</v>
      </c>
      <c r="E60" s="4" t="str">
        <f>IFERROR(__xludf.DUMMYFUNCTION("""COMPUTED_VALUE"""),"20260430.1hori .xlsx.csv")</f>
        <v>20260430.1hori .xlsx.csv</v>
      </c>
      <c r="F60" s="4"/>
      <c r="G60" s="4"/>
      <c r="H60" s="4" t="str">
        <f>IFERROR(__xludf.DUMMYFUNCTION("""COMPUTED_VALUE"""),"要確認")</f>
        <v>要確認</v>
      </c>
      <c r="I60" s="20">
        <f>IFERROR(__xludf.DUMMYFUNCTION("""COMPUTED_VALUE"""),46113.0)</f>
        <v>46113</v>
      </c>
      <c r="J60" s="4" t="s">
        <v>108</v>
      </c>
    </row>
    <row r="61" ht="15.75" customHeight="1">
      <c r="A61" s="17">
        <f>IFERROR(__xludf.DUMMYFUNCTION("""COMPUTED_VALUE"""),46142.0)</f>
        <v>46142</v>
      </c>
      <c r="B61" s="4" t="str">
        <f>IFERROR(__xludf.DUMMYFUNCTION("""COMPUTED_VALUE"""),"㈱橋本商事　(㈱A’crews)")</f>
        <v>㈱橋本商事　(㈱A’crews)</v>
      </c>
      <c r="C61" s="23">
        <f>IFERROR(__xludf.DUMMYFUNCTION("""COMPUTED_VALUE"""),150000.0)</f>
        <v>150000</v>
      </c>
      <c r="D61" s="4" t="str">
        <f>IFERROR(__xludf.DUMMYFUNCTION("""COMPUTED_VALUE"""),"入金")</f>
        <v>入金</v>
      </c>
      <c r="E61" s="4" t="str">
        <f>IFERROR(__xludf.DUMMYFUNCTION("""COMPUTED_VALUE"""),"20260430.1hori .xlsx.csv")</f>
        <v>20260430.1hori .xlsx.csv</v>
      </c>
      <c r="F61" s="4"/>
      <c r="G61" s="4"/>
      <c r="H61" s="4" t="str">
        <f>IFERROR(__xludf.DUMMYFUNCTION("""COMPUTED_VALUE"""),"要確認")</f>
        <v>要確認</v>
      </c>
      <c r="I61" s="20">
        <f>IFERROR(__xludf.DUMMYFUNCTION("""COMPUTED_VALUE"""),46113.0)</f>
        <v>46113</v>
      </c>
      <c r="J61" s="4" t="s">
        <v>109</v>
      </c>
    </row>
    <row r="62" ht="15.75" customHeight="1">
      <c r="A62" s="17"/>
      <c r="C62" s="23"/>
      <c r="I62" s="20"/>
      <c r="J62" s="4" t="s">
        <v>3</v>
      </c>
    </row>
    <row r="63" ht="15.75" customHeight="1">
      <c r="A63" s="17"/>
      <c r="C63" s="23"/>
      <c r="I63" s="20"/>
      <c r="J63" s="4" t="s">
        <v>3</v>
      </c>
    </row>
    <row r="64" ht="15.75" customHeight="1">
      <c r="A64" s="17"/>
      <c r="C64" s="23"/>
      <c r="I64" s="20"/>
      <c r="J64" s="4" t="s">
        <v>3</v>
      </c>
    </row>
    <row r="65" ht="15.75" customHeight="1">
      <c r="A65" s="17"/>
      <c r="C65" s="23"/>
      <c r="I65" s="20"/>
      <c r="J65" s="4" t="s">
        <v>3</v>
      </c>
    </row>
    <row r="66" ht="15.75" customHeight="1">
      <c r="A66" s="17"/>
      <c r="C66" s="23"/>
      <c r="I66" s="20"/>
      <c r="J66" s="4" t="s">
        <v>3</v>
      </c>
    </row>
    <row r="67" ht="15.75" customHeight="1">
      <c r="A67" s="17"/>
      <c r="C67" s="23"/>
      <c r="I67" s="20"/>
      <c r="J67" s="4" t="s">
        <v>3</v>
      </c>
    </row>
    <row r="68" ht="15.75" customHeight="1">
      <c r="A68" s="17"/>
      <c r="C68" s="23"/>
      <c r="I68" s="20"/>
      <c r="J68" s="4" t="s">
        <v>3</v>
      </c>
    </row>
    <row r="69" ht="15.75" customHeight="1">
      <c r="A69" s="17"/>
      <c r="C69" s="23"/>
      <c r="I69" s="20"/>
      <c r="J69" s="4" t="s">
        <v>3</v>
      </c>
    </row>
    <row r="70" ht="15.75" customHeight="1">
      <c r="A70" s="17"/>
      <c r="C70" s="23"/>
      <c r="I70" s="20"/>
      <c r="J70" s="4" t="s">
        <v>3</v>
      </c>
    </row>
    <row r="71" ht="15.75" customHeight="1">
      <c r="A71" s="17"/>
      <c r="C71" s="23"/>
      <c r="I71" s="20"/>
      <c r="J71" s="4" t="s">
        <v>3</v>
      </c>
    </row>
    <row r="72" ht="15.75" customHeight="1">
      <c r="A72" s="17"/>
      <c r="C72" s="23"/>
      <c r="I72" s="20"/>
      <c r="J72" s="4" t="s">
        <v>3</v>
      </c>
    </row>
    <row r="73" ht="15.75" customHeight="1">
      <c r="A73" s="17"/>
      <c r="C73" s="23"/>
      <c r="I73" s="20"/>
      <c r="J73" s="4" t="s">
        <v>3</v>
      </c>
    </row>
    <row r="74" ht="15.75" customHeight="1">
      <c r="A74" s="17"/>
      <c r="C74" s="23"/>
      <c r="I74" s="20"/>
      <c r="J74" s="4" t="s">
        <v>3</v>
      </c>
    </row>
    <row r="75" ht="15.75" customHeight="1">
      <c r="A75" s="17"/>
      <c r="C75" s="23"/>
      <c r="I75" s="20"/>
      <c r="J75" s="4" t="s">
        <v>3</v>
      </c>
    </row>
    <row r="76" ht="15.75" customHeight="1">
      <c r="A76" s="17"/>
      <c r="C76" s="23"/>
      <c r="I76" s="20"/>
      <c r="J76" s="4" t="s">
        <v>3</v>
      </c>
    </row>
    <row r="77" ht="15.75" customHeight="1">
      <c r="A77" s="17"/>
      <c r="C77" s="23"/>
      <c r="I77" s="20"/>
      <c r="J77" s="4" t="s">
        <v>3</v>
      </c>
    </row>
    <row r="78" ht="15.75" customHeight="1">
      <c r="A78" s="17"/>
      <c r="C78" s="23"/>
      <c r="I78" s="20"/>
      <c r="J78" s="4" t="s">
        <v>3</v>
      </c>
    </row>
    <row r="79" ht="15.75" customHeight="1">
      <c r="A79" s="17"/>
      <c r="C79" s="23"/>
      <c r="I79" s="20"/>
      <c r="J79" s="4" t="s">
        <v>3</v>
      </c>
    </row>
    <row r="80" ht="15.75" customHeight="1">
      <c r="A80" s="17"/>
      <c r="C80" s="23"/>
      <c r="I80" s="20"/>
      <c r="J80" s="4" t="s">
        <v>3</v>
      </c>
    </row>
    <row r="81" ht="15.75" customHeight="1">
      <c r="A81" s="17"/>
      <c r="C81" s="23"/>
      <c r="I81" s="20"/>
      <c r="J81" s="4" t="s">
        <v>3</v>
      </c>
    </row>
    <row r="82" ht="15.75" customHeight="1">
      <c r="A82" s="17"/>
      <c r="C82" s="23"/>
      <c r="I82" s="20"/>
      <c r="J82" s="4" t="s">
        <v>3</v>
      </c>
    </row>
    <row r="83" ht="15.75" customHeight="1">
      <c r="A83" s="17"/>
      <c r="C83" s="23"/>
      <c r="I83" s="20"/>
      <c r="J83" s="4" t="s">
        <v>3</v>
      </c>
    </row>
    <row r="84" ht="15.75" customHeight="1">
      <c r="A84" s="17"/>
      <c r="C84" s="23"/>
      <c r="I84" s="20"/>
      <c r="J84" s="4" t="s">
        <v>3</v>
      </c>
    </row>
    <row r="85" ht="15.75" customHeight="1">
      <c r="A85" s="17"/>
      <c r="C85" s="23"/>
      <c r="I85" s="20"/>
      <c r="J85" s="4" t="s">
        <v>3</v>
      </c>
    </row>
    <row r="86" ht="15.75" customHeight="1">
      <c r="A86" s="17"/>
      <c r="C86" s="23"/>
      <c r="I86" s="20"/>
      <c r="J86" s="4" t="s">
        <v>3</v>
      </c>
    </row>
    <row r="87" ht="15.75" customHeight="1">
      <c r="A87" s="17"/>
      <c r="C87" s="23"/>
      <c r="I87" s="20"/>
      <c r="J87" s="4" t="s">
        <v>3</v>
      </c>
    </row>
    <row r="88" ht="15.75" customHeight="1">
      <c r="A88" s="17"/>
      <c r="C88" s="23"/>
      <c r="I88" s="20"/>
      <c r="J88" s="4" t="s">
        <v>3</v>
      </c>
    </row>
    <row r="89" ht="15.75" customHeight="1">
      <c r="A89" s="17"/>
      <c r="C89" s="23"/>
      <c r="I89" s="20"/>
      <c r="J89" s="4" t="s">
        <v>3</v>
      </c>
    </row>
    <row r="90" ht="15.75" customHeight="1">
      <c r="A90" s="17"/>
      <c r="C90" s="23"/>
      <c r="I90" s="20"/>
      <c r="J90" s="4" t="s">
        <v>3</v>
      </c>
    </row>
    <row r="91" ht="15.75" customHeight="1">
      <c r="A91" s="17"/>
      <c r="C91" s="23"/>
      <c r="I91" s="20"/>
      <c r="J91" s="4" t="s">
        <v>3</v>
      </c>
    </row>
    <row r="92" ht="15.75" customHeight="1">
      <c r="A92" s="17"/>
      <c r="C92" s="23"/>
      <c r="I92" s="20"/>
      <c r="J92" s="4" t="s">
        <v>3</v>
      </c>
    </row>
    <row r="93" ht="15.75" customHeight="1">
      <c r="A93" s="17"/>
      <c r="C93" s="23"/>
      <c r="I93" s="20"/>
      <c r="J93" s="4" t="s">
        <v>3</v>
      </c>
    </row>
    <row r="94" ht="15.75" customHeight="1">
      <c r="A94" s="17"/>
      <c r="C94" s="23"/>
      <c r="I94" s="20"/>
      <c r="J94" s="4" t="s">
        <v>3</v>
      </c>
    </row>
    <row r="95" ht="15.75" customHeight="1">
      <c r="A95" s="17"/>
      <c r="C95" s="23"/>
      <c r="I95" s="20"/>
      <c r="J95" s="4" t="s">
        <v>3</v>
      </c>
    </row>
    <row r="96" ht="15.75" customHeight="1">
      <c r="A96" s="17"/>
      <c r="C96" s="23"/>
      <c r="I96" s="20"/>
      <c r="J96" s="4" t="s">
        <v>3</v>
      </c>
    </row>
    <row r="97" ht="15.75" customHeight="1">
      <c r="A97" s="17"/>
      <c r="C97" s="23"/>
      <c r="I97" s="20"/>
      <c r="J97" s="4" t="s">
        <v>3</v>
      </c>
    </row>
    <row r="98" ht="15.75" customHeight="1">
      <c r="A98" s="17"/>
      <c r="C98" s="23"/>
      <c r="I98" s="20"/>
      <c r="J98" s="4" t="s">
        <v>3</v>
      </c>
    </row>
    <row r="99" ht="15.75" customHeight="1">
      <c r="A99" s="17"/>
      <c r="C99" s="23"/>
      <c r="I99" s="20"/>
      <c r="J99" s="4" t="s">
        <v>3</v>
      </c>
    </row>
    <row r="100" ht="15.75" customHeight="1">
      <c r="A100" s="17"/>
      <c r="C100" s="23"/>
      <c r="I100" s="20"/>
      <c r="J100" s="4" t="s">
        <v>3</v>
      </c>
    </row>
    <row r="101" ht="15.75" customHeight="1">
      <c r="A101" s="17"/>
      <c r="C101" s="23"/>
      <c r="I101" s="20"/>
      <c r="J101" s="4" t="s">
        <v>3</v>
      </c>
    </row>
    <row r="102" ht="15.75" customHeight="1">
      <c r="A102" s="17"/>
      <c r="C102" s="23"/>
      <c r="I102" s="20"/>
      <c r="J102" s="4" t="s">
        <v>3</v>
      </c>
    </row>
    <row r="103" ht="15.75" customHeight="1">
      <c r="A103" s="17"/>
      <c r="C103" s="23"/>
      <c r="I103" s="20"/>
      <c r="J103" s="4" t="s">
        <v>3</v>
      </c>
    </row>
    <row r="104" ht="15.75" customHeight="1">
      <c r="A104" s="17"/>
      <c r="C104" s="23"/>
      <c r="I104" s="20"/>
      <c r="J104" s="4" t="s">
        <v>3</v>
      </c>
    </row>
    <row r="105" ht="15.75" customHeight="1">
      <c r="A105" s="17"/>
      <c r="C105" s="23"/>
      <c r="I105" s="20"/>
      <c r="J105" s="4" t="s">
        <v>3</v>
      </c>
    </row>
    <row r="106" ht="15.75" customHeight="1">
      <c r="A106" s="17"/>
      <c r="C106" s="23"/>
      <c r="I106" s="20"/>
      <c r="J106" s="4" t="s">
        <v>3</v>
      </c>
    </row>
    <row r="107" ht="15.75" customHeight="1">
      <c r="A107" s="17"/>
      <c r="C107" s="23"/>
      <c r="I107" s="20"/>
      <c r="J107" s="4" t="s">
        <v>3</v>
      </c>
    </row>
    <row r="108" ht="15.75" customHeight="1">
      <c r="A108" s="17"/>
      <c r="C108" s="23"/>
      <c r="I108" s="20"/>
      <c r="J108" s="4" t="s">
        <v>3</v>
      </c>
    </row>
    <row r="109" ht="15.75" customHeight="1">
      <c r="A109" s="17"/>
      <c r="C109" s="23"/>
      <c r="I109" s="20"/>
      <c r="J109" s="4" t="s">
        <v>3</v>
      </c>
    </row>
    <row r="110" ht="15.75" customHeight="1">
      <c r="A110" s="17"/>
      <c r="C110" s="23"/>
      <c r="I110" s="20"/>
      <c r="J110" s="4" t="s">
        <v>3</v>
      </c>
    </row>
    <row r="111" ht="15.75" customHeight="1">
      <c r="A111" s="17"/>
      <c r="C111" s="23"/>
      <c r="I111" s="20"/>
      <c r="J111" s="4" t="s">
        <v>3</v>
      </c>
    </row>
    <row r="112" ht="15.75" customHeight="1">
      <c r="A112" s="17"/>
      <c r="C112" s="23"/>
      <c r="I112" s="20"/>
      <c r="J112" s="4" t="s">
        <v>3</v>
      </c>
    </row>
    <row r="113" ht="15.75" customHeight="1">
      <c r="A113" s="17"/>
      <c r="C113" s="23"/>
      <c r="I113" s="20"/>
      <c r="J113" s="4" t="s">
        <v>3</v>
      </c>
    </row>
    <row r="114" ht="15.75" customHeight="1">
      <c r="A114" s="17"/>
      <c r="C114" s="23"/>
      <c r="I114" s="20"/>
      <c r="J114" s="4" t="s">
        <v>3</v>
      </c>
    </row>
    <row r="115" ht="15.75" customHeight="1">
      <c r="A115" s="17"/>
      <c r="C115" s="23"/>
      <c r="I115" s="20"/>
      <c r="J115" s="4" t="s">
        <v>3</v>
      </c>
    </row>
    <row r="116" ht="15.75" customHeight="1">
      <c r="A116" s="17"/>
      <c r="C116" s="23"/>
      <c r="I116" s="20"/>
      <c r="J116" s="4" t="s">
        <v>3</v>
      </c>
    </row>
    <row r="117" ht="15.75" customHeight="1">
      <c r="A117" s="17"/>
      <c r="C117" s="23"/>
      <c r="I117" s="20"/>
      <c r="J117" s="4" t="s">
        <v>3</v>
      </c>
    </row>
    <row r="118" ht="15.75" customHeight="1">
      <c r="A118" s="17"/>
      <c r="C118" s="23"/>
      <c r="I118" s="20"/>
      <c r="J118" s="4" t="s">
        <v>3</v>
      </c>
    </row>
    <row r="119" ht="15.75" customHeight="1">
      <c r="A119" s="17"/>
      <c r="C119" s="23"/>
      <c r="I119" s="20"/>
      <c r="J119" s="4" t="s">
        <v>3</v>
      </c>
    </row>
    <row r="120" ht="15.75" customHeight="1">
      <c r="A120" s="17"/>
      <c r="C120" s="23"/>
      <c r="I120" s="20"/>
      <c r="J120" s="4" t="s">
        <v>3</v>
      </c>
    </row>
    <row r="121" ht="15.75" customHeight="1">
      <c r="A121" s="17"/>
      <c r="C121" s="23"/>
      <c r="I121" s="20"/>
      <c r="J121" s="4" t="s">
        <v>3</v>
      </c>
    </row>
    <row r="122" ht="15.75" customHeight="1">
      <c r="A122" s="17"/>
      <c r="C122" s="23"/>
      <c r="I122" s="20"/>
      <c r="J122" s="4" t="s">
        <v>3</v>
      </c>
    </row>
    <row r="123" ht="15.75" customHeight="1">
      <c r="A123" s="17"/>
      <c r="C123" s="23"/>
      <c r="I123" s="20"/>
      <c r="J123" s="4" t="s">
        <v>3</v>
      </c>
    </row>
    <row r="124" ht="15.75" customHeight="1">
      <c r="A124" s="17"/>
      <c r="C124" s="23"/>
      <c r="I124" s="20"/>
      <c r="J124" s="4" t="s">
        <v>3</v>
      </c>
    </row>
    <row r="125" ht="15.75" customHeight="1">
      <c r="A125" s="17"/>
      <c r="C125" s="23"/>
      <c r="I125" s="20"/>
      <c r="J125" s="4" t="s">
        <v>3</v>
      </c>
    </row>
    <row r="126" ht="15.75" customHeight="1">
      <c r="A126" s="17"/>
      <c r="C126" s="23"/>
      <c r="I126" s="20"/>
      <c r="J126" s="4" t="s">
        <v>3</v>
      </c>
    </row>
    <row r="127" ht="15.75" customHeight="1">
      <c r="A127" s="17"/>
      <c r="C127" s="23"/>
      <c r="I127" s="20"/>
      <c r="J127" s="4" t="s">
        <v>3</v>
      </c>
    </row>
    <row r="128" ht="15.75" customHeight="1">
      <c r="A128" s="17"/>
      <c r="C128" s="23"/>
      <c r="I128" s="20"/>
      <c r="J128" s="4" t="s">
        <v>3</v>
      </c>
    </row>
    <row r="129" ht="15.75" customHeight="1">
      <c r="A129" s="17"/>
      <c r="C129" s="23"/>
      <c r="I129" s="20"/>
      <c r="J129" s="4" t="s">
        <v>3</v>
      </c>
    </row>
    <row r="130" ht="15.75" customHeight="1">
      <c r="A130" s="17"/>
      <c r="C130" s="23"/>
      <c r="I130" s="20"/>
      <c r="J130" s="4" t="s">
        <v>3</v>
      </c>
    </row>
    <row r="131" ht="15.75" customHeight="1">
      <c r="A131" s="17"/>
      <c r="C131" s="23"/>
      <c r="I131" s="20"/>
      <c r="J131" s="4" t="s">
        <v>3</v>
      </c>
    </row>
    <row r="132" ht="15.75" customHeight="1">
      <c r="A132" s="17"/>
      <c r="C132" s="23"/>
      <c r="I132" s="20"/>
      <c r="J132" s="4" t="s">
        <v>3</v>
      </c>
    </row>
    <row r="133" ht="15.75" customHeight="1">
      <c r="A133" s="17"/>
      <c r="C133" s="23"/>
      <c r="I133" s="20"/>
      <c r="J133" s="4" t="s">
        <v>3</v>
      </c>
    </row>
    <row r="134" ht="15.75" customHeight="1">
      <c r="A134" s="17"/>
      <c r="C134" s="23"/>
      <c r="I134" s="20"/>
      <c r="J134" s="4" t="s">
        <v>3</v>
      </c>
    </row>
    <row r="135" ht="15.75" customHeight="1">
      <c r="A135" s="17"/>
      <c r="C135" s="23"/>
      <c r="I135" s="20"/>
      <c r="J135" s="4" t="s">
        <v>3</v>
      </c>
    </row>
    <row r="136" ht="15.75" customHeight="1">
      <c r="A136" s="17"/>
      <c r="C136" s="23"/>
      <c r="I136" s="20"/>
      <c r="J136" s="4" t="s">
        <v>3</v>
      </c>
    </row>
    <row r="137" ht="15.75" customHeight="1">
      <c r="A137" s="17"/>
      <c r="C137" s="23"/>
      <c r="I137" s="20"/>
      <c r="J137" s="4" t="s">
        <v>3</v>
      </c>
    </row>
    <row r="138" ht="15.75" customHeight="1">
      <c r="A138" s="17"/>
      <c r="C138" s="23"/>
      <c r="I138" s="20"/>
      <c r="J138" s="4" t="s">
        <v>3</v>
      </c>
    </row>
    <row r="139" ht="15.75" customHeight="1">
      <c r="A139" s="17"/>
      <c r="C139" s="23"/>
      <c r="I139" s="20"/>
      <c r="J139" s="4" t="s">
        <v>3</v>
      </c>
    </row>
    <row r="140" ht="15.75" customHeight="1">
      <c r="A140" s="17"/>
      <c r="C140" s="23"/>
      <c r="I140" s="20"/>
      <c r="J140" s="4" t="s">
        <v>3</v>
      </c>
    </row>
    <row r="141" ht="15.75" customHeight="1">
      <c r="A141" s="17"/>
      <c r="C141" s="23"/>
      <c r="I141" s="20"/>
      <c r="J141" s="4" t="s">
        <v>3</v>
      </c>
    </row>
    <row r="142" ht="15.75" customHeight="1">
      <c r="A142" s="17"/>
      <c r="C142" s="23"/>
      <c r="I142" s="20"/>
      <c r="J142" s="4" t="s">
        <v>3</v>
      </c>
    </row>
    <row r="143" ht="15.75" customHeight="1">
      <c r="A143" s="17"/>
      <c r="C143" s="23"/>
      <c r="I143" s="20"/>
      <c r="J143" s="4" t="s">
        <v>3</v>
      </c>
    </row>
    <row r="144" ht="15.75" customHeight="1">
      <c r="A144" s="17"/>
      <c r="C144" s="23"/>
      <c r="I144" s="20"/>
      <c r="J144" s="4" t="s">
        <v>3</v>
      </c>
    </row>
    <row r="145" ht="15.75" customHeight="1">
      <c r="A145" s="17"/>
      <c r="C145" s="23"/>
      <c r="I145" s="20"/>
      <c r="J145" s="4" t="s">
        <v>3</v>
      </c>
    </row>
    <row r="146" ht="15.75" customHeight="1">
      <c r="A146" s="17"/>
      <c r="C146" s="23"/>
      <c r="I146" s="20"/>
      <c r="J146" s="4" t="s">
        <v>3</v>
      </c>
    </row>
    <row r="147" ht="15.75" customHeight="1">
      <c r="A147" s="17"/>
      <c r="C147" s="23"/>
      <c r="I147" s="20"/>
      <c r="J147" s="4" t="s">
        <v>3</v>
      </c>
    </row>
    <row r="148" ht="15.75" customHeight="1">
      <c r="A148" s="17"/>
      <c r="C148" s="23"/>
      <c r="I148" s="20"/>
      <c r="J148" s="4" t="s">
        <v>3</v>
      </c>
    </row>
    <row r="149" ht="15.75" customHeight="1">
      <c r="A149" s="17"/>
      <c r="C149" s="23"/>
      <c r="I149" s="20"/>
      <c r="J149" s="4" t="s">
        <v>3</v>
      </c>
    </row>
    <row r="150" ht="15.75" customHeight="1">
      <c r="A150" s="17"/>
      <c r="C150" s="23"/>
      <c r="I150" s="20"/>
      <c r="J150" s="4" t="s">
        <v>3</v>
      </c>
    </row>
    <row r="151" ht="15.75" customHeight="1">
      <c r="A151" s="17"/>
      <c r="C151" s="23"/>
      <c r="I151" s="20"/>
      <c r="J151" s="4" t="s">
        <v>3</v>
      </c>
    </row>
    <row r="152" ht="15.75" customHeight="1">
      <c r="A152" s="17"/>
      <c r="C152" s="23"/>
      <c r="I152" s="20"/>
      <c r="J152" s="4" t="s">
        <v>3</v>
      </c>
    </row>
    <row r="153" ht="15.75" customHeight="1">
      <c r="A153" s="17"/>
      <c r="C153" s="23"/>
      <c r="I153" s="20"/>
      <c r="J153" s="4" t="s">
        <v>3</v>
      </c>
    </row>
    <row r="154" ht="15.75" customHeight="1">
      <c r="A154" s="17"/>
      <c r="C154" s="23"/>
      <c r="I154" s="20"/>
      <c r="J154" s="4" t="s">
        <v>3</v>
      </c>
    </row>
    <row r="155" ht="15.75" customHeight="1">
      <c r="A155" s="17"/>
      <c r="C155" s="23"/>
      <c r="I155" s="20"/>
      <c r="J155" s="4" t="s">
        <v>3</v>
      </c>
    </row>
    <row r="156" ht="15.75" customHeight="1">
      <c r="A156" s="17"/>
      <c r="C156" s="23"/>
      <c r="I156" s="20"/>
      <c r="J156" s="4" t="s">
        <v>3</v>
      </c>
    </row>
    <row r="157" ht="15.75" customHeight="1">
      <c r="A157" s="17"/>
      <c r="C157" s="23"/>
      <c r="I157" s="20"/>
      <c r="J157" s="4" t="s">
        <v>3</v>
      </c>
    </row>
    <row r="158" ht="15.75" customHeight="1">
      <c r="A158" s="17"/>
      <c r="C158" s="23"/>
      <c r="I158" s="20"/>
      <c r="J158" s="4" t="s">
        <v>3</v>
      </c>
    </row>
    <row r="159" ht="15.75" customHeight="1">
      <c r="A159" s="17"/>
      <c r="C159" s="23"/>
      <c r="I159" s="20"/>
      <c r="J159" s="4" t="s">
        <v>3</v>
      </c>
    </row>
    <row r="160" ht="15.75" customHeight="1">
      <c r="A160" s="17"/>
      <c r="C160" s="23"/>
      <c r="I160" s="20"/>
      <c r="J160" s="4" t="s">
        <v>3</v>
      </c>
    </row>
    <row r="161" ht="15.75" customHeight="1">
      <c r="A161" s="17"/>
      <c r="C161" s="23"/>
      <c r="I161" s="20"/>
      <c r="J161" s="4" t="s">
        <v>3</v>
      </c>
    </row>
    <row r="162" ht="15.75" customHeight="1">
      <c r="A162" s="17"/>
      <c r="C162" s="23"/>
      <c r="I162" s="20"/>
      <c r="J162" s="4" t="s">
        <v>3</v>
      </c>
    </row>
    <row r="163" ht="15.75" customHeight="1">
      <c r="A163" s="17"/>
      <c r="C163" s="23"/>
      <c r="I163" s="20"/>
      <c r="J163" s="4" t="s">
        <v>3</v>
      </c>
    </row>
    <row r="164" ht="15.75" customHeight="1">
      <c r="A164" s="17"/>
      <c r="C164" s="23"/>
      <c r="I164" s="20"/>
      <c r="J164" s="4" t="s">
        <v>3</v>
      </c>
    </row>
    <row r="165" ht="15.75" customHeight="1">
      <c r="A165" s="17"/>
      <c r="C165" s="23"/>
      <c r="I165" s="20"/>
      <c r="J165" s="4" t="s">
        <v>3</v>
      </c>
    </row>
    <row r="166" ht="15.75" customHeight="1">
      <c r="A166" s="17"/>
      <c r="C166" s="23"/>
      <c r="I166" s="20"/>
      <c r="J166" s="4" t="s">
        <v>3</v>
      </c>
    </row>
    <row r="167" ht="15.75" customHeight="1">
      <c r="A167" s="17"/>
      <c r="C167" s="23"/>
      <c r="I167" s="20"/>
      <c r="J167" s="4" t="s">
        <v>3</v>
      </c>
    </row>
    <row r="168" ht="15.75" customHeight="1">
      <c r="A168" s="17"/>
      <c r="C168" s="23"/>
      <c r="I168" s="20"/>
      <c r="J168" s="4" t="s">
        <v>3</v>
      </c>
    </row>
    <row r="169" ht="15.75" customHeight="1">
      <c r="A169" s="17"/>
      <c r="C169" s="23"/>
      <c r="I169" s="20"/>
      <c r="J169" s="4" t="s">
        <v>3</v>
      </c>
    </row>
    <row r="170" ht="15.75" customHeight="1">
      <c r="A170" s="17"/>
      <c r="C170" s="23"/>
      <c r="I170" s="20"/>
      <c r="J170" s="4" t="s">
        <v>3</v>
      </c>
    </row>
    <row r="171" ht="15.75" customHeight="1">
      <c r="A171" s="17"/>
      <c r="C171" s="23"/>
      <c r="I171" s="20"/>
      <c r="J171" s="4" t="s">
        <v>3</v>
      </c>
    </row>
    <row r="172" ht="15.75" customHeight="1">
      <c r="A172" s="17"/>
      <c r="C172" s="23"/>
      <c r="I172" s="20"/>
      <c r="J172" s="4" t="s">
        <v>3</v>
      </c>
    </row>
    <row r="173" ht="15.75" customHeight="1">
      <c r="A173" s="17"/>
      <c r="C173" s="23"/>
      <c r="I173" s="20"/>
      <c r="J173" s="4" t="s">
        <v>3</v>
      </c>
    </row>
    <row r="174" ht="15.75" customHeight="1">
      <c r="A174" s="17"/>
      <c r="C174" s="23"/>
      <c r="I174" s="20"/>
      <c r="J174" s="4" t="s">
        <v>3</v>
      </c>
    </row>
    <row r="175" ht="15.75" customHeight="1">
      <c r="A175" s="17"/>
      <c r="C175" s="23"/>
      <c r="I175" s="20"/>
      <c r="J175" s="4" t="s">
        <v>3</v>
      </c>
    </row>
    <row r="176" ht="15.75" customHeight="1">
      <c r="A176" s="17"/>
      <c r="C176" s="23"/>
      <c r="I176" s="20"/>
      <c r="J176" s="4" t="s">
        <v>3</v>
      </c>
    </row>
    <row r="177" ht="15.75" customHeight="1">
      <c r="A177" s="17"/>
      <c r="C177" s="23"/>
      <c r="I177" s="20"/>
      <c r="J177" s="4" t="s">
        <v>3</v>
      </c>
    </row>
    <row r="178" ht="15.75" customHeight="1">
      <c r="A178" s="17"/>
      <c r="C178" s="23"/>
      <c r="I178" s="20"/>
      <c r="J178" s="4" t="s">
        <v>3</v>
      </c>
    </row>
    <row r="179" ht="15.75" customHeight="1">
      <c r="A179" s="17"/>
      <c r="C179" s="23"/>
      <c r="I179" s="20"/>
      <c r="J179" s="4" t="s">
        <v>3</v>
      </c>
    </row>
    <row r="180" ht="15.75" customHeight="1">
      <c r="A180" s="17"/>
      <c r="C180" s="23"/>
      <c r="I180" s="20"/>
      <c r="J180" s="4" t="s">
        <v>3</v>
      </c>
    </row>
    <row r="181" ht="15.75" customHeight="1">
      <c r="A181" s="17"/>
      <c r="C181" s="23"/>
      <c r="I181" s="20"/>
      <c r="J181" s="4" t="s">
        <v>3</v>
      </c>
    </row>
    <row r="182" ht="15.75" customHeight="1">
      <c r="A182" s="17"/>
      <c r="C182" s="23"/>
      <c r="I182" s="20"/>
      <c r="J182" s="4" t="s">
        <v>3</v>
      </c>
    </row>
    <row r="183" ht="15.75" customHeight="1">
      <c r="A183" s="17"/>
      <c r="C183" s="23"/>
      <c r="I183" s="20"/>
      <c r="J183" s="4" t="s">
        <v>3</v>
      </c>
    </row>
    <row r="184" ht="15.75" customHeight="1">
      <c r="A184" s="17"/>
      <c r="C184" s="23"/>
      <c r="I184" s="20"/>
      <c r="J184" s="4" t="s">
        <v>3</v>
      </c>
    </row>
    <row r="185" ht="15.75" customHeight="1">
      <c r="A185" s="17"/>
      <c r="C185" s="23"/>
      <c r="I185" s="20"/>
      <c r="J185" s="4" t="s">
        <v>3</v>
      </c>
    </row>
    <row r="186" ht="15.75" customHeight="1">
      <c r="A186" s="17"/>
      <c r="C186" s="23"/>
      <c r="I186" s="20"/>
      <c r="J186" s="4" t="s">
        <v>3</v>
      </c>
    </row>
    <row r="187" ht="15.75" customHeight="1">
      <c r="A187" s="17"/>
      <c r="C187" s="23"/>
      <c r="I187" s="20"/>
      <c r="J187" s="4" t="s">
        <v>3</v>
      </c>
    </row>
    <row r="188" ht="15.75" customHeight="1">
      <c r="A188" s="17"/>
      <c r="C188" s="23"/>
      <c r="I188" s="20"/>
      <c r="J188" s="4" t="s">
        <v>3</v>
      </c>
    </row>
    <row r="189" ht="15.75" customHeight="1">
      <c r="A189" s="17"/>
      <c r="C189" s="23"/>
      <c r="I189" s="20"/>
      <c r="J189" s="4" t="s">
        <v>3</v>
      </c>
    </row>
    <row r="190" ht="15.75" customHeight="1">
      <c r="A190" s="17"/>
      <c r="C190" s="23"/>
      <c r="I190" s="20"/>
      <c r="J190" s="4" t="s">
        <v>3</v>
      </c>
    </row>
    <row r="191" ht="15.75" customHeight="1">
      <c r="A191" s="17"/>
      <c r="C191" s="23"/>
      <c r="I191" s="20"/>
      <c r="J191" s="4" t="s">
        <v>3</v>
      </c>
    </row>
    <row r="192" ht="15.75" customHeight="1">
      <c r="A192" s="17"/>
      <c r="C192" s="23"/>
      <c r="I192" s="20"/>
      <c r="J192" s="4" t="s">
        <v>3</v>
      </c>
    </row>
    <row r="193" ht="15.75" customHeight="1">
      <c r="A193" s="17"/>
      <c r="C193" s="23"/>
      <c r="I193" s="20"/>
      <c r="J193" s="4" t="s">
        <v>3</v>
      </c>
    </row>
    <row r="194" ht="15.75" customHeight="1">
      <c r="A194" s="17"/>
      <c r="C194" s="23"/>
      <c r="I194" s="20"/>
      <c r="J194" s="4" t="s">
        <v>3</v>
      </c>
    </row>
    <row r="195" ht="15.75" customHeight="1">
      <c r="A195" s="17"/>
      <c r="C195" s="23"/>
      <c r="I195" s="20"/>
      <c r="J195" s="4" t="s">
        <v>3</v>
      </c>
    </row>
    <row r="196" ht="15.75" customHeight="1">
      <c r="A196" s="17"/>
      <c r="C196" s="23"/>
      <c r="I196" s="20"/>
      <c r="J196" s="4" t="s">
        <v>3</v>
      </c>
    </row>
    <row r="197" ht="15.75" customHeight="1">
      <c r="A197" s="17"/>
      <c r="C197" s="23"/>
      <c r="I197" s="20"/>
      <c r="J197" s="4" t="s">
        <v>3</v>
      </c>
    </row>
    <row r="198" ht="15.75" customHeight="1">
      <c r="A198" s="17"/>
      <c r="C198" s="23"/>
      <c r="I198" s="20"/>
      <c r="J198" s="4" t="s">
        <v>3</v>
      </c>
    </row>
    <row r="199" ht="15.75" customHeight="1">
      <c r="A199" s="17"/>
      <c r="C199" s="23"/>
      <c r="I199" s="20"/>
      <c r="J199" s="4" t="s">
        <v>3</v>
      </c>
    </row>
    <row r="200" ht="15.75" customHeight="1">
      <c r="A200" s="17"/>
      <c r="C200" s="23"/>
      <c r="I200" s="20"/>
      <c r="J200" s="4" t="s">
        <v>3</v>
      </c>
    </row>
    <row r="201" ht="15.75" customHeight="1">
      <c r="A201" s="17"/>
      <c r="C201" s="23"/>
      <c r="I201" s="20"/>
      <c r="J201" s="4" t="s">
        <v>3</v>
      </c>
    </row>
    <row r="202" ht="15.75" customHeight="1">
      <c r="A202" s="17"/>
      <c r="C202" s="23"/>
      <c r="I202" s="20"/>
      <c r="J202" s="4" t="s">
        <v>3</v>
      </c>
    </row>
    <row r="203" ht="15.75" customHeight="1">
      <c r="A203" s="17"/>
      <c r="C203" s="23"/>
      <c r="I203" s="20"/>
      <c r="J203" s="4" t="s">
        <v>3</v>
      </c>
    </row>
    <row r="204" ht="15.75" customHeight="1">
      <c r="A204" s="17"/>
      <c r="C204" s="23"/>
      <c r="I204" s="20"/>
      <c r="J204" s="4" t="s">
        <v>3</v>
      </c>
    </row>
    <row r="205" ht="15.75" customHeight="1">
      <c r="A205" s="17"/>
      <c r="C205" s="23"/>
      <c r="I205" s="20"/>
      <c r="J205" s="4" t="s">
        <v>3</v>
      </c>
    </row>
    <row r="206" ht="15.75" customHeight="1">
      <c r="A206" s="17"/>
      <c r="C206" s="23"/>
      <c r="I206" s="20"/>
      <c r="J206" s="4" t="s">
        <v>3</v>
      </c>
    </row>
    <row r="207" ht="15.75" customHeight="1">
      <c r="A207" s="17"/>
      <c r="C207" s="23"/>
      <c r="I207" s="20"/>
      <c r="J207" s="4" t="s">
        <v>3</v>
      </c>
    </row>
    <row r="208" ht="15.75" customHeight="1">
      <c r="A208" s="17"/>
      <c r="C208" s="23"/>
      <c r="I208" s="20"/>
      <c r="J208" s="4" t="s">
        <v>3</v>
      </c>
    </row>
    <row r="209" ht="15.75" customHeight="1">
      <c r="A209" s="17"/>
      <c r="C209" s="23"/>
      <c r="I209" s="20"/>
      <c r="J209" s="4" t="s">
        <v>3</v>
      </c>
    </row>
    <row r="210" ht="15.75" customHeight="1">
      <c r="A210" s="17"/>
      <c r="C210" s="23"/>
      <c r="I210" s="20"/>
      <c r="J210" s="4" t="s">
        <v>3</v>
      </c>
    </row>
    <row r="211" ht="15.75" customHeight="1">
      <c r="A211" s="17"/>
      <c r="C211" s="23"/>
      <c r="I211" s="20"/>
      <c r="J211" s="4" t="s">
        <v>3</v>
      </c>
    </row>
    <row r="212" ht="15.75" customHeight="1">
      <c r="A212" s="17"/>
      <c r="C212" s="23"/>
      <c r="I212" s="20"/>
      <c r="J212" s="4" t="s">
        <v>3</v>
      </c>
    </row>
    <row r="213" ht="15.75" customHeight="1">
      <c r="A213" s="17"/>
      <c r="C213" s="23"/>
      <c r="I213" s="20"/>
      <c r="J213" s="4" t="s">
        <v>3</v>
      </c>
    </row>
    <row r="214" ht="15.75" customHeight="1">
      <c r="A214" s="17"/>
      <c r="C214" s="23"/>
      <c r="I214" s="20"/>
      <c r="J214" s="4" t="s">
        <v>3</v>
      </c>
    </row>
    <row r="215" ht="15.75" customHeight="1">
      <c r="A215" s="17"/>
      <c r="C215" s="23"/>
      <c r="I215" s="20"/>
      <c r="J215" s="4" t="s">
        <v>3</v>
      </c>
    </row>
    <row r="216" ht="15.75" customHeight="1">
      <c r="A216" s="17"/>
      <c r="C216" s="23"/>
      <c r="I216" s="20"/>
      <c r="J216" s="4" t="s">
        <v>3</v>
      </c>
    </row>
    <row r="217" ht="15.75" customHeight="1">
      <c r="A217" s="17"/>
      <c r="C217" s="23"/>
      <c r="I217" s="20"/>
      <c r="J217" s="4" t="s">
        <v>3</v>
      </c>
    </row>
    <row r="218" ht="15.75" customHeight="1">
      <c r="A218" s="17"/>
      <c r="C218" s="23"/>
      <c r="I218" s="20"/>
      <c r="J218" s="4" t="s">
        <v>3</v>
      </c>
    </row>
    <row r="219" ht="15.75" customHeight="1">
      <c r="A219" s="17"/>
      <c r="C219" s="23"/>
      <c r="I219" s="20"/>
      <c r="J219" s="4" t="s">
        <v>3</v>
      </c>
    </row>
    <row r="220" ht="15.75" customHeight="1">
      <c r="A220" s="17"/>
      <c r="C220" s="23"/>
      <c r="I220" s="20"/>
      <c r="J220" s="4" t="s">
        <v>3</v>
      </c>
    </row>
    <row r="221" ht="15.75" customHeight="1">
      <c r="A221" s="17"/>
      <c r="C221" s="23"/>
      <c r="I221" s="20"/>
      <c r="J221" s="4" t="s">
        <v>3</v>
      </c>
    </row>
    <row r="222" ht="15.75" customHeight="1">
      <c r="A222" s="17"/>
      <c r="C222" s="23"/>
      <c r="I222" s="20"/>
      <c r="J222" s="4" t="s">
        <v>3</v>
      </c>
    </row>
    <row r="223" ht="15.75" customHeight="1">
      <c r="A223" s="17"/>
      <c r="C223" s="23"/>
      <c r="I223" s="20"/>
      <c r="J223" s="4" t="s">
        <v>3</v>
      </c>
    </row>
    <row r="224" ht="15.75" customHeight="1">
      <c r="A224" s="17"/>
      <c r="C224" s="23"/>
      <c r="I224" s="20"/>
      <c r="J224" s="4" t="s">
        <v>3</v>
      </c>
    </row>
    <row r="225" ht="15.75" customHeight="1">
      <c r="A225" s="17"/>
      <c r="C225" s="23"/>
      <c r="I225" s="20"/>
      <c r="J225" s="4" t="s">
        <v>3</v>
      </c>
    </row>
    <row r="226" ht="15.75" customHeight="1">
      <c r="A226" s="17"/>
      <c r="C226" s="23"/>
      <c r="I226" s="20"/>
      <c r="J226" s="4" t="s">
        <v>3</v>
      </c>
    </row>
    <row r="227" ht="15.75" customHeight="1">
      <c r="A227" s="17"/>
      <c r="C227" s="23"/>
      <c r="I227" s="20"/>
      <c r="J227" s="4" t="s">
        <v>3</v>
      </c>
    </row>
    <row r="228" ht="15.75" customHeight="1">
      <c r="A228" s="17"/>
      <c r="C228" s="23"/>
      <c r="I228" s="20"/>
      <c r="J228" s="4" t="s">
        <v>3</v>
      </c>
    </row>
    <row r="229" ht="15.75" customHeight="1">
      <c r="A229" s="17"/>
      <c r="C229" s="23"/>
      <c r="I229" s="20"/>
      <c r="J229" s="4" t="s">
        <v>3</v>
      </c>
    </row>
    <row r="230" ht="15.75" customHeight="1">
      <c r="A230" s="17"/>
      <c r="C230" s="23"/>
      <c r="I230" s="20"/>
      <c r="J230" s="4" t="s">
        <v>3</v>
      </c>
    </row>
    <row r="231" ht="15.75" customHeight="1">
      <c r="A231" s="17"/>
      <c r="C231" s="23"/>
      <c r="I231" s="20"/>
      <c r="J231" s="4" t="s">
        <v>3</v>
      </c>
    </row>
    <row r="232" ht="15.75" customHeight="1">
      <c r="A232" s="17"/>
      <c r="C232" s="23"/>
      <c r="I232" s="20"/>
      <c r="J232" s="4" t="s">
        <v>3</v>
      </c>
    </row>
    <row r="233" ht="15.75" customHeight="1">
      <c r="A233" s="17"/>
      <c r="C233" s="23"/>
      <c r="I233" s="20"/>
      <c r="J233" s="4" t="s">
        <v>3</v>
      </c>
    </row>
    <row r="234" ht="15.75" customHeight="1">
      <c r="A234" s="17"/>
      <c r="C234" s="23"/>
      <c r="I234" s="20"/>
      <c r="J234" s="4" t="s">
        <v>3</v>
      </c>
    </row>
    <row r="235" ht="15.75" customHeight="1">
      <c r="A235" s="17"/>
      <c r="C235" s="23"/>
      <c r="I235" s="20"/>
      <c r="J235" s="4" t="s">
        <v>3</v>
      </c>
    </row>
    <row r="236" ht="15.75" customHeight="1">
      <c r="A236" s="17"/>
      <c r="C236" s="23"/>
      <c r="I236" s="20"/>
      <c r="J236" s="4" t="s">
        <v>3</v>
      </c>
    </row>
    <row r="237" ht="15.75" customHeight="1">
      <c r="A237" s="17"/>
      <c r="C237" s="23"/>
      <c r="I237" s="20"/>
      <c r="J237" s="4" t="s">
        <v>3</v>
      </c>
    </row>
    <row r="238" ht="15.75" customHeight="1">
      <c r="A238" s="17"/>
      <c r="C238" s="23"/>
      <c r="I238" s="20"/>
      <c r="J238" s="4" t="s">
        <v>3</v>
      </c>
    </row>
    <row r="239" ht="15.75" customHeight="1">
      <c r="A239" s="17"/>
      <c r="C239" s="23"/>
      <c r="I239" s="20"/>
      <c r="J239" s="4" t="s">
        <v>3</v>
      </c>
    </row>
    <row r="240" ht="15.75" customHeight="1">
      <c r="A240" s="17"/>
      <c r="C240" s="23"/>
      <c r="I240" s="20"/>
      <c r="J240" s="4" t="s">
        <v>3</v>
      </c>
    </row>
    <row r="241" ht="15.75" customHeight="1">
      <c r="A241" s="17"/>
      <c r="C241" s="23"/>
      <c r="I241" s="20"/>
      <c r="J241" s="4" t="s">
        <v>3</v>
      </c>
    </row>
    <row r="242" ht="15.75" customHeight="1">
      <c r="A242" s="17"/>
      <c r="C242" s="23"/>
      <c r="I242" s="20"/>
      <c r="J242" s="4" t="s">
        <v>3</v>
      </c>
    </row>
    <row r="243" ht="15.75" customHeight="1">
      <c r="A243" s="17"/>
      <c r="C243" s="23"/>
      <c r="I243" s="20"/>
      <c r="J243" s="4" t="s">
        <v>3</v>
      </c>
    </row>
    <row r="244" ht="15.75" customHeight="1">
      <c r="A244" s="17"/>
      <c r="C244" s="23"/>
      <c r="I244" s="20"/>
      <c r="J244" s="4" t="s">
        <v>3</v>
      </c>
    </row>
    <row r="245" ht="15.75" customHeight="1">
      <c r="A245" s="17"/>
      <c r="C245" s="23"/>
      <c r="I245" s="20"/>
      <c r="J245" s="4" t="s">
        <v>3</v>
      </c>
    </row>
    <row r="246" ht="15.75" customHeight="1">
      <c r="A246" s="17"/>
      <c r="C246" s="23"/>
      <c r="I246" s="20"/>
      <c r="J246" s="4" t="s">
        <v>3</v>
      </c>
    </row>
    <row r="247" ht="15.75" customHeight="1">
      <c r="A247" s="17"/>
      <c r="C247" s="23"/>
      <c r="I247" s="20"/>
      <c r="J247" s="4" t="s">
        <v>3</v>
      </c>
    </row>
    <row r="248" ht="15.75" customHeight="1">
      <c r="A248" s="17"/>
      <c r="C248" s="23"/>
      <c r="I248" s="20"/>
      <c r="J248" s="4" t="s">
        <v>3</v>
      </c>
    </row>
    <row r="249" ht="15.75" customHeight="1">
      <c r="A249" s="17"/>
      <c r="C249" s="23"/>
      <c r="I249" s="20"/>
      <c r="J249" s="4" t="s">
        <v>3</v>
      </c>
    </row>
    <row r="250" ht="15.75" customHeight="1">
      <c r="A250" s="17"/>
      <c r="C250" s="23"/>
      <c r="I250" s="20"/>
      <c r="J250" s="4" t="s">
        <v>3</v>
      </c>
    </row>
    <row r="251" ht="15.75" customHeight="1">
      <c r="A251" s="17"/>
      <c r="C251" s="23"/>
      <c r="I251" s="20"/>
      <c r="J251" s="4" t="s">
        <v>3</v>
      </c>
    </row>
    <row r="252" ht="15.75" customHeight="1">
      <c r="A252" s="17"/>
      <c r="C252" s="23"/>
      <c r="I252" s="20"/>
      <c r="J252" s="4" t="s">
        <v>3</v>
      </c>
    </row>
    <row r="253" ht="15.75" customHeight="1">
      <c r="A253" s="17"/>
      <c r="C253" s="23"/>
      <c r="I253" s="20"/>
      <c r="J253" s="4" t="s">
        <v>3</v>
      </c>
    </row>
    <row r="254" ht="15.75" customHeight="1">
      <c r="A254" s="17"/>
      <c r="C254" s="23"/>
      <c r="I254" s="20"/>
      <c r="J254" s="4" t="s">
        <v>3</v>
      </c>
    </row>
    <row r="255" ht="15.75" customHeight="1">
      <c r="A255" s="17"/>
      <c r="C255" s="23"/>
      <c r="I255" s="20"/>
      <c r="J255" s="4" t="s">
        <v>3</v>
      </c>
    </row>
    <row r="256" ht="15.75" customHeight="1">
      <c r="A256" s="17"/>
      <c r="C256" s="23"/>
      <c r="I256" s="20"/>
      <c r="J256" s="4" t="s">
        <v>3</v>
      </c>
    </row>
    <row r="257" ht="15.75" customHeight="1">
      <c r="A257" s="17"/>
      <c r="C257" s="23"/>
      <c r="I257" s="20"/>
      <c r="J257" s="4" t="s">
        <v>3</v>
      </c>
    </row>
    <row r="258" ht="15.75" customHeight="1">
      <c r="A258" s="17"/>
      <c r="C258" s="23"/>
      <c r="I258" s="20"/>
      <c r="J258" s="4" t="s">
        <v>3</v>
      </c>
    </row>
    <row r="259" ht="15.75" customHeight="1">
      <c r="A259" s="17"/>
      <c r="C259" s="23"/>
      <c r="I259" s="20"/>
      <c r="J259" s="4" t="s">
        <v>3</v>
      </c>
    </row>
    <row r="260" ht="15.75" customHeight="1">
      <c r="A260" s="17"/>
      <c r="C260" s="23"/>
      <c r="I260" s="20"/>
      <c r="J260" s="4" t="s">
        <v>3</v>
      </c>
    </row>
    <row r="261" ht="15.75" customHeight="1">
      <c r="A261" s="17"/>
      <c r="C261" s="23"/>
      <c r="I261" s="20"/>
      <c r="J261" s="4" t="s">
        <v>3</v>
      </c>
    </row>
    <row r="262" ht="15.75" customHeight="1">
      <c r="A262" s="17"/>
      <c r="C262" s="23"/>
      <c r="I262" s="20"/>
      <c r="J262" s="4" t="s">
        <v>3</v>
      </c>
    </row>
    <row r="263" ht="15.75" customHeight="1">
      <c r="A263" s="17"/>
      <c r="C263" s="23"/>
      <c r="I263" s="20"/>
      <c r="J263" s="4" t="s">
        <v>3</v>
      </c>
    </row>
    <row r="264" ht="15.75" customHeight="1">
      <c r="A264" s="17"/>
      <c r="C264" s="23"/>
      <c r="I264" s="20"/>
      <c r="J264" s="4" t="s">
        <v>3</v>
      </c>
    </row>
    <row r="265" ht="15.75" customHeight="1">
      <c r="A265" s="17"/>
      <c r="C265" s="23"/>
      <c r="I265" s="20"/>
      <c r="J265" s="4" t="s">
        <v>3</v>
      </c>
    </row>
    <row r="266" ht="15.75" customHeight="1">
      <c r="A266" s="17"/>
      <c r="C266" s="23"/>
      <c r="I266" s="20"/>
      <c r="J266" s="4" t="s">
        <v>3</v>
      </c>
    </row>
    <row r="267" ht="15.75" customHeight="1">
      <c r="A267" s="17"/>
      <c r="C267" s="23"/>
      <c r="I267" s="20"/>
      <c r="J267" s="4" t="s">
        <v>3</v>
      </c>
    </row>
    <row r="268" ht="15.75" customHeight="1">
      <c r="A268" s="17"/>
      <c r="C268" s="23"/>
      <c r="I268" s="20"/>
      <c r="J268" s="4" t="s">
        <v>3</v>
      </c>
    </row>
    <row r="269" ht="15.75" customHeight="1">
      <c r="A269" s="17"/>
      <c r="C269" s="23"/>
      <c r="I269" s="20"/>
      <c r="J269" s="4" t="s">
        <v>3</v>
      </c>
    </row>
    <row r="270" ht="15.75" customHeight="1">
      <c r="A270" s="17"/>
      <c r="C270" s="23"/>
      <c r="I270" s="20"/>
      <c r="J270" s="4" t="s">
        <v>3</v>
      </c>
    </row>
    <row r="271" ht="15.75" customHeight="1">
      <c r="A271" s="17"/>
      <c r="C271" s="23"/>
      <c r="I271" s="20"/>
      <c r="J271" s="4" t="s">
        <v>3</v>
      </c>
    </row>
    <row r="272" ht="15.75" customHeight="1">
      <c r="A272" s="17"/>
      <c r="C272" s="23"/>
      <c r="I272" s="20"/>
      <c r="J272" s="4" t="s">
        <v>3</v>
      </c>
    </row>
    <row r="273" ht="15.75" customHeight="1">
      <c r="A273" s="17"/>
      <c r="C273" s="23"/>
      <c r="I273" s="20"/>
      <c r="J273" s="4" t="s">
        <v>3</v>
      </c>
    </row>
    <row r="274" ht="15.75" customHeight="1">
      <c r="A274" s="17"/>
      <c r="C274" s="23"/>
      <c r="I274" s="20"/>
      <c r="J274" s="4" t="s">
        <v>3</v>
      </c>
    </row>
    <row r="275" ht="15.75" customHeight="1">
      <c r="A275" s="17"/>
      <c r="C275" s="23"/>
      <c r="I275" s="20"/>
      <c r="J275" s="4" t="s">
        <v>3</v>
      </c>
    </row>
    <row r="276" ht="15.75" customHeight="1">
      <c r="A276" s="17"/>
      <c r="C276" s="23"/>
      <c r="I276" s="20"/>
      <c r="J276" s="4" t="s">
        <v>3</v>
      </c>
    </row>
    <row r="277" ht="15.75" customHeight="1">
      <c r="A277" s="17"/>
      <c r="C277" s="23"/>
      <c r="I277" s="20"/>
      <c r="J277" s="4" t="s">
        <v>3</v>
      </c>
    </row>
    <row r="278" ht="15.75" customHeight="1">
      <c r="A278" s="17"/>
      <c r="C278" s="23"/>
      <c r="I278" s="20"/>
      <c r="J278" s="4" t="s">
        <v>3</v>
      </c>
    </row>
    <row r="279" ht="15.75" customHeight="1">
      <c r="A279" s="17"/>
      <c r="C279" s="23"/>
      <c r="I279" s="20"/>
      <c r="J279" s="4" t="s">
        <v>3</v>
      </c>
    </row>
    <row r="280" ht="15.75" customHeight="1">
      <c r="A280" s="17"/>
      <c r="C280" s="23"/>
      <c r="I280" s="20"/>
      <c r="J280" s="4" t="s">
        <v>3</v>
      </c>
    </row>
    <row r="281" ht="15.75" customHeight="1">
      <c r="A281" s="17"/>
      <c r="C281" s="23"/>
      <c r="I281" s="20"/>
      <c r="J281" s="4" t="s">
        <v>3</v>
      </c>
    </row>
    <row r="282" ht="15.75" customHeight="1">
      <c r="A282" s="17"/>
      <c r="C282" s="23"/>
      <c r="I282" s="20"/>
      <c r="J282" s="4" t="s">
        <v>3</v>
      </c>
    </row>
    <row r="283" ht="15.75" customHeight="1">
      <c r="A283" s="17"/>
      <c r="C283" s="23"/>
      <c r="I283" s="20"/>
      <c r="J283" s="4" t="s">
        <v>3</v>
      </c>
    </row>
    <row r="284" ht="15.75" customHeight="1">
      <c r="A284" s="17"/>
      <c r="C284" s="23"/>
      <c r="I284" s="20"/>
      <c r="J284" s="4" t="s">
        <v>3</v>
      </c>
    </row>
    <row r="285" ht="15.75" customHeight="1">
      <c r="A285" s="17"/>
      <c r="C285" s="23"/>
      <c r="I285" s="20"/>
      <c r="J285" s="4" t="s">
        <v>3</v>
      </c>
    </row>
    <row r="286" ht="15.75" customHeight="1">
      <c r="A286" s="17"/>
      <c r="C286" s="23"/>
      <c r="I286" s="20"/>
      <c r="J286" s="4" t="s">
        <v>3</v>
      </c>
    </row>
    <row r="287" ht="15.75" customHeight="1">
      <c r="A287" s="17"/>
      <c r="C287" s="23"/>
      <c r="I287" s="20"/>
      <c r="J287" s="4" t="s">
        <v>3</v>
      </c>
    </row>
    <row r="288" ht="15.75" customHeight="1">
      <c r="A288" s="17"/>
      <c r="C288" s="23"/>
      <c r="I288" s="20"/>
      <c r="J288" s="4" t="s">
        <v>3</v>
      </c>
    </row>
    <row r="289" ht="15.75" customHeight="1">
      <c r="A289" s="17"/>
      <c r="C289" s="23"/>
      <c r="I289" s="20"/>
      <c r="J289" s="4" t="s">
        <v>3</v>
      </c>
    </row>
    <row r="290" ht="15.75" customHeight="1">
      <c r="A290" s="17"/>
      <c r="C290" s="23"/>
      <c r="I290" s="20"/>
      <c r="J290" s="4" t="s">
        <v>3</v>
      </c>
    </row>
    <row r="291" ht="15.75" customHeight="1">
      <c r="A291" s="17"/>
      <c r="C291" s="23"/>
      <c r="I291" s="20"/>
      <c r="J291" s="4" t="s">
        <v>3</v>
      </c>
    </row>
    <row r="292" ht="15.75" customHeight="1">
      <c r="A292" s="17"/>
      <c r="C292" s="23"/>
      <c r="I292" s="20"/>
      <c r="J292" s="4" t="s">
        <v>3</v>
      </c>
    </row>
    <row r="293" ht="15.75" customHeight="1">
      <c r="A293" s="17"/>
      <c r="C293" s="23"/>
      <c r="I293" s="20"/>
      <c r="J293" s="4" t="s">
        <v>3</v>
      </c>
    </row>
    <row r="294" ht="15.75" customHeight="1">
      <c r="A294" s="17"/>
      <c r="C294" s="23"/>
      <c r="I294" s="20"/>
      <c r="J294" s="4" t="s">
        <v>3</v>
      </c>
    </row>
    <row r="295" ht="15.75" customHeight="1">
      <c r="A295" s="17"/>
      <c r="C295" s="23"/>
      <c r="I295" s="20"/>
      <c r="J295" s="4" t="s">
        <v>3</v>
      </c>
    </row>
    <row r="296" ht="15.75" customHeight="1">
      <c r="A296" s="17"/>
      <c r="C296" s="23"/>
      <c r="I296" s="20"/>
      <c r="J296" s="4" t="s">
        <v>3</v>
      </c>
    </row>
    <row r="297" ht="15.75" customHeight="1">
      <c r="A297" s="17"/>
      <c r="C297" s="23"/>
      <c r="I297" s="20"/>
      <c r="J297" s="4" t="s">
        <v>3</v>
      </c>
    </row>
    <row r="298" ht="15.75" customHeight="1">
      <c r="A298" s="17"/>
      <c r="C298" s="23"/>
      <c r="I298" s="20"/>
      <c r="J298" s="4" t="s">
        <v>3</v>
      </c>
    </row>
    <row r="299" ht="15.75" customHeight="1">
      <c r="A299" s="17"/>
      <c r="C299" s="23"/>
      <c r="I299" s="20"/>
      <c r="J299" s="4" t="s">
        <v>3</v>
      </c>
    </row>
    <row r="300" ht="15.75" customHeight="1">
      <c r="A300" s="17"/>
      <c r="C300" s="23"/>
      <c r="I300" s="20"/>
      <c r="J300" s="4" t="s">
        <v>3</v>
      </c>
    </row>
    <row r="301" ht="15.75" customHeight="1">
      <c r="A301" s="17"/>
      <c r="C301" s="23"/>
      <c r="I301" s="20"/>
      <c r="J301" s="4" t="s">
        <v>3</v>
      </c>
    </row>
    <row r="302" ht="15.75" customHeight="1">
      <c r="A302" s="17"/>
      <c r="C302" s="23"/>
      <c r="I302" s="20"/>
      <c r="J302" s="4" t="s">
        <v>3</v>
      </c>
    </row>
    <row r="303" ht="15.75" customHeight="1">
      <c r="A303" s="17"/>
      <c r="C303" s="23"/>
      <c r="I303" s="20"/>
      <c r="J303" s="4" t="s">
        <v>3</v>
      </c>
    </row>
    <row r="304" ht="15.75" customHeight="1">
      <c r="A304" s="17"/>
      <c r="C304" s="23"/>
      <c r="I304" s="20"/>
      <c r="J304" s="4" t="s">
        <v>3</v>
      </c>
    </row>
    <row r="305" ht="15.75" customHeight="1">
      <c r="A305" s="17"/>
      <c r="C305" s="23"/>
      <c r="I305" s="20"/>
      <c r="J305" s="4" t="s">
        <v>3</v>
      </c>
    </row>
    <row r="306" ht="15.75" customHeight="1">
      <c r="A306" s="17"/>
      <c r="C306" s="23"/>
      <c r="I306" s="20"/>
      <c r="J306" s="4" t="s">
        <v>3</v>
      </c>
    </row>
    <row r="307" ht="15.75" customHeight="1">
      <c r="A307" s="17"/>
      <c r="C307" s="23"/>
      <c r="I307" s="20"/>
      <c r="J307" s="4" t="s">
        <v>3</v>
      </c>
    </row>
    <row r="308" ht="15.75" customHeight="1">
      <c r="A308" s="17"/>
      <c r="C308" s="23"/>
      <c r="I308" s="20"/>
      <c r="J308" s="4" t="s">
        <v>3</v>
      </c>
    </row>
    <row r="309" ht="15.75" customHeight="1">
      <c r="A309" s="17"/>
      <c r="C309" s="23"/>
      <c r="I309" s="20"/>
      <c r="J309" s="4" t="s">
        <v>3</v>
      </c>
    </row>
    <row r="310" ht="15.75" customHeight="1">
      <c r="A310" s="17"/>
      <c r="C310" s="23"/>
      <c r="I310" s="20"/>
      <c r="J310" s="4" t="s">
        <v>3</v>
      </c>
    </row>
    <row r="311" ht="15.75" customHeight="1">
      <c r="A311" s="17"/>
      <c r="C311" s="23"/>
      <c r="I311" s="20"/>
      <c r="J311" s="4" t="s">
        <v>3</v>
      </c>
    </row>
    <row r="312" ht="15.75" customHeight="1">
      <c r="A312" s="17"/>
      <c r="C312" s="23"/>
      <c r="I312" s="20"/>
      <c r="J312" s="4" t="s">
        <v>3</v>
      </c>
    </row>
    <row r="313" ht="15.75" customHeight="1">
      <c r="A313" s="17"/>
      <c r="C313" s="23"/>
      <c r="I313" s="20"/>
      <c r="J313" s="4" t="s">
        <v>3</v>
      </c>
    </row>
    <row r="314" ht="15.75" customHeight="1">
      <c r="A314" s="17"/>
      <c r="C314" s="23"/>
      <c r="I314" s="20"/>
      <c r="J314" s="4" t="s">
        <v>3</v>
      </c>
    </row>
    <row r="315" ht="15.75" customHeight="1">
      <c r="A315" s="17"/>
      <c r="C315" s="23"/>
      <c r="I315" s="20"/>
      <c r="J315" s="4" t="s">
        <v>3</v>
      </c>
    </row>
    <row r="316" ht="15.75" customHeight="1">
      <c r="A316" s="17"/>
      <c r="C316" s="23"/>
      <c r="I316" s="20"/>
      <c r="J316" s="4" t="s">
        <v>3</v>
      </c>
    </row>
    <row r="317" ht="15.75" customHeight="1">
      <c r="A317" s="17"/>
      <c r="C317" s="23"/>
      <c r="I317" s="20"/>
      <c r="J317" s="4" t="s">
        <v>3</v>
      </c>
    </row>
    <row r="318" ht="15.75" customHeight="1">
      <c r="A318" s="17"/>
      <c r="C318" s="23"/>
      <c r="I318" s="20"/>
      <c r="J318" s="4" t="s">
        <v>3</v>
      </c>
    </row>
    <row r="319" ht="15.75" customHeight="1">
      <c r="A319" s="17"/>
      <c r="C319" s="23"/>
      <c r="I319" s="20"/>
      <c r="J319" s="4" t="s">
        <v>3</v>
      </c>
    </row>
    <row r="320" ht="15.75" customHeight="1">
      <c r="A320" s="17"/>
      <c r="C320" s="23"/>
      <c r="I320" s="20"/>
      <c r="J320" s="4" t="s">
        <v>3</v>
      </c>
    </row>
    <row r="321" ht="15.75" customHeight="1">
      <c r="A321" s="17"/>
      <c r="C321" s="23"/>
      <c r="I321" s="20"/>
      <c r="J321" s="4" t="s">
        <v>3</v>
      </c>
    </row>
    <row r="322" ht="15.75" customHeight="1">
      <c r="A322" s="17"/>
      <c r="C322" s="23"/>
      <c r="I322" s="20"/>
      <c r="J322" s="4" t="s">
        <v>3</v>
      </c>
    </row>
    <row r="323" ht="15.75" customHeight="1">
      <c r="A323" s="17"/>
      <c r="C323" s="23"/>
      <c r="I323" s="20"/>
      <c r="J323" s="4" t="s">
        <v>3</v>
      </c>
    </row>
    <row r="324" ht="15.75" customHeight="1">
      <c r="A324" s="17"/>
      <c r="C324" s="23"/>
      <c r="I324" s="20"/>
      <c r="J324" s="4" t="s">
        <v>3</v>
      </c>
    </row>
    <row r="325" ht="15.75" customHeight="1">
      <c r="A325" s="17"/>
      <c r="C325" s="23"/>
      <c r="I325" s="20"/>
      <c r="J325" s="4" t="s">
        <v>3</v>
      </c>
    </row>
    <row r="326" ht="15.75" customHeight="1">
      <c r="A326" s="17"/>
      <c r="C326" s="23"/>
      <c r="I326" s="20"/>
      <c r="J326" s="4" t="s">
        <v>3</v>
      </c>
    </row>
    <row r="327" ht="15.75" customHeight="1">
      <c r="A327" s="17"/>
      <c r="C327" s="23"/>
      <c r="I327" s="20"/>
      <c r="J327" s="4" t="s">
        <v>3</v>
      </c>
    </row>
    <row r="328" ht="15.75" customHeight="1">
      <c r="A328" s="17"/>
      <c r="C328" s="23"/>
      <c r="I328" s="20"/>
      <c r="J328" s="4" t="s">
        <v>3</v>
      </c>
    </row>
    <row r="329" ht="15.75" customHeight="1">
      <c r="A329" s="17"/>
      <c r="C329" s="23"/>
      <c r="I329" s="20"/>
      <c r="J329" s="4" t="s">
        <v>3</v>
      </c>
    </row>
    <row r="330" ht="15.75" customHeight="1">
      <c r="A330" s="17"/>
      <c r="C330" s="23"/>
      <c r="I330" s="20"/>
      <c r="J330" s="4" t="s">
        <v>3</v>
      </c>
    </row>
    <row r="331" ht="15.75" customHeight="1">
      <c r="A331" s="17"/>
      <c r="C331" s="23"/>
      <c r="I331" s="20"/>
      <c r="J331" s="4" t="s">
        <v>3</v>
      </c>
    </row>
    <row r="332" ht="15.75" customHeight="1">
      <c r="A332" s="17"/>
      <c r="C332" s="23"/>
      <c r="I332" s="20"/>
      <c r="J332" s="4" t="s">
        <v>3</v>
      </c>
    </row>
    <row r="333" ht="15.75" customHeight="1">
      <c r="A333" s="17"/>
      <c r="C333" s="23"/>
      <c r="I333" s="20"/>
      <c r="J333" s="4" t="s">
        <v>3</v>
      </c>
    </row>
    <row r="334" ht="15.75" customHeight="1">
      <c r="A334" s="17"/>
      <c r="C334" s="23"/>
      <c r="I334" s="20"/>
      <c r="J334" s="4" t="s">
        <v>3</v>
      </c>
    </row>
    <row r="335" ht="15.75" customHeight="1">
      <c r="A335" s="17"/>
      <c r="C335" s="23"/>
      <c r="I335" s="20"/>
      <c r="J335" s="4" t="s">
        <v>3</v>
      </c>
    </row>
    <row r="336" ht="15.75" customHeight="1">
      <c r="A336" s="17"/>
      <c r="C336" s="23"/>
      <c r="I336" s="20"/>
      <c r="J336" s="4" t="s">
        <v>3</v>
      </c>
    </row>
    <row r="337" ht="15.75" customHeight="1">
      <c r="A337" s="17"/>
      <c r="C337" s="23"/>
      <c r="I337" s="20"/>
      <c r="J337" s="4" t="s">
        <v>3</v>
      </c>
    </row>
    <row r="338" ht="15.75" customHeight="1">
      <c r="A338" s="17"/>
      <c r="C338" s="23"/>
      <c r="I338" s="20"/>
      <c r="J338" s="4" t="s">
        <v>3</v>
      </c>
    </row>
    <row r="339" ht="15.75" customHeight="1">
      <c r="A339" s="17"/>
      <c r="C339" s="23"/>
      <c r="I339" s="20"/>
      <c r="J339" s="4" t="s">
        <v>3</v>
      </c>
    </row>
    <row r="340" ht="15.75" customHeight="1">
      <c r="A340" s="17"/>
      <c r="C340" s="23"/>
      <c r="I340" s="20"/>
      <c r="J340" s="4" t="s">
        <v>3</v>
      </c>
    </row>
    <row r="341" ht="15.75" customHeight="1">
      <c r="A341" s="17"/>
      <c r="C341" s="23"/>
      <c r="I341" s="20"/>
      <c r="J341" s="4" t="s">
        <v>3</v>
      </c>
    </row>
    <row r="342" ht="15.75" customHeight="1">
      <c r="A342" s="17"/>
      <c r="C342" s="23"/>
      <c r="I342" s="20"/>
      <c r="J342" s="4" t="s">
        <v>3</v>
      </c>
    </row>
    <row r="343" ht="15.75" customHeight="1">
      <c r="A343" s="17"/>
      <c r="C343" s="23"/>
      <c r="I343" s="20"/>
      <c r="J343" s="4" t="s">
        <v>3</v>
      </c>
    </row>
    <row r="344" ht="15.75" customHeight="1">
      <c r="A344" s="17"/>
      <c r="C344" s="23"/>
      <c r="I344" s="20"/>
      <c r="J344" s="4" t="s">
        <v>3</v>
      </c>
    </row>
    <row r="345" ht="15.75" customHeight="1">
      <c r="A345" s="17"/>
      <c r="C345" s="23"/>
      <c r="I345" s="20"/>
      <c r="J345" s="4" t="s">
        <v>3</v>
      </c>
    </row>
    <row r="346" ht="15.75" customHeight="1">
      <c r="A346" s="17"/>
      <c r="C346" s="23"/>
      <c r="I346" s="20"/>
      <c r="J346" s="4" t="s">
        <v>3</v>
      </c>
    </row>
    <row r="347" ht="15.75" customHeight="1">
      <c r="A347" s="17"/>
      <c r="C347" s="23"/>
      <c r="I347" s="20"/>
      <c r="J347" s="4" t="s">
        <v>3</v>
      </c>
    </row>
    <row r="348" ht="15.75" customHeight="1">
      <c r="A348" s="17"/>
      <c r="C348" s="23"/>
      <c r="I348" s="20"/>
      <c r="J348" s="4" t="s">
        <v>3</v>
      </c>
    </row>
    <row r="349" ht="15.75" customHeight="1">
      <c r="A349" s="17"/>
      <c r="C349" s="23"/>
      <c r="I349" s="20"/>
      <c r="J349" s="4" t="s">
        <v>3</v>
      </c>
    </row>
    <row r="350" ht="15.75" customHeight="1">
      <c r="A350" s="17"/>
      <c r="C350" s="23"/>
      <c r="I350" s="20"/>
      <c r="J350" s="4" t="s">
        <v>3</v>
      </c>
    </row>
    <row r="351" ht="15.75" customHeight="1">
      <c r="A351" s="17"/>
      <c r="C351" s="23"/>
      <c r="I351" s="20"/>
      <c r="J351" s="4" t="s">
        <v>3</v>
      </c>
    </row>
    <row r="352" ht="15.75" customHeight="1">
      <c r="A352" s="17"/>
      <c r="C352" s="23"/>
      <c r="I352" s="20"/>
      <c r="J352" s="4" t="s">
        <v>3</v>
      </c>
    </row>
    <row r="353" ht="15.75" customHeight="1">
      <c r="A353" s="17"/>
      <c r="C353" s="23"/>
      <c r="I353" s="20"/>
      <c r="J353" s="4" t="s">
        <v>3</v>
      </c>
    </row>
    <row r="354" ht="15.75" customHeight="1">
      <c r="A354" s="17"/>
      <c r="C354" s="23"/>
      <c r="I354" s="20"/>
      <c r="J354" s="4" t="s">
        <v>3</v>
      </c>
    </row>
    <row r="355" ht="15.75" customHeight="1">
      <c r="A355" s="17"/>
      <c r="C355" s="23"/>
      <c r="I355" s="20"/>
      <c r="J355" s="4" t="s">
        <v>3</v>
      </c>
    </row>
    <row r="356" ht="15.75" customHeight="1">
      <c r="A356" s="17"/>
      <c r="C356" s="23"/>
      <c r="I356" s="20"/>
      <c r="J356" s="4" t="s">
        <v>3</v>
      </c>
    </row>
    <row r="357" ht="15.75" customHeight="1">
      <c r="A357" s="17"/>
      <c r="C357" s="23"/>
      <c r="I357" s="20"/>
      <c r="J357" s="4" t="s">
        <v>3</v>
      </c>
    </row>
    <row r="358" ht="15.75" customHeight="1">
      <c r="A358" s="17"/>
      <c r="C358" s="23"/>
      <c r="I358" s="20"/>
      <c r="J358" s="4" t="s">
        <v>3</v>
      </c>
    </row>
    <row r="359" ht="15.75" customHeight="1">
      <c r="A359" s="17"/>
      <c r="C359" s="23"/>
      <c r="I359" s="20"/>
      <c r="J359" s="4" t="s">
        <v>3</v>
      </c>
    </row>
    <row r="360" ht="15.75" customHeight="1">
      <c r="A360" s="17"/>
      <c r="C360" s="23"/>
      <c r="I360" s="20"/>
      <c r="J360" s="4" t="s">
        <v>3</v>
      </c>
    </row>
    <row r="361" ht="15.75" customHeight="1">
      <c r="A361" s="17"/>
      <c r="C361" s="23"/>
      <c r="I361" s="20"/>
      <c r="J361" s="4" t="s">
        <v>3</v>
      </c>
    </row>
    <row r="362" ht="15.75" customHeight="1">
      <c r="A362" s="17"/>
      <c r="C362" s="23"/>
      <c r="I362" s="20"/>
      <c r="J362" s="4" t="s">
        <v>3</v>
      </c>
    </row>
    <row r="363" ht="15.75" customHeight="1">
      <c r="A363" s="17"/>
      <c r="C363" s="23"/>
      <c r="I363" s="20"/>
      <c r="J363" s="4" t="s">
        <v>3</v>
      </c>
    </row>
    <row r="364" ht="15.75" customHeight="1">
      <c r="A364" s="17"/>
      <c r="C364" s="23"/>
      <c r="I364" s="20"/>
      <c r="J364" s="4" t="s">
        <v>3</v>
      </c>
    </row>
    <row r="365" ht="15.75" customHeight="1">
      <c r="A365" s="17"/>
      <c r="C365" s="23"/>
      <c r="I365" s="20"/>
      <c r="J365" s="4" t="s">
        <v>3</v>
      </c>
    </row>
    <row r="366" ht="15.75" customHeight="1">
      <c r="A366" s="17"/>
      <c r="C366" s="23"/>
      <c r="I366" s="20"/>
      <c r="J366" s="4" t="s">
        <v>3</v>
      </c>
    </row>
    <row r="367" ht="15.75" customHeight="1">
      <c r="A367" s="17"/>
      <c r="C367" s="23"/>
      <c r="I367" s="20"/>
      <c r="J367" s="4" t="s">
        <v>3</v>
      </c>
    </row>
    <row r="368" ht="15.75" customHeight="1">
      <c r="A368" s="17"/>
      <c r="C368" s="23"/>
      <c r="I368" s="20"/>
      <c r="J368" s="4" t="s">
        <v>3</v>
      </c>
    </row>
    <row r="369" ht="15.75" customHeight="1">
      <c r="A369" s="17"/>
      <c r="C369" s="23"/>
      <c r="I369" s="20"/>
      <c r="J369" s="4" t="s">
        <v>3</v>
      </c>
    </row>
    <row r="370" ht="15.75" customHeight="1">
      <c r="A370" s="17"/>
      <c r="C370" s="23"/>
      <c r="I370" s="20"/>
      <c r="J370" s="4" t="s">
        <v>3</v>
      </c>
    </row>
    <row r="371" ht="15.75" customHeight="1">
      <c r="A371" s="17"/>
      <c r="C371" s="23"/>
      <c r="I371" s="20"/>
      <c r="J371" s="4" t="s">
        <v>3</v>
      </c>
    </row>
    <row r="372" ht="15.75" customHeight="1">
      <c r="A372" s="17"/>
      <c r="C372" s="23"/>
      <c r="I372" s="20"/>
      <c r="J372" s="4" t="s">
        <v>3</v>
      </c>
    </row>
    <row r="373" ht="15.75" customHeight="1">
      <c r="A373" s="17"/>
      <c r="C373" s="23"/>
      <c r="I373" s="20"/>
      <c r="J373" s="4" t="s">
        <v>3</v>
      </c>
    </row>
    <row r="374" ht="15.75" customHeight="1">
      <c r="A374" s="17"/>
      <c r="C374" s="23"/>
      <c r="I374" s="20"/>
      <c r="J374" s="4" t="s">
        <v>3</v>
      </c>
    </row>
    <row r="375" ht="15.75" customHeight="1">
      <c r="A375" s="17"/>
      <c r="C375" s="23"/>
      <c r="I375" s="20"/>
      <c r="J375" s="4" t="s">
        <v>3</v>
      </c>
    </row>
    <row r="376" ht="15.75" customHeight="1">
      <c r="A376" s="17"/>
      <c r="C376" s="23"/>
      <c r="I376" s="20"/>
      <c r="J376" s="4" t="s">
        <v>3</v>
      </c>
    </row>
    <row r="377" ht="15.75" customHeight="1">
      <c r="A377" s="17"/>
      <c r="C377" s="23"/>
      <c r="I377" s="20"/>
      <c r="J377" s="4" t="s">
        <v>3</v>
      </c>
    </row>
    <row r="378" ht="15.75" customHeight="1">
      <c r="A378" s="17"/>
      <c r="C378" s="23"/>
      <c r="I378" s="20"/>
      <c r="J378" s="4" t="s">
        <v>3</v>
      </c>
    </row>
    <row r="379" ht="15.75" customHeight="1">
      <c r="A379" s="17"/>
      <c r="C379" s="23"/>
      <c r="I379" s="20"/>
      <c r="J379" s="4" t="s">
        <v>3</v>
      </c>
    </row>
    <row r="380" ht="15.75" customHeight="1">
      <c r="A380" s="17"/>
      <c r="C380" s="23"/>
      <c r="I380" s="20"/>
      <c r="J380" s="4" t="s">
        <v>3</v>
      </c>
    </row>
    <row r="381" ht="15.75" customHeight="1">
      <c r="A381" s="17"/>
      <c r="C381" s="23"/>
      <c r="I381" s="20"/>
      <c r="J381" s="4" t="s">
        <v>3</v>
      </c>
    </row>
    <row r="382" ht="15.75" customHeight="1">
      <c r="A382" s="17"/>
      <c r="C382" s="23"/>
      <c r="I382" s="20"/>
      <c r="J382" s="4" t="s">
        <v>3</v>
      </c>
    </row>
    <row r="383" ht="15.75" customHeight="1">
      <c r="A383" s="17"/>
      <c r="C383" s="23"/>
      <c r="I383" s="20"/>
      <c r="J383" s="4" t="s">
        <v>3</v>
      </c>
    </row>
    <row r="384" ht="15.75" customHeight="1">
      <c r="A384" s="17"/>
      <c r="C384" s="23"/>
      <c r="I384" s="20"/>
      <c r="J384" s="4" t="s">
        <v>3</v>
      </c>
    </row>
    <row r="385" ht="15.75" customHeight="1">
      <c r="A385" s="17"/>
      <c r="C385" s="23"/>
      <c r="I385" s="20"/>
      <c r="J385" s="4" t="s">
        <v>3</v>
      </c>
    </row>
    <row r="386" ht="15.75" customHeight="1">
      <c r="A386" s="17"/>
      <c r="C386" s="23"/>
      <c r="I386" s="20"/>
      <c r="J386" s="4" t="s">
        <v>3</v>
      </c>
    </row>
    <row r="387" ht="15.75" customHeight="1">
      <c r="A387" s="17"/>
      <c r="C387" s="23"/>
      <c r="I387" s="20"/>
      <c r="J387" s="4" t="s">
        <v>3</v>
      </c>
    </row>
    <row r="388" ht="15.75" customHeight="1">
      <c r="A388" s="17"/>
      <c r="C388" s="23"/>
      <c r="I388" s="20"/>
      <c r="J388" s="4" t="s">
        <v>3</v>
      </c>
    </row>
    <row r="389" ht="15.75" customHeight="1">
      <c r="A389" s="17"/>
      <c r="C389" s="23"/>
      <c r="I389" s="20"/>
      <c r="J389" s="4" t="s">
        <v>3</v>
      </c>
    </row>
    <row r="390" ht="15.75" customHeight="1">
      <c r="A390" s="17"/>
      <c r="C390" s="23"/>
      <c r="I390" s="20"/>
      <c r="J390" s="4" t="s">
        <v>3</v>
      </c>
    </row>
    <row r="391" ht="15.75" customHeight="1">
      <c r="A391" s="17"/>
      <c r="C391" s="23"/>
      <c r="I391" s="20"/>
      <c r="J391" s="4" t="s">
        <v>3</v>
      </c>
    </row>
    <row r="392" ht="15.75" customHeight="1">
      <c r="A392" s="17"/>
      <c r="C392" s="23"/>
      <c r="I392" s="20"/>
      <c r="J392" s="4" t="s">
        <v>3</v>
      </c>
    </row>
    <row r="393" ht="15.75" customHeight="1">
      <c r="A393" s="17"/>
      <c r="C393" s="23"/>
      <c r="I393" s="20"/>
      <c r="J393" s="4" t="s">
        <v>3</v>
      </c>
    </row>
    <row r="394" ht="15.75" customHeight="1">
      <c r="A394" s="17"/>
      <c r="C394" s="23"/>
      <c r="I394" s="20"/>
      <c r="J394" s="4" t="s">
        <v>3</v>
      </c>
    </row>
    <row r="395" ht="15.75" customHeight="1">
      <c r="A395" s="17"/>
      <c r="C395" s="23"/>
      <c r="I395" s="20"/>
      <c r="J395" s="4" t="s">
        <v>3</v>
      </c>
    </row>
    <row r="396" ht="15.75" customHeight="1">
      <c r="A396" s="17"/>
      <c r="C396" s="23"/>
      <c r="I396" s="20"/>
      <c r="J396" s="4" t="s">
        <v>3</v>
      </c>
    </row>
    <row r="397" ht="15.75" customHeight="1">
      <c r="A397" s="17"/>
      <c r="C397" s="23"/>
      <c r="I397" s="20"/>
      <c r="J397" s="4" t="s">
        <v>3</v>
      </c>
    </row>
    <row r="398" ht="15.75" customHeight="1">
      <c r="A398" s="17"/>
      <c r="C398" s="23"/>
      <c r="I398" s="20"/>
      <c r="J398" s="4" t="s">
        <v>3</v>
      </c>
    </row>
    <row r="399" ht="15.75" customHeight="1">
      <c r="A399" s="17"/>
      <c r="C399" s="23"/>
      <c r="I399" s="20"/>
      <c r="J399" s="4" t="s">
        <v>3</v>
      </c>
    </row>
    <row r="400" ht="15.75" customHeight="1">
      <c r="A400" s="17"/>
      <c r="C400" s="23"/>
      <c r="I400" s="20"/>
      <c r="J400" s="4" t="s">
        <v>3</v>
      </c>
    </row>
    <row r="401" ht="15.75" customHeight="1">
      <c r="A401" s="17"/>
      <c r="C401" s="23"/>
      <c r="I401" s="20"/>
      <c r="J401" s="4" t="s">
        <v>3</v>
      </c>
    </row>
    <row r="402" ht="15.75" customHeight="1">
      <c r="A402" s="17"/>
      <c r="C402" s="23"/>
      <c r="I402" s="20"/>
      <c r="J402" s="4" t="s">
        <v>3</v>
      </c>
    </row>
    <row r="403" ht="15.75" customHeight="1">
      <c r="A403" s="17"/>
      <c r="C403" s="23"/>
      <c r="I403" s="20"/>
      <c r="J403" s="4" t="s">
        <v>3</v>
      </c>
    </row>
    <row r="404" ht="15.75" customHeight="1">
      <c r="A404" s="17"/>
      <c r="C404" s="23"/>
      <c r="I404" s="20"/>
      <c r="J404" s="4" t="s">
        <v>3</v>
      </c>
    </row>
    <row r="405" ht="15.75" customHeight="1">
      <c r="A405" s="17"/>
      <c r="C405" s="23"/>
      <c r="I405" s="20"/>
      <c r="J405" s="4" t="s">
        <v>3</v>
      </c>
    </row>
    <row r="406" ht="15.75" customHeight="1">
      <c r="A406" s="17"/>
      <c r="C406" s="23"/>
      <c r="I406" s="20"/>
      <c r="J406" s="4" t="s">
        <v>3</v>
      </c>
    </row>
    <row r="407" ht="15.75" customHeight="1">
      <c r="A407" s="17"/>
      <c r="C407" s="23"/>
      <c r="I407" s="20"/>
      <c r="J407" s="4" t="s">
        <v>3</v>
      </c>
    </row>
    <row r="408" ht="15.75" customHeight="1">
      <c r="A408" s="17"/>
      <c r="C408" s="23"/>
      <c r="I408" s="20"/>
      <c r="J408" s="4" t="s">
        <v>3</v>
      </c>
    </row>
    <row r="409" ht="15.75" customHeight="1">
      <c r="A409" s="17"/>
      <c r="C409" s="23"/>
      <c r="I409" s="20"/>
      <c r="J409" s="4" t="s">
        <v>3</v>
      </c>
    </row>
    <row r="410" ht="15.75" customHeight="1">
      <c r="A410" s="17"/>
      <c r="C410" s="23"/>
      <c r="I410" s="20"/>
      <c r="J410" s="4" t="s">
        <v>3</v>
      </c>
    </row>
    <row r="411" ht="15.75" customHeight="1">
      <c r="A411" s="17"/>
      <c r="C411" s="23"/>
      <c r="I411" s="20"/>
      <c r="J411" s="4" t="s">
        <v>3</v>
      </c>
    </row>
    <row r="412" ht="15.75" customHeight="1">
      <c r="A412" s="17"/>
      <c r="C412" s="23"/>
      <c r="I412" s="20"/>
      <c r="J412" s="4" t="s">
        <v>3</v>
      </c>
    </row>
    <row r="413" ht="15.75" customHeight="1">
      <c r="A413" s="17"/>
      <c r="C413" s="23"/>
      <c r="I413" s="20"/>
      <c r="J413" s="4" t="s">
        <v>3</v>
      </c>
    </row>
    <row r="414" ht="15.75" customHeight="1">
      <c r="A414" s="17"/>
      <c r="C414" s="23"/>
      <c r="I414" s="20"/>
      <c r="J414" s="4" t="s">
        <v>3</v>
      </c>
    </row>
    <row r="415" ht="15.75" customHeight="1">
      <c r="A415" s="17"/>
      <c r="C415" s="23"/>
      <c r="I415" s="20"/>
      <c r="J415" s="4" t="s">
        <v>3</v>
      </c>
    </row>
    <row r="416" ht="15.75" customHeight="1">
      <c r="A416" s="17"/>
      <c r="C416" s="23"/>
      <c r="I416" s="20"/>
      <c r="J416" s="4" t="s">
        <v>3</v>
      </c>
    </row>
    <row r="417" ht="15.75" customHeight="1">
      <c r="A417" s="17"/>
      <c r="C417" s="23"/>
      <c r="I417" s="20"/>
      <c r="J417" s="4" t="s">
        <v>3</v>
      </c>
    </row>
    <row r="418" ht="15.75" customHeight="1">
      <c r="A418" s="17"/>
      <c r="C418" s="23"/>
      <c r="I418" s="20"/>
      <c r="J418" s="4" t="s">
        <v>3</v>
      </c>
    </row>
    <row r="419" ht="15.75" customHeight="1">
      <c r="A419" s="17"/>
      <c r="C419" s="23"/>
      <c r="I419" s="20"/>
      <c r="J419" s="4" t="s">
        <v>3</v>
      </c>
    </row>
    <row r="420" ht="15.75" customHeight="1">
      <c r="A420" s="17"/>
      <c r="C420" s="23"/>
      <c r="I420" s="20"/>
      <c r="J420" s="4" t="s">
        <v>3</v>
      </c>
    </row>
    <row r="421" ht="15.75" customHeight="1">
      <c r="A421" s="17"/>
      <c r="C421" s="23"/>
      <c r="I421" s="20"/>
      <c r="J421" s="4" t="s">
        <v>3</v>
      </c>
    </row>
    <row r="422" ht="15.75" customHeight="1">
      <c r="A422" s="17"/>
      <c r="C422" s="23"/>
      <c r="I422" s="20"/>
      <c r="J422" s="4" t="s">
        <v>3</v>
      </c>
    </row>
    <row r="423" ht="15.75" customHeight="1">
      <c r="A423" s="17"/>
      <c r="C423" s="23"/>
      <c r="I423" s="20"/>
      <c r="J423" s="4" t="s">
        <v>3</v>
      </c>
    </row>
    <row r="424" ht="15.75" customHeight="1">
      <c r="A424" s="17"/>
      <c r="C424" s="23"/>
      <c r="I424" s="20"/>
      <c r="J424" s="4" t="s">
        <v>3</v>
      </c>
    </row>
    <row r="425" ht="15.75" customHeight="1">
      <c r="A425" s="17"/>
      <c r="C425" s="23"/>
      <c r="I425" s="20"/>
      <c r="J425" s="4" t="s">
        <v>3</v>
      </c>
    </row>
    <row r="426" ht="15.75" customHeight="1">
      <c r="A426" s="17"/>
      <c r="C426" s="23"/>
      <c r="I426" s="20"/>
      <c r="J426" s="4" t="s">
        <v>3</v>
      </c>
    </row>
    <row r="427" ht="15.75" customHeight="1">
      <c r="A427" s="17"/>
      <c r="C427" s="23"/>
      <c r="I427" s="20"/>
      <c r="J427" s="4" t="s">
        <v>3</v>
      </c>
    </row>
    <row r="428" ht="15.75" customHeight="1">
      <c r="A428" s="17"/>
      <c r="C428" s="23"/>
      <c r="I428" s="20"/>
      <c r="J428" s="4" t="s">
        <v>3</v>
      </c>
    </row>
    <row r="429" ht="15.75" customHeight="1">
      <c r="A429" s="17"/>
      <c r="C429" s="23"/>
      <c r="I429" s="20"/>
      <c r="J429" s="4" t="s">
        <v>3</v>
      </c>
    </row>
    <row r="430" ht="15.75" customHeight="1">
      <c r="A430" s="17"/>
      <c r="C430" s="23"/>
      <c r="I430" s="20"/>
      <c r="J430" s="4" t="s">
        <v>3</v>
      </c>
    </row>
    <row r="431" ht="15.75" customHeight="1">
      <c r="A431" s="17"/>
      <c r="C431" s="23"/>
      <c r="I431" s="20"/>
      <c r="J431" s="4" t="s">
        <v>3</v>
      </c>
    </row>
    <row r="432" ht="15.75" customHeight="1">
      <c r="A432" s="17"/>
      <c r="C432" s="23"/>
      <c r="I432" s="20"/>
      <c r="J432" s="4" t="s">
        <v>3</v>
      </c>
    </row>
    <row r="433" ht="15.75" customHeight="1">
      <c r="A433" s="17"/>
      <c r="C433" s="23"/>
      <c r="I433" s="20"/>
      <c r="J433" s="4" t="s">
        <v>3</v>
      </c>
    </row>
    <row r="434" ht="15.75" customHeight="1">
      <c r="A434" s="17"/>
      <c r="C434" s="23"/>
      <c r="I434" s="20"/>
      <c r="J434" s="4" t="s">
        <v>3</v>
      </c>
    </row>
    <row r="435" ht="15.75" customHeight="1">
      <c r="A435" s="17"/>
      <c r="C435" s="23"/>
      <c r="I435" s="20"/>
      <c r="J435" s="4" t="s">
        <v>3</v>
      </c>
    </row>
    <row r="436" ht="15.75" customHeight="1">
      <c r="A436" s="17"/>
      <c r="C436" s="23"/>
      <c r="I436" s="20"/>
      <c r="J436" s="4" t="s">
        <v>3</v>
      </c>
    </row>
    <row r="437" ht="15.75" customHeight="1">
      <c r="A437" s="17"/>
      <c r="C437" s="23"/>
      <c r="I437" s="20"/>
      <c r="J437" s="4" t="s">
        <v>3</v>
      </c>
    </row>
    <row r="438" ht="15.75" customHeight="1">
      <c r="A438" s="17"/>
      <c r="C438" s="23"/>
      <c r="I438" s="20"/>
      <c r="J438" s="4" t="s">
        <v>3</v>
      </c>
    </row>
    <row r="439" ht="15.75" customHeight="1">
      <c r="A439" s="17"/>
      <c r="C439" s="23"/>
      <c r="I439" s="20"/>
      <c r="J439" s="4" t="s">
        <v>3</v>
      </c>
    </row>
    <row r="440" ht="15.75" customHeight="1">
      <c r="A440" s="17"/>
      <c r="C440" s="23"/>
      <c r="I440" s="20"/>
      <c r="J440" s="4" t="s">
        <v>3</v>
      </c>
    </row>
    <row r="441" ht="15.75" customHeight="1">
      <c r="A441" s="17"/>
      <c r="C441" s="23"/>
      <c r="I441" s="20"/>
      <c r="J441" s="4" t="s">
        <v>3</v>
      </c>
    </row>
    <row r="442" ht="15.75" customHeight="1">
      <c r="A442" s="17"/>
      <c r="C442" s="23"/>
      <c r="I442" s="20"/>
      <c r="J442" s="4" t="s">
        <v>3</v>
      </c>
    </row>
    <row r="443" ht="15.75" customHeight="1">
      <c r="A443" s="17"/>
      <c r="C443" s="23"/>
      <c r="I443" s="20"/>
      <c r="J443" s="4" t="s">
        <v>3</v>
      </c>
    </row>
    <row r="444" ht="15.75" customHeight="1">
      <c r="A444" s="17"/>
      <c r="C444" s="23"/>
      <c r="I444" s="20"/>
      <c r="J444" s="4" t="s">
        <v>3</v>
      </c>
    </row>
    <row r="445" ht="15.75" customHeight="1">
      <c r="A445" s="17"/>
      <c r="C445" s="23"/>
      <c r="I445" s="20"/>
      <c r="J445" s="4" t="s">
        <v>3</v>
      </c>
    </row>
    <row r="446" ht="15.75" customHeight="1">
      <c r="A446" s="17"/>
      <c r="C446" s="23"/>
      <c r="I446" s="20"/>
      <c r="J446" s="4" t="s">
        <v>3</v>
      </c>
    </row>
    <row r="447" ht="15.75" customHeight="1">
      <c r="A447" s="17"/>
      <c r="C447" s="23"/>
      <c r="I447" s="20"/>
      <c r="J447" s="4" t="s">
        <v>3</v>
      </c>
    </row>
    <row r="448" ht="15.75" customHeight="1">
      <c r="A448" s="17"/>
      <c r="C448" s="23"/>
      <c r="I448" s="20"/>
      <c r="J448" s="4" t="s">
        <v>3</v>
      </c>
    </row>
    <row r="449" ht="15.75" customHeight="1">
      <c r="A449" s="17"/>
      <c r="C449" s="23"/>
      <c r="I449" s="20"/>
      <c r="J449" s="4" t="s">
        <v>3</v>
      </c>
    </row>
    <row r="450" ht="15.75" customHeight="1">
      <c r="A450" s="17"/>
      <c r="C450" s="23"/>
      <c r="I450" s="20"/>
      <c r="J450" s="4" t="s">
        <v>3</v>
      </c>
    </row>
    <row r="451" ht="15.75" customHeight="1">
      <c r="A451" s="17"/>
      <c r="C451" s="23"/>
      <c r="I451" s="20"/>
      <c r="J451" s="4" t="s">
        <v>3</v>
      </c>
    </row>
    <row r="452" ht="15.75" customHeight="1">
      <c r="A452" s="17"/>
      <c r="C452" s="23"/>
      <c r="I452" s="20"/>
      <c r="J452" s="4" t="s">
        <v>3</v>
      </c>
    </row>
    <row r="453" ht="15.75" customHeight="1">
      <c r="A453" s="17"/>
      <c r="C453" s="23"/>
      <c r="I453" s="20"/>
      <c r="J453" s="4" t="s">
        <v>3</v>
      </c>
    </row>
    <row r="454" ht="15.75" customHeight="1">
      <c r="A454" s="17"/>
      <c r="C454" s="23"/>
      <c r="I454" s="20"/>
      <c r="J454" s="4" t="s">
        <v>3</v>
      </c>
    </row>
    <row r="455" ht="15.75" customHeight="1">
      <c r="A455" s="17"/>
      <c r="C455" s="23"/>
      <c r="I455" s="20"/>
      <c r="J455" s="4" t="s">
        <v>3</v>
      </c>
    </row>
    <row r="456" ht="15.75" customHeight="1">
      <c r="A456" s="17"/>
      <c r="C456" s="23"/>
      <c r="I456" s="20"/>
      <c r="J456" s="4" t="s">
        <v>3</v>
      </c>
    </row>
    <row r="457" ht="15.75" customHeight="1">
      <c r="A457" s="17"/>
      <c r="C457" s="23"/>
      <c r="I457" s="20"/>
      <c r="J457" s="4" t="s">
        <v>3</v>
      </c>
    </row>
    <row r="458" ht="15.75" customHeight="1">
      <c r="A458" s="17"/>
      <c r="C458" s="23"/>
      <c r="I458" s="20"/>
      <c r="J458" s="4" t="s">
        <v>3</v>
      </c>
    </row>
    <row r="459" ht="15.75" customHeight="1">
      <c r="A459" s="17"/>
      <c r="C459" s="23"/>
      <c r="I459" s="20"/>
      <c r="J459" s="4" t="s">
        <v>3</v>
      </c>
    </row>
    <row r="460" ht="15.75" customHeight="1">
      <c r="A460" s="17"/>
      <c r="C460" s="23"/>
      <c r="I460" s="20"/>
      <c r="J460" s="4" t="s">
        <v>3</v>
      </c>
    </row>
    <row r="461" ht="15.75" customHeight="1">
      <c r="A461" s="17"/>
      <c r="C461" s="23"/>
      <c r="I461" s="20"/>
      <c r="J461" s="4" t="s">
        <v>3</v>
      </c>
    </row>
    <row r="462" ht="15.75" customHeight="1">
      <c r="A462" s="17"/>
      <c r="C462" s="23"/>
      <c r="I462" s="20"/>
      <c r="J462" s="4" t="s">
        <v>3</v>
      </c>
    </row>
    <row r="463" ht="15.75" customHeight="1">
      <c r="A463" s="17"/>
      <c r="C463" s="23"/>
      <c r="I463" s="20"/>
      <c r="J463" s="4" t="s">
        <v>3</v>
      </c>
    </row>
    <row r="464" ht="15.75" customHeight="1">
      <c r="A464" s="17"/>
      <c r="C464" s="23"/>
      <c r="I464" s="20"/>
      <c r="J464" s="4" t="s">
        <v>3</v>
      </c>
    </row>
    <row r="465" ht="15.75" customHeight="1">
      <c r="A465" s="17"/>
      <c r="C465" s="23"/>
      <c r="I465" s="20"/>
      <c r="J465" s="4" t="s">
        <v>3</v>
      </c>
    </row>
    <row r="466" ht="15.75" customHeight="1">
      <c r="A466" s="17"/>
      <c r="C466" s="23"/>
      <c r="I466" s="20"/>
      <c r="J466" s="4" t="s">
        <v>3</v>
      </c>
    </row>
    <row r="467" ht="15.75" customHeight="1">
      <c r="A467" s="17"/>
      <c r="C467" s="23"/>
      <c r="I467" s="20"/>
      <c r="J467" s="4" t="s">
        <v>3</v>
      </c>
    </row>
    <row r="468" ht="15.75" customHeight="1">
      <c r="A468" s="17"/>
      <c r="C468" s="23"/>
      <c r="I468" s="20"/>
      <c r="J468" s="4" t="s">
        <v>3</v>
      </c>
    </row>
    <row r="469" ht="15.75" customHeight="1">
      <c r="A469" s="17"/>
      <c r="C469" s="23"/>
      <c r="I469" s="20"/>
      <c r="J469" s="4" t="s">
        <v>3</v>
      </c>
    </row>
    <row r="470" ht="15.75" customHeight="1">
      <c r="A470" s="17"/>
      <c r="C470" s="23"/>
      <c r="I470" s="20"/>
      <c r="J470" s="4" t="s">
        <v>3</v>
      </c>
    </row>
    <row r="471" ht="15.75" customHeight="1">
      <c r="A471" s="17"/>
      <c r="C471" s="23"/>
      <c r="I471" s="20"/>
      <c r="J471" s="4" t="s">
        <v>3</v>
      </c>
    </row>
    <row r="472" ht="15.75" customHeight="1">
      <c r="A472" s="17"/>
      <c r="C472" s="23"/>
      <c r="I472" s="20"/>
      <c r="J472" s="4" t="s">
        <v>3</v>
      </c>
    </row>
    <row r="473" ht="15.75" customHeight="1">
      <c r="A473" s="17"/>
      <c r="C473" s="23"/>
      <c r="I473" s="20"/>
      <c r="J473" s="4" t="s">
        <v>3</v>
      </c>
    </row>
    <row r="474" ht="15.75" customHeight="1">
      <c r="A474" s="17"/>
      <c r="C474" s="23"/>
      <c r="I474" s="20"/>
      <c r="J474" s="4" t="s">
        <v>3</v>
      </c>
    </row>
    <row r="475" ht="15.75" customHeight="1">
      <c r="A475" s="17"/>
      <c r="C475" s="23"/>
      <c r="I475" s="20"/>
      <c r="J475" s="4" t="s">
        <v>3</v>
      </c>
    </row>
    <row r="476" ht="15.75" customHeight="1">
      <c r="A476" s="17"/>
      <c r="C476" s="23"/>
      <c r="I476" s="20"/>
      <c r="J476" s="4" t="s">
        <v>3</v>
      </c>
    </row>
    <row r="477" ht="15.75" customHeight="1">
      <c r="A477" s="17"/>
      <c r="C477" s="23"/>
      <c r="I477" s="20"/>
      <c r="J477" s="4" t="s">
        <v>3</v>
      </c>
    </row>
    <row r="478" ht="15.75" customHeight="1">
      <c r="A478" s="17"/>
      <c r="C478" s="23"/>
      <c r="I478" s="20"/>
      <c r="J478" s="4" t="s">
        <v>3</v>
      </c>
    </row>
    <row r="479" ht="15.75" customHeight="1">
      <c r="A479" s="17"/>
      <c r="C479" s="23"/>
      <c r="I479" s="20"/>
      <c r="J479" s="4" t="s">
        <v>3</v>
      </c>
    </row>
    <row r="480" ht="15.75" customHeight="1">
      <c r="A480" s="17"/>
      <c r="C480" s="23"/>
      <c r="I480" s="20"/>
      <c r="J480" s="4" t="s">
        <v>3</v>
      </c>
    </row>
    <row r="481" ht="15.75" customHeight="1">
      <c r="A481" s="17"/>
      <c r="C481" s="23"/>
      <c r="I481" s="20"/>
      <c r="J481" s="4" t="s">
        <v>3</v>
      </c>
    </row>
    <row r="482" ht="15.75" customHeight="1">
      <c r="A482" s="17"/>
      <c r="C482" s="23"/>
      <c r="I482" s="20"/>
      <c r="J482" s="4" t="s">
        <v>3</v>
      </c>
    </row>
    <row r="483" ht="15.75" customHeight="1">
      <c r="A483" s="17"/>
      <c r="C483" s="23"/>
      <c r="I483" s="20"/>
      <c r="J483" s="4" t="s">
        <v>3</v>
      </c>
    </row>
    <row r="484" ht="15.75" customHeight="1">
      <c r="A484" s="17"/>
      <c r="C484" s="23"/>
      <c r="I484" s="20"/>
      <c r="J484" s="4" t="s">
        <v>3</v>
      </c>
    </row>
    <row r="485" ht="15.75" customHeight="1">
      <c r="A485" s="17"/>
      <c r="C485" s="23"/>
      <c r="I485" s="20"/>
      <c r="J485" s="4" t="s">
        <v>3</v>
      </c>
    </row>
    <row r="486" ht="15.75" customHeight="1">
      <c r="A486" s="17"/>
      <c r="C486" s="23"/>
      <c r="I486" s="20"/>
      <c r="J486" s="4" t="s">
        <v>3</v>
      </c>
    </row>
    <row r="487" ht="15.75" customHeight="1">
      <c r="A487" s="17"/>
      <c r="C487" s="23"/>
      <c r="I487" s="20"/>
      <c r="J487" s="4" t="s">
        <v>3</v>
      </c>
    </row>
    <row r="488" ht="15.75" customHeight="1">
      <c r="A488" s="17"/>
      <c r="C488" s="23"/>
      <c r="I488" s="20"/>
      <c r="J488" s="4" t="s">
        <v>3</v>
      </c>
    </row>
    <row r="489" ht="15.75" customHeight="1">
      <c r="A489" s="17"/>
      <c r="C489" s="23"/>
      <c r="I489" s="20"/>
      <c r="J489" s="4" t="s">
        <v>3</v>
      </c>
    </row>
    <row r="490" ht="15.75" customHeight="1">
      <c r="A490" s="17"/>
      <c r="C490" s="23"/>
      <c r="I490" s="20"/>
      <c r="J490" s="4" t="s">
        <v>3</v>
      </c>
    </row>
    <row r="491" ht="15.75" customHeight="1">
      <c r="A491" s="17"/>
      <c r="C491" s="23"/>
      <c r="I491" s="20"/>
      <c r="J491" s="4" t="s">
        <v>3</v>
      </c>
    </row>
    <row r="492" ht="15.75" customHeight="1">
      <c r="A492" s="17"/>
      <c r="C492" s="23"/>
      <c r="I492" s="20"/>
      <c r="J492" s="4" t="s">
        <v>3</v>
      </c>
    </row>
    <row r="493" ht="15.75" customHeight="1">
      <c r="A493" s="17"/>
      <c r="C493" s="23"/>
      <c r="I493" s="20"/>
      <c r="J493" s="4" t="s">
        <v>3</v>
      </c>
    </row>
    <row r="494" ht="15.75" customHeight="1">
      <c r="A494" s="17"/>
      <c r="C494" s="23"/>
      <c r="I494" s="20"/>
      <c r="J494" s="4" t="s">
        <v>3</v>
      </c>
    </row>
    <row r="495" ht="15.75" customHeight="1">
      <c r="A495" s="17"/>
      <c r="C495" s="23"/>
      <c r="I495" s="20"/>
      <c r="J495" s="4" t="s">
        <v>3</v>
      </c>
    </row>
    <row r="496" ht="15.75" customHeight="1">
      <c r="A496" s="17"/>
      <c r="C496" s="23"/>
      <c r="I496" s="20"/>
      <c r="J496" s="4" t="s">
        <v>3</v>
      </c>
    </row>
    <row r="497" ht="15.75" customHeight="1">
      <c r="A497" s="17"/>
      <c r="C497" s="23"/>
      <c r="I497" s="20"/>
      <c r="J497" s="4" t="s">
        <v>3</v>
      </c>
    </row>
    <row r="498" ht="15.75" customHeight="1">
      <c r="A498" s="17"/>
      <c r="C498" s="23"/>
      <c r="I498" s="20"/>
      <c r="J498" s="4" t="s">
        <v>3</v>
      </c>
    </row>
    <row r="499" ht="15.75" customHeight="1">
      <c r="A499" s="17"/>
      <c r="C499" s="23"/>
      <c r="I499" s="20"/>
      <c r="J499" s="4" t="s">
        <v>3</v>
      </c>
    </row>
    <row r="500" ht="15.75" customHeight="1">
      <c r="A500" s="17"/>
      <c r="C500" s="23"/>
      <c r="I500" s="20"/>
      <c r="J500" s="4" t="s">
        <v>3</v>
      </c>
    </row>
    <row r="501" ht="15.75" customHeight="1">
      <c r="A501" s="17"/>
      <c r="C501" s="23"/>
      <c r="I501" s="20"/>
      <c r="J501" s="4" t="s">
        <v>3</v>
      </c>
    </row>
    <row r="502" ht="15.75" customHeight="1">
      <c r="A502" s="17"/>
      <c r="C502" s="23"/>
      <c r="I502" s="20"/>
      <c r="J502" s="4" t="s">
        <v>3</v>
      </c>
    </row>
    <row r="503" ht="15.75" customHeight="1">
      <c r="A503" s="17"/>
      <c r="C503" s="23"/>
      <c r="I503" s="20"/>
      <c r="J503" s="4" t="s">
        <v>3</v>
      </c>
    </row>
    <row r="504" ht="15.75" customHeight="1">
      <c r="A504" s="17"/>
      <c r="C504" s="23"/>
      <c r="I504" s="20"/>
      <c r="J504" s="4" t="s">
        <v>3</v>
      </c>
    </row>
    <row r="505" ht="15.75" customHeight="1">
      <c r="A505" s="17"/>
      <c r="C505" s="23"/>
      <c r="I505" s="20"/>
      <c r="J505" s="4" t="s">
        <v>3</v>
      </c>
    </row>
    <row r="506" ht="15.75" customHeight="1">
      <c r="A506" s="17"/>
      <c r="C506" s="23"/>
      <c r="I506" s="20"/>
      <c r="J506" s="4" t="s">
        <v>3</v>
      </c>
    </row>
    <row r="507" ht="15.75" customHeight="1">
      <c r="A507" s="17"/>
      <c r="C507" s="23"/>
      <c r="I507" s="20"/>
      <c r="J507" s="4" t="s">
        <v>3</v>
      </c>
    </row>
    <row r="508" ht="15.75" customHeight="1">
      <c r="A508" s="17"/>
      <c r="C508" s="23"/>
      <c r="I508" s="20"/>
      <c r="J508" s="4" t="s">
        <v>3</v>
      </c>
    </row>
    <row r="509" ht="15.75" customHeight="1">
      <c r="A509" s="17"/>
      <c r="C509" s="23"/>
      <c r="I509" s="20"/>
      <c r="J509" s="4" t="s">
        <v>3</v>
      </c>
    </row>
    <row r="510" ht="15.75" customHeight="1">
      <c r="A510" s="17"/>
      <c r="C510" s="23"/>
      <c r="I510" s="20"/>
      <c r="J510" s="4" t="s">
        <v>3</v>
      </c>
    </row>
    <row r="511" ht="15.75" customHeight="1">
      <c r="A511" s="17"/>
      <c r="C511" s="23"/>
      <c r="I511" s="20"/>
      <c r="J511" s="4" t="s">
        <v>3</v>
      </c>
    </row>
    <row r="512" ht="15.75" customHeight="1">
      <c r="A512" s="17"/>
      <c r="C512" s="23"/>
      <c r="I512" s="20"/>
      <c r="J512" s="4" t="s">
        <v>3</v>
      </c>
    </row>
    <row r="513" ht="15.75" customHeight="1">
      <c r="A513" s="17"/>
      <c r="C513" s="23"/>
      <c r="I513" s="20"/>
      <c r="J513" s="4" t="s">
        <v>3</v>
      </c>
    </row>
    <row r="514" ht="15.75" customHeight="1">
      <c r="A514" s="17"/>
      <c r="C514" s="23"/>
      <c r="I514" s="20"/>
      <c r="J514" s="4" t="s">
        <v>3</v>
      </c>
    </row>
    <row r="515" ht="15.75" customHeight="1">
      <c r="A515" s="17"/>
      <c r="C515" s="23"/>
      <c r="I515" s="20"/>
      <c r="J515" s="4" t="s">
        <v>3</v>
      </c>
    </row>
    <row r="516" ht="15.75" customHeight="1">
      <c r="A516" s="17"/>
      <c r="C516" s="23"/>
      <c r="I516" s="20"/>
      <c r="J516" s="4" t="s">
        <v>3</v>
      </c>
    </row>
    <row r="517" ht="15.75" customHeight="1">
      <c r="A517" s="17"/>
      <c r="C517" s="23"/>
      <c r="I517" s="20"/>
      <c r="J517" s="4" t="s">
        <v>3</v>
      </c>
    </row>
    <row r="518" ht="15.75" customHeight="1">
      <c r="A518" s="17"/>
      <c r="C518" s="23"/>
      <c r="I518" s="20"/>
      <c r="J518" s="4" t="s">
        <v>3</v>
      </c>
    </row>
    <row r="519" ht="15.75" customHeight="1">
      <c r="A519" s="17"/>
      <c r="C519" s="23"/>
      <c r="I519" s="20"/>
      <c r="J519" s="4" t="s">
        <v>3</v>
      </c>
    </row>
    <row r="520" ht="15.75" customHeight="1">
      <c r="A520" s="17"/>
      <c r="C520" s="23"/>
      <c r="I520" s="20"/>
      <c r="J520" s="4" t="s">
        <v>3</v>
      </c>
    </row>
    <row r="521" ht="15.75" customHeight="1">
      <c r="A521" s="17"/>
      <c r="C521" s="23"/>
      <c r="I521" s="20"/>
      <c r="J521" s="4" t="s">
        <v>3</v>
      </c>
    </row>
    <row r="522" ht="15.75" customHeight="1">
      <c r="A522" s="17"/>
      <c r="C522" s="23"/>
      <c r="I522" s="20"/>
      <c r="J522" s="4" t="s">
        <v>3</v>
      </c>
    </row>
    <row r="523" ht="15.75" customHeight="1">
      <c r="A523" s="17"/>
      <c r="C523" s="23"/>
      <c r="I523" s="20"/>
      <c r="J523" s="4" t="s">
        <v>3</v>
      </c>
    </row>
    <row r="524" ht="15.75" customHeight="1">
      <c r="A524" s="17"/>
      <c r="C524" s="23"/>
      <c r="I524" s="20"/>
      <c r="J524" s="4" t="s">
        <v>3</v>
      </c>
    </row>
    <row r="525" ht="15.75" customHeight="1">
      <c r="A525" s="17"/>
      <c r="C525" s="23"/>
      <c r="I525" s="20"/>
      <c r="J525" s="4" t="s">
        <v>3</v>
      </c>
    </row>
    <row r="526" ht="15.75" customHeight="1">
      <c r="A526" s="17"/>
      <c r="C526" s="23"/>
      <c r="I526" s="20"/>
      <c r="J526" s="4" t="s">
        <v>3</v>
      </c>
    </row>
    <row r="527" ht="15.75" customHeight="1">
      <c r="A527" s="17"/>
      <c r="C527" s="23"/>
      <c r="I527" s="20"/>
      <c r="J527" s="4" t="s">
        <v>3</v>
      </c>
    </row>
    <row r="528" ht="15.75" customHeight="1">
      <c r="A528" s="17"/>
      <c r="C528" s="23"/>
      <c r="I528" s="20"/>
      <c r="J528" s="4" t="s">
        <v>3</v>
      </c>
    </row>
    <row r="529" ht="15.75" customHeight="1">
      <c r="A529" s="17"/>
      <c r="C529" s="23"/>
      <c r="I529" s="20"/>
      <c r="J529" s="4" t="s">
        <v>3</v>
      </c>
    </row>
    <row r="530" ht="15.75" customHeight="1">
      <c r="A530" s="17"/>
      <c r="C530" s="23"/>
      <c r="I530" s="20"/>
      <c r="J530" s="4" t="s">
        <v>3</v>
      </c>
    </row>
    <row r="531" ht="15.75" customHeight="1">
      <c r="A531" s="17"/>
      <c r="C531" s="23"/>
      <c r="I531" s="20"/>
      <c r="J531" s="4" t="s">
        <v>3</v>
      </c>
    </row>
    <row r="532" ht="15.75" customHeight="1">
      <c r="A532" s="17"/>
      <c r="C532" s="23"/>
      <c r="I532" s="20"/>
      <c r="J532" s="4" t="s">
        <v>3</v>
      </c>
    </row>
    <row r="533" ht="15.75" customHeight="1">
      <c r="A533" s="17"/>
      <c r="C533" s="23"/>
      <c r="I533" s="20"/>
      <c r="J533" s="4" t="s">
        <v>3</v>
      </c>
    </row>
    <row r="534" ht="15.75" customHeight="1">
      <c r="A534" s="17"/>
      <c r="C534" s="23"/>
      <c r="I534" s="20"/>
      <c r="J534" s="4" t="s">
        <v>3</v>
      </c>
    </row>
    <row r="535" ht="15.75" customHeight="1">
      <c r="A535" s="17"/>
      <c r="C535" s="23"/>
      <c r="I535" s="20"/>
      <c r="J535" s="4" t="s">
        <v>3</v>
      </c>
    </row>
    <row r="536" ht="15.75" customHeight="1">
      <c r="A536" s="17"/>
      <c r="C536" s="23"/>
      <c r="I536" s="20"/>
      <c r="J536" s="4" t="s">
        <v>3</v>
      </c>
    </row>
    <row r="537" ht="15.75" customHeight="1">
      <c r="A537" s="17"/>
      <c r="C537" s="23"/>
      <c r="I537" s="20"/>
      <c r="J537" s="4" t="s">
        <v>3</v>
      </c>
    </row>
    <row r="538" ht="15.75" customHeight="1">
      <c r="A538" s="17"/>
      <c r="C538" s="23"/>
      <c r="I538" s="20"/>
      <c r="J538" s="4" t="s">
        <v>3</v>
      </c>
    </row>
    <row r="539" ht="15.75" customHeight="1">
      <c r="A539" s="17"/>
      <c r="C539" s="23"/>
      <c r="I539" s="20"/>
      <c r="J539" s="4" t="s">
        <v>3</v>
      </c>
    </row>
    <row r="540" ht="15.75" customHeight="1">
      <c r="A540" s="17"/>
      <c r="C540" s="23"/>
      <c r="I540" s="20"/>
      <c r="J540" s="4" t="s">
        <v>3</v>
      </c>
    </row>
    <row r="541" ht="15.75" customHeight="1">
      <c r="A541" s="17"/>
      <c r="C541" s="23"/>
      <c r="I541" s="20"/>
      <c r="J541" s="4" t="s">
        <v>3</v>
      </c>
    </row>
    <row r="542" ht="15.75" customHeight="1">
      <c r="A542" s="17"/>
      <c r="C542" s="23"/>
      <c r="I542" s="20"/>
      <c r="J542" s="4" t="s">
        <v>3</v>
      </c>
    </row>
    <row r="543" ht="15.75" customHeight="1">
      <c r="A543" s="17"/>
      <c r="C543" s="23"/>
      <c r="I543" s="20"/>
      <c r="J543" s="4" t="s">
        <v>3</v>
      </c>
    </row>
    <row r="544" ht="15.75" customHeight="1">
      <c r="A544" s="17"/>
      <c r="C544" s="23"/>
      <c r="I544" s="20"/>
      <c r="J544" s="4" t="s">
        <v>3</v>
      </c>
    </row>
    <row r="545" ht="15.75" customHeight="1">
      <c r="A545" s="17"/>
      <c r="C545" s="23"/>
      <c r="I545" s="20"/>
      <c r="J545" s="4" t="s">
        <v>3</v>
      </c>
    </row>
    <row r="546" ht="15.75" customHeight="1">
      <c r="A546" s="17"/>
      <c r="C546" s="23"/>
      <c r="I546" s="20"/>
      <c r="J546" s="4" t="s">
        <v>3</v>
      </c>
    </row>
    <row r="547" ht="15.75" customHeight="1">
      <c r="A547" s="17"/>
      <c r="C547" s="23"/>
      <c r="I547" s="20"/>
      <c r="J547" s="4" t="s">
        <v>3</v>
      </c>
    </row>
    <row r="548" ht="15.75" customHeight="1">
      <c r="A548" s="17"/>
      <c r="C548" s="23"/>
      <c r="I548" s="20"/>
      <c r="J548" s="4" t="s">
        <v>3</v>
      </c>
    </row>
    <row r="549" ht="15.75" customHeight="1">
      <c r="A549" s="17"/>
      <c r="C549" s="23"/>
      <c r="I549" s="20"/>
      <c r="J549" s="4" t="s">
        <v>3</v>
      </c>
    </row>
    <row r="550" ht="15.75" customHeight="1">
      <c r="A550" s="17"/>
      <c r="C550" s="23"/>
      <c r="I550" s="20"/>
      <c r="J550" s="4" t="s">
        <v>3</v>
      </c>
    </row>
    <row r="551" ht="15.75" customHeight="1">
      <c r="A551" s="17"/>
      <c r="C551" s="23"/>
      <c r="I551" s="20"/>
      <c r="J551" s="4" t="s">
        <v>3</v>
      </c>
    </row>
    <row r="552" ht="15.75" customHeight="1">
      <c r="A552" s="17"/>
      <c r="C552" s="23"/>
      <c r="I552" s="20"/>
      <c r="J552" s="4" t="s">
        <v>3</v>
      </c>
    </row>
    <row r="553" ht="15.75" customHeight="1">
      <c r="A553" s="17"/>
      <c r="C553" s="23"/>
      <c r="I553" s="20"/>
      <c r="J553" s="4" t="s">
        <v>3</v>
      </c>
    </row>
    <row r="554" ht="15.75" customHeight="1">
      <c r="A554" s="17"/>
      <c r="C554" s="23"/>
      <c r="I554" s="20"/>
      <c r="J554" s="4" t="s">
        <v>3</v>
      </c>
    </row>
    <row r="555" ht="15.75" customHeight="1">
      <c r="A555" s="17"/>
      <c r="C555" s="23"/>
      <c r="I555" s="20"/>
      <c r="J555" s="4" t="s">
        <v>3</v>
      </c>
    </row>
    <row r="556" ht="15.75" customHeight="1">
      <c r="A556" s="17"/>
      <c r="C556" s="23"/>
      <c r="I556" s="20"/>
      <c r="J556" s="4" t="s">
        <v>3</v>
      </c>
    </row>
    <row r="557" ht="15.75" customHeight="1">
      <c r="A557" s="17"/>
      <c r="C557" s="23"/>
      <c r="I557" s="20"/>
      <c r="J557" s="4" t="s">
        <v>3</v>
      </c>
    </row>
    <row r="558" ht="15.75" customHeight="1">
      <c r="A558" s="17"/>
      <c r="C558" s="23"/>
      <c r="I558" s="20"/>
      <c r="J558" s="4" t="s">
        <v>3</v>
      </c>
    </row>
    <row r="559" ht="15.75" customHeight="1">
      <c r="A559" s="17"/>
      <c r="C559" s="23"/>
      <c r="I559" s="20"/>
      <c r="J559" s="4" t="s">
        <v>3</v>
      </c>
    </row>
    <row r="560" ht="15.75" customHeight="1">
      <c r="A560" s="17"/>
      <c r="C560" s="23"/>
      <c r="I560" s="20"/>
      <c r="J560" s="4" t="s">
        <v>3</v>
      </c>
    </row>
    <row r="561" ht="15.75" customHeight="1">
      <c r="A561" s="17"/>
      <c r="C561" s="23"/>
      <c r="I561" s="20"/>
      <c r="J561" s="4" t="s">
        <v>3</v>
      </c>
    </row>
    <row r="562" ht="15.75" customHeight="1">
      <c r="A562" s="17"/>
      <c r="C562" s="23"/>
      <c r="I562" s="20"/>
      <c r="J562" s="4" t="s">
        <v>3</v>
      </c>
    </row>
    <row r="563" ht="15.75" customHeight="1">
      <c r="A563" s="17"/>
      <c r="C563" s="23"/>
      <c r="I563" s="20"/>
      <c r="J563" s="4" t="s">
        <v>3</v>
      </c>
    </row>
    <row r="564" ht="15.75" customHeight="1">
      <c r="A564" s="17"/>
      <c r="C564" s="23"/>
      <c r="I564" s="20"/>
      <c r="J564" s="4" t="s">
        <v>3</v>
      </c>
    </row>
    <row r="565" ht="15.75" customHeight="1">
      <c r="A565" s="17"/>
      <c r="C565" s="23"/>
      <c r="I565" s="20"/>
      <c r="J565" s="4" t="s">
        <v>3</v>
      </c>
    </row>
    <row r="566" ht="15.75" customHeight="1">
      <c r="A566" s="17"/>
      <c r="C566" s="23"/>
      <c r="I566" s="20"/>
      <c r="J566" s="4" t="s">
        <v>3</v>
      </c>
    </row>
    <row r="567" ht="15.75" customHeight="1">
      <c r="A567" s="17"/>
      <c r="C567" s="23"/>
      <c r="I567" s="20"/>
      <c r="J567" s="4" t="s">
        <v>3</v>
      </c>
    </row>
    <row r="568" ht="15.75" customHeight="1">
      <c r="A568" s="17"/>
      <c r="C568" s="23"/>
      <c r="I568" s="20"/>
      <c r="J568" s="4" t="s">
        <v>3</v>
      </c>
    </row>
    <row r="569" ht="15.75" customHeight="1">
      <c r="A569" s="17"/>
      <c r="C569" s="23"/>
      <c r="I569" s="20"/>
      <c r="J569" s="4" t="s">
        <v>3</v>
      </c>
    </row>
    <row r="570" ht="15.75" customHeight="1">
      <c r="A570" s="17"/>
      <c r="C570" s="23"/>
      <c r="I570" s="20"/>
      <c r="J570" s="4" t="s">
        <v>3</v>
      </c>
    </row>
    <row r="571" ht="15.75" customHeight="1">
      <c r="A571" s="17"/>
      <c r="C571" s="23"/>
      <c r="I571" s="20"/>
      <c r="J571" s="4" t="s">
        <v>3</v>
      </c>
    </row>
    <row r="572" ht="15.75" customHeight="1">
      <c r="A572" s="17"/>
      <c r="C572" s="23"/>
      <c r="I572" s="20"/>
      <c r="J572" s="4" t="s">
        <v>3</v>
      </c>
    </row>
    <row r="573" ht="15.75" customHeight="1">
      <c r="A573" s="17"/>
      <c r="C573" s="23"/>
      <c r="I573" s="20"/>
      <c r="J573" s="4" t="s">
        <v>3</v>
      </c>
    </row>
    <row r="574" ht="15.75" customHeight="1">
      <c r="A574" s="17"/>
      <c r="C574" s="23"/>
      <c r="I574" s="20"/>
      <c r="J574" s="4" t="s">
        <v>3</v>
      </c>
    </row>
    <row r="575" ht="15.75" customHeight="1">
      <c r="A575" s="17"/>
      <c r="C575" s="23"/>
      <c r="I575" s="20"/>
      <c r="J575" s="4" t="s">
        <v>3</v>
      </c>
    </row>
    <row r="576" ht="15.75" customHeight="1">
      <c r="A576" s="17"/>
      <c r="C576" s="23"/>
      <c r="I576" s="20"/>
      <c r="J576" s="4" t="s">
        <v>3</v>
      </c>
    </row>
    <row r="577" ht="15.75" customHeight="1">
      <c r="A577" s="17"/>
      <c r="C577" s="23"/>
      <c r="I577" s="20"/>
      <c r="J577" s="4" t="s">
        <v>3</v>
      </c>
    </row>
    <row r="578" ht="15.75" customHeight="1">
      <c r="A578" s="17"/>
      <c r="C578" s="23"/>
      <c r="I578" s="20"/>
      <c r="J578" s="4" t="s">
        <v>3</v>
      </c>
    </row>
    <row r="579" ht="15.75" customHeight="1">
      <c r="A579" s="17"/>
      <c r="C579" s="23"/>
      <c r="I579" s="20"/>
      <c r="J579" s="4" t="s">
        <v>3</v>
      </c>
    </row>
    <row r="580" ht="15.75" customHeight="1">
      <c r="A580" s="17"/>
      <c r="C580" s="23"/>
      <c r="I580" s="20"/>
      <c r="J580" s="4" t="s">
        <v>3</v>
      </c>
    </row>
    <row r="581" ht="15.75" customHeight="1">
      <c r="A581" s="17"/>
      <c r="C581" s="23"/>
      <c r="I581" s="20"/>
      <c r="J581" s="4" t="s">
        <v>3</v>
      </c>
    </row>
    <row r="582" ht="15.75" customHeight="1">
      <c r="A582" s="17"/>
      <c r="C582" s="23"/>
      <c r="I582" s="20"/>
      <c r="J582" s="4" t="s">
        <v>3</v>
      </c>
    </row>
    <row r="583" ht="15.75" customHeight="1">
      <c r="A583" s="17"/>
      <c r="C583" s="23"/>
      <c r="I583" s="20"/>
      <c r="J583" s="4" t="s">
        <v>3</v>
      </c>
    </row>
    <row r="584" ht="15.75" customHeight="1">
      <c r="A584" s="17"/>
      <c r="C584" s="23"/>
      <c r="I584" s="20"/>
      <c r="J584" s="4" t="s">
        <v>3</v>
      </c>
    </row>
    <row r="585" ht="15.75" customHeight="1">
      <c r="A585" s="17"/>
      <c r="C585" s="23"/>
      <c r="I585" s="20"/>
      <c r="J585" s="4" t="s">
        <v>3</v>
      </c>
    </row>
    <row r="586" ht="15.75" customHeight="1">
      <c r="A586" s="17"/>
      <c r="C586" s="23"/>
      <c r="I586" s="20"/>
      <c r="J586" s="4" t="s">
        <v>3</v>
      </c>
    </row>
    <row r="587" ht="15.75" customHeight="1">
      <c r="A587" s="17"/>
      <c r="C587" s="23"/>
      <c r="I587" s="20"/>
      <c r="J587" s="4" t="s">
        <v>3</v>
      </c>
    </row>
    <row r="588" ht="15.75" customHeight="1">
      <c r="A588" s="17"/>
      <c r="C588" s="23"/>
      <c r="I588" s="20"/>
      <c r="J588" s="4" t="s">
        <v>3</v>
      </c>
    </row>
    <row r="589" ht="15.75" customHeight="1">
      <c r="A589" s="17"/>
      <c r="C589" s="23"/>
      <c r="I589" s="20"/>
      <c r="J589" s="4" t="s">
        <v>3</v>
      </c>
    </row>
    <row r="590" ht="15.75" customHeight="1">
      <c r="A590" s="17"/>
      <c r="C590" s="23"/>
      <c r="I590" s="20"/>
      <c r="J590" s="4" t="s">
        <v>3</v>
      </c>
    </row>
    <row r="591" ht="15.75" customHeight="1">
      <c r="A591" s="17"/>
      <c r="C591" s="23"/>
      <c r="I591" s="20"/>
      <c r="J591" s="4" t="s">
        <v>3</v>
      </c>
    </row>
    <row r="592" ht="15.75" customHeight="1">
      <c r="A592" s="17"/>
      <c r="C592" s="23"/>
      <c r="I592" s="20"/>
      <c r="J592" s="4" t="s">
        <v>3</v>
      </c>
    </row>
    <row r="593" ht="15.75" customHeight="1">
      <c r="A593" s="17"/>
      <c r="C593" s="23"/>
      <c r="I593" s="20"/>
      <c r="J593" s="4" t="s">
        <v>3</v>
      </c>
    </row>
    <row r="594" ht="15.75" customHeight="1">
      <c r="A594" s="17"/>
      <c r="C594" s="23"/>
      <c r="I594" s="20"/>
      <c r="J594" s="4" t="s">
        <v>3</v>
      </c>
    </row>
    <row r="595" ht="15.75" customHeight="1">
      <c r="A595" s="17"/>
      <c r="C595" s="23"/>
      <c r="I595" s="20"/>
      <c r="J595" s="4" t="s">
        <v>3</v>
      </c>
    </row>
    <row r="596" ht="15.75" customHeight="1">
      <c r="A596" s="17"/>
      <c r="C596" s="23"/>
      <c r="I596" s="20"/>
      <c r="J596" s="4" t="s">
        <v>3</v>
      </c>
    </row>
    <row r="597" ht="15.75" customHeight="1">
      <c r="A597" s="17"/>
      <c r="C597" s="23"/>
      <c r="I597" s="20"/>
      <c r="J597" s="4" t="s">
        <v>3</v>
      </c>
    </row>
    <row r="598" ht="15.75" customHeight="1">
      <c r="A598" s="17"/>
      <c r="C598" s="23"/>
      <c r="I598" s="20"/>
      <c r="J598" s="4" t="s">
        <v>3</v>
      </c>
    </row>
    <row r="599" ht="15.75" customHeight="1">
      <c r="A599" s="17"/>
      <c r="C599" s="23"/>
      <c r="I599" s="20"/>
      <c r="J599" s="4" t="s">
        <v>3</v>
      </c>
    </row>
    <row r="600" ht="15.75" customHeight="1">
      <c r="A600" s="17"/>
      <c r="C600" s="23"/>
      <c r="I600" s="20"/>
      <c r="J600" s="4" t="s">
        <v>3</v>
      </c>
    </row>
    <row r="601" ht="15.75" customHeight="1">
      <c r="A601" s="17"/>
      <c r="C601" s="23"/>
      <c r="I601" s="20"/>
      <c r="J601" s="4" t="s">
        <v>3</v>
      </c>
    </row>
    <row r="602" ht="15.75" customHeight="1">
      <c r="A602" s="17"/>
      <c r="C602" s="23"/>
      <c r="I602" s="20"/>
      <c r="J602" s="4" t="s">
        <v>3</v>
      </c>
    </row>
    <row r="603" ht="15.75" customHeight="1">
      <c r="A603" s="17"/>
      <c r="C603" s="23"/>
      <c r="I603" s="20"/>
      <c r="J603" s="4" t="s">
        <v>3</v>
      </c>
    </row>
    <row r="604" ht="15.75" customHeight="1">
      <c r="A604" s="17"/>
      <c r="C604" s="23"/>
      <c r="I604" s="20"/>
      <c r="J604" s="4" t="s">
        <v>3</v>
      </c>
    </row>
    <row r="605" ht="15.75" customHeight="1">
      <c r="A605" s="17"/>
      <c r="C605" s="23"/>
      <c r="I605" s="20"/>
      <c r="J605" s="4" t="s">
        <v>3</v>
      </c>
    </row>
    <row r="606" ht="15.75" customHeight="1">
      <c r="A606" s="17"/>
      <c r="C606" s="23"/>
      <c r="I606" s="20"/>
      <c r="J606" s="4" t="s">
        <v>3</v>
      </c>
    </row>
    <row r="607" ht="15.75" customHeight="1">
      <c r="A607" s="17"/>
      <c r="C607" s="23"/>
      <c r="I607" s="20"/>
      <c r="J607" s="4" t="s">
        <v>3</v>
      </c>
    </row>
    <row r="608" ht="15.75" customHeight="1">
      <c r="A608" s="17"/>
      <c r="C608" s="23"/>
      <c r="I608" s="20"/>
      <c r="J608" s="4" t="s">
        <v>3</v>
      </c>
    </row>
    <row r="609" ht="15.75" customHeight="1">
      <c r="A609" s="17"/>
      <c r="C609" s="23"/>
      <c r="I609" s="20"/>
      <c r="J609" s="4" t="s">
        <v>3</v>
      </c>
    </row>
    <row r="610" ht="15.75" customHeight="1">
      <c r="A610" s="17"/>
      <c r="C610" s="23"/>
      <c r="I610" s="20"/>
      <c r="J610" s="4" t="s">
        <v>3</v>
      </c>
    </row>
    <row r="611" ht="15.75" customHeight="1">
      <c r="A611" s="17"/>
      <c r="C611" s="23"/>
      <c r="I611" s="20"/>
      <c r="J611" s="4" t="s">
        <v>3</v>
      </c>
    </row>
    <row r="612" ht="15.75" customHeight="1">
      <c r="A612" s="17"/>
      <c r="C612" s="23"/>
      <c r="I612" s="20"/>
      <c r="J612" s="4" t="s">
        <v>3</v>
      </c>
    </row>
    <row r="613" ht="15.75" customHeight="1">
      <c r="A613" s="17"/>
      <c r="C613" s="23"/>
      <c r="I613" s="20"/>
      <c r="J613" s="4" t="s">
        <v>3</v>
      </c>
    </row>
    <row r="614" ht="15.75" customHeight="1">
      <c r="A614" s="17"/>
      <c r="C614" s="23"/>
      <c r="I614" s="20"/>
      <c r="J614" s="4" t="s">
        <v>3</v>
      </c>
    </row>
    <row r="615" ht="15.75" customHeight="1">
      <c r="A615" s="17"/>
      <c r="C615" s="23"/>
      <c r="I615" s="20"/>
      <c r="J615" s="4" t="s">
        <v>3</v>
      </c>
    </row>
    <row r="616" ht="15.75" customHeight="1">
      <c r="A616" s="17"/>
      <c r="C616" s="23"/>
      <c r="I616" s="20"/>
      <c r="J616" s="4" t="s">
        <v>3</v>
      </c>
    </row>
    <row r="617" ht="15.75" customHeight="1">
      <c r="A617" s="17"/>
      <c r="C617" s="23"/>
      <c r="I617" s="20"/>
      <c r="J617" s="4" t="s">
        <v>3</v>
      </c>
    </row>
    <row r="618" ht="15.75" customHeight="1">
      <c r="A618" s="17"/>
      <c r="C618" s="23"/>
      <c r="I618" s="20"/>
      <c r="J618" s="4" t="s">
        <v>3</v>
      </c>
    </row>
    <row r="619" ht="15.75" customHeight="1">
      <c r="A619" s="17"/>
      <c r="C619" s="23"/>
      <c r="I619" s="20"/>
      <c r="J619" s="4" t="s">
        <v>3</v>
      </c>
    </row>
    <row r="620" ht="15.75" customHeight="1">
      <c r="A620" s="17"/>
      <c r="C620" s="23"/>
      <c r="I620" s="20"/>
      <c r="J620" s="4" t="s">
        <v>3</v>
      </c>
    </row>
    <row r="621" ht="15.75" customHeight="1">
      <c r="A621" s="17"/>
      <c r="C621" s="23"/>
      <c r="I621" s="20"/>
      <c r="J621" s="4" t="s">
        <v>3</v>
      </c>
    </row>
    <row r="622" ht="15.75" customHeight="1">
      <c r="A622" s="17"/>
      <c r="C622" s="23"/>
      <c r="I622" s="20"/>
      <c r="J622" s="4" t="s">
        <v>3</v>
      </c>
    </row>
    <row r="623" ht="15.75" customHeight="1">
      <c r="A623" s="17"/>
      <c r="C623" s="23"/>
      <c r="I623" s="20"/>
      <c r="J623" s="4" t="s">
        <v>3</v>
      </c>
    </row>
    <row r="624" ht="15.75" customHeight="1">
      <c r="A624" s="17"/>
      <c r="C624" s="23"/>
      <c r="I624" s="20"/>
      <c r="J624" s="4" t="s">
        <v>3</v>
      </c>
    </row>
    <row r="625" ht="15.75" customHeight="1">
      <c r="A625" s="17"/>
      <c r="C625" s="23"/>
      <c r="I625" s="20"/>
      <c r="J625" s="4" t="s">
        <v>3</v>
      </c>
    </row>
    <row r="626" ht="15.75" customHeight="1">
      <c r="A626" s="17"/>
      <c r="C626" s="23"/>
      <c r="I626" s="20"/>
      <c r="J626" s="4" t="s">
        <v>3</v>
      </c>
    </row>
    <row r="627" ht="15.75" customHeight="1">
      <c r="A627" s="17"/>
      <c r="C627" s="23"/>
      <c r="I627" s="20"/>
      <c r="J627" s="4" t="s">
        <v>3</v>
      </c>
    </row>
    <row r="628" ht="15.75" customHeight="1">
      <c r="A628" s="17"/>
      <c r="C628" s="23"/>
      <c r="I628" s="20"/>
      <c r="J628" s="4" t="s">
        <v>3</v>
      </c>
    </row>
    <row r="629" ht="15.75" customHeight="1">
      <c r="A629" s="17"/>
      <c r="C629" s="23"/>
      <c r="I629" s="20"/>
      <c r="J629" s="4" t="s">
        <v>3</v>
      </c>
    </row>
    <row r="630" ht="15.75" customHeight="1">
      <c r="A630" s="17"/>
      <c r="C630" s="23"/>
      <c r="I630" s="20"/>
      <c r="J630" s="4" t="s">
        <v>3</v>
      </c>
    </row>
    <row r="631" ht="15.75" customHeight="1">
      <c r="A631" s="17"/>
      <c r="C631" s="23"/>
      <c r="I631" s="20"/>
      <c r="J631" s="4" t="s">
        <v>3</v>
      </c>
    </row>
    <row r="632" ht="15.75" customHeight="1">
      <c r="A632" s="17"/>
      <c r="C632" s="23"/>
      <c r="I632" s="20"/>
      <c r="J632" s="4" t="s">
        <v>3</v>
      </c>
    </row>
    <row r="633" ht="15.75" customHeight="1">
      <c r="A633" s="17"/>
      <c r="C633" s="23"/>
      <c r="I633" s="20"/>
      <c r="J633" s="4" t="s">
        <v>3</v>
      </c>
    </row>
    <row r="634" ht="15.75" customHeight="1">
      <c r="A634" s="17"/>
      <c r="C634" s="23"/>
      <c r="I634" s="20"/>
      <c r="J634" s="4" t="s">
        <v>3</v>
      </c>
    </row>
    <row r="635" ht="15.75" customHeight="1">
      <c r="A635" s="17"/>
      <c r="C635" s="23"/>
      <c r="I635" s="20"/>
      <c r="J635" s="4" t="s">
        <v>3</v>
      </c>
    </row>
    <row r="636" ht="15.75" customHeight="1">
      <c r="A636" s="17"/>
      <c r="C636" s="23"/>
      <c r="I636" s="20"/>
      <c r="J636" s="4" t="s">
        <v>3</v>
      </c>
    </row>
    <row r="637" ht="15.75" customHeight="1">
      <c r="A637" s="17"/>
      <c r="C637" s="23"/>
      <c r="I637" s="20"/>
      <c r="J637" s="4" t="s">
        <v>3</v>
      </c>
    </row>
    <row r="638" ht="15.75" customHeight="1">
      <c r="A638" s="17"/>
      <c r="C638" s="23"/>
      <c r="I638" s="20"/>
      <c r="J638" s="4" t="s">
        <v>3</v>
      </c>
    </row>
    <row r="639" ht="15.75" customHeight="1">
      <c r="A639" s="17"/>
      <c r="C639" s="23"/>
      <c r="I639" s="20"/>
      <c r="J639" s="4" t="s">
        <v>3</v>
      </c>
    </row>
    <row r="640" ht="15.75" customHeight="1">
      <c r="A640" s="17"/>
      <c r="C640" s="23"/>
      <c r="I640" s="20"/>
      <c r="J640" s="4" t="s">
        <v>3</v>
      </c>
    </row>
    <row r="641" ht="15.75" customHeight="1">
      <c r="A641" s="17"/>
      <c r="C641" s="23"/>
      <c r="I641" s="20"/>
      <c r="J641" s="4" t="s">
        <v>3</v>
      </c>
    </row>
    <row r="642" ht="15.75" customHeight="1">
      <c r="A642" s="17"/>
      <c r="C642" s="23"/>
      <c r="I642" s="20"/>
      <c r="J642" s="4" t="s">
        <v>3</v>
      </c>
    </row>
    <row r="643" ht="15.75" customHeight="1">
      <c r="A643" s="17"/>
      <c r="C643" s="23"/>
      <c r="I643" s="20"/>
      <c r="J643" s="4" t="s">
        <v>3</v>
      </c>
    </row>
    <row r="644" ht="15.75" customHeight="1">
      <c r="A644" s="17"/>
      <c r="C644" s="23"/>
      <c r="I644" s="20"/>
      <c r="J644" s="4" t="s">
        <v>3</v>
      </c>
    </row>
    <row r="645" ht="15.75" customHeight="1">
      <c r="A645" s="17"/>
      <c r="C645" s="23"/>
      <c r="I645" s="20"/>
      <c r="J645" s="4" t="s">
        <v>3</v>
      </c>
    </row>
    <row r="646" ht="15.75" customHeight="1">
      <c r="A646" s="17"/>
      <c r="C646" s="23"/>
      <c r="I646" s="20"/>
      <c r="J646" s="4" t="s">
        <v>3</v>
      </c>
    </row>
    <row r="647" ht="15.75" customHeight="1">
      <c r="A647" s="17"/>
      <c r="C647" s="23"/>
      <c r="I647" s="20"/>
      <c r="J647" s="4" t="s">
        <v>3</v>
      </c>
    </row>
    <row r="648" ht="15.75" customHeight="1">
      <c r="A648" s="17"/>
      <c r="C648" s="23"/>
      <c r="I648" s="20"/>
      <c r="J648" s="4" t="s">
        <v>3</v>
      </c>
    </row>
    <row r="649" ht="15.75" customHeight="1">
      <c r="A649" s="17"/>
      <c r="C649" s="23"/>
      <c r="I649" s="20"/>
      <c r="J649" s="4" t="s">
        <v>3</v>
      </c>
    </row>
    <row r="650" ht="15.75" customHeight="1">
      <c r="A650" s="17"/>
      <c r="C650" s="23"/>
      <c r="I650" s="20"/>
      <c r="J650" s="4" t="s">
        <v>3</v>
      </c>
    </row>
    <row r="651" ht="15.75" customHeight="1">
      <c r="A651" s="17"/>
      <c r="C651" s="23"/>
      <c r="I651" s="20"/>
      <c r="J651" s="4" t="s">
        <v>3</v>
      </c>
    </row>
    <row r="652" ht="15.75" customHeight="1">
      <c r="A652" s="17"/>
      <c r="C652" s="23"/>
      <c r="I652" s="20"/>
      <c r="J652" s="4" t="s">
        <v>3</v>
      </c>
    </row>
    <row r="653" ht="15.75" customHeight="1">
      <c r="A653" s="17"/>
      <c r="C653" s="23"/>
      <c r="I653" s="20"/>
      <c r="J653" s="4" t="s">
        <v>3</v>
      </c>
    </row>
    <row r="654" ht="15.75" customHeight="1">
      <c r="A654" s="17"/>
      <c r="C654" s="23"/>
      <c r="I654" s="20"/>
      <c r="J654" s="4" t="s">
        <v>3</v>
      </c>
    </row>
    <row r="655" ht="15.75" customHeight="1">
      <c r="A655" s="17"/>
      <c r="C655" s="23"/>
      <c r="I655" s="20"/>
      <c r="J655" s="4" t="s">
        <v>3</v>
      </c>
    </row>
    <row r="656" ht="15.75" customHeight="1">
      <c r="A656" s="17"/>
      <c r="C656" s="23"/>
      <c r="I656" s="20"/>
      <c r="J656" s="4" t="s">
        <v>3</v>
      </c>
    </row>
    <row r="657" ht="15.75" customHeight="1">
      <c r="A657" s="17"/>
      <c r="C657" s="23"/>
      <c r="I657" s="20"/>
      <c r="J657" s="4" t="s">
        <v>3</v>
      </c>
    </row>
    <row r="658" ht="15.75" customHeight="1">
      <c r="A658" s="17"/>
      <c r="C658" s="23"/>
      <c r="I658" s="20"/>
      <c r="J658" s="4" t="s">
        <v>3</v>
      </c>
    </row>
    <row r="659" ht="15.75" customHeight="1">
      <c r="A659" s="17"/>
      <c r="C659" s="23"/>
      <c r="I659" s="20"/>
      <c r="J659" s="4" t="s">
        <v>3</v>
      </c>
    </row>
    <row r="660" ht="15.75" customHeight="1">
      <c r="A660" s="17"/>
      <c r="C660" s="23"/>
      <c r="I660" s="20"/>
      <c r="J660" s="4" t="s">
        <v>3</v>
      </c>
    </row>
    <row r="661" ht="15.75" customHeight="1">
      <c r="A661" s="17"/>
      <c r="C661" s="23"/>
      <c r="I661" s="20"/>
      <c r="J661" s="4" t="s">
        <v>3</v>
      </c>
    </row>
    <row r="662" ht="15.75" customHeight="1">
      <c r="A662" s="17"/>
      <c r="C662" s="23"/>
      <c r="I662" s="20"/>
      <c r="J662" s="4" t="s">
        <v>3</v>
      </c>
    </row>
    <row r="663" ht="15.75" customHeight="1">
      <c r="A663" s="17"/>
      <c r="C663" s="23"/>
      <c r="I663" s="20"/>
      <c r="J663" s="4" t="s">
        <v>3</v>
      </c>
    </row>
    <row r="664" ht="15.75" customHeight="1">
      <c r="A664" s="17"/>
      <c r="C664" s="23"/>
      <c r="I664" s="20"/>
      <c r="J664" s="4" t="s">
        <v>3</v>
      </c>
    </row>
    <row r="665" ht="15.75" customHeight="1">
      <c r="A665" s="17"/>
      <c r="C665" s="23"/>
      <c r="I665" s="20"/>
      <c r="J665" s="4" t="s">
        <v>3</v>
      </c>
    </row>
    <row r="666" ht="15.75" customHeight="1">
      <c r="A666" s="17"/>
      <c r="C666" s="23"/>
      <c r="I666" s="20"/>
      <c r="J666" s="4" t="s">
        <v>3</v>
      </c>
    </row>
    <row r="667" ht="15.75" customHeight="1">
      <c r="A667" s="17"/>
      <c r="C667" s="23"/>
      <c r="I667" s="20"/>
      <c r="J667" s="4" t="s">
        <v>3</v>
      </c>
    </row>
    <row r="668" ht="15.75" customHeight="1">
      <c r="A668" s="17"/>
      <c r="C668" s="23"/>
      <c r="I668" s="20"/>
      <c r="J668" s="4" t="s">
        <v>3</v>
      </c>
    </row>
    <row r="669" ht="15.75" customHeight="1">
      <c r="A669" s="17"/>
      <c r="C669" s="23"/>
      <c r="I669" s="20"/>
      <c r="J669" s="4" t="s">
        <v>3</v>
      </c>
    </row>
    <row r="670" ht="15.75" customHeight="1">
      <c r="A670" s="17"/>
      <c r="C670" s="23"/>
      <c r="I670" s="20"/>
      <c r="J670" s="4" t="s">
        <v>3</v>
      </c>
    </row>
    <row r="671" ht="15.75" customHeight="1">
      <c r="A671" s="17"/>
      <c r="C671" s="23"/>
      <c r="I671" s="20"/>
      <c r="J671" s="4" t="s">
        <v>3</v>
      </c>
    </row>
    <row r="672" ht="15.75" customHeight="1">
      <c r="A672" s="17"/>
      <c r="C672" s="23"/>
      <c r="I672" s="20"/>
      <c r="J672" s="4" t="s">
        <v>3</v>
      </c>
    </row>
    <row r="673" ht="15.75" customHeight="1">
      <c r="A673" s="17"/>
      <c r="C673" s="23"/>
      <c r="I673" s="20"/>
      <c r="J673" s="4" t="s">
        <v>3</v>
      </c>
    </row>
    <row r="674" ht="15.75" customHeight="1">
      <c r="A674" s="17"/>
      <c r="C674" s="23"/>
      <c r="I674" s="20"/>
      <c r="J674" s="4" t="s">
        <v>3</v>
      </c>
    </row>
    <row r="675" ht="15.75" customHeight="1">
      <c r="A675" s="17"/>
      <c r="C675" s="23"/>
      <c r="I675" s="20"/>
      <c r="J675" s="4" t="s">
        <v>3</v>
      </c>
    </row>
    <row r="676" ht="15.75" customHeight="1">
      <c r="A676" s="17"/>
      <c r="C676" s="23"/>
      <c r="I676" s="20"/>
      <c r="J676" s="4" t="s">
        <v>3</v>
      </c>
    </row>
    <row r="677" ht="15.75" customHeight="1">
      <c r="A677" s="17"/>
      <c r="C677" s="23"/>
      <c r="I677" s="20"/>
      <c r="J677" s="4" t="s">
        <v>3</v>
      </c>
    </row>
    <row r="678" ht="15.75" customHeight="1">
      <c r="A678" s="17"/>
      <c r="C678" s="23"/>
      <c r="I678" s="20"/>
      <c r="J678" s="4" t="s">
        <v>3</v>
      </c>
    </row>
    <row r="679" ht="15.75" customHeight="1">
      <c r="A679" s="17"/>
      <c r="C679" s="23"/>
      <c r="I679" s="20"/>
      <c r="J679" s="4" t="s">
        <v>3</v>
      </c>
    </row>
    <row r="680" ht="15.75" customHeight="1">
      <c r="A680" s="17"/>
      <c r="C680" s="23"/>
      <c r="I680" s="20"/>
      <c r="J680" s="4" t="s">
        <v>3</v>
      </c>
    </row>
    <row r="681" ht="15.75" customHeight="1">
      <c r="A681" s="17"/>
      <c r="C681" s="23"/>
      <c r="I681" s="20"/>
      <c r="J681" s="4" t="s">
        <v>3</v>
      </c>
    </row>
    <row r="682" ht="15.75" customHeight="1">
      <c r="A682" s="17"/>
      <c r="C682" s="23"/>
      <c r="I682" s="20"/>
      <c r="J682" s="4" t="s">
        <v>3</v>
      </c>
    </row>
    <row r="683" ht="15.75" customHeight="1">
      <c r="A683" s="17"/>
      <c r="C683" s="23"/>
      <c r="I683" s="20"/>
      <c r="J683" s="4" t="s">
        <v>3</v>
      </c>
    </row>
    <row r="684" ht="15.75" customHeight="1">
      <c r="A684" s="17"/>
      <c r="C684" s="23"/>
      <c r="I684" s="20"/>
      <c r="J684" s="4" t="s">
        <v>3</v>
      </c>
    </row>
    <row r="685" ht="15.75" customHeight="1">
      <c r="A685" s="17"/>
      <c r="C685" s="23"/>
      <c r="I685" s="20"/>
      <c r="J685" s="4" t="s">
        <v>3</v>
      </c>
    </row>
    <row r="686" ht="15.75" customHeight="1">
      <c r="A686" s="17"/>
      <c r="C686" s="23"/>
      <c r="I686" s="20"/>
      <c r="J686" s="4" t="s">
        <v>3</v>
      </c>
    </row>
    <row r="687" ht="15.75" customHeight="1">
      <c r="A687" s="17"/>
      <c r="C687" s="23"/>
      <c r="I687" s="20"/>
      <c r="J687" s="4" t="s">
        <v>3</v>
      </c>
    </row>
    <row r="688" ht="15.75" customHeight="1">
      <c r="A688" s="17"/>
      <c r="C688" s="23"/>
      <c r="I688" s="20"/>
      <c r="J688" s="4" t="s">
        <v>3</v>
      </c>
    </row>
    <row r="689" ht="15.75" customHeight="1">
      <c r="A689" s="17"/>
      <c r="C689" s="23"/>
      <c r="I689" s="20"/>
      <c r="J689" s="4" t="s">
        <v>3</v>
      </c>
    </row>
    <row r="690" ht="15.75" customHeight="1">
      <c r="A690" s="17"/>
      <c r="C690" s="23"/>
      <c r="I690" s="20"/>
      <c r="J690" s="4" t="s">
        <v>3</v>
      </c>
    </row>
    <row r="691" ht="15.75" customHeight="1">
      <c r="A691" s="17"/>
      <c r="C691" s="23"/>
      <c r="I691" s="20"/>
      <c r="J691" s="4" t="s">
        <v>3</v>
      </c>
    </row>
    <row r="692" ht="15.75" customHeight="1">
      <c r="A692" s="17"/>
      <c r="C692" s="23"/>
      <c r="I692" s="20"/>
      <c r="J692" s="4" t="s">
        <v>3</v>
      </c>
    </row>
    <row r="693" ht="15.75" customHeight="1">
      <c r="A693" s="17"/>
      <c r="C693" s="23"/>
      <c r="I693" s="20"/>
      <c r="J693" s="4" t="s">
        <v>3</v>
      </c>
    </row>
    <row r="694" ht="15.75" customHeight="1">
      <c r="A694" s="17"/>
      <c r="C694" s="23"/>
      <c r="I694" s="20"/>
      <c r="J694" s="4" t="s">
        <v>3</v>
      </c>
    </row>
    <row r="695" ht="15.75" customHeight="1">
      <c r="A695" s="17"/>
      <c r="C695" s="23"/>
      <c r="I695" s="20"/>
      <c r="J695" s="4" t="s">
        <v>3</v>
      </c>
    </row>
    <row r="696" ht="15.75" customHeight="1">
      <c r="A696" s="17"/>
      <c r="C696" s="23"/>
      <c r="I696" s="20"/>
      <c r="J696" s="4" t="s">
        <v>3</v>
      </c>
    </row>
    <row r="697" ht="15.75" customHeight="1">
      <c r="A697" s="17"/>
      <c r="C697" s="23"/>
      <c r="I697" s="20"/>
      <c r="J697" s="4" t="s">
        <v>3</v>
      </c>
    </row>
    <row r="698" ht="15.75" customHeight="1">
      <c r="A698" s="17"/>
      <c r="C698" s="23"/>
      <c r="I698" s="20"/>
      <c r="J698" s="4" t="s">
        <v>3</v>
      </c>
    </row>
    <row r="699" ht="15.75" customHeight="1">
      <c r="A699" s="17"/>
      <c r="C699" s="23"/>
      <c r="I699" s="20"/>
      <c r="J699" s="4" t="s">
        <v>3</v>
      </c>
    </row>
    <row r="700" ht="15.75" customHeight="1">
      <c r="A700" s="17"/>
      <c r="C700" s="23"/>
      <c r="I700" s="20"/>
      <c r="J700" s="4" t="s">
        <v>3</v>
      </c>
    </row>
    <row r="701" ht="15.75" customHeight="1">
      <c r="A701" s="17"/>
      <c r="C701" s="23"/>
      <c r="I701" s="20"/>
      <c r="J701" s="4" t="s">
        <v>3</v>
      </c>
    </row>
    <row r="702" ht="15.75" customHeight="1">
      <c r="A702" s="17"/>
      <c r="C702" s="23"/>
      <c r="I702" s="20"/>
      <c r="J702" s="4" t="s">
        <v>3</v>
      </c>
    </row>
    <row r="703" ht="15.75" customHeight="1">
      <c r="A703" s="17"/>
      <c r="C703" s="23"/>
      <c r="I703" s="20"/>
      <c r="J703" s="4" t="s">
        <v>3</v>
      </c>
    </row>
    <row r="704" ht="15.75" customHeight="1">
      <c r="A704" s="17"/>
      <c r="C704" s="23"/>
      <c r="I704" s="20"/>
      <c r="J704" s="4" t="s">
        <v>3</v>
      </c>
    </row>
    <row r="705" ht="15.75" customHeight="1">
      <c r="A705" s="17"/>
      <c r="C705" s="23"/>
      <c r="I705" s="20"/>
      <c r="J705" s="4" t="s">
        <v>3</v>
      </c>
    </row>
    <row r="706" ht="15.75" customHeight="1">
      <c r="A706" s="17"/>
      <c r="C706" s="23"/>
      <c r="I706" s="20"/>
      <c r="J706" s="4" t="s">
        <v>3</v>
      </c>
    </row>
    <row r="707" ht="15.75" customHeight="1">
      <c r="A707" s="17"/>
      <c r="C707" s="23"/>
      <c r="I707" s="20"/>
      <c r="J707" s="4" t="s">
        <v>3</v>
      </c>
    </row>
    <row r="708" ht="15.75" customHeight="1">
      <c r="A708" s="17"/>
      <c r="C708" s="23"/>
      <c r="I708" s="20"/>
      <c r="J708" s="4" t="s">
        <v>3</v>
      </c>
    </row>
    <row r="709" ht="15.75" customHeight="1">
      <c r="A709" s="17"/>
      <c r="C709" s="23"/>
      <c r="I709" s="20"/>
      <c r="J709" s="4" t="s">
        <v>3</v>
      </c>
    </row>
    <row r="710" ht="15.75" customHeight="1">
      <c r="A710" s="17"/>
      <c r="C710" s="23"/>
      <c r="I710" s="20"/>
      <c r="J710" s="4" t="s">
        <v>3</v>
      </c>
    </row>
    <row r="711" ht="15.75" customHeight="1">
      <c r="A711" s="17"/>
      <c r="C711" s="23"/>
      <c r="I711" s="20"/>
      <c r="J711" s="4" t="s">
        <v>3</v>
      </c>
    </row>
    <row r="712" ht="15.75" customHeight="1">
      <c r="A712" s="17"/>
      <c r="C712" s="23"/>
      <c r="I712" s="20"/>
      <c r="J712" s="4" t="s">
        <v>3</v>
      </c>
    </row>
    <row r="713" ht="15.75" customHeight="1">
      <c r="A713" s="17"/>
      <c r="C713" s="23"/>
      <c r="I713" s="20"/>
      <c r="J713" s="4" t="s">
        <v>3</v>
      </c>
    </row>
    <row r="714" ht="15.75" customHeight="1">
      <c r="A714" s="17"/>
      <c r="C714" s="23"/>
      <c r="I714" s="20"/>
      <c r="J714" s="4" t="s">
        <v>3</v>
      </c>
    </row>
    <row r="715" ht="15.75" customHeight="1">
      <c r="A715" s="17"/>
      <c r="C715" s="23"/>
      <c r="I715" s="20"/>
      <c r="J715" s="4" t="s">
        <v>3</v>
      </c>
    </row>
    <row r="716" ht="15.75" customHeight="1">
      <c r="A716" s="17"/>
      <c r="C716" s="23"/>
      <c r="I716" s="20"/>
      <c r="J716" s="4" t="s">
        <v>3</v>
      </c>
    </row>
    <row r="717" ht="15.75" customHeight="1">
      <c r="A717" s="17"/>
      <c r="C717" s="23"/>
      <c r="I717" s="20"/>
      <c r="J717" s="4" t="s">
        <v>3</v>
      </c>
    </row>
    <row r="718" ht="15.75" customHeight="1">
      <c r="A718" s="17"/>
      <c r="C718" s="23"/>
      <c r="I718" s="20"/>
      <c r="J718" s="4" t="s">
        <v>3</v>
      </c>
    </row>
    <row r="719" ht="15.75" customHeight="1">
      <c r="A719" s="17"/>
      <c r="C719" s="23"/>
      <c r="I719" s="20"/>
      <c r="J719" s="4" t="s">
        <v>3</v>
      </c>
    </row>
    <row r="720" ht="15.75" customHeight="1">
      <c r="A720" s="17"/>
      <c r="C720" s="23"/>
      <c r="I720" s="20"/>
      <c r="J720" s="4" t="s">
        <v>3</v>
      </c>
    </row>
    <row r="721" ht="15.75" customHeight="1">
      <c r="A721" s="17"/>
      <c r="C721" s="23"/>
      <c r="I721" s="20"/>
      <c r="J721" s="4" t="s">
        <v>3</v>
      </c>
    </row>
    <row r="722" ht="15.75" customHeight="1">
      <c r="A722" s="17"/>
      <c r="C722" s="23"/>
      <c r="I722" s="20"/>
      <c r="J722" s="4" t="s">
        <v>3</v>
      </c>
    </row>
    <row r="723" ht="15.75" customHeight="1">
      <c r="A723" s="17"/>
      <c r="C723" s="23"/>
      <c r="I723" s="20"/>
      <c r="J723" s="4" t="s">
        <v>3</v>
      </c>
    </row>
    <row r="724" ht="15.75" customHeight="1">
      <c r="A724" s="17"/>
      <c r="C724" s="23"/>
      <c r="I724" s="20"/>
      <c r="J724" s="4" t="s">
        <v>3</v>
      </c>
    </row>
    <row r="725" ht="15.75" customHeight="1">
      <c r="A725" s="17"/>
      <c r="C725" s="23"/>
      <c r="I725" s="20"/>
      <c r="J725" s="4" t="s">
        <v>3</v>
      </c>
    </row>
    <row r="726" ht="15.75" customHeight="1">
      <c r="A726" s="17"/>
      <c r="C726" s="23"/>
      <c r="I726" s="20"/>
      <c r="J726" s="4" t="s">
        <v>3</v>
      </c>
    </row>
    <row r="727" ht="15.75" customHeight="1">
      <c r="A727" s="17"/>
      <c r="C727" s="23"/>
      <c r="I727" s="20"/>
      <c r="J727" s="4" t="s">
        <v>3</v>
      </c>
    </row>
    <row r="728" ht="15.75" customHeight="1">
      <c r="A728" s="17"/>
      <c r="C728" s="23"/>
      <c r="I728" s="20"/>
      <c r="J728" s="4" t="s">
        <v>3</v>
      </c>
    </row>
    <row r="729" ht="15.75" customHeight="1">
      <c r="A729" s="17"/>
      <c r="C729" s="23"/>
      <c r="I729" s="20"/>
      <c r="J729" s="4" t="s">
        <v>3</v>
      </c>
    </row>
    <row r="730" ht="15.75" customHeight="1">
      <c r="A730" s="17"/>
      <c r="C730" s="23"/>
      <c r="I730" s="20"/>
      <c r="J730" s="4" t="s">
        <v>3</v>
      </c>
    </row>
    <row r="731" ht="15.75" customHeight="1">
      <c r="A731" s="17"/>
      <c r="C731" s="23"/>
      <c r="I731" s="20"/>
      <c r="J731" s="4" t="s">
        <v>3</v>
      </c>
    </row>
    <row r="732" ht="15.75" customHeight="1">
      <c r="A732" s="17"/>
      <c r="C732" s="23"/>
      <c r="I732" s="20"/>
      <c r="J732" s="4" t="s">
        <v>3</v>
      </c>
    </row>
    <row r="733" ht="15.75" customHeight="1">
      <c r="A733" s="17"/>
      <c r="C733" s="23"/>
      <c r="I733" s="20"/>
      <c r="J733" s="4" t="s">
        <v>3</v>
      </c>
    </row>
    <row r="734" ht="15.75" customHeight="1">
      <c r="A734" s="17"/>
      <c r="C734" s="23"/>
      <c r="I734" s="20"/>
      <c r="J734" s="4" t="s">
        <v>3</v>
      </c>
    </row>
    <row r="735" ht="15.75" customHeight="1">
      <c r="A735" s="17"/>
      <c r="C735" s="23"/>
      <c r="I735" s="20"/>
      <c r="J735" s="4" t="s">
        <v>3</v>
      </c>
    </row>
    <row r="736" ht="15.75" customHeight="1">
      <c r="A736" s="17"/>
      <c r="C736" s="23"/>
      <c r="I736" s="20"/>
      <c r="J736" s="4" t="s">
        <v>3</v>
      </c>
    </row>
    <row r="737" ht="15.75" customHeight="1">
      <c r="A737" s="17"/>
      <c r="C737" s="23"/>
      <c r="I737" s="20"/>
      <c r="J737" s="4" t="s">
        <v>3</v>
      </c>
    </row>
    <row r="738" ht="15.75" customHeight="1">
      <c r="A738" s="17"/>
      <c r="C738" s="23"/>
      <c r="I738" s="20"/>
      <c r="J738" s="4" t="s">
        <v>3</v>
      </c>
    </row>
    <row r="739" ht="15.75" customHeight="1">
      <c r="A739" s="17"/>
      <c r="C739" s="23"/>
      <c r="I739" s="20"/>
      <c r="J739" s="4" t="s">
        <v>3</v>
      </c>
    </row>
    <row r="740" ht="15.75" customHeight="1">
      <c r="A740" s="17"/>
      <c r="C740" s="23"/>
      <c r="I740" s="20"/>
      <c r="J740" s="4" t="s">
        <v>3</v>
      </c>
    </row>
    <row r="741" ht="15.75" customHeight="1">
      <c r="A741" s="17"/>
      <c r="C741" s="23"/>
      <c r="I741" s="20"/>
      <c r="J741" s="4" t="s">
        <v>3</v>
      </c>
    </row>
    <row r="742" ht="15.75" customHeight="1">
      <c r="A742" s="17"/>
      <c r="C742" s="23"/>
      <c r="I742" s="20"/>
      <c r="J742" s="4" t="s">
        <v>3</v>
      </c>
    </row>
    <row r="743" ht="15.75" customHeight="1">
      <c r="A743" s="17"/>
      <c r="C743" s="23"/>
      <c r="I743" s="20"/>
      <c r="J743" s="4" t="s">
        <v>3</v>
      </c>
    </row>
    <row r="744" ht="15.75" customHeight="1">
      <c r="A744" s="17"/>
      <c r="C744" s="23"/>
      <c r="I744" s="20"/>
      <c r="J744" s="4" t="s">
        <v>3</v>
      </c>
    </row>
    <row r="745" ht="15.75" customHeight="1">
      <c r="A745" s="17"/>
      <c r="C745" s="23"/>
      <c r="I745" s="20"/>
      <c r="J745" s="4" t="s">
        <v>3</v>
      </c>
    </row>
    <row r="746" ht="15.75" customHeight="1">
      <c r="A746" s="17"/>
      <c r="C746" s="23"/>
      <c r="I746" s="20"/>
      <c r="J746" s="4" t="s">
        <v>3</v>
      </c>
    </row>
    <row r="747" ht="15.75" customHeight="1">
      <c r="A747" s="17"/>
      <c r="C747" s="23"/>
      <c r="I747" s="20"/>
      <c r="J747" s="4" t="s">
        <v>3</v>
      </c>
    </row>
    <row r="748" ht="15.75" customHeight="1">
      <c r="A748" s="17"/>
      <c r="C748" s="23"/>
      <c r="I748" s="20"/>
      <c r="J748" s="4" t="s">
        <v>3</v>
      </c>
    </row>
    <row r="749" ht="15.75" customHeight="1">
      <c r="A749" s="17"/>
      <c r="C749" s="23"/>
      <c r="I749" s="20"/>
      <c r="J749" s="4" t="s">
        <v>3</v>
      </c>
    </row>
    <row r="750" ht="15.75" customHeight="1">
      <c r="A750" s="17"/>
      <c r="C750" s="23"/>
      <c r="I750" s="20"/>
      <c r="J750" s="4" t="s">
        <v>3</v>
      </c>
    </row>
    <row r="751" ht="15.75" customHeight="1">
      <c r="A751" s="17"/>
      <c r="C751" s="23"/>
      <c r="I751" s="20"/>
      <c r="J751" s="4" t="s">
        <v>3</v>
      </c>
    </row>
    <row r="752" ht="15.75" customHeight="1">
      <c r="A752" s="17"/>
      <c r="C752" s="23"/>
      <c r="I752" s="20"/>
      <c r="J752" s="4" t="s">
        <v>3</v>
      </c>
    </row>
    <row r="753" ht="15.75" customHeight="1">
      <c r="A753" s="17"/>
      <c r="C753" s="23"/>
      <c r="I753" s="20"/>
      <c r="J753" s="4" t="s">
        <v>3</v>
      </c>
    </row>
    <row r="754" ht="15.75" customHeight="1">
      <c r="A754" s="17"/>
      <c r="C754" s="23"/>
      <c r="I754" s="20"/>
      <c r="J754" s="4" t="s">
        <v>3</v>
      </c>
    </row>
    <row r="755" ht="15.75" customHeight="1">
      <c r="A755" s="17"/>
      <c r="C755" s="23"/>
      <c r="I755" s="20"/>
      <c r="J755" s="4" t="s">
        <v>3</v>
      </c>
    </row>
    <row r="756" ht="15.75" customHeight="1">
      <c r="A756" s="17"/>
      <c r="C756" s="23"/>
      <c r="I756" s="20"/>
      <c r="J756" s="4" t="s">
        <v>3</v>
      </c>
    </row>
    <row r="757" ht="15.75" customHeight="1">
      <c r="A757" s="17"/>
      <c r="C757" s="23"/>
      <c r="I757" s="20"/>
      <c r="J757" s="4" t="s">
        <v>3</v>
      </c>
    </row>
    <row r="758" ht="15.75" customHeight="1">
      <c r="A758" s="17"/>
      <c r="C758" s="23"/>
      <c r="I758" s="20"/>
      <c r="J758" s="4" t="s">
        <v>3</v>
      </c>
    </row>
    <row r="759" ht="15.75" customHeight="1">
      <c r="A759" s="17"/>
      <c r="C759" s="23"/>
      <c r="I759" s="20"/>
      <c r="J759" s="4" t="s">
        <v>3</v>
      </c>
    </row>
    <row r="760" ht="15.75" customHeight="1">
      <c r="A760" s="17"/>
      <c r="C760" s="23"/>
      <c r="I760" s="20"/>
      <c r="J760" s="4" t="s">
        <v>3</v>
      </c>
    </row>
    <row r="761" ht="15.75" customHeight="1">
      <c r="A761" s="17"/>
      <c r="C761" s="23"/>
      <c r="I761" s="20"/>
      <c r="J761" s="4" t="s">
        <v>3</v>
      </c>
    </row>
    <row r="762" ht="15.75" customHeight="1">
      <c r="A762" s="17"/>
      <c r="C762" s="23"/>
      <c r="I762" s="20"/>
      <c r="J762" s="4" t="s">
        <v>3</v>
      </c>
    </row>
    <row r="763" ht="15.75" customHeight="1">
      <c r="A763" s="17"/>
      <c r="C763" s="23"/>
      <c r="I763" s="20"/>
      <c r="J763" s="4" t="s">
        <v>3</v>
      </c>
    </row>
    <row r="764" ht="15.75" customHeight="1">
      <c r="A764" s="17"/>
      <c r="C764" s="23"/>
      <c r="I764" s="20"/>
      <c r="J764" s="4" t="s">
        <v>3</v>
      </c>
    </row>
    <row r="765" ht="15.75" customHeight="1">
      <c r="A765" s="17"/>
      <c r="C765" s="23"/>
      <c r="I765" s="20"/>
      <c r="J765" s="4" t="s">
        <v>3</v>
      </c>
    </row>
    <row r="766" ht="15.75" customHeight="1">
      <c r="A766" s="17"/>
      <c r="C766" s="23"/>
      <c r="I766" s="20"/>
      <c r="J766" s="4" t="s">
        <v>3</v>
      </c>
    </row>
    <row r="767" ht="15.75" customHeight="1">
      <c r="A767" s="17"/>
      <c r="C767" s="23"/>
      <c r="I767" s="20"/>
      <c r="J767" s="4" t="s">
        <v>3</v>
      </c>
    </row>
    <row r="768" ht="15.75" customHeight="1">
      <c r="A768" s="17"/>
      <c r="C768" s="23"/>
      <c r="I768" s="20"/>
      <c r="J768" s="4" t="s">
        <v>3</v>
      </c>
    </row>
    <row r="769" ht="15.75" customHeight="1">
      <c r="A769" s="17"/>
      <c r="C769" s="23"/>
      <c r="I769" s="20"/>
      <c r="J769" s="4" t="s">
        <v>3</v>
      </c>
    </row>
    <row r="770" ht="15.75" customHeight="1">
      <c r="A770" s="17"/>
      <c r="C770" s="23"/>
      <c r="I770" s="20"/>
      <c r="J770" s="4" t="s">
        <v>3</v>
      </c>
    </row>
    <row r="771" ht="15.75" customHeight="1">
      <c r="A771" s="17"/>
      <c r="C771" s="23"/>
      <c r="I771" s="20"/>
      <c r="J771" s="4" t="s">
        <v>3</v>
      </c>
    </row>
    <row r="772" ht="15.75" customHeight="1">
      <c r="A772" s="17"/>
      <c r="C772" s="23"/>
      <c r="I772" s="20"/>
      <c r="J772" s="4" t="s">
        <v>3</v>
      </c>
    </row>
    <row r="773" ht="15.75" customHeight="1">
      <c r="A773" s="17"/>
      <c r="C773" s="23"/>
      <c r="I773" s="20"/>
      <c r="J773" s="4" t="s">
        <v>3</v>
      </c>
    </row>
    <row r="774" ht="15.75" customHeight="1">
      <c r="A774" s="17"/>
      <c r="C774" s="23"/>
      <c r="I774" s="20"/>
      <c r="J774" s="4" t="s">
        <v>3</v>
      </c>
    </row>
    <row r="775" ht="15.75" customHeight="1">
      <c r="A775" s="17"/>
      <c r="C775" s="23"/>
      <c r="I775" s="20"/>
      <c r="J775" s="4" t="s">
        <v>3</v>
      </c>
    </row>
    <row r="776" ht="15.75" customHeight="1">
      <c r="A776" s="17"/>
      <c r="C776" s="23"/>
      <c r="I776" s="20"/>
      <c r="J776" s="4" t="s">
        <v>3</v>
      </c>
    </row>
    <row r="777" ht="15.75" customHeight="1">
      <c r="A777" s="17"/>
      <c r="C777" s="23"/>
      <c r="I777" s="20"/>
      <c r="J777" s="4" t="s">
        <v>3</v>
      </c>
    </row>
    <row r="778" ht="15.75" customHeight="1">
      <c r="A778" s="17"/>
      <c r="C778" s="23"/>
      <c r="I778" s="20"/>
      <c r="J778" s="4" t="s">
        <v>3</v>
      </c>
    </row>
    <row r="779" ht="15.75" customHeight="1">
      <c r="A779" s="17"/>
      <c r="C779" s="23"/>
      <c r="I779" s="20"/>
      <c r="J779" s="4" t="s">
        <v>3</v>
      </c>
    </row>
    <row r="780" ht="15.75" customHeight="1">
      <c r="A780" s="17"/>
      <c r="C780" s="23"/>
      <c r="I780" s="20"/>
      <c r="J780" s="4" t="s">
        <v>3</v>
      </c>
    </row>
    <row r="781" ht="15.75" customHeight="1">
      <c r="A781" s="17"/>
      <c r="C781" s="23"/>
      <c r="I781" s="20"/>
      <c r="J781" s="4" t="s">
        <v>3</v>
      </c>
    </row>
    <row r="782" ht="15.75" customHeight="1">
      <c r="A782" s="17"/>
      <c r="C782" s="23"/>
      <c r="I782" s="20"/>
      <c r="J782" s="4" t="s">
        <v>3</v>
      </c>
    </row>
    <row r="783" ht="15.75" customHeight="1">
      <c r="A783" s="17"/>
      <c r="C783" s="23"/>
      <c r="I783" s="20"/>
      <c r="J783" s="4" t="s">
        <v>3</v>
      </c>
    </row>
    <row r="784" ht="15.75" customHeight="1">
      <c r="A784" s="17"/>
      <c r="C784" s="23"/>
      <c r="I784" s="20"/>
      <c r="J784" s="4" t="s">
        <v>3</v>
      </c>
    </row>
    <row r="785" ht="15.75" customHeight="1">
      <c r="A785" s="17"/>
      <c r="C785" s="23"/>
      <c r="I785" s="20"/>
      <c r="J785" s="4" t="s">
        <v>3</v>
      </c>
    </row>
    <row r="786" ht="15.75" customHeight="1">
      <c r="A786" s="17"/>
      <c r="C786" s="23"/>
      <c r="I786" s="20"/>
      <c r="J786" s="4" t="s">
        <v>3</v>
      </c>
    </row>
    <row r="787" ht="15.75" customHeight="1">
      <c r="A787" s="17"/>
      <c r="C787" s="23"/>
      <c r="I787" s="20"/>
      <c r="J787" s="4" t="s">
        <v>3</v>
      </c>
    </row>
    <row r="788" ht="15.75" customHeight="1">
      <c r="A788" s="17"/>
      <c r="C788" s="23"/>
      <c r="I788" s="20"/>
      <c r="J788" s="4" t="s">
        <v>3</v>
      </c>
    </row>
    <row r="789" ht="15.75" customHeight="1">
      <c r="A789" s="17"/>
      <c r="C789" s="23"/>
      <c r="I789" s="20"/>
      <c r="J789" s="4" t="s">
        <v>3</v>
      </c>
    </row>
    <row r="790" ht="15.75" customHeight="1">
      <c r="A790" s="17"/>
      <c r="C790" s="23"/>
      <c r="I790" s="20"/>
      <c r="J790" s="4" t="s">
        <v>3</v>
      </c>
    </row>
    <row r="791" ht="15.75" customHeight="1">
      <c r="A791" s="17"/>
      <c r="C791" s="23"/>
      <c r="I791" s="20"/>
      <c r="J791" s="4" t="s">
        <v>3</v>
      </c>
    </row>
    <row r="792" ht="15.75" customHeight="1">
      <c r="A792" s="17"/>
      <c r="C792" s="23"/>
      <c r="I792" s="20"/>
      <c r="J792" s="4" t="s">
        <v>3</v>
      </c>
    </row>
    <row r="793" ht="15.75" customHeight="1">
      <c r="A793" s="17"/>
      <c r="C793" s="23"/>
      <c r="I793" s="20"/>
      <c r="J793" s="4" t="s">
        <v>3</v>
      </c>
    </row>
    <row r="794" ht="15.75" customHeight="1">
      <c r="A794" s="17"/>
      <c r="C794" s="23"/>
      <c r="I794" s="20"/>
      <c r="J794" s="4" t="s">
        <v>3</v>
      </c>
    </row>
    <row r="795" ht="15.75" customHeight="1">
      <c r="A795" s="17"/>
      <c r="C795" s="23"/>
      <c r="I795" s="20"/>
      <c r="J795" s="4" t="s">
        <v>3</v>
      </c>
    </row>
    <row r="796" ht="15.75" customHeight="1">
      <c r="A796" s="17"/>
      <c r="C796" s="23"/>
      <c r="I796" s="20"/>
      <c r="J796" s="4" t="s">
        <v>3</v>
      </c>
    </row>
    <row r="797" ht="15.75" customHeight="1">
      <c r="A797" s="17"/>
      <c r="C797" s="23"/>
      <c r="I797" s="20"/>
      <c r="J797" s="4" t="s">
        <v>3</v>
      </c>
    </row>
    <row r="798" ht="15.75" customHeight="1">
      <c r="A798" s="17"/>
      <c r="C798" s="23"/>
      <c r="I798" s="20"/>
      <c r="J798" s="4" t="s">
        <v>3</v>
      </c>
    </row>
    <row r="799" ht="15.75" customHeight="1">
      <c r="A799" s="17"/>
      <c r="C799" s="23"/>
      <c r="I799" s="20"/>
      <c r="J799" s="4" t="s">
        <v>3</v>
      </c>
    </row>
    <row r="800" ht="15.75" customHeight="1">
      <c r="A800" s="17"/>
      <c r="C800" s="23"/>
      <c r="I800" s="20"/>
      <c r="J800" s="4" t="s">
        <v>3</v>
      </c>
    </row>
    <row r="801" ht="15.75" customHeight="1">
      <c r="A801" s="17"/>
      <c r="C801" s="23"/>
      <c r="I801" s="20"/>
      <c r="J801" s="4" t="s">
        <v>3</v>
      </c>
    </row>
    <row r="802" ht="15.75" customHeight="1">
      <c r="A802" s="17"/>
      <c r="C802" s="23"/>
      <c r="I802" s="20"/>
      <c r="J802" s="4" t="s">
        <v>3</v>
      </c>
    </row>
    <row r="803" ht="15.75" customHeight="1">
      <c r="A803" s="17"/>
      <c r="C803" s="23"/>
      <c r="I803" s="20"/>
      <c r="J803" s="4" t="s">
        <v>3</v>
      </c>
    </row>
    <row r="804" ht="15.75" customHeight="1">
      <c r="A804" s="17"/>
      <c r="C804" s="23"/>
      <c r="I804" s="20"/>
      <c r="J804" s="4" t="s">
        <v>3</v>
      </c>
    </row>
    <row r="805" ht="15.75" customHeight="1">
      <c r="A805" s="17"/>
      <c r="C805" s="23"/>
      <c r="I805" s="20"/>
      <c r="J805" s="4" t="s">
        <v>3</v>
      </c>
    </row>
    <row r="806" ht="15.75" customHeight="1">
      <c r="A806" s="17"/>
      <c r="C806" s="23"/>
      <c r="I806" s="20"/>
      <c r="J806" s="4" t="s">
        <v>3</v>
      </c>
    </row>
    <row r="807" ht="15.75" customHeight="1">
      <c r="A807" s="17"/>
      <c r="C807" s="23"/>
      <c r="I807" s="20"/>
      <c r="J807" s="4" t="s">
        <v>3</v>
      </c>
    </row>
    <row r="808" ht="15.75" customHeight="1">
      <c r="A808" s="17"/>
      <c r="C808" s="23"/>
      <c r="I808" s="20"/>
      <c r="J808" s="4" t="s">
        <v>3</v>
      </c>
    </row>
    <row r="809" ht="15.75" customHeight="1">
      <c r="A809" s="17"/>
      <c r="C809" s="23"/>
      <c r="I809" s="20"/>
      <c r="J809" s="4" t="s">
        <v>3</v>
      </c>
    </row>
    <row r="810" ht="15.75" customHeight="1">
      <c r="A810" s="17"/>
      <c r="C810" s="23"/>
      <c r="I810" s="20"/>
      <c r="J810" s="4" t="s">
        <v>3</v>
      </c>
    </row>
    <row r="811" ht="15.75" customHeight="1">
      <c r="A811" s="17"/>
      <c r="C811" s="23"/>
      <c r="I811" s="20"/>
      <c r="J811" s="4" t="s">
        <v>3</v>
      </c>
    </row>
    <row r="812" ht="15.75" customHeight="1">
      <c r="A812" s="17"/>
      <c r="C812" s="23"/>
      <c r="I812" s="20"/>
      <c r="J812" s="4" t="s">
        <v>3</v>
      </c>
    </row>
    <row r="813" ht="15.75" customHeight="1">
      <c r="A813" s="17"/>
      <c r="C813" s="23"/>
      <c r="I813" s="20"/>
      <c r="J813" s="4" t="s">
        <v>3</v>
      </c>
    </row>
    <row r="814" ht="15.75" customHeight="1">
      <c r="A814" s="17"/>
      <c r="C814" s="23"/>
      <c r="I814" s="20"/>
      <c r="J814" s="4" t="s">
        <v>3</v>
      </c>
    </row>
    <row r="815" ht="15.75" customHeight="1">
      <c r="A815" s="17"/>
      <c r="C815" s="23"/>
      <c r="I815" s="20"/>
      <c r="J815" s="4" t="s">
        <v>3</v>
      </c>
    </row>
    <row r="816" ht="15.75" customHeight="1">
      <c r="A816" s="17"/>
      <c r="C816" s="23"/>
      <c r="I816" s="20"/>
      <c r="J816" s="4" t="s">
        <v>3</v>
      </c>
    </row>
    <row r="817" ht="15.75" customHeight="1">
      <c r="A817" s="17"/>
      <c r="C817" s="23"/>
      <c r="I817" s="20"/>
      <c r="J817" s="4" t="s">
        <v>3</v>
      </c>
    </row>
    <row r="818" ht="15.75" customHeight="1">
      <c r="A818" s="17"/>
      <c r="C818" s="23"/>
      <c r="I818" s="20"/>
      <c r="J818" s="4" t="s">
        <v>3</v>
      </c>
    </row>
    <row r="819" ht="15.75" customHeight="1">
      <c r="A819" s="17"/>
      <c r="C819" s="23"/>
      <c r="I819" s="20"/>
      <c r="J819" s="4" t="s">
        <v>3</v>
      </c>
    </row>
    <row r="820" ht="15.75" customHeight="1">
      <c r="A820" s="17"/>
      <c r="C820" s="23"/>
      <c r="I820" s="20"/>
      <c r="J820" s="4" t="s">
        <v>3</v>
      </c>
    </row>
    <row r="821" ht="15.75" customHeight="1">
      <c r="A821" s="17"/>
      <c r="C821" s="23"/>
      <c r="I821" s="20"/>
      <c r="J821" s="4" t="s">
        <v>3</v>
      </c>
    </row>
    <row r="822" ht="15.75" customHeight="1">
      <c r="A822" s="17"/>
      <c r="C822" s="23"/>
      <c r="I822" s="20"/>
      <c r="J822" s="4" t="s">
        <v>3</v>
      </c>
    </row>
    <row r="823" ht="15.75" customHeight="1">
      <c r="A823" s="17"/>
      <c r="C823" s="23"/>
      <c r="I823" s="20"/>
      <c r="J823" s="4" t="s">
        <v>3</v>
      </c>
    </row>
    <row r="824" ht="15.75" customHeight="1">
      <c r="A824" s="17"/>
      <c r="C824" s="23"/>
      <c r="I824" s="20"/>
      <c r="J824" s="4" t="s">
        <v>3</v>
      </c>
    </row>
    <row r="825" ht="15.75" customHeight="1">
      <c r="A825" s="17"/>
      <c r="C825" s="23"/>
      <c r="I825" s="20"/>
      <c r="J825" s="4" t="s">
        <v>3</v>
      </c>
    </row>
    <row r="826" ht="15.75" customHeight="1">
      <c r="A826" s="17"/>
      <c r="C826" s="23"/>
      <c r="I826" s="20"/>
      <c r="J826" s="4" t="s">
        <v>3</v>
      </c>
    </row>
    <row r="827" ht="15.75" customHeight="1">
      <c r="A827" s="17"/>
      <c r="C827" s="23"/>
      <c r="I827" s="20"/>
      <c r="J827" s="4" t="s">
        <v>3</v>
      </c>
    </row>
    <row r="828" ht="15.75" customHeight="1">
      <c r="A828" s="17"/>
      <c r="C828" s="23"/>
      <c r="I828" s="20"/>
      <c r="J828" s="4" t="s">
        <v>3</v>
      </c>
    </row>
    <row r="829" ht="15.75" customHeight="1">
      <c r="A829" s="17"/>
      <c r="C829" s="23"/>
      <c r="I829" s="20"/>
      <c r="J829" s="4" t="s">
        <v>3</v>
      </c>
    </row>
    <row r="830" ht="15.75" customHeight="1">
      <c r="A830" s="17"/>
      <c r="C830" s="23"/>
      <c r="I830" s="20"/>
      <c r="J830" s="4" t="s">
        <v>3</v>
      </c>
    </row>
    <row r="831" ht="15.75" customHeight="1">
      <c r="A831" s="17"/>
      <c r="C831" s="23"/>
      <c r="I831" s="20"/>
      <c r="J831" s="4" t="s">
        <v>3</v>
      </c>
    </row>
    <row r="832" ht="15.75" customHeight="1">
      <c r="A832" s="17"/>
      <c r="C832" s="23"/>
      <c r="I832" s="20"/>
      <c r="J832" s="4" t="s">
        <v>3</v>
      </c>
    </row>
    <row r="833" ht="15.75" customHeight="1">
      <c r="A833" s="17"/>
      <c r="C833" s="23"/>
      <c r="I833" s="20"/>
      <c r="J833" s="4" t="s">
        <v>3</v>
      </c>
    </row>
    <row r="834" ht="15.75" customHeight="1">
      <c r="A834" s="17"/>
      <c r="C834" s="23"/>
      <c r="I834" s="20"/>
      <c r="J834" s="4" t="s">
        <v>3</v>
      </c>
    </row>
    <row r="835" ht="15.75" customHeight="1">
      <c r="A835" s="17"/>
      <c r="C835" s="23"/>
      <c r="I835" s="20"/>
      <c r="J835" s="4" t="s">
        <v>3</v>
      </c>
    </row>
    <row r="836" ht="15.75" customHeight="1">
      <c r="A836" s="17"/>
      <c r="C836" s="23"/>
      <c r="I836" s="20"/>
      <c r="J836" s="4" t="s">
        <v>3</v>
      </c>
    </row>
    <row r="837" ht="15.75" customHeight="1">
      <c r="A837" s="17"/>
      <c r="C837" s="23"/>
      <c r="I837" s="20"/>
      <c r="J837" s="4" t="s">
        <v>3</v>
      </c>
    </row>
    <row r="838" ht="15.75" customHeight="1">
      <c r="A838" s="17"/>
      <c r="C838" s="23"/>
      <c r="I838" s="20"/>
      <c r="J838" s="4" t="s">
        <v>3</v>
      </c>
    </row>
    <row r="839" ht="15.75" customHeight="1">
      <c r="A839" s="17"/>
      <c r="C839" s="23"/>
      <c r="I839" s="20"/>
      <c r="J839" s="4" t="s">
        <v>3</v>
      </c>
    </row>
    <row r="840" ht="15.75" customHeight="1">
      <c r="A840" s="17"/>
      <c r="C840" s="23"/>
      <c r="I840" s="20"/>
      <c r="J840" s="4" t="s">
        <v>3</v>
      </c>
    </row>
    <row r="841" ht="15.75" customHeight="1">
      <c r="A841" s="17"/>
      <c r="C841" s="23"/>
      <c r="I841" s="20"/>
      <c r="J841" s="4" t="s">
        <v>3</v>
      </c>
    </row>
    <row r="842" ht="15.75" customHeight="1">
      <c r="A842" s="17"/>
      <c r="C842" s="23"/>
      <c r="I842" s="20"/>
      <c r="J842" s="4" t="s">
        <v>3</v>
      </c>
    </row>
    <row r="843" ht="15.75" customHeight="1">
      <c r="A843" s="17"/>
      <c r="C843" s="23"/>
      <c r="I843" s="20"/>
      <c r="J843" s="4" t="s">
        <v>3</v>
      </c>
    </row>
    <row r="844" ht="15.75" customHeight="1">
      <c r="A844" s="17"/>
      <c r="C844" s="23"/>
      <c r="I844" s="20"/>
      <c r="J844" s="4" t="s">
        <v>3</v>
      </c>
    </row>
    <row r="845" ht="15.75" customHeight="1">
      <c r="A845" s="17"/>
      <c r="C845" s="23"/>
      <c r="I845" s="20"/>
      <c r="J845" s="4" t="s">
        <v>3</v>
      </c>
    </row>
    <row r="846" ht="15.75" customHeight="1">
      <c r="A846" s="17"/>
      <c r="C846" s="23"/>
      <c r="I846" s="20"/>
      <c r="J846" s="4" t="s">
        <v>3</v>
      </c>
    </row>
    <row r="847" ht="15.75" customHeight="1">
      <c r="A847" s="17"/>
      <c r="C847" s="23"/>
      <c r="I847" s="20"/>
      <c r="J847" s="4" t="s">
        <v>3</v>
      </c>
    </row>
    <row r="848" ht="15.75" customHeight="1">
      <c r="A848" s="17"/>
      <c r="C848" s="23"/>
      <c r="I848" s="20"/>
      <c r="J848" s="4" t="s">
        <v>3</v>
      </c>
    </row>
    <row r="849" ht="15.75" customHeight="1">
      <c r="A849" s="17"/>
      <c r="C849" s="23"/>
      <c r="I849" s="20"/>
      <c r="J849" s="4" t="s">
        <v>3</v>
      </c>
    </row>
    <row r="850" ht="15.75" customHeight="1">
      <c r="A850" s="17"/>
      <c r="C850" s="23"/>
      <c r="I850" s="20"/>
      <c r="J850" s="4" t="s">
        <v>3</v>
      </c>
    </row>
    <row r="851" ht="15.75" customHeight="1">
      <c r="A851" s="17"/>
      <c r="C851" s="23"/>
      <c r="I851" s="20"/>
      <c r="J851" s="4" t="s">
        <v>3</v>
      </c>
    </row>
    <row r="852" ht="15.75" customHeight="1">
      <c r="A852" s="17"/>
      <c r="C852" s="23"/>
      <c r="I852" s="20"/>
      <c r="J852" s="4" t="s">
        <v>3</v>
      </c>
    </row>
    <row r="853" ht="15.75" customHeight="1">
      <c r="A853" s="17"/>
      <c r="C853" s="23"/>
      <c r="I853" s="20"/>
      <c r="J853" s="4" t="s">
        <v>3</v>
      </c>
    </row>
    <row r="854" ht="15.75" customHeight="1">
      <c r="A854" s="17"/>
      <c r="C854" s="23"/>
      <c r="I854" s="20"/>
      <c r="J854" s="4" t="s">
        <v>3</v>
      </c>
    </row>
    <row r="855" ht="15.75" customHeight="1">
      <c r="A855" s="17"/>
      <c r="C855" s="23"/>
      <c r="I855" s="20"/>
      <c r="J855" s="4" t="s">
        <v>3</v>
      </c>
    </row>
    <row r="856" ht="15.75" customHeight="1">
      <c r="A856" s="17"/>
      <c r="C856" s="23"/>
      <c r="I856" s="20"/>
      <c r="J856" s="4" t="s">
        <v>3</v>
      </c>
    </row>
    <row r="857" ht="15.75" customHeight="1">
      <c r="A857" s="17"/>
      <c r="C857" s="23"/>
      <c r="I857" s="20"/>
      <c r="J857" s="4" t="s">
        <v>3</v>
      </c>
    </row>
    <row r="858" ht="15.75" customHeight="1">
      <c r="A858" s="17"/>
      <c r="C858" s="23"/>
      <c r="I858" s="20"/>
      <c r="J858" s="4" t="s">
        <v>3</v>
      </c>
    </row>
    <row r="859" ht="15.75" customHeight="1">
      <c r="A859" s="17"/>
      <c r="C859" s="23"/>
      <c r="I859" s="20"/>
      <c r="J859" s="4" t="s">
        <v>3</v>
      </c>
    </row>
    <row r="860" ht="15.75" customHeight="1">
      <c r="A860" s="17"/>
      <c r="C860" s="23"/>
      <c r="I860" s="20"/>
      <c r="J860" s="4" t="s">
        <v>3</v>
      </c>
    </row>
    <row r="861" ht="15.75" customHeight="1">
      <c r="A861" s="17"/>
      <c r="C861" s="23"/>
      <c r="I861" s="20"/>
      <c r="J861" s="4" t="s">
        <v>3</v>
      </c>
    </row>
    <row r="862" ht="15.75" customHeight="1">
      <c r="A862" s="17"/>
      <c r="C862" s="23"/>
      <c r="I862" s="20"/>
      <c r="J862" s="4" t="s">
        <v>3</v>
      </c>
    </row>
    <row r="863" ht="15.75" customHeight="1">
      <c r="A863" s="17"/>
      <c r="C863" s="23"/>
      <c r="I863" s="20"/>
      <c r="J863" s="4" t="s">
        <v>3</v>
      </c>
    </row>
    <row r="864" ht="15.75" customHeight="1">
      <c r="A864" s="17"/>
      <c r="C864" s="23"/>
      <c r="I864" s="20"/>
      <c r="J864" s="4" t="s">
        <v>3</v>
      </c>
    </row>
    <row r="865" ht="15.75" customHeight="1">
      <c r="A865" s="17"/>
      <c r="C865" s="23"/>
      <c r="I865" s="20"/>
      <c r="J865" s="4" t="s">
        <v>3</v>
      </c>
    </row>
    <row r="866" ht="15.75" customHeight="1">
      <c r="A866" s="17"/>
      <c r="C866" s="23"/>
      <c r="I866" s="20"/>
      <c r="J866" s="4" t="s">
        <v>3</v>
      </c>
    </row>
    <row r="867" ht="15.75" customHeight="1">
      <c r="A867" s="17"/>
      <c r="C867" s="23"/>
      <c r="I867" s="20"/>
      <c r="J867" s="4" t="s">
        <v>3</v>
      </c>
    </row>
    <row r="868" ht="15.75" customHeight="1">
      <c r="A868" s="17"/>
      <c r="C868" s="23"/>
      <c r="I868" s="20"/>
      <c r="J868" s="4" t="s">
        <v>3</v>
      </c>
    </row>
    <row r="869" ht="15.75" customHeight="1">
      <c r="A869" s="17"/>
      <c r="C869" s="23"/>
      <c r="I869" s="20"/>
      <c r="J869" s="4" t="s">
        <v>3</v>
      </c>
    </row>
    <row r="870" ht="15.75" customHeight="1">
      <c r="A870" s="17"/>
      <c r="C870" s="23"/>
      <c r="I870" s="20"/>
      <c r="J870" s="4" t="s">
        <v>3</v>
      </c>
    </row>
    <row r="871" ht="15.75" customHeight="1">
      <c r="A871" s="17"/>
      <c r="C871" s="23"/>
      <c r="I871" s="20"/>
      <c r="J871" s="4" t="s">
        <v>3</v>
      </c>
    </row>
    <row r="872" ht="15.75" customHeight="1">
      <c r="A872" s="17"/>
      <c r="C872" s="23"/>
      <c r="I872" s="20"/>
      <c r="J872" s="4" t="s">
        <v>3</v>
      </c>
    </row>
    <row r="873" ht="15.75" customHeight="1">
      <c r="A873" s="17"/>
      <c r="C873" s="23"/>
      <c r="I873" s="20"/>
      <c r="J873" s="4" t="s">
        <v>3</v>
      </c>
    </row>
    <row r="874" ht="15.75" customHeight="1">
      <c r="A874" s="17"/>
      <c r="C874" s="23"/>
      <c r="I874" s="20"/>
      <c r="J874" s="4" t="s">
        <v>3</v>
      </c>
    </row>
    <row r="875" ht="15.75" customHeight="1">
      <c r="A875" s="17"/>
      <c r="C875" s="23"/>
      <c r="I875" s="20"/>
      <c r="J875" s="4" t="s">
        <v>3</v>
      </c>
    </row>
    <row r="876" ht="15.75" customHeight="1">
      <c r="A876" s="17"/>
      <c r="C876" s="23"/>
      <c r="I876" s="20"/>
      <c r="J876" s="4" t="s">
        <v>3</v>
      </c>
    </row>
    <row r="877" ht="15.75" customHeight="1">
      <c r="A877" s="17"/>
      <c r="C877" s="23"/>
      <c r="I877" s="20"/>
      <c r="J877" s="4" t="s">
        <v>3</v>
      </c>
    </row>
    <row r="878" ht="15.75" customHeight="1">
      <c r="A878" s="17"/>
      <c r="C878" s="23"/>
      <c r="I878" s="20"/>
      <c r="J878" s="4" t="s">
        <v>3</v>
      </c>
    </row>
    <row r="879" ht="15.75" customHeight="1">
      <c r="A879" s="17"/>
      <c r="C879" s="23"/>
      <c r="I879" s="20"/>
      <c r="J879" s="4" t="s">
        <v>3</v>
      </c>
    </row>
    <row r="880" ht="15.75" customHeight="1">
      <c r="A880" s="17"/>
      <c r="C880" s="23"/>
      <c r="I880" s="20"/>
      <c r="J880" s="4" t="s">
        <v>3</v>
      </c>
    </row>
    <row r="881" ht="15.75" customHeight="1">
      <c r="A881" s="17"/>
      <c r="C881" s="23"/>
      <c r="I881" s="20"/>
      <c r="J881" s="4" t="s">
        <v>3</v>
      </c>
    </row>
    <row r="882" ht="15.75" customHeight="1">
      <c r="A882" s="17"/>
      <c r="C882" s="23"/>
      <c r="I882" s="20"/>
      <c r="J882" s="4" t="s">
        <v>3</v>
      </c>
    </row>
    <row r="883" ht="15.75" customHeight="1">
      <c r="A883" s="17"/>
      <c r="C883" s="23"/>
      <c r="I883" s="20"/>
      <c r="J883" s="4" t="s">
        <v>3</v>
      </c>
    </row>
    <row r="884" ht="15.75" customHeight="1">
      <c r="A884" s="17"/>
      <c r="C884" s="23"/>
      <c r="I884" s="20"/>
      <c r="J884" s="4" t="s">
        <v>3</v>
      </c>
    </row>
    <row r="885" ht="15.75" customHeight="1">
      <c r="A885" s="17"/>
      <c r="C885" s="23"/>
      <c r="I885" s="20"/>
      <c r="J885" s="4" t="s">
        <v>3</v>
      </c>
    </row>
    <row r="886" ht="15.75" customHeight="1">
      <c r="A886" s="17"/>
      <c r="C886" s="23"/>
      <c r="I886" s="20"/>
      <c r="J886" s="4" t="s">
        <v>3</v>
      </c>
    </row>
    <row r="887" ht="15.75" customHeight="1">
      <c r="A887" s="17"/>
      <c r="C887" s="23"/>
      <c r="I887" s="20"/>
      <c r="J887" s="4" t="s">
        <v>3</v>
      </c>
    </row>
    <row r="888" ht="15.75" customHeight="1">
      <c r="A888" s="17"/>
      <c r="C888" s="23"/>
      <c r="I888" s="20"/>
      <c r="J888" s="4" t="s">
        <v>3</v>
      </c>
    </row>
    <row r="889" ht="15.75" customHeight="1">
      <c r="A889" s="17"/>
      <c r="C889" s="23"/>
      <c r="I889" s="20"/>
      <c r="J889" s="4" t="s">
        <v>3</v>
      </c>
    </row>
    <row r="890" ht="15.75" customHeight="1">
      <c r="A890" s="17"/>
      <c r="C890" s="23"/>
      <c r="I890" s="20"/>
      <c r="J890" s="4" t="s">
        <v>3</v>
      </c>
    </row>
    <row r="891" ht="15.75" customHeight="1">
      <c r="A891" s="17"/>
      <c r="C891" s="23"/>
      <c r="I891" s="20"/>
      <c r="J891" s="4" t="s">
        <v>3</v>
      </c>
    </row>
    <row r="892" ht="15.75" customHeight="1">
      <c r="A892" s="17"/>
      <c r="C892" s="23"/>
      <c r="I892" s="20"/>
      <c r="J892" s="4" t="s">
        <v>3</v>
      </c>
    </row>
    <row r="893" ht="15.75" customHeight="1">
      <c r="A893" s="17"/>
      <c r="C893" s="23"/>
      <c r="I893" s="20"/>
      <c r="J893" s="4" t="s">
        <v>3</v>
      </c>
    </row>
    <row r="894" ht="15.75" customHeight="1">
      <c r="A894" s="17"/>
      <c r="C894" s="23"/>
      <c r="I894" s="20"/>
      <c r="J894" s="4" t="s">
        <v>3</v>
      </c>
    </row>
    <row r="895" ht="15.75" customHeight="1">
      <c r="A895" s="17"/>
      <c r="C895" s="23"/>
      <c r="I895" s="20"/>
      <c r="J895" s="4" t="s">
        <v>3</v>
      </c>
    </row>
    <row r="896" ht="15.75" customHeight="1">
      <c r="A896" s="17"/>
      <c r="C896" s="23"/>
      <c r="I896" s="20"/>
      <c r="J896" s="4" t="s">
        <v>3</v>
      </c>
    </row>
    <row r="897" ht="15.75" customHeight="1">
      <c r="A897" s="17"/>
      <c r="C897" s="23"/>
      <c r="I897" s="20"/>
      <c r="J897" s="4" t="s">
        <v>3</v>
      </c>
    </row>
    <row r="898" ht="15.75" customHeight="1">
      <c r="A898" s="17"/>
      <c r="C898" s="23"/>
      <c r="I898" s="20"/>
      <c r="J898" s="4" t="s">
        <v>3</v>
      </c>
    </row>
    <row r="899" ht="15.75" customHeight="1">
      <c r="A899" s="17"/>
      <c r="C899" s="23"/>
      <c r="I899" s="20"/>
      <c r="J899" s="4" t="s">
        <v>3</v>
      </c>
    </row>
    <row r="900" ht="15.75" customHeight="1">
      <c r="A900" s="17"/>
      <c r="C900" s="23"/>
      <c r="I900" s="20"/>
      <c r="J900" s="4" t="s">
        <v>3</v>
      </c>
    </row>
    <row r="901" ht="15.75" customHeight="1">
      <c r="A901" s="17"/>
      <c r="C901" s="23"/>
      <c r="I901" s="20"/>
      <c r="J901" s="4" t="s">
        <v>3</v>
      </c>
    </row>
    <row r="902" ht="15.75" customHeight="1">
      <c r="A902" s="17"/>
      <c r="C902" s="23"/>
      <c r="I902" s="20"/>
      <c r="J902" s="4" t="s">
        <v>3</v>
      </c>
    </row>
    <row r="903" ht="15.75" customHeight="1">
      <c r="A903" s="17"/>
      <c r="C903" s="23"/>
      <c r="I903" s="20"/>
      <c r="J903" s="4" t="s">
        <v>3</v>
      </c>
    </row>
    <row r="904" ht="15.75" customHeight="1">
      <c r="A904" s="17"/>
      <c r="C904" s="23"/>
      <c r="I904" s="20"/>
      <c r="J904" s="4" t="s">
        <v>3</v>
      </c>
    </row>
    <row r="905" ht="15.75" customHeight="1">
      <c r="A905" s="17"/>
      <c r="C905" s="23"/>
      <c r="I905" s="20"/>
      <c r="J905" s="4" t="s">
        <v>3</v>
      </c>
    </row>
    <row r="906" ht="15.75" customHeight="1">
      <c r="A906" s="17"/>
      <c r="C906" s="23"/>
      <c r="I906" s="20"/>
      <c r="J906" s="4" t="s">
        <v>3</v>
      </c>
    </row>
    <row r="907" ht="15.75" customHeight="1">
      <c r="A907" s="17"/>
      <c r="C907" s="23"/>
      <c r="I907" s="20"/>
      <c r="J907" s="4" t="s">
        <v>3</v>
      </c>
    </row>
    <row r="908" ht="15.75" customHeight="1">
      <c r="A908" s="17"/>
      <c r="C908" s="23"/>
      <c r="I908" s="20"/>
      <c r="J908" s="4" t="s">
        <v>3</v>
      </c>
    </row>
    <row r="909" ht="15.75" customHeight="1">
      <c r="A909" s="17"/>
      <c r="C909" s="23"/>
      <c r="I909" s="20"/>
      <c r="J909" s="4" t="s">
        <v>3</v>
      </c>
    </row>
    <row r="910" ht="15.75" customHeight="1">
      <c r="A910" s="17"/>
      <c r="C910" s="23"/>
      <c r="I910" s="20"/>
      <c r="J910" s="4" t="s">
        <v>3</v>
      </c>
    </row>
    <row r="911" ht="15.75" customHeight="1">
      <c r="A911" s="17"/>
      <c r="C911" s="23"/>
      <c r="I911" s="20"/>
      <c r="J911" s="4" t="s">
        <v>3</v>
      </c>
    </row>
    <row r="912" ht="15.75" customHeight="1">
      <c r="A912" s="17"/>
      <c r="C912" s="23"/>
      <c r="I912" s="20"/>
      <c r="J912" s="4" t="s">
        <v>3</v>
      </c>
    </row>
    <row r="913" ht="15.75" customHeight="1">
      <c r="A913" s="17"/>
      <c r="C913" s="23"/>
      <c r="I913" s="20"/>
      <c r="J913" s="4" t="s">
        <v>3</v>
      </c>
    </row>
    <row r="914" ht="15.75" customHeight="1">
      <c r="A914" s="17"/>
      <c r="C914" s="23"/>
      <c r="I914" s="20"/>
      <c r="J914" s="4" t="s">
        <v>3</v>
      </c>
    </row>
    <row r="915" ht="15.75" customHeight="1">
      <c r="A915" s="17"/>
      <c r="C915" s="23"/>
      <c r="I915" s="20"/>
      <c r="J915" s="4" t="s">
        <v>3</v>
      </c>
    </row>
    <row r="916" ht="15.75" customHeight="1">
      <c r="A916" s="17"/>
      <c r="C916" s="23"/>
      <c r="I916" s="20"/>
      <c r="J916" s="4" t="s">
        <v>3</v>
      </c>
    </row>
    <row r="917" ht="15.75" customHeight="1">
      <c r="A917" s="17"/>
      <c r="C917" s="23"/>
      <c r="I917" s="20"/>
      <c r="J917" s="4" t="s">
        <v>3</v>
      </c>
    </row>
    <row r="918" ht="15.75" customHeight="1">
      <c r="A918" s="17"/>
      <c r="C918" s="23"/>
      <c r="I918" s="20"/>
      <c r="J918" s="4" t="s">
        <v>3</v>
      </c>
    </row>
    <row r="919" ht="15.75" customHeight="1">
      <c r="A919" s="17"/>
      <c r="C919" s="23"/>
      <c r="I919" s="20"/>
      <c r="J919" s="4" t="s">
        <v>3</v>
      </c>
    </row>
    <row r="920" ht="15.75" customHeight="1">
      <c r="A920" s="17"/>
      <c r="C920" s="23"/>
      <c r="I920" s="20"/>
      <c r="J920" s="4" t="s">
        <v>3</v>
      </c>
    </row>
    <row r="921" ht="15.75" customHeight="1">
      <c r="A921" s="17"/>
      <c r="C921" s="23"/>
      <c r="I921" s="20"/>
      <c r="J921" s="4" t="s">
        <v>3</v>
      </c>
    </row>
    <row r="922" ht="15.75" customHeight="1">
      <c r="A922" s="17"/>
      <c r="C922" s="23"/>
      <c r="I922" s="20"/>
      <c r="J922" s="4" t="s">
        <v>3</v>
      </c>
    </row>
    <row r="923" ht="15.75" customHeight="1">
      <c r="A923" s="17"/>
      <c r="C923" s="23"/>
      <c r="I923" s="20"/>
      <c r="J923" s="4" t="s">
        <v>3</v>
      </c>
    </row>
    <row r="924" ht="15.75" customHeight="1">
      <c r="A924" s="17"/>
      <c r="C924" s="23"/>
      <c r="I924" s="20"/>
      <c r="J924" s="4" t="s">
        <v>3</v>
      </c>
    </row>
    <row r="925" ht="15.75" customHeight="1">
      <c r="A925" s="17"/>
      <c r="C925" s="23"/>
      <c r="I925" s="20"/>
      <c r="J925" s="4" t="s">
        <v>3</v>
      </c>
    </row>
    <row r="926" ht="15.75" customHeight="1">
      <c r="A926" s="17"/>
      <c r="C926" s="23"/>
      <c r="I926" s="20"/>
      <c r="J926" s="4" t="s">
        <v>3</v>
      </c>
    </row>
    <row r="927" ht="15.75" customHeight="1">
      <c r="A927" s="17"/>
      <c r="C927" s="23"/>
      <c r="I927" s="20"/>
      <c r="J927" s="4" t="s">
        <v>3</v>
      </c>
    </row>
    <row r="928" ht="15.75" customHeight="1">
      <c r="A928" s="17"/>
      <c r="C928" s="23"/>
      <c r="I928" s="20"/>
      <c r="J928" s="4" t="s">
        <v>3</v>
      </c>
    </row>
    <row r="929" ht="15.75" customHeight="1">
      <c r="A929" s="17"/>
      <c r="C929" s="23"/>
      <c r="I929" s="20"/>
      <c r="J929" s="4" t="s">
        <v>3</v>
      </c>
    </row>
    <row r="930" ht="15.75" customHeight="1">
      <c r="A930" s="17"/>
      <c r="C930" s="23"/>
      <c r="I930" s="20"/>
      <c r="J930" s="4" t="s">
        <v>3</v>
      </c>
    </row>
    <row r="931" ht="15.75" customHeight="1">
      <c r="A931" s="17"/>
      <c r="C931" s="23"/>
      <c r="I931" s="20"/>
      <c r="J931" s="4" t="s">
        <v>3</v>
      </c>
    </row>
    <row r="932" ht="15.75" customHeight="1">
      <c r="A932" s="17"/>
      <c r="C932" s="23"/>
      <c r="I932" s="20"/>
      <c r="J932" s="4" t="s">
        <v>3</v>
      </c>
    </row>
    <row r="933" ht="15.75" customHeight="1">
      <c r="A933" s="17"/>
      <c r="C933" s="23"/>
      <c r="I933" s="20"/>
      <c r="J933" s="4" t="s">
        <v>3</v>
      </c>
    </row>
    <row r="934" ht="15.75" customHeight="1">
      <c r="A934" s="17"/>
      <c r="C934" s="23"/>
      <c r="I934" s="20"/>
      <c r="J934" s="4" t="s">
        <v>3</v>
      </c>
    </row>
    <row r="935" ht="15.75" customHeight="1">
      <c r="A935" s="17"/>
      <c r="C935" s="23"/>
      <c r="I935" s="20"/>
      <c r="J935" s="4" t="s">
        <v>3</v>
      </c>
    </row>
    <row r="936" ht="15.75" customHeight="1">
      <c r="A936" s="17"/>
      <c r="C936" s="23"/>
      <c r="I936" s="20"/>
      <c r="J936" s="4" t="s">
        <v>3</v>
      </c>
    </row>
    <row r="937" ht="15.75" customHeight="1">
      <c r="A937" s="17"/>
      <c r="C937" s="23"/>
      <c r="I937" s="20"/>
      <c r="J937" s="4" t="s">
        <v>3</v>
      </c>
    </row>
    <row r="938" ht="15.75" customHeight="1">
      <c r="A938" s="17"/>
      <c r="C938" s="23"/>
      <c r="I938" s="20"/>
      <c r="J938" s="4" t="s">
        <v>3</v>
      </c>
    </row>
    <row r="939" ht="15.75" customHeight="1">
      <c r="A939" s="17"/>
      <c r="C939" s="23"/>
      <c r="I939" s="20"/>
      <c r="J939" s="4" t="s">
        <v>3</v>
      </c>
    </row>
    <row r="940" ht="15.75" customHeight="1">
      <c r="A940" s="17"/>
      <c r="C940" s="23"/>
      <c r="I940" s="20"/>
      <c r="J940" s="4" t="s">
        <v>3</v>
      </c>
    </row>
    <row r="941" ht="15.75" customHeight="1">
      <c r="A941" s="17"/>
      <c r="C941" s="23"/>
      <c r="I941" s="20"/>
      <c r="J941" s="4" t="s">
        <v>3</v>
      </c>
    </row>
    <row r="942" ht="15.75" customHeight="1">
      <c r="A942" s="17"/>
      <c r="C942" s="23"/>
      <c r="I942" s="20"/>
      <c r="J942" s="4" t="s">
        <v>3</v>
      </c>
    </row>
    <row r="943" ht="15.75" customHeight="1">
      <c r="A943" s="17"/>
      <c r="C943" s="23"/>
      <c r="I943" s="20"/>
      <c r="J943" s="4" t="s">
        <v>3</v>
      </c>
    </row>
    <row r="944" ht="15.75" customHeight="1">
      <c r="A944" s="17"/>
      <c r="C944" s="23"/>
      <c r="I944" s="20"/>
      <c r="J944" s="4" t="s">
        <v>3</v>
      </c>
    </row>
    <row r="945" ht="15.75" customHeight="1">
      <c r="A945" s="17"/>
      <c r="C945" s="23"/>
      <c r="I945" s="20"/>
      <c r="J945" s="4" t="s">
        <v>3</v>
      </c>
    </row>
    <row r="946" ht="15.75" customHeight="1">
      <c r="A946" s="17"/>
      <c r="C946" s="23"/>
      <c r="I946" s="20"/>
      <c r="J946" s="4" t="s">
        <v>3</v>
      </c>
    </row>
    <row r="947" ht="15.75" customHeight="1">
      <c r="A947" s="17"/>
      <c r="C947" s="23"/>
      <c r="I947" s="20"/>
      <c r="J947" s="4" t="s">
        <v>3</v>
      </c>
    </row>
    <row r="948" ht="15.75" customHeight="1">
      <c r="A948" s="17"/>
      <c r="C948" s="23"/>
      <c r="I948" s="20"/>
      <c r="J948" s="4" t="s">
        <v>3</v>
      </c>
    </row>
    <row r="949" ht="15.75" customHeight="1">
      <c r="A949" s="17"/>
      <c r="C949" s="23"/>
      <c r="I949" s="20"/>
      <c r="J949" s="4" t="s">
        <v>3</v>
      </c>
    </row>
    <row r="950" ht="15.75" customHeight="1">
      <c r="A950" s="17"/>
      <c r="C950" s="23"/>
      <c r="I950" s="20"/>
      <c r="J950" s="4" t="s">
        <v>3</v>
      </c>
    </row>
    <row r="951" ht="15.75" customHeight="1">
      <c r="A951" s="17"/>
      <c r="C951" s="23"/>
      <c r="I951" s="20"/>
      <c r="J951" s="4" t="s">
        <v>3</v>
      </c>
    </row>
    <row r="952" ht="15.75" customHeight="1">
      <c r="A952" s="17"/>
      <c r="C952" s="23"/>
      <c r="I952" s="20"/>
      <c r="J952" s="4" t="s">
        <v>3</v>
      </c>
    </row>
    <row r="953" ht="15.75" customHeight="1">
      <c r="A953" s="17"/>
      <c r="C953" s="23"/>
      <c r="I953" s="20"/>
      <c r="J953" s="4" t="s">
        <v>3</v>
      </c>
    </row>
    <row r="954" ht="15.75" customHeight="1">
      <c r="A954" s="17"/>
      <c r="C954" s="23"/>
      <c r="I954" s="20"/>
      <c r="J954" s="4" t="s">
        <v>3</v>
      </c>
    </row>
    <row r="955" ht="15.75" customHeight="1">
      <c r="A955" s="17"/>
      <c r="C955" s="23"/>
      <c r="I955" s="20"/>
      <c r="J955" s="4" t="s">
        <v>3</v>
      </c>
    </row>
    <row r="956" ht="15.75" customHeight="1">
      <c r="A956" s="17"/>
      <c r="C956" s="23"/>
      <c r="I956" s="20"/>
      <c r="J956" s="4" t="s">
        <v>3</v>
      </c>
    </row>
    <row r="957" ht="15.75" customHeight="1">
      <c r="A957" s="17"/>
      <c r="C957" s="23"/>
      <c r="I957" s="20"/>
      <c r="J957" s="4" t="s">
        <v>3</v>
      </c>
    </row>
    <row r="958" ht="15.75" customHeight="1">
      <c r="A958" s="17"/>
      <c r="C958" s="23"/>
      <c r="I958" s="20"/>
      <c r="J958" s="4" t="s">
        <v>3</v>
      </c>
    </row>
    <row r="959" ht="15.75" customHeight="1">
      <c r="A959" s="17"/>
      <c r="C959" s="23"/>
      <c r="I959" s="20"/>
      <c r="J959" s="4" t="s">
        <v>3</v>
      </c>
    </row>
    <row r="960" ht="15.75" customHeight="1">
      <c r="A960" s="17"/>
      <c r="C960" s="23"/>
      <c r="I960" s="20"/>
      <c r="J960" s="4" t="s">
        <v>3</v>
      </c>
    </row>
    <row r="961" ht="15.75" customHeight="1">
      <c r="A961" s="17"/>
      <c r="C961" s="23"/>
      <c r="I961" s="20"/>
      <c r="J961" s="4" t="s">
        <v>3</v>
      </c>
    </row>
    <row r="962" ht="15.75" customHeight="1">
      <c r="A962" s="17"/>
      <c r="C962" s="23"/>
      <c r="I962" s="20"/>
      <c r="J962" s="4" t="s">
        <v>3</v>
      </c>
    </row>
    <row r="963" ht="15.75" customHeight="1">
      <c r="A963" s="17"/>
      <c r="C963" s="23"/>
      <c r="I963" s="20"/>
      <c r="J963" s="4" t="s">
        <v>3</v>
      </c>
    </row>
    <row r="964" ht="15.75" customHeight="1">
      <c r="A964" s="17"/>
      <c r="C964" s="23"/>
      <c r="I964" s="20"/>
      <c r="J964" s="4" t="s">
        <v>3</v>
      </c>
    </row>
    <row r="965" ht="15.75" customHeight="1">
      <c r="A965" s="17"/>
      <c r="C965" s="23"/>
      <c r="I965" s="20"/>
      <c r="J965" s="4" t="s">
        <v>3</v>
      </c>
    </row>
    <row r="966" ht="15.75" customHeight="1">
      <c r="A966" s="17"/>
      <c r="C966" s="23"/>
      <c r="I966" s="20"/>
      <c r="J966" s="4" t="s">
        <v>3</v>
      </c>
    </row>
    <row r="967" ht="15.75" customHeight="1">
      <c r="A967" s="17"/>
      <c r="C967" s="23"/>
      <c r="I967" s="20"/>
      <c r="J967" s="4" t="s">
        <v>3</v>
      </c>
    </row>
    <row r="968" ht="15.75" customHeight="1">
      <c r="A968" s="17"/>
      <c r="C968" s="23"/>
      <c r="I968" s="20"/>
      <c r="J968" s="4" t="s">
        <v>3</v>
      </c>
    </row>
    <row r="969" ht="15.75" customHeight="1">
      <c r="A969" s="17"/>
      <c r="C969" s="23"/>
      <c r="I969" s="20"/>
      <c r="J969" s="4" t="s">
        <v>3</v>
      </c>
    </row>
    <row r="970" ht="15.75" customHeight="1">
      <c r="A970" s="17"/>
      <c r="C970" s="23"/>
      <c r="I970" s="20"/>
      <c r="J970" s="4" t="s">
        <v>3</v>
      </c>
    </row>
    <row r="971" ht="15.75" customHeight="1">
      <c r="A971" s="17"/>
      <c r="C971" s="23"/>
      <c r="I971" s="20"/>
      <c r="J971" s="4" t="s">
        <v>3</v>
      </c>
    </row>
    <row r="972" ht="15.75" customHeight="1">
      <c r="A972" s="17"/>
      <c r="C972" s="23"/>
      <c r="I972" s="20"/>
      <c r="J972" s="4" t="s">
        <v>3</v>
      </c>
    </row>
    <row r="973" ht="15.75" customHeight="1">
      <c r="A973" s="17"/>
      <c r="C973" s="23"/>
      <c r="I973" s="20"/>
      <c r="J973" s="4" t="s">
        <v>3</v>
      </c>
    </row>
    <row r="974" ht="15.75" customHeight="1">
      <c r="A974" s="17"/>
      <c r="C974" s="23"/>
      <c r="I974" s="20"/>
      <c r="J974" s="4" t="s">
        <v>3</v>
      </c>
    </row>
    <row r="975" ht="15.75" customHeight="1">
      <c r="A975" s="17"/>
      <c r="C975" s="23"/>
      <c r="I975" s="20"/>
      <c r="J975" s="4" t="s">
        <v>3</v>
      </c>
    </row>
    <row r="976" ht="15.75" customHeight="1">
      <c r="A976" s="17"/>
      <c r="C976" s="23"/>
      <c r="I976" s="20"/>
      <c r="J976" s="4" t="s">
        <v>3</v>
      </c>
    </row>
    <row r="977" ht="15.75" customHeight="1">
      <c r="A977" s="17"/>
      <c r="C977" s="23"/>
      <c r="I977" s="20"/>
      <c r="J977" s="4" t="s">
        <v>3</v>
      </c>
    </row>
    <row r="978" ht="15.75" customHeight="1">
      <c r="A978" s="17"/>
      <c r="C978" s="23"/>
      <c r="I978" s="20"/>
      <c r="J978" s="4" t="s">
        <v>3</v>
      </c>
    </row>
    <row r="979" ht="15.75" customHeight="1">
      <c r="A979" s="17"/>
      <c r="C979" s="23"/>
      <c r="I979" s="20"/>
      <c r="J979" s="4" t="s">
        <v>3</v>
      </c>
    </row>
    <row r="980" ht="15.75" customHeight="1">
      <c r="A980" s="17"/>
      <c r="C980" s="23"/>
      <c r="I980" s="20"/>
      <c r="J980" s="4" t="s">
        <v>3</v>
      </c>
    </row>
    <row r="981" ht="15.75" customHeight="1">
      <c r="A981" s="17"/>
      <c r="C981" s="23"/>
      <c r="I981" s="20"/>
      <c r="J981" s="4" t="s">
        <v>3</v>
      </c>
    </row>
    <row r="982" ht="15.75" customHeight="1">
      <c r="A982" s="17"/>
      <c r="C982" s="23"/>
      <c r="I982" s="20"/>
      <c r="J982" s="4" t="s">
        <v>3</v>
      </c>
    </row>
    <row r="983" ht="15.75" customHeight="1">
      <c r="A983" s="17"/>
      <c r="C983" s="23"/>
      <c r="I983" s="20"/>
      <c r="J983" s="4" t="s">
        <v>3</v>
      </c>
    </row>
    <row r="984" ht="15.75" customHeight="1">
      <c r="A984" s="17"/>
      <c r="C984" s="23"/>
      <c r="I984" s="20"/>
      <c r="J984" s="4" t="s">
        <v>3</v>
      </c>
    </row>
    <row r="985" ht="15.75" customHeight="1">
      <c r="A985" s="17"/>
      <c r="C985" s="23"/>
      <c r="I985" s="20"/>
      <c r="J985" s="4" t="s">
        <v>3</v>
      </c>
    </row>
    <row r="986" ht="15.75" customHeight="1">
      <c r="A986" s="17"/>
      <c r="C986" s="23"/>
      <c r="I986" s="20"/>
      <c r="J986" s="4" t="s">
        <v>3</v>
      </c>
    </row>
    <row r="987" ht="15.75" customHeight="1">
      <c r="A987" s="17"/>
      <c r="C987" s="23"/>
      <c r="I987" s="20"/>
      <c r="J987" s="4" t="s">
        <v>3</v>
      </c>
    </row>
    <row r="988" ht="15.75" customHeight="1">
      <c r="A988" s="17"/>
      <c r="C988" s="23"/>
      <c r="I988" s="20"/>
      <c r="J988" s="4" t="s">
        <v>3</v>
      </c>
    </row>
    <row r="989" ht="15.75" customHeight="1">
      <c r="A989" s="17"/>
      <c r="C989" s="23"/>
      <c r="I989" s="20"/>
      <c r="J989" s="4" t="s">
        <v>3</v>
      </c>
    </row>
    <row r="990" ht="15.75" customHeight="1">
      <c r="A990" s="17"/>
      <c r="C990" s="23"/>
      <c r="I990" s="20"/>
      <c r="J990" s="4" t="s">
        <v>3</v>
      </c>
    </row>
    <row r="991" ht="15.75" customHeight="1">
      <c r="A991" s="17"/>
      <c r="C991" s="23"/>
      <c r="I991" s="20"/>
      <c r="J991" s="4" t="s">
        <v>3</v>
      </c>
    </row>
    <row r="992" ht="15.75" customHeight="1">
      <c r="A992" s="17"/>
      <c r="C992" s="23"/>
      <c r="I992" s="20"/>
      <c r="J992" s="4" t="s">
        <v>3</v>
      </c>
    </row>
    <row r="993" ht="15.75" customHeight="1">
      <c r="A993" s="17"/>
      <c r="C993" s="23"/>
      <c r="I993" s="20"/>
      <c r="J993" s="4" t="s">
        <v>3</v>
      </c>
    </row>
    <row r="994" ht="15.75" customHeight="1">
      <c r="A994" s="17"/>
      <c r="C994" s="23"/>
      <c r="I994" s="20"/>
      <c r="J994" s="4" t="s">
        <v>3</v>
      </c>
    </row>
    <row r="995" ht="15.75" customHeight="1">
      <c r="A995" s="17"/>
      <c r="C995" s="23"/>
      <c r="I995" s="20"/>
      <c r="J995" s="4" t="s">
        <v>3</v>
      </c>
    </row>
    <row r="996" ht="15.75" customHeight="1">
      <c r="A996" s="17"/>
      <c r="C996" s="23"/>
      <c r="I996" s="20"/>
      <c r="J996" s="4" t="s">
        <v>3</v>
      </c>
    </row>
    <row r="997" ht="15.75" customHeight="1">
      <c r="A997" s="17"/>
      <c r="C997" s="23"/>
      <c r="I997" s="20"/>
      <c r="J997" s="4" t="s">
        <v>3</v>
      </c>
    </row>
    <row r="998" ht="15.75" customHeight="1">
      <c r="A998" s="17"/>
      <c r="C998" s="23"/>
      <c r="I998" s="20"/>
      <c r="J998" s="4" t="s">
        <v>3</v>
      </c>
    </row>
    <row r="999" ht="15.75" customHeight="1">
      <c r="A999" s="17"/>
      <c r="C999" s="23"/>
      <c r="I999" s="20"/>
      <c r="J999" s="4" t="s">
        <v>3</v>
      </c>
    </row>
    <row r="1000" ht="15.75" customHeight="1">
      <c r="A1000" s="17"/>
      <c r="C1000" s="23"/>
      <c r="I1000" s="20"/>
      <c r="J1000" s="4" t="s">
        <v>3</v>
      </c>
    </row>
    <row r="1001" ht="15.75" customHeight="1">
      <c r="A1001" s="17"/>
      <c r="C1001" s="23"/>
      <c r="I1001" s="20"/>
      <c r="J1001" s="4" t="s">
        <v>3</v>
      </c>
    </row>
    <row r="1002" ht="15.75" customHeight="1">
      <c r="A1002" s="17"/>
      <c r="C1002" s="23"/>
      <c r="I1002" s="20"/>
      <c r="J1002" s="4" t="s">
        <v>3</v>
      </c>
    </row>
    <row r="1003" ht="15.75" customHeight="1">
      <c r="A1003" s="17"/>
      <c r="C1003" s="23"/>
      <c r="I1003" s="20"/>
      <c r="J1003" s="4" t="s">
        <v>3</v>
      </c>
    </row>
    <row r="1004" ht="15.75" customHeight="1">
      <c r="A1004" s="17"/>
      <c r="C1004" s="23"/>
      <c r="I1004" s="20"/>
      <c r="J1004" s="4" t="s">
        <v>3</v>
      </c>
    </row>
    <row r="1005" ht="15.75" customHeight="1">
      <c r="A1005" s="17"/>
      <c r="C1005" s="23"/>
      <c r="I1005" s="20"/>
      <c r="J1005" s="4" t="s">
        <v>3</v>
      </c>
    </row>
    <row r="1006" ht="15.75" customHeight="1">
      <c r="A1006" s="17"/>
      <c r="C1006" s="23"/>
      <c r="I1006" s="20"/>
      <c r="J1006" s="4" t="s">
        <v>3</v>
      </c>
    </row>
    <row r="1007" ht="15.75" customHeight="1">
      <c r="A1007" s="17"/>
      <c r="C1007" s="23"/>
      <c r="I1007" s="20"/>
      <c r="J1007" s="4" t="s">
        <v>3</v>
      </c>
    </row>
    <row r="1008" ht="15.75" customHeight="1">
      <c r="A1008" s="17"/>
      <c r="C1008" s="23"/>
      <c r="I1008" s="20"/>
      <c r="J1008" s="4" t="s">
        <v>3</v>
      </c>
    </row>
    <row r="1009" ht="15.75" customHeight="1">
      <c r="A1009" s="17"/>
      <c r="C1009" s="23"/>
      <c r="I1009" s="20"/>
      <c r="J1009" s="4" t="s">
        <v>3</v>
      </c>
    </row>
    <row r="1010" ht="15.75" customHeight="1">
      <c r="A1010" s="17"/>
      <c r="C1010" s="23"/>
      <c r="I1010" s="20"/>
      <c r="J1010" s="4" t="s">
        <v>3</v>
      </c>
    </row>
    <row r="1011" ht="15.75" customHeight="1">
      <c r="A1011" s="17"/>
      <c r="C1011" s="23"/>
      <c r="I1011" s="20"/>
      <c r="J1011" s="4" t="s">
        <v>3</v>
      </c>
    </row>
    <row r="1012" ht="15.75" customHeight="1">
      <c r="A1012" s="17"/>
      <c r="C1012" s="23"/>
      <c r="I1012" s="20"/>
      <c r="J1012" s="4" t="s">
        <v>3</v>
      </c>
    </row>
    <row r="1013" ht="15.75" customHeight="1">
      <c r="A1013" s="17"/>
      <c r="C1013" s="23"/>
      <c r="I1013" s="20"/>
      <c r="J1013" s="4" t="s">
        <v>3</v>
      </c>
    </row>
    <row r="1014" ht="15.75" customHeight="1">
      <c r="A1014" s="17"/>
      <c r="C1014" s="23"/>
      <c r="I1014" s="20"/>
      <c r="J1014" s="4" t="s">
        <v>3</v>
      </c>
    </row>
    <row r="1015" ht="15.75" customHeight="1">
      <c r="A1015" s="17"/>
      <c r="C1015" s="23"/>
      <c r="I1015" s="20"/>
      <c r="J1015" s="4" t="s">
        <v>3</v>
      </c>
    </row>
    <row r="1016" ht="15.75" customHeight="1">
      <c r="A1016" s="17"/>
      <c r="C1016" s="23"/>
      <c r="I1016" s="20"/>
      <c r="J1016" s="4" t="s">
        <v>3</v>
      </c>
    </row>
    <row r="1017" ht="15.75" customHeight="1">
      <c r="A1017" s="17"/>
      <c r="C1017" s="23"/>
      <c r="I1017" s="20"/>
      <c r="J1017" s="4" t="s">
        <v>3</v>
      </c>
    </row>
    <row r="1018" ht="15.75" customHeight="1">
      <c r="A1018" s="17"/>
      <c r="C1018" s="23"/>
      <c r="I1018" s="20"/>
      <c r="J1018" s="4" t="s">
        <v>3</v>
      </c>
    </row>
    <row r="1019" ht="15.75" customHeight="1">
      <c r="A1019" s="17"/>
      <c r="C1019" s="23"/>
      <c r="I1019" s="20"/>
      <c r="J1019" s="4" t="s">
        <v>3</v>
      </c>
    </row>
    <row r="1020" ht="15.75" customHeight="1">
      <c r="A1020" s="17"/>
      <c r="C1020" s="23"/>
      <c r="I1020" s="20"/>
      <c r="J1020" s="4" t="s">
        <v>3</v>
      </c>
    </row>
    <row r="1021" ht="15.75" customHeight="1">
      <c r="A1021" s="17"/>
      <c r="C1021" s="23"/>
      <c r="I1021" s="20"/>
      <c r="J1021" s="4" t="s">
        <v>3</v>
      </c>
    </row>
    <row r="1022" ht="15.75" customHeight="1">
      <c r="A1022" s="17"/>
      <c r="C1022" s="23"/>
      <c r="I1022" s="20"/>
      <c r="J1022" s="4" t="s">
        <v>3</v>
      </c>
    </row>
    <row r="1023" ht="15.75" customHeight="1">
      <c r="A1023" s="17"/>
      <c r="C1023" s="23"/>
      <c r="I1023" s="20"/>
      <c r="J1023" s="4" t="s">
        <v>3</v>
      </c>
    </row>
    <row r="1024" ht="15.75" customHeight="1">
      <c r="A1024" s="17"/>
      <c r="C1024" s="23"/>
      <c r="I1024" s="20"/>
      <c r="J1024" s="4" t="s">
        <v>3</v>
      </c>
    </row>
    <row r="1025" ht="15.75" customHeight="1">
      <c r="A1025" s="17"/>
      <c r="C1025" s="23"/>
      <c r="I1025" s="20"/>
      <c r="J1025" s="4" t="s">
        <v>3</v>
      </c>
    </row>
    <row r="1026" ht="15.75" customHeight="1">
      <c r="A1026" s="17"/>
      <c r="C1026" s="23"/>
      <c r="I1026" s="20"/>
      <c r="J1026" s="4" t="s">
        <v>3</v>
      </c>
    </row>
    <row r="1027" ht="15.75" customHeight="1">
      <c r="A1027" s="17"/>
      <c r="C1027" s="23"/>
      <c r="I1027" s="20"/>
      <c r="J1027" s="4" t="s">
        <v>3</v>
      </c>
    </row>
    <row r="1028" ht="15.75" customHeight="1">
      <c r="A1028" s="17"/>
      <c r="C1028" s="23"/>
      <c r="I1028" s="20"/>
      <c r="J1028" s="4" t="s">
        <v>3</v>
      </c>
    </row>
    <row r="1029" ht="15.75" customHeight="1">
      <c r="A1029" s="17"/>
      <c r="C1029" s="23"/>
      <c r="I1029" s="20"/>
      <c r="J1029" s="4" t="s">
        <v>3</v>
      </c>
    </row>
    <row r="1030" ht="15.75" customHeight="1">
      <c r="A1030" s="17"/>
      <c r="C1030" s="23"/>
      <c r="I1030" s="20"/>
      <c r="J1030" s="4" t="s">
        <v>3</v>
      </c>
    </row>
    <row r="1031" ht="15.75" customHeight="1">
      <c r="A1031" s="17"/>
      <c r="C1031" s="23"/>
      <c r="I1031" s="20"/>
      <c r="J1031" s="4" t="s">
        <v>3</v>
      </c>
    </row>
    <row r="1032" ht="15.75" customHeight="1">
      <c r="A1032" s="17"/>
      <c r="C1032" s="23"/>
      <c r="I1032" s="20"/>
      <c r="J1032" s="4" t="s">
        <v>3</v>
      </c>
    </row>
    <row r="1033" ht="15.75" customHeight="1">
      <c r="A1033" s="17"/>
      <c r="C1033" s="23"/>
      <c r="I1033" s="20"/>
      <c r="J1033" s="4" t="s">
        <v>3</v>
      </c>
    </row>
    <row r="1034" ht="15.75" customHeight="1">
      <c r="A1034" s="17"/>
      <c r="C1034" s="23"/>
      <c r="I1034" s="20"/>
      <c r="J1034" s="4" t="s">
        <v>3</v>
      </c>
    </row>
    <row r="1035" ht="15.75" customHeight="1">
      <c r="A1035" s="17"/>
      <c r="C1035" s="23"/>
      <c r="I1035" s="20"/>
      <c r="J1035" s="4" t="s">
        <v>3</v>
      </c>
    </row>
    <row r="1036" ht="15.75" customHeight="1">
      <c r="A1036" s="17"/>
      <c r="C1036" s="23"/>
      <c r="I1036" s="20"/>
      <c r="J1036" s="4" t="s">
        <v>3</v>
      </c>
    </row>
    <row r="1037" ht="15.75" customHeight="1">
      <c r="A1037" s="17"/>
      <c r="C1037" s="23"/>
      <c r="I1037" s="20"/>
      <c r="J1037" s="4" t="s">
        <v>3</v>
      </c>
    </row>
    <row r="1038" ht="15.75" customHeight="1">
      <c r="A1038" s="17"/>
      <c r="C1038" s="23"/>
      <c r="I1038" s="20"/>
      <c r="J1038" s="4" t="s">
        <v>3</v>
      </c>
    </row>
    <row r="1039" ht="15.75" customHeight="1">
      <c r="A1039" s="17"/>
      <c r="C1039" s="23"/>
      <c r="I1039" s="20"/>
      <c r="J1039" s="4" t="s">
        <v>3</v>
      </c>
    </row>
    <row r="1040" ht="15.75" customHeight="1">
      <c r="A1040" s="17"/>
      <c r="C1040" s="23"/>
      <c r="I1040" s="20"/>
      <c r="J1040" s="4" t="s">
        <v>3</v>
      </c>
    </row>
    <row r="1041" ht="15.75" customHeight="1">
      <c r="A1041" s="17"/>
      <c r="C1041" s="23"/>
      <c r="I1041" s="20"/>
      <c r="J1041" s="4" t="s">
        <v>3</v>
      </c>
    </row>
    <row r="1042" ht="15.75" customHeight="1">
      <c r="A1042" s="17"/>
      <c r="C1042" s="23"/>
      <c r="I1042" s="20"/>
      <c r="J1042" s="4" t="s">
        <v>3</v>
      </c>
    </row>
    <row r="1043" ht="15.75" customHeight="1">
      <c r="A1043" s="17"/>
      <c r="C1043" s="23"/>
      <c r="I1043" s="20"/>
      <c r="J1043" s="4" t="s">
        <v>3</v>
      </c>
    </row>
    <row r="1044" ht="15.75" customHeight="1">
      <c r="A1044" s="17"/>
      <c r="C1044" s="23"/>
      <c r="I1044" s="20"/>
      <c r="J1044" s="4" t="s">
        <v>3</v>
      </c>
    </row>
    <row r="1045" ht="15.75" customHeight="1">
      <c r="A1045" s="17"/>
      <c r="C1045" s="23"/>
      <c r="I1045" s="20"/>
      <c r="J1045" s="4" t="s">
        <v>3</v>
      </c>
    </row>
    <row r="1046" ht="15.75" customHeight="1">
      <c r="A1046" s="17"/>
      <c r="C1046" s="23"/>
      <c r="I1046" s="20"/>
      <c r="J1046" s="4" t="s">
        <v>3</v>
      </c>
    </row>
    <row r="1047" ht="15.75" customHeight="1">
      <c r="A1047" s="17"/>
      <c r="C1047" s="23"/>
      <c r="I1047" s="20"/>
      <c r="J1047" s="4" t="s">
        <v>3</v>
      </c>
    </row>
    <row r="1048" ht="15.75" customHeight="1">
      <c r="A1048" s="17"/>
      <c r="C1048" s="23"/>
      <c r="I1048" s="20"/>
      <c r="J1048" s="4" t="s">
        <v>3</v>
      </c>
    </row>
    <row r="1049" ht="15.75" customHeight="1">
      <c r="A1049" s="17"/>
      <c r="C1049" s="23"/>
      <c r="I1049" s="20"/>
      <c r="J1049" s="4" t="s">
        <v>3</v>
      </c>
    </row>
    <row r="1050" ht="15.75" customHeight="1">
      <c r="A1050" s="17"/>
      <c r="C1050" s="23"/>
      <c r="I1050" s="20"/>
      <c r="J1050" s="4" t="s">
        <v>3</v>
      </c>
    </row>
    <row r="1051" ht="15.75" customHeight="1">
      <c r="A1051" s="17"/>
      <c r="C1051" s="23"/>
      <c r="I1051" s="20"/>
      <c r="J1051" s="4" t="s">
        <v>3</v>
      </c>
    </row>
    <row r="1052" ht="15.75" customHeight="1">
      <c r="A1052" s="17"/>
      <c r="C1052" s="23"/>
      <c r="I1052" s="20"/>
      <c r="J1052" s="4" t="s">
        <v>3</v>
      </c>
    </row>
    <row r="1053" ht="15.75" customHeight="1">
      <c r="A1053" s="17"/>
      <c r="C1053" s="23"/>
      <c r="I1053" s="20"/>
      <c r="J1053" s="4" t="s">
        <v>3</v>
      </c>
    </row>
    <row r="1054" ht="15.75" customHeight="1">
      <c r="A1054" s="17"/>
      <c r="C1054" s="23"/>
      <c r="I1054" s="20"/>
      <c r="J1054" s="4" t="s">
        <v>3</v>
      </c>
    </row>
    <row r="1055" ht="15.75" customHeight="1">
      <c r="A1055" s="17"/>
      <c r="C1055" s="23"/>
      <c r="I1055" s="20"/>
      <c r="J1055" s="4" t="s">
        <v>3</v>
      </c>
    </row>
    <row r="1056" ht="15.75" customHeight="1">
      <c r="A1056" s="17"/>
      <c r="C1056" s="23"/>
      <c r="I1056" s="20"/>
      <c r="J1056" s="4" t="s">
        <v>3</v>
      </c>
    </row>
    <row r="1057" ht="15.75" customHeight="1">
      <c r="A1057" s="17"/>
      <c r="C1057" s="23"/>
      <c r="I1057" s="20"/>
      <c r="J1057" s="4" t="s">
        <v>3</v>
      </c>
    </row>
    <row r="1058" ht="15.75" customHeight="1">
      <c r="A1058" s="17"/>
      <c r="C1058" s="23"/>
      <c r="I1058" s="20"/>
      <c r="J1058" s="4" t="s">
        <v>3</v>
      </c>
    </row>
    <row r="1059" ht="15.75" customHeight="1">
      <c r="A1059" s="17"/>
      <c r="C1059" s="23"/>
      <c r="I1059" s="20"/>
      <c r="J1059" s="4" t="s">
        <v>3</v>
      </c>
    </row>
    <row r="1060" ht="15.75" customHeight="1">
      <c r="A1060" s="17"/>
      <c r="C1060" s="23"/>
      <c r="I1060" s="20"/>
      <c r="J1060" s="4" t="s">
        <v>3</v>
      </c>
    </row>
    <row r="1061" ht="15.75" customHeight="1">
      <c r="A1061" s="17"/>
      <c r="C1061" s="23"/>
      <c r="I1061" s="20"/>
      <c r="J1061" s="4" t="s">
        <v>3</v>
      </c>
    </row>
    <row r="1062" ht="15.75" customHeight="1">
      <c r="A1062" s="17"/>
      <c r="C1062" s="23"/>
      <c r="I1062" s="20"/>
      <c r="J1062" s="4" t="s">
        <v>3</v>
      </c>
    </row>
    <row r="1063" ht="15.75" customHeight="1">
      <c r="A1063" s="17"/>
      <c r="C1063" s="23"/>
      <c r="I1063" s="20"/>
      <c r="J1063" s="4" t="s">
        <v>3</v>
      </c>
    </row>
    <row r="1064" ht="15.75" customHeight="1">
      <c r="A1064" s="17"/>
      <c r="C1064" s="23"/>
      <c r="I1064" s="20"/>
      <c r="J1064" s="4" t="s">
        <v>3</v>
      </c>
    </row>
    <row r="1065" ht="15.75" customHeight="1">
      <c r="A1065" s="17"/>
      <c r="C1065" s="23"/>
      <c r="I1065" s="20"/>
      <c r="J1065" s="4" t="s">
        <v>3</v>
      </c>
    </row>
    <row r="1066" ht="15.75" customHeight="1">
      <c r="A1066" s="17"/>
      <c r="C1066" s="23"/>
      <c r="I1066" s="20"/>
      <c r="J1066" s="4" t="s">
        <v>3</v>
      </c>
    </row>
    <row r="1067" ht="15.75" customHeight="1">
      <c r="A1067" s="17"/>
      <c r="C1067" s="23"/>
      <c r="I1067" s="20"/>
      <c r="J1067" s="4" t="s">
        <v>3</v>
      </c>
    </row>
    <row r="1068" ht="15.75" customHeight="1">
      <c r="A1068" s="17"/>
      <c r="C1068" s="23"/>
      <c r="I1068" s="20"/>
      <c r="J1068" s="4" t="s">
        <v>3</v>
      </c>
    </row>
    <row r="1069" ht="15.75" customHeight="1">
      <c r="A1069" s="17"/>
      <c r="C1069" s="23"/>
      <c r="I1069" s="20"/>
      <c r="J1069" s="4" t="s">
        <v>3</v>
      </c>
    </row>
    <row r="1070" ht="15.75" customHeight="1">
      <c r="A1070" s="17"/>
      <c r="C1070" s="23"/>
      <c r="I1070" s="20"/>
      <c r="J1070" s="4" t="s">
        <v>3</v>
      </c>
    </row>
    <row r="1071" ht="15.75" customHeight="1">
      <c r="A1071" s="17"/>
      <c r="C1071" s="23"/>
      <c r="I1071" s="20"/>
      <c r="J1071" s="4" t="s">
        <v>3</v>
      </c>
    </row>
    <row r="1072" ht="15.75" customHeight="1">
      <c r="A1072" s="17"/>
      <c r="C1072" s="23"/>
      <c r="I1072" s="20"/>
      <c r="J1072" s="4" t="s">
        <v>3</v>
      </c>
    </row>
    <row r="1073" ht="15.75" customHeight="1">
      <c r="A1073" s="17"/>
      <c r="C1073" s="23"/>
      <c r="I1073" s="20"/>
      <c r="J1073" s="4" t="s">
        <v>3</v>
      </c>
    </row>
    <row r="1074" ht="15.75" customHeight="1">
      <c r="A1074" s="17"/>
      <c r="C1074" s="23"/>
      <c r="I1074" s="20"/>
      <c r="J1074" s="4" t="s">
        <v>3</v>
      </c>
    </row>
    <row r="1075" ht="15.75" customHeight="1">
      <c r="A1075" s="17"/>
      <c r="C1075" s="23"/>
      <c r="I1075" s="20"/>
      <c r="J1075" s="4" t="s">
        <v>3</v>
      </c>
    </row>
    <row r="1076" ht="15.75" customHeight="1">
      <c r="A1076" s="17"/>
      <c r="C1076" s="23"/>
      <c r="I1076" s="20"/>
      <c r="J1076" s="4" t="s">
        <v>3</v>
      </c>
    </row>
    <row r="1077" ht="15.75" customHeight="1">
      <c r="A1077" s="17"/>
      <c r="C1077" s="23"/>
      <c r="I1077" s="20"/>
      <c r="J1077" s="4" t="s">
        <v>3</v>
      </c>
    </row>
    <row r="1078" ht="15.75" customHeight="1">
      <c r="A1078" s="17"/>
      <c r="C1078" s="23"/>
      <c r="I1078" s="20"/>
      <c r="J1078" s="4" t="s">
        <v>3</v>
      </c>
    </row>
    <row r="1079" ht="15.75" customHeight="1">
      <c r="A1079" s="17"/>
      <c r="C1079" s="23"/>
      <c r="I1079" s="20"/>
      <c r="J1079" s="4" t="s">
        <v>3</v>
      </c>
    </row>
    <row r="1080" ht="15.75" customHeight="1">
      <c r="A1080" s="17"/>
      <c r="C1080" s="23"/>
      <c r="I1080" s="20"/>
      <c r="J1080" s="4" t="s">
        <v>3</v>
      </c>
    </row>
    <row r="1081" ht="15.75" customHeight="1">
      <c r="A1081" s="17"/>
      <c r="C1081" s="23"/>
      <c r="I1081" s="20"/>
      <c r="J1081" s="4" t="s">
        <v>3</v>
      </c>
    </row>
    <row r="1082" ht="15.75" customHeight="1">
      <c r="A1082" s="17"/>
      <c r="C1082" s="23"/>
      <c r="I1082" s="20"/>
      <c r="J1082" s="4" t="s">
        <v>3</v>
      </c>
    </row>
    <row r="1083" ht="15.75" customHeight="1">
      <c r="A1083" s="17"/>
      <c r="C1083" s="23"/>
      <c r="I1083" s="20"/>
      <c r="J1083" s="4" t="s">
        <v>3</v>
      </c>
    </row>
    <row r="1084" ht="15.75" customHeight="1">
      <c r="A1084" s="17"/>
      <c r="C1084" s="23"/>
      <c r="I1084" s="20"/>
      <c r="J1084" s="4" t="s">
        <v>3</v>
      </c>
    </row>
    <row r="1085" ht="15.75" customHeight="1">
      <c r="A1085" s="17"/>
      <c r="C1085" s="23"/>
      <c r="I1085" s="20"/>
      <c r="J1085" s="4" t="s">
        <v>3</v>
      </c>
    </row>
    <row r="1086" ht="15.75" customHeight="1">
      <c r="A1086" s="17"/>
      <c r="C1086" s="23"/>
      <c r="I1086" s="20"/>
      <c r="J1086" s="4" t="s">
        <v>3</v>
      </c>
    </row>
    <row r="1087" ht="15.75" customHeight="1">
      <c r="A1087" s="17"/>
      <c r="C1087" s="23"/>
      <c r="I1087" s="20"/>
      <c r="J1087" s="4" t="s">
        <v>3</v>
      </c>
    </row>
    <row r="1088" ht="15.75" customHeight="1">
      <c r="A1088" s="17"/>
      <c r="C1088" s="23"/>
      <c r="I1088" s="20"/>
      <c r="J1088" s="4" t="s">
        <v>3</v>
      </c>
    </row>
    <row r="1089" ht="15.75" customHeight="1">
      <c r="A1089" s="17"/>
      <c r="C1089" s="23"/>
      <c r="I1089" s="20"/>
      <c r="J1089" s="4" t="s">
        <v>3</v>
      </c>
    </row>
    <row r="1090" ht="15.75" customHeight="1">
      <c r="A1090" s="17"/>
      <c r="C1090" s="23"/>
      <c r="I1090" s="20"/>
      <c r="J1090" s="4" t="s">
        <v>3</v>
      </c>
    </row>
    <row r="1091" ht="15.75" customHeight="1">
      <c r="A1091" s="17"/>
      <c r="C1091" s="23"/>
      <c r="I1091" s="20"/>
      <c r="J1091" s="4" t="s">
        <v>3</v>
      </c>
    </row>
    <row r="1092" ht="15.75" customHeight="1">
      <c r="A1092" s="17"/>
      <c r="C1092" s="23"/>
      <c r="I1092" s="20"/>
      <c r="J1092" s="4" t="s">
        <v>3</v>
      </c>
    </row>
    <row r="1093" ht="15.75" customHeight="1">
      <c r="A1093" s="17"/>
      <c r="C1093" s="23"/>
      <c r="I1093" s="20"/>
      <c r="J1093" s="4" t="s">
        <v>3</v>
      </c>
    </row>
    <row r="1094" ht="15.75" customHeight="1">
      <c r="A1094" s="17"/>
      <c r="C1094" s="23"/>
      <c r="I1094" s="20"/>
      <c r="J1094" s="4" t="s">
        <v>3</v>
      </c>
    </row>
    <row r="1095" ht="15.75" customHeight="1">
      <c r="A1095" s="17"/>
      <c r="C1095" s="23"/>
      <c r="I1095" s="20"/>
      <c r="J1095" s="4" t="s">
        <v>3</v>
      </c>
    </row>
    <row r="1096" ht="15.75" customHeight="1">
      <c r="A1096" s="17"/>
      <c r="C1096" s="23"/>
      <c r="I1096" s="20"/>
      <c r="J1096" s="4" t="s">
        <v>3</v>
      </c>
    </row>
    <row r="1097" ht="15.75" customHeight="1">
      <c r="A1097" s="17"/>
      <c r="C1097" s="23"/>
      <c r="I1097" s="20"/>
      <c r="J1097" s="4" t="s">
        <v>3</v>
      </c>
    </row>
    <row r="1098" ht="15.75" customHeight="1">
      <c r="A1098" s="17"/>
      <c r="C1098" s="23"/>
      <c r="I1098" s="20"/>
      <c r="J1098" s="4" t="s">
        <v>3</v>
      </c>
    </row>
    <row r="1099" ht="15.75" customHeight="1">
      <c r="A1099" s="17"/>
      <c r="C1099" s="23"/>
      <c r="I1099" s="20"/>
      <c r="J1099" s="4" t="s">
        <v>3</v>
      </c>
    </row>
    <row r="1100" ht="15.75" customHeight="1">
      <c r="A1100" s="17"/>
      <c r="C1100" s="23"/>
      <c r="I1100" s="20"/>
      <c r="J1100" s="4" t="s">
        <v>3</v>
      </c>
    </row>
    <row r="1101" ht="15.75" customHeight="1">
      <c r="A1101" s="17"/>
      <c r="C1101" s="23"/>
      <c r="I1101" s="20"/>
      <c r="J1101" s="4" t="s">
        <v>3</v>
      </c>
    </row>
    <row r="1102" ht="15.75" customHeight="1">
      <c r="A1102" s="17"/>
      <c r="C1102" s="23"/>
      <c r="I1102" s="20"/>
      <c r="J1102" s="4" t="s">
        <v>3</v>
      </c>
    </row>
    <row r="1103" ht="15.75" customHeight="1">
      <c r="A1103" s="17"/>
      <c r="C1103" s="23"/>
      <c r="I1103" s="20"/>
      <c r="J1103" s="4" t="s">
        <v>3</v>
      </c>
    </row>
    <row r="1104" ht="15.75" customHeight="1">
      <c r="A1104" s="17"/>
      <c r="C1104" s="23"/>
      <c r="I1104" s="20"/>
      <c r="J1104" s="4" t="s">
        <v>3</v>
      </c>
    </row>
    <row r="1105" ht="15.75" customHeight="1">
      <c r="A1105" s="17"/>
      <c r="C1105" s="23"/>
      <c r="I1105" s="20"/>
      <c r="J1105" s="4" t="s">
        <v>3</v>
      </c>
    </row>
    <row r="1106" ht="15.75" customHeight="1">
      <c r="A1106" s="17"/>
      <c r="C1106" s="23"/>
      <c r="I1106" s="20"/>
      <c r="J1106" s="4" t="s">
        <v>3</v>
      </c>
    </row>
    <row r="1107" ht="15.75" customHeight="1">
      <c r="A1107" s="17"/>
      <c r="C1107" s="23"/>
      <c r="I1107" s="20"/>
      <c r="J1107" s="4" t="s">
        <v>3</v>
      </c>
    </row>
    <row r="1108" ht="15.75" customHeight="1">
      <c r="A1108" s="17"/>
      <c r="C1108" s="23"/>
      <c r="I1108" s="20"/>
      <c r="J1108" s="4" t="s">
        <v>3</v>
      </c>
    </row>
    <row r="1109" ht="15.75" customHeight="1">
      <c r="A1109" s="17"/>
      <c r="C1109" s="23"/>
      <c r="I1109" s="20"/>
      <c r="J1109" s="4" t="s">
        <v>3</v>
      </c>
    </row>
    <row r="1110" ht="15.75" customHeight="1">
      <c r="A1110" s="17"/>
      <c r="C1110" s="23"/>
      <c r="I1110" s="20"/>
      <c r="J1110" s="4" t="s">
        <v>3</v>
      </c>
    </row>
    <row r="1111" ht="15.75" customHeight="1">
      <c r="A1111" s="17"/>
      <c r="C1111" s="23"/>
      <c r="I1111" s="20"/>
      <c r="J1111" s="4" t="s">
        <v>3</v>
      </c>
    </row>
    <row r="1112" ht="15.75" customHeight="1">
      <c r="A1112" s="17"/>
      <c r="C1112" s="23"/>
      <c r="I1112" s="20"/>
      <c r="J1112" s="4" t="s">
        <v>3</v>
      </c>
    </row>
    <row r="1113" ht="15.75" customHeight="1">
      <c r="A1113" s="17"/>
      <c r="C1113" s="23"/>
      <c r="I1113" s="20"/>
      <c r="J1113" s="4" t="s">
        <v>3</v>
      </c>
    </row>
    <row r="1114" ht="15.75" customHeight="1">
      <c r="A1114" s="17"/>
      <c r="C1114" s="23"/>
      <c r="I1114" s="20"/>
      <c r="J1114" s="4" t="s">
        <v>3</v>
      </c>
    </row>
    <row r="1115" ht="15.75" customHeight="1">
      <c r="A1115" s="17"/>
      <c r="C1115" s="23"/>
      <c r="I1115" s="20"/>
      <c r="J1115" s="4" t="s">
        <v>3</v>
      </c>
    </row>
    <row r="1116" ht="15.75" customHeight="1">
      <c r="A1116" s="17"/>
      <c r="C1116" s="23"/>
      <c r="I1116" s="20"/>
      <c r="J1116" s="4" t="s">
        <v>3</v>
      </c>
    </row>
    <row r="1117" ht="15.75" customHeight="1">
      <c r="A1117" s="17"/>
      <c r="C1117" s="23"/>
      <c r="I1117" s="20"/>
      <c r="J1117" s="4" t="s">
        <v>3</v>
      </c>
    </row>
    <row r="1118" ht="15.75" customHeight="1">
      <c r="A1118" s="17"/>
      <c r="C1118" s="23"/>
      <c r="I1118" s="20"/>
      <c r="J1118" s="4" t="s">
        <v>3</v>
      </c>
    </row>
    <row r="1119" ht="15.75" customHeight="1">
      <c r="A1119" s="17"/>
      <c r="C1119" s="23"/>
      <c r="I1119" s="20"/>
      <c r="J1119" s="4" t="s">
        <v>3</v>
      </c>
    </row>
    <row r="1120" ht="15.75" customHeight="1">
      <c r="A1120" s="17"/>
      <c r="C1120" s="23"/>
      <c r="I1120" s="20"/>
      <c r="J1120" s="4" t="s">
        <v>3</v>
      </c>
    </row>
    <row r="1121" ht="15.75" customHeight="1">
      <c r="A1121" s="17"/>
      <c r="C1121" s="23"/>
      <c r="I1121" s="20"/>
      <c r="J1121" s="4" t="s">
        <v>3</v>
      </c>
    </row>
    <row r="1122" ht="15.75" customHeight="1">
      <c r="A1122" s="17"/>
      <c r="C1122" s="23"/>
      <c r="I1122" s="20"/>
      <c r="J1122" s="4" t="s">
        <v>3</v>
      </c>
    </row>
    <row r="1123" ht="15.75" customHeight="1">
      <c r="A1123" s="17"/>
      <c r="C1123" s="23"/>
      <c r="I1123" s="20"/>
      <c r="J1123" s="4" t="s">
        <v>3</v>
      </c>
    </row>
    <row r="1124" ht="15.75" customHeight="1">
      <c r="A1124" s="17"/>
      <c r="C1124" s="23"/>
      <c r="I1124" s="20"/>
      <c r="J1124" s="4" t="s">
        <v>3</v>
      </c>
    </row>
    <row r="1125" ht="15.75" customHeight="1">
      <c r="A1125" s="17"/>
      <c r="C1125" s="23"/>
      <c r="I1125" s="20"/>
      <c r="J1125" s="4" t="s">
        <v>3</v>
      </c>
    </row>
    <row r="1126" ht="15.75" customHeight="1">
      <c r="A1126" s="17"/>
      <c r="C1126" s="23"/>
      <c r="I1126" s="20"/>
      <c r="J1126" s="4" t="s">
        <v>3</v>
      </c>
    </row>
    <row r="1127" ht="15.75" customHeight="1">
      <c r="A1127" s="17"/>
      <c r="C1127" s="23"/>
      <c r="I1127" s="20"/>
      <c r="J1127" s="4" t="s">
        <v>3</v>
      </c>
    </row>
    <row r="1128" ht="15.75" customHeight="1">
      <c r="A1128" s="17"/>
      <c r="C1128" s="23"/>
      <c r="I1128" s="20"/>
      <c r="J1128" s="4" t="s">
        <v>3</v>
      </c>
    </row>
    <row r="1129" ht="15.75" customHeight="1">
      <c r="A1129" s="17"/>
      <c r="C1129" s="23"/>
      <c r="I1129" s="20"/>
      <c r="J1129" s="4" t="s">
        <v>3</v>
      </c>
    </row>
    <row r="1130" ht="15.75" customHeight="1">
      <c r="A1130" s="17"/>
      <c r="C1130" s="23"/>
      <c r="I1130" s="20"/>
      <c r="J1130" s="4" t="s">
        <v>3</v>
      </c>
    </row>
    <row r="1131" ht="15.75" customHeight="1">
      <c r="A1131" s="17"/>
      <c r="C1131" s="23"/>
      <c r="I1131" s="20"/>
      <c r="J1131" s="4" t="s">
        <v>3</v>
      </c>
    </row>
    <row r="1132" ht="15.75" customHeight="1">
      <c r="A1132" s="17"/>
      <c r="C1132" s="23"/>
      <c r="I1132" s="20"/>
      <c r="J1132" s="4" t="s">
        <v>3</v>
      </c>
    </row>
    <row r="1133" ht="15.75" customHeight="1">
      <c r="A1133" s="17"/>
      <c r="C1133" s="23"/>
      <c r="I1133" s="20"/>
      <c r="J1133" s="4" t="s">
        <v>3</v>
      </c>
    </row>
    <row r="1134" ht="15.75" customHeight="1">
      <c r="A1134" s="17"/>
      <c r="C1134" s="23"/>
      <c r="I1134" s="20"/>
      <c r="J1134" s="4" t="s">
        <v>3</v>
      </c>
    </row>
    <row r="1135" ht="15.75" customHeight="1">
      <c r="A1135" s="17"/>
      <c r="C1135" s="23"/>
      <c r="I1135" s="20"/>
      <c r="J1135" s="4" t="s">
        <v>3</v>
      </c>
    </row>
    <row r="1136" ht="15.75" customHeight="1">
      <c r="A1136" s="17"/>
      <c r="C1136" s="23"/>
      <c r="I1136" s="20"/>
      <c r="J1136" s="4" t="s">
        <v>3</v>
      </c>
    </row>
    <row r="1137" ht="15.75" customHeight="1">
      <c r="A1137" s="17"/>
      <c r="C1137" s="23"/>
      <c r="I1137" s="20"/>
      <c r="J1137" s="4" t="s">
        <v>3</v>
      </c>
    </row>
    <row r="1138" ht="15.75" customHeight="1">
      <c r="A1138" s="17"/>
      <c r="C1138" s="23"/>
      <c r="I1138" s="20"/>
      <c r="J1138" s="4" t="s">
        <v>3</v>
      </c>
    </row>
    <row r="1139" ht="15.75" customHeight="1">
      <c r="A1139" s="17"/>
      <c r="C1139" s="23"/>
      <c r="I1139" s="20"/>
      <c r="J1139" s="4" t="s">
        <v>3</v>
      </c>
    </row>
    <row r="1140" ht="15.75" customHeight="1">
      <c r="A1140" s="17"/>
      <c r="C1140" s="23"/>
      <c r="I1140" s="20"/>
      <c r="J1140" s="4" t="s">
        <v>3</v>
      </c>
    </row>
    <row r="1141" ht="15.75" customHeight="1">
      <c r="A1141" s="17"/>
      <c r="C1141" s="23"/>
      <c r="I1141" s="20"/>
      <c r="J1141" s="4" t="s">
        <v>3</v>
      </c>
    </row>
    <row r="1142" ht="15.75" customHeight="1">
      <c r="A1142" s="17"/>
      <c r="C1142" s="23"/>
      <c r="I1142" s="20"/>
      <c r="J1142" s="4" t="s">
        <v>3</v>
      </c>
    </row>
    <row r="1143" ht="15.75" customHeight="1">
      <c r="A1143" s="17"/>
      <c r="C1143" s="23"/>
      <c r="I1143" s="20"/>
      <c r="J1143" s="4" t="s">
        <v>3</v>
      </c>
    </row>
    <row r="1144" ht="15.75" customHeight="1">
      <c r="A1144" s="17"/>
      <c r="C1144" s="23"/>
      <c r="I1144" s="20"/>
      <c r="J1144" s="4" t="s">
        <v>3</v>
      </c>
    </row>
    <row r="1145" ht="15.75" customHeight="1">
      <c r="A1145" s="17"/>
      <c r="C1145" s="23"/>
      <c r="I1145" s="20"/>
      <c r="J1145" s="4" t="s">
        <v>3</v>
      </c>
    </row>
    <row r="1146" ht="15.75" customHeight="1">
      <c r="A1146" s="17"/>
      <c r="C1146" s="23"/>
      <c r="I1146" s="20"/>
      <c r="J1146" s="4" t="s">
        <v>3</v>
      </c>
    </row>
    <row r="1147" ht="15.75" customHeight="1">
      <c r="A1147" s="17"/>
      <c r="C1147" s="23"/>
      <c r="I1147" s="20"/>
      <c r="J1147" s="4" t="s">
        <v>3</v>
      </c>
    </row>
    <row r="1148" ht="15.75" customHeight="1">
      <c r="A1148" s="17"/>
      <c r="C1148" s="23"/>
      <c r="I1148" s="20"/>
      <c r="J1148" s="4" t="s">
        <v>3</v>
      </c>
    </row>
    <row r="1149" ht="15.75" customHeight="1">
      <c r="A1149" s="17"/>
      <c r="C1149" s="23"/>
      <c r="I1149" s="20"/>
      <c r="J1149" s="4" t="s">
        <v>3</v>
      </c>
    </row>
    <row r="1150" ht="15.75" customHeight="1">
      <c r="A1150" s="17"/>
      <c r="C1150" s="23"/>
      <c r="I1150" s="20"/>
      <c r="J1150" s="4" t="s">
        <v>3</v>
      </c>
    </row>
    <row r="1151" ht="15.75" customHeight="1">
      <c r="A1151" s="17"/>
      <c r="C1151" s="23"/>
      <c r="I1151" s="20"/>
      <c r="J1151" s="4" t="s">
        <v>3</v>
      </c>
    </row>
    <row r="1152" ht="15.75" customHeight="1">
      <c r="A1152" s="17"/>
      <c r="C1152" s="23"/>
      <c r="I1152" s="20"/>
      <c r="J1152" s="4" t="s">
        <v>3</v>
      </c>
    </row>
    <row r="1153" ht="15.75" customHeight="1">
      <c r="A1153" s="17"/>
      <c r="C1153" s="23"/>
      <c r="I1153" s="20"/>
      <c r="J1153" s="4" t="s">
        <v>3</v>
      </c>
    </row>
    <row r="1154" ht="15.75" customHeight="1">
      <c r="A1154" s="17"/>
      <c r="C1154" s="23"/>
      <c r="I1154" s="20"/>
      <c r="J1154" s="4" t="s">
        <v>3</v>
      </c>
    </row>
    <row r="1155" ht="15.75" customHeight="1">
      <c r="A1155" s="17"/>
      <c r="C1155" s="23"/>
      <c r="I1155" s="20"/>
      <c r="J1155" s="4" t="s">
        <v>3</v>
      </c>
    </row>
    <row r="1156" ht="15.75" customHeight="1">
      <c r="A1156" s="17"/>
      <c r="C1156" s="23"/>
      <c r="I1156" s="20"/>
      <c r="J1156" s="4" t="s">
        <v>3</v>
      </c>
    </row>
    <row r="1157" ht="15.75" customHeight="1">
      <c r="A1157" s="17"/>
      <c r="C1157" s="23"/>
      <c r="I1157" s="20"/>
      <c r="J1157" s="4" t="s">
        <v>3</v>
      </c>
    </row>
    <row r="1158" ht="15.75" customHeight="1">
      <c r="A1158" s="17"/>
      <c r="C1158" s="23"/>
      <c r="I1158" s="20"/>
      <c r="J1158" s="4" t="s">
        <v>3</v>
      </c>
    </row>
    <row r="1159" ht="15.75" customHeight="1">
      <c r="A1159" s="17"/>
      <c r="C1159" s="23"/>
      <c r="I1159" s="20"/>
      <c r="J1159" s="4" t="s">
        <v>3</v>
      </c>
    </row>
    <row r="1160" ht="15.75" customHeight="1">
      <c r="A1160" s="17"/>
      <c r="C1160" s="23"/>
      <c r="I1160" s="20"/>
      <c r="J1160" s="4" t="s">
        <v>3</v>
      </c>
    </row>
    <row r="1161" ht="15.75" customHeight="1">
      <c r="A1161" s="17"/>
      <c r="C1161" s="23"/>
      <c r="I1161" s="20"/>
      <c r="J1161" s="4" t="s">
        <v>3</v>
      </c>
    </row>
    <row r="1162" ht="15.75" customHeight="1">
      <c r="A1162" s="17"/>
      <c r="C1162" s="23"/>
      <c r="I1162" s="20"/>
      <c r="J1162" s="4" t="s">
        <v>3</v>
      </c>
    </row>
    <row r="1163" ht="15.75" customHeight="1">
      <c r="A1163" s="17"/>
      <c r="C1163" s="23"/>
      <c r="I1163" s="20"/>
      <c r="J1163" s="4" t="s">
        <v>3</v>
      </c>
    </row>
    <row r="1164" ht="15.75" customHeight="1">
      <c r="A1164" s="17"/>
      <c r="C1164" s="23"/>
      <c r="I1164" s="20"/>
      <c r="J1164" s="4" t="s">
        <v>3</v>
      </c>
    </row>
    <row r="1165" ht="15.75" customHeight="1">
      <c r="A1165" s="17"/>
      <c r="C1165" s="23"/>
      <c r="I1165" s="20"/>
      <c r="J1165" s="4" t="s">
        <v>3</v>
      </c>
    </row>
    <row r="1166" ht="15.75" customHeight="1">
      <c r="A1166" s="17"/>
      <c r="C1166" s="23"/>
      <c r="I1166" s="20"/>
      <c r="J1166" s="4" t="s">
        <v>3</v>
      </c>
    </row>
    <row r="1167" ht="15.75" customHeight="1">
      <c r="A1167" s="17"/>
      <c r="C1167" s="23"/>
      <c r="I1167" s="20"/>
      <c r="J1167" s="4" t="s">
        <v>3</v>
      </c>
    </row>
    <row r="1168" ht="15.75" customHeight="1">
      <c r="A1168" s="17"/>
      <c r="C1168" s="23"/>
      <c r="I1168" s="20"/>
      <c r="J1168" s="4" t="s">
        <v>3</v>
      </c>
    </row>
    <row r="1169" ht="15.75" customHeight="1">
      <c r="A1169" s="17"/>
      <c r="C1169" s="23"/>
      <c r="I1169" s="20"/>
      <c r="J1169" s="4" t="s">
        <v>3</v>
      </c>
    </row>
    <row r="1170" ht="15.75" customHeight="1">
      <c r="A1170" s="17"/>
      <c r="C1170" s="23"/>
      <c r="I1170" s="20"/>
      <c r="J1170" s="4" t="s">
        <v>3</v>
      </c>
    </row>
    <row r="1171" ht="15.75" customHeight="1">
      <c r="A1171" s="17"/>
      <c r="C1171" s="23"/>
      <c r="I1171" s="20"/>
      <c r="J1171" s="4" t="s">
        <v>3</v>
      </c>
    </row>
    <row r="1172" ht="15.75" customHeight="1">
      <c r="A1172" s="17"/>
      <c r="C1172" s="23"/>
      <c r="I1172" s="20"/>
      <c r="J1172" s="4" t="s">
        <v>3</v>
      </c>
    </row>
    <row r="1173" ht="15.75" customHeight="1">
      <c r="A1173" s="17"/>
      <c r="C1173" s="23"/>
      <c r="I1173" s="20"/>
      <c r="J1173" s="4" t="s">
        <v>3</v>
      </c>
    </row>
    <row r="1174" ht="15.75" customHeight="1">
      <c r="A1174" s="17"/>
      <c r="C1174" s="23"/>
      <c r="I1174" s="20"/>
      <c r="J1174" s="4" t="s">
        <v>3</v>
      </c>
    </row>
    <row r="1175" ht="15.75" customHeight="1">
      <c r="A1175" s="17"/>
      <c r="C1175" s="23"/>
      <c r="I1175" s="20"/>
      <c r="J1175" s="4" t="s">
        <v>3</v>
      </c>
    </row>
    <row r="1176" ht="15.75" customHeight="1">
      <c r="A1176" s="17"/>
      <c r="C1176" s="23"/>
      <c r="I1176" s="20"/>
      <c r="J1176" s="4" t="s">
        <v>3</v>
      </c>
    </row>
    <row r="1177" ht="15.75" customHeight="1">
      <c r="A1177" s="17"/>
      <c r="C1177" s="23"/>
      <c r="I1177" s="20"/>
      <c r="J1177" s="4" t="s">
        <v>3</v>
      </c>
    </row>
    <row r="1178" ht="15.75" customHeight="1">
      <c r="A1178" s="17"/>
      <c r="C1178" s="23"/>
      <c r="I1178" s="20"/>
      <c r="J1178" s="4" t="s">
        <v>3</v>
      </c>
    </row>
    <row r="1179" ht="15.75" customHeight="1">
      <c r="A1179" s="17"/>
      <c r="C1179" s="23"/>
      <c r="I1179" s="20"/>
      <c r="J1179" s="4" t="s">
        <v>3</v>
      </c>
    </row>
    <row r="1180" ht="15.75" customHeight="1">
      <c r="A1180" s="17"/>
      <c r="C1180" s="23"/>
      <c r="I1180" s="20"/>
      <c r="J1180" s="4" t="s">
        <v>3</v>
      </c>
    </row>
    <row r="1181" ht="15.75" customHeight="1">
      <c r="A1181" s="17"/>
      <c r="C1181" s="23"/>
      <c r="I1181" s="20"/>
      <c r="J1181" s="4" t="s">
        <v>3</v>
      </c>
    </row>
    <row r="1182" ht="15.75" customHeight="1">
      <c r="A1182" s="17"/>
      <c r="C1182" s="23"/>
      <c r="I1182" s="20"/>
      <c r="J1182" s="4" t="s">
        <v>3</v>
      </c>
    </row>
    <row r="1183" ht="15.75" customHeight="1">
      <c r="A1183" s="17"/>
      <c r="C1183" s="23"/>
      <c r="I1183" s="20"/>
      <c r="J1183" s="4" t="s">
        <v>3</v>
      </c>
    </row>
    <row r="1184" ht="15.75" customHeight="1">
      <c r="A1184" s="17"/>
      <c r="C1184" s="23"/>
      <c r="I1184" s="20"/>
      <c r="J1184" s="4" t="s">
        <v>3</v>
      </c>
    </row>
    <row r="1185" ht="15.75" customHeight="1">
      <c r="A1185" s="17"/>
      <c r="C1185" s="23"/>
      <c r="I1185" s="20"/>
      <c r="J1185" s="4" t="s">
        <v>3</v>
      </c>
    </row>
    <row r="1186" ht="15.75" customHeight="1">
      <c r="A1186" s="17"/>
      <c r="C1186" s="23"/>
      <c r="I1186" s="20"/>
      <c r="J1186" s="4" t="s">
        <v>3</v>
      </c>
    </row>
    <row r="1187" ht="15.75" customHeight="1">
      <c r="A1187" s="17"/>
      <c r="C1187" s="23"/>
      <c r="I1187" s="20"/>
      <c r="J1187" s="4" t="s">
        <v>3</v>
      </c>
    </row>
    <row r="1188" ht="15.75" customHeight="1">
      <c r="A1188" s="17"/>
      <c r="C1188" s="23"/>
      <c r="I1188" s="20"/>
      <c r="J1188" s="4" t="s">
        <v>3</v>
      </c>
    </row>
    <row r="1189" ht="15.75" customHeight="1">
      <c r="A1189" s="17"/>
      <c r="C1189" s="23"/>
      <c r="I1189" s="20"/>
      <c r="J1189" s="4" t="s">
        <v>3</v>
      </c>
    </row>
    <row r="1190" ht="15.75" customHeight="1">
      <c r="A1190" s="17"/>
      <c r="C1190" s="23"/>
      <c r="I1190" s="20"/>
      <c r="J1190" s="4" t="s">
        <v>3</v>
      </c>
    </row>
    <row r="1191" ht="15.75" customHeight="1">
      <c r="A1191" s="17"/>
      <c r="C1191" s="23"/>
      <c r="I1191" s="20"/>
      <c r="J1191" s="4" t="s">
        <v>3</v>
      </c>
    </row>
    <row r="1192" ht="15.75" customHeight="1">
      <c r="A1192" s="17"/>
      <c r="C1192" s="23"/>
      <c r="I1192" s="20"/>
      <c r="J1192" s="4" t="s">
        <v>3</v>
      </c>
    </row>
    <row r="1193" ht="15.75" customHeight="1">
      <c r="A1193" s="17"/>
      <c r="C1193" s="23"/>
      <c r="I1193" s="20"/>
      <c r="J1193" s="4" t="s">
        <v>3</v>
      </c>
    </row>
    <row r="1194" ht="15.75" customHeight="1">
      <c r="A1194" s="17"/>
      <c r="C1194" s="23"/>
      <c r="I1194" s="20"/>
      <c r="J1194" s="4" t="s">
        <v>3</v>
      </c>
    </row>
    <row r="1195" ht="15.75" customHeight="1">
      <c r="A1195" s="17"/>
      <c r="C1195" s="23"/>
      <c r="I1195" s="20"/>
      <c r="J1195" s="4" t="s">
        <v>3</v>
      </c>
    </row>
    <row r="1196" ht="15.75" customHeight="1">
      <c r="A1196" s="17"/>
      <c r="C1196" s="23"/>
      <c r="I1196" s="20"/>
      <c r="J1196" s="4" t="s">
        <v>3</v>
      </c>
    </row>
    <row r="1197" ht="15.75" customHeight="1">
      <c r="A1197" s="17"/>
      <c r="C1197" s="23"/>
      <c r="I1197" s="20"/>
      <c r="J1197" s="4" t="s">
        <v>3</v>
      </c>
    </row>
    <row r="1198" ht="15.75" customHeight="1">
      <c r="A1198" s="17"/>
      <c r="C1198" s="23"/>
      <c r="I1198" s="20"/>
      <c r="J1198" s="4" t="s">
        <v>3</v>
      </c>
    </row>
    <row r="1199" ht="15.75" customHeight="1">
      <c r="A1199" s="17"/>
      <c r="C1199" s="23"/>
      <c r="I1199" s="20"/>
      <c r="J1199" s="4" t="s">
        <v>3</v>
      </c>
    </row>
    <row r="1200" ht="15.75" customHeight="1">
      <c r="A1200" s="17"/>
      <c r="C1200" s="23"/>
      <c r="I1200" s="20"/>
      <c r="J1200" s="4" t="s">
        <v>3</v>
      </c>
    </row>
  </sheetData>
  <autoFilter ref="$A$7:$J$1200"/>
  <conditionalFormatting sqref="A2:J1200">
    <cfRule type="expression" dxfId="0" priority="1" stopIfTrue="1">
      <formula>$H2="自動消込"</formula>
    </cfRule>
  </conditionalFormatting>
  <conditionalFormatting sqref="A2:J1200">
    <cfRule type="expression" dxfId="0" priority="2" stopIfTrue="1">
      <formula>OR($H2="手動消込",$H2="補正適用")</formula>
    </cfRule>
  </conditionalFormatting>
  <conditionalFormatting sqref="A2:J1200">
    <cfRule type="expression" dxfId="1" priority="3" stopIfTrue="1">
      <formula>$H2="要確認"</formula>
    </cfRule>
  </conditionalFormatting>
  <conditionalFormatting sqref="A2:J1200">
    <cfRule type="expression" dxfId="2" priority="4" stopIfTrue="1">
      <formula>$H2="未照合"</formula>
    </cfRule>
  </conditionalFormatting>
  <conditionalFormatting sqref="A2:J1200">
    <cfRule type="expression" dxfId="3" priority="5" stopIfTrue="1">
      <formula>$H2="対象外"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5" width="18.88"/>
  </cols>
  <sheetData>
    <row r="1" ht="15.75" customHeight="1">
      <c r="A1" s="24" t="s">
        <v>18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ht="15.75" customHeight="1">
      <c r="A2" s="4" t="s">
        <v>110</v>
      </c>
    </row>
    <row r="3" ht="15.75" customHeight="1">
      <c r="A3" s="4" t="s">
        <v>52</v>
      </c>
      <c r="B3" s="4" t="s">
        <v>53</v>
      </c>
      <c r="E3" s="4" t="s">
        <v>111</v>
      </c>
    </row>
    <row r="4" ht="15.75" customHeight="1">
      <c r="A4" s="4" t="s">
        <v>112</v>
      </c>
      <c r="B4" s="4">
        <f>COUNTIF(M8:M1200,"入金済")</f>
        <v>14</v>
      </c>
      <c r="E4" s="4" t="s">
        <v>50</v>
      </c>
      <c r="F4" s="4" t="s">
        <v>113</v>
      </c>
    </row>
    <row r="5" ht="15.75" customHeight="1">
      <c r="A5" s="4" t="s">
        <v>114</v>
      </c>
      <c r="B5" s="4">
        <f>COUNTIF(M8:M1200,"一部入金")</f>
        <v>0</v>
      </c>
      <c r="E5" s="4" t="s">
        <v>114</v>
      </c>
      <c r="F5" s="4" t="s">
        <v>115</v>
      </c>
    </row>
    <row r="6" ht="15.75" customHeight="1">
      <c r="A6" s="4" t="s">
        <v>57</v>
      </c>
      <c r="B6" s="4">
        <f>COUNTIF(M8:M1200,"要確認")</f>
        <v>0</v>
      </c>
      <c r="E6" s="4" t="s">
        <v>57</v>
      </c>
      <c r="F6" s="4" t="s">
        <v>116</v>
      </c>
    </row>
    <row r="7" ht="15.75" customHeight="1">
      <c r="A7" s="22" t="s">
        <v>70</v>
      </c>
      <c r="B7" s="22" t="s">
        <v>61</v>
      </c>
      <c r="C7" s="22" t="s">
        <v>117</v>
      </c>
      <c r="D7" s="22" t="s">
        <v>118</v>
      </c>
      <c r="E7" s="22" t="s">
        <v>119</v>
      </c>
      <c r="F7" s="22" t="s">
        <v>120</v>
      </c>
      <c r="G7" s="22" t="s">
        <v>69</v>
      </c>
      <c r="H7" s="22" t="s">
        <v>121</v>
      </c>
      <c r="I7" s="22" t="s">
        <v>122</v>
      </c>
      <c r="J7" s="22" t="s">
        <v>123</v>
      </c>
      <c r="K7" s="22" t="s">
        <v>124</v>
      </c>
      <c r="L7" s="22" t="s">
        <v>125</v>
      </c>
      <c r="M7" s="22" t="s">
        <v>126</v>
      </c>
      <c r="N7" s="22" t="s">
        <v>127</v>
      </c>
      <c r="O7" s="22" t="s">
        <v>82</v>
      </c>
    </row>
    <row r="8" ht="15.75" customHeight="1">
      <c r="A8" s="19" t="str">
        <f>IFERROR(__xludf.DUMMYFUNCTION("LET(src,'振込入金リスト一覧'!A2:EU1200,dateCol,INDEX(src,,4),amountCol,INDEX(src,,35),paidRaw,INDEX(src,,147),unpaidRaw,INDEX(src,,148),progressRaw,INDEX(src,,149),matchCol,INDEX(src,,144),paidCol,ARRAYFORMULA(IF(LEN(paidRaw),paidRaw,0)),unpaidCol,ARRAYFORMULA(IF("&amp;"LEN(unpaidRaw),unpaidRaw,IF(LEN(amountCol),amountCol-paidCol,""""))),progressCol,ARRAYFORMULA(IF(LEN(progressRaw),progressRaw,IF(matchCol=""自動消込"",""入金済"",IF(paidCol&gt;0,""一部入金"",""未入金"")))),data,FILTER({INDEX(src,,1),dateCol,INDEX(src,,5),INDEX(src,,6),IND"&amp;"EX(src,,2),amountCol,INDEX(src,,121),matchCol,INDEX(src,,145),INDEX(src,,146),paidCol,unpaidCol,progressCol,INDEX(src,,150),INDEX(src,,151)},dateCol&lt;&gt;""""),SORT(data,2,FALSE))"),"")</f>
        <v/>
      </c>
      <c r="B8" s="17">
        <f>IFERROR(__xludf.DUMMYFUNCTION("""COMPUTED_VALUE"""),46357.0)</f>
        <v>46357</v>
      </c>
      <c r="C8" s="4" t="str">
        <f>IFERROR(__xludf.DUMMYFUNCTION("""COMPUTED_VALUE"""),"㈱はっけん RR")</f>
        <v>㈱はっけん RR</v>
      </c>
      <c r="D8" s="19"/>
      <c r="E8" s="4" t="str">
        <f>IFERROR(__xludf.DUMMYFUNCTION("""COMPUTED_VALUE"""),"車販")</f>
        <v>車販</v>
      </c>
      <c r="F8" s="23"/>
      <c r="G8" s="19"/>
      <c r="H8" s="4" t="str">
        <f>IFERROR(__xludf.DUMMYFUNCTION("""COMPUTED_VALUE"""),"未照合")</f>
        <v>未照合</v>
      </c>
      <c r="I8" s="19"/>
      <c r="J8" s="17"/>
      <c r="K8" s="23">
        <f>IFERROR(__xludf.DUMMYFUNCTION("""COMPUTED_VALUE"""),0.0)</f>
        <v>0</v>
      </c>
      <c r="L8" s="23" t="str">
        <f>IFERROR(__xludf.DUMMYFUNCTION("""COMPUTED_VALUE"""),"")</f>
        <v/>
      </c>
      <c r="M8" s="4" t="str">
        <f>IFERROR(__xludf.DUMMYFUNCTION("""COMPUTED_VALUE"""),"未入金")</f>
        <v>未入金</v>
      </c>
      <c r="N8" s="19" t="str">
        <f>IFERROR(__xludf.DUMMYFUNCTION("""COMPUTED_VALUE"""),"")</f>
        <v/>
      </c>
      <c r="O8" s="19"/>
    </row>
    <row r="9" ht="15.75" customHeight="1">
      <c r="A9" s="19"/>
      <c r="B9" s="17">
        <f>IFERROR(__xludf.DUMMYFUNCTION("""COMPUTED_VALUE"""),46296.0)</f>
        <v>46296</v>
      </c>
      <c r="C9" s="4" t="str">
        <f>IFERROR(__xludf.DUMMYFUNCTION("""COMPUTED_VALUE"""),"伊瀬和裕様 DEF")</f>
        <v>伊瀬和裕様 DEF</v>
      </c>
      <c r="D9" s="19"/>
      <c r="E9" s="4" t="str">
        <f>IFERROR(__xludf.DUMMYFUNCTION("""COMPUTED_VALUE"""),"車販")</f>
        <v>車販</v>
      </c>
      <c r="F9" s="23"/>
      <c r="G9" s="19"/>
      <c r="H9" s="4" t="str">
        <f>IFERROR(__xludf.DUMMYFUNCTION("""COMPUTED_VALUE"""),"未照合")</f>
        <v>未照合</v>
      </c>
      <c r="I9" s="19"/>
      <c r="J9" s="17"/>
      <c r="K9" s="23">
        <f>IFERROR(__xludf.DUMMYFUNCTION("""COMPUTED_VALUE"""),0.0)</f>
        <v>0</v>
      </c>
      <c r="L9" s="23" t="str">
        <f>IFERROR(__xludf.DUMMYFUNCTION("""COMPUTED_VALUE"""),"")</f>
        <v/>
      </c>
      <c r="M9" s="4" t="str">
        <f>IFERROR(__xludf.DUMMYFUNCTION("""COMPUTED_VALUE"""),"未入金")</f>
        <v>未入金</v>
      </c>
      <c r="N9" s="19" t="str">
        <f>IFERROR(__xludf.DUMMYFUNCTION("""COMPUTED_VALUE"""),"")</f>
        <v/>
      </c>
      <c r="O9" s="19"/>
    </row>
    <row r="10" ht="15.75" customHeight="1">
      <c r="A10" s="19"/>
      <c r="B10" s="17">
        <f>IFERROR(__xludf.DUMMYFUNCTION("""COMPUTED_VALUE"""),46296.0)</f>
        <v>46296</v>
      </c>
      <c r="C10" s="4" t="str">
        <f>IFERROR(__xludf.DUMMYFUNCTION("""COMPUTED_VALUE"""),"沖田滉平様 DEF")</f>
        <v>沖田滉平様 DEF</v>
      </c>
      <c r="D10" s="19"/>
      <c r="E10" s="4" t="str">
        <f>IFERROR(__xludf.DUMMYFUNCTION("""COMPUTED_VALUE"""),"車販")</f>
        <v>車販</v>
      </c>
      <c r="F10" s="23"/>
      <c r="G10" s="19"/>
      <c r="H10" s="4" t="str">
        <f>IFERROR(__xludf.DUMMYFUNCTION("""COMPUTED_VALUE"""),"未照合")</f>
        <v>未照合</v>
      </c>
      <c r="I10" s="19"/>
      <c r="J10" s="17"/>
      <c r="K10" s="23">
        <f>IFERROR(__xludf.DUMMYFUNCTION("""COMPUTED_VALUE"""),0.0)</f>
        <v>0</v>
      </c>
      <c r="L10" s="23" t="str">
        <f>IFERROR(__xludf.DUMMYFUNCTION("""COMPUTED_VALUE"""),"")</f>
        <v/>
      </c>
      <c r="M10" s="4" t="str">
        <f>IFERROR(__xludf.DUMMYFUNCTION("""COMPUTED_VALUE"""),"未入金")</f>
        <v>未入金</v>
      </c>
      <c r="N10" s="19" t="str">
        <f>IFERROR(__xludf.DUMMYFUNCTION("""COMPUTED_VALUE"""),"")</f>
        <v/>
      </c>
      <c r="O10" s="19"/>
    </row>
    <row r="11" ht="15.75" customHeight="1">
      <c r="A11" s="19"/>
      <c r="B11" s="17">
        <f>IFERROR(__xludf.DUMMYFUNCTION("""COMPUTED_VALUE"""),46295.0)</f>
        <v>46295</v>
      </c>
      <c r="C11" s="4" t="str">
        <f>IFERROR(__xludf.DUMMYFUNCTION("""COMPUTED_VALUE"""),"亀森 直")</f>
        <v>亀森 直</v>
      </c>
      <c r="D11" s="19"/>
      <c r="E11" s="4" t="str">
        <f>IFERROR(__xludf.DUMMYFUNCTION("""COMPUTED_VALUE"""),"車販")</f>
        <v>車販</v>
      </c>
      <c r="F11" s="23"/>
      <c r="G11" s="19"/>
      <c r="H11" s="4" t="str">
        <f>IFERROR(__xludf.DUMMYFUNCTION("""COMPUTED_VALUE"""),"未照合")</f>
        <v>未照合</v>
      </c>
      <c r="I11" s="19"/>
      <c r="J11" s="17"/>
      <c r="K11" s="23">
        <f>IFERROR(__xludf.DUMMYFUNCTION("""COMPUTED_VALUE"""),0.0)</f>
        <v>0</v>
      </c>
      <c r="L11" s="23" t="str">
        <f>IFERROR(__xludf.DUMMYFUNCTION("""COMPUTED_VALUE"""),"")</f>
        <v/>
      </c>
      <c r="M11" s="4" t="str">
        <f>IFERROR(__xludf.DUMMYFUNCTION("""COMPUTED_VALUE"""),"未入金")</f>
        <v>未入金</v>
      </c>
      <c r="N11" s="19" t="str">
        <f>IFERROR(__xludf.DUMMYFUNCTION("""COMPUTED_VALUE"""),"")</f>
        <v/>
      </c>
      <c r="O11" s="19"/>
    </row>
    <row r="12" ht="15.75" customHeight="1">
      <c r="A12" s="19"/>
      <c r="B12" s="17">
        <f>IFERROR(__xludf.DUMMYFUNCTION("""COMPUTED_VALUE"""),46204.0)</f>
        <v>46204</v>
      </c>
      <c r="C12" s="4" t="str">
        <f>IFERROR(__xludf.DUMMYFUNCTION("""COMPUTED_VALUE"""),"クリアメタル")</f>
        <v>クリアメタル</v>
      </c>
      <c r="D12" s="19"/>
      <c r="E12" s="4" t="str">
        <f>IFERROR(__xludf.DUMMYFUNCTION("""COMPUTED_VALUE"""),"車販")</f>
        <v>車販</v>
      </c>
      <c r="F12" s="23"/>
      <c r="G12" s="19"/>
      <c r="H12" s="4" t="str">
        <f>IFERROR(__xludf.DUMMYFUNCTION("""COMPUTED_VALUE"""),"未照合")</f>
        <v>未照合</v>
      </c>
      <c r="I12" s="19"/>
      <c r="J12" s="17"/>
      <c r="K12" s="23">
        <f>IFERROR(__xludf.DUMMYFUNCTION("""COMPUTED_VALUE"""),0.0)</f>
        <v>0</v>
      </c>
      <c r="L12" s="23" t="str">
        <f>IFERROR(__xludf.DUMMYFUNCTION("""COMPUTED_VALUE"""),"")</f>
        <v/>
      </c>
      <c r="M12" s="4" t="str">
        <f>IFERROR(__xludf.DUMMYFUNCTION("""COMPUTED_VALUE"""),"未入金")</f>
        <v>未入金</v>
      </c>
      <c r="N12" s="19" t="str">
        <f>IFERROR(__xludf.DUMMYFUNCTION("""COMPUTED_VALUE"""),"")</f>
        <v/>
      </c>
      <c r="O12" s="19"/>
    </row>
    <row r="13" ht="15.75" customHeight="1">
      <c r="A13" s="4" t="str">
        <f>IFERROR(__xludf.DUMMYFUNCTION("""COMPUTED_VALUE"""),"SB00007580")</f>
        <v>SB00007580</v>
      </c>
      <c r="B13" s="17">
        <f>IFERROR(__xludf.DUMMYFUNCTION("""COMPUTED_VALUE"""),46166.0)</f>
        <v>46166</v>
      </c>
      <c r="C13" s="4" t="str">
        <f>IFERROR(__xludf.DUMMYFUNCTION("""COMPUTED_VALUE"""),"医療法人 庸英会 まさよし内科小")</f>
        <v>医療法人 庸英会 まさよし内科小</v>
      </c>
      <c r="D13" s="4" t="str">
        <f>IFERROR(__xludf.DUMMYFUNCTION("""COMPUTED_VALUE"""),"医療法人庸英会")</f>
        <v>医療法人庸英会</v>
      </c>
      <c r="E13" s="4" t="str">
        <f>IFERROR(__xludf.DUMMYFUNCTION("""COMPUTED_VALUE"""),"定期点検")</f>
        <v>定期点検</v>
      </c>
      <c r="F13" s="23"/>
      <c r="G13" s="19"/>
      <c r="H13" s="4" t="str">
        <f>IFERROR(__xludf.DUMMYFUNCTION("""COMPUTED_VALUE"""),"未照合")</f>
        <v>未照合</v>
      </c>
      <c r="I13" s="19"/>
      <c r="J13" s="17"/>
      <c r="K13" s="23">
        <f>IFERROR(__xludf.DUMMYFUNCTION("""COMPUTED_VALUE"""),0.0)</f>
        <v>0</v>
      </c>
      <c r="L13" s="23" t="str">
        <f>IFERROR(__xludf.DUMMYFUNCTION("""COMPUTED_VALUE"""),"")</f>
        <v/>
      </c>
      <c r="M13" s="4" t="str">
        <f>IFERROR(__xludf.DUMMYFUNCTION("""COMPUTED_VALUE"""),"未入金")</f>
        <v>未入金</v>
      </c>
      <c r="N13" s="19" t="str">
        <f>IFERROR(__xludf.DUMMYFUNCTION("""COMPUTED_VALUE"""),"")</f>
        <v/>
      </c>
      <c r="O13" s="19"/>
    </row>
    <row r="14" ht="15.75" customHeight="1">
      <c r="A14" s="4" t="str">
        <f>IFERROR(__xludf.DUMMYFUNCTION("""COMPUTED_VALUE"""),"SB00007582")</f>
        <v>SB00007582</v>
      </c>
      <c r="B14" s="17">
        <f>IFERROR(__xludf.DUMMYFUNCTION("""COMPUTED_VALUE"""),46159.0)</f>
        <v>46159</v>
      </c>
      <c r="C14" s="4" t="str">
        <f>IFERROR(__xludf.DUMMYFUNCTION("""COMPUTED_VALUE"""),"有限会社 多林製作所")</f>
        <v>有限会社 多林製作所</v>
      </c>
      <c r="D14" s="4" t="str">
        <f>IFERROR(__xludf.DUMMYFUNCTION("""COMPUTED_VALUE"""),"有限会社多林製作所")</f>
        <v>有限会社多林製作所</v>
      </c>
      <c r="E14" s="4" t="str">
        <f>IFERROR(__xludf.DUMMYFUNCTION("""COMPUTED_VALUE"""),"定期点検")</f>
        <v>定期点検</v>
      </c>
      <c r="F14" s="23"/>
      <c r="G14" s="19"/>
      <c r="H14" s="4" t="str">
        <f>IFERROR(__xludf.DUMMYFUNCTION("""COMPUTED_VALUE"""),"未照合")</f>
        <v>未照合</v>
      </c>
      <c r="I14" s="19"/>
      <c r="J14" s="17"/>
      <c r="K14" s="23">
        <f>IFERROR(__xludf.DUMMYFUNCTION("""COMPUTED_VALUE"""),0.0)</f>
        <v>0</v>
      </c>
      <c r="L14" s="23" t="str">
        <f>IFERROR(__xludf.DUMMYFUNCTION("""COMPUTED_VALUE"""),"")</f>
        <v/>
      </c>
      <c r="M14" s="4" t="str">
        <f>IFERROR(__xludf.DUMMYFUNCTION("""COMPUTED_VALUE"""),"未入金")</f>
        <v>未入金</v>
      </c>
      <c r="N14" s="19" t="str">
        <f>IFERROR(__xludf.DUMMYFUNCTION("""COMPUTED_VALUE"""),"")</f>
        <v/>
      </c>
      <c r="O14" s="19"/>
    </row>
    <row r="15" ht="15.75" customHeight="1">
      <c r="A15" s="19"/>
      <c r="B15" s="17">
        <f>IFERROR(__xludf.DUMMYFUNCTION("""COMPUTED_VALUE"""),46142.0)</f>
        <v>46142</v>
      </c>
      <c r="C15" s="4" t="str">
        <f>IFERROR(__xludf.DUMMYFUNCTION("""COMPUTED_VALUE"""),"Y.ONE WORKS㈱様GLB")</f>
        <v>Y.ONE WORKS㈱様GLB</v>
      </c>
      <c r="D15" s="19"/>
      <c r="E15" s="4" t="str">
        <f>IFERROR(__xludf.DUMMYFUNCTION("""COMPUTED_VALUE"""),"車販")</f>
        <v>車販</v>
      </c>
      <c r="F15" s="23"/>
      <c r="G15" s="19"/>
      <c r="H15" s="4" t="str">
        <f>IFERROR(__xludf.DUMMYFUNCTION("""COMPUTED_VALUE"""),"未照合")</f>
        <v>未照合</v>
      </c>
      <c r="I15" s="19"/>
      <c r="J15" s="17"/>
      <c r="K15" s="23">
        <f>IFERROR(__xludf.DUMMYFUNCTION("""COMPUTED_VALUE"""),0.0)</f>
        <v>0</v>
      </c>
      <c r="L15" s="23" t="str">
        <f>IFERROR(__xludf.DUMMYFUNCTION("""COMPUTED_VALUE"""),"")</f>
        <v/>
      </c>
      <c r="M15" s="4" t="str">
        <f>IFERROR(__xludf.DUMMYFUNCTION("""COMPUTED_VALUE"""),"未入金")</f>
        <v>未入金</v>
      </c>
      <c r="N15" s="19" t="str">
        <f>IFERROR(__xludf.DUMMYFUNCTION("""COMPUTED_VALUE"""),"")</f>
        <v/>
      </c>
      <c r="O15" s="19"/>
    </row>
    <row r="16" ht="15.75" customHeight="1">
      <c r="A16" s="19"/>
      <c r="B16" s="17">
        <f>IFERROR(__xludf.DUMMYFUNCTION("""COMPUTED_VALUE"""),46142.0)</f>
        <v>46142</v>
      </c>
      <c r="C16" s="4" t="str">
        <f>IFERROR(__xludf.DUMMYFUNCTION("""COMPUTED_VALUE"""),"ｽﾄﾛﾝｸﾞﾏｳﾝﾃﾝ㈱")</f>
        <v>ｽﾄﾛﾝｸﾞﾏｳﾝﾃﾝ㈱</v>
      </c>
      <c r="D16" s="19"/>
      <c r="E16" s="4" t="str">
        <f>IFERROR(__xludf.DUMMYFUNCTION("""COMPUTED_VALUE"""),"車販")</f>
        <v>車販</v>
      </c>
      <c r="F16" s="23"/>
      <c r="G16" s="19"/>
      <c r="H16" s="4" t="str">
        <f>IFERROR(__xludf.DUMMYFUNCTION("""COMPUTED_VALUE"""),"自動消込")</f>
        <v>自動消込</v>
      </c>
      <c r="I16" s="4" t="str">
        <f>IFERROR(__xludf.DUMMYFUNCTION("""COMPUTED_VALUE"""),"振り込み")</f>
        <v>振り込み</v>
      </c>
      <c r="J16" s="17"/>
      <c r="K16" s="23">
        <f>IFERROR(__xludf.DUMMYFUNCTION("""COMPUTED_VALUE"""),0.0)</f>
        <v>0</v>
      </c>
      <c r="L16" s="23" t="str">
        <f>IFERROR(__xludf.DUMMYFUNCTION("""COMPUTED_VALUE"""),"")</f>
        <v/>
      </c>
      <c r="M16" s="4" t="str">
        <f>IFERROR(__xludf.DUMMYFUNCTION("""COMPUTED_VALUE"""),"入金済")</f>
        <v>入金済</v>
      </c>
      <c r="N16" s="19" t="str">
        <f>IFERROR(__xludf.DUMMYFUNCTION("""COMPUTED_VALUE"""),"")</f>
        <v/>
      </c>
      <c r="O16" s="19"/>
    </row>
    <row r="17" ht="15.75" customHeight="1">
      <c r="A17" s="4" t="str">
        <f>IFERROR(__xludf.DUMMYFUNCTION("""COMPUTED_VALUE"""),"SB00024393")</f>
        <v>SB00024393</v>
      </c>
      <c r="B17" s="17">
        <f>IFERROR(__xludf.DUMMYFUNCTION("""COMPUTED_VALUE"""),46139.0)</f>
        <v>46139</v>
      </c>
      <c r="C17" s="4" t="str">
        <f>IFERROR(__xludf.DUMMYFUNCTION("""COMPUTED_VALUE"""),"谷川　雅一")</f>
        <v>谷川　雅一</v>
      </c>
      <c r="D17" s="19"/>
      <c r="E17" s="4" t="str">
        <f>IFERROR(__xludf.DUMMYFUNCTION("""COMPUTED_VALUE"""),"車検")</f>
        <v>車検</v>
      </c>
      <c r="F17" s="23"/>
      <c r="G17" s="19"/>
      <c r="H17" s="4" t="str">
        <f>IFERROR(__xludf.DUMMYFUNCTION("""COMPUTED_VALUE"""),"未照合")</f>
        <v>未照合</v>
      </c>
      <c r="I17" s="19"/>
      <c r="J17" s="17"/>
      <c r="K17" s="23">
        <f>IFERROR(__xludf.DUMMYFUNCTION("""COMPUTED_VALUE"""),0.0)</f>
        <v>0</v>
      </c>
      <c r="L17" s="23" t="str">
        <f>IFERROR(__xludf.DUMMYFUNCTION("""COMPUTED_VALUE"""),"")</f>
        <v/>
      </c>
      <c r="M17" s="4" t="str">
        <f>IFERROR(__xludf.DUMMYFUNCTION("""COMPUTED_VALUE"""),"未入金")</f>
        <v>未入金</v>
      </c>
      <c r="N17" s="19"/>
      <c r="O17" s="19"/>
    </row>
    <row r="18" ht="15.75" customHeight="1">
      <c r="A18" s="4" t="str">
        <f>IFERROR(__xludf.DUMMYFUNCTION("""COMPUTED_VALUE"""),"SB00024528")</f>
        <v>SB00024528</v>
      </c>
      <c r="B18" s="17">
        <f>IFERROR(__xludf.DUMMYFUNCTION("""COMPUTED_VALUE"""),46139.0)</f>
        <v>46139</v>
      </c>
      <c r="C18" s="4" t="str">
        <f>IFERROR(__xludf.DUMMYFUNCTION("""COMPUTED_VALUE"""),"株式会社　一真代表取締役　眞田奈津基")</f>
        <v>株式会社　一真代表取締役　眞田奈津基</v>
      </c>
      <c r="D18" s="19"/>
      <c r="E18" s="4" t="str">
        <f>IFERROR(__xludf.DUMMYFUNCTION("""COMPUTED_VALUE"""),"点検")</f>
        <v>点検</v>
      </c>
      <c r="F18" s="23"/>
      <c r="G18" s="19"/>
      <c r="H18" s="4" t="str">
        <f>IFERROR(__xludf.DUMMYFUNCTION("""COMPUTED_VALUE"""),"未照合")</f>
        <v>未照合</v>
      </c>
      <c r="I18" s="19"/>
      <c r="J18" s="17"/>
      <c r="K18" s="23">
        <f>IFERROR(__xludf.DUMMYFUNCTION("""COMPUTED_VALUE"""),0.0)</f>
        <v>0</v>
      </c>
      <c r="L18" s="23" t="str">
        <f>IFERROR(__xludf.DUMMYFUNCTION("""COMPUTED_VALUE"""),"")</f>
        <v/>
      </c>
      <c r="M18" s="4" t="str">
        <f>IFERROR(__xludf.DUMMYFUNCTION("""COMPUTED_VALUE"""),"未入金")</f>
        <v>未入金</v>
      </c>
      <c r="N18" s="19"/>
      <c r="O18" s="19"/>
    </row>
    <row r="19" ht="15.75" customHeight="1">
      <c r="A19" s="4" t="str">
        <f>IFERROR(__xludf.DUMMYFUNCTION("""COMPUTED_VALUE"""),"SB00024533")</f>
        <v>SB00024533</v>
      </c>
      <c r="B19" s="17">
        <f>IFERROR(__xludf.DUMMYFUNCTION("""COMPUTED_VALUE"""),46139.0)</f>
        <v>46139</v>
      </c>
      <c r="C19" s="4" t="str">
        <f>IFERROR(__xludf.DUMMYFUNCTION("""COMPUTED_VALUE"""),"株式会社　一真代表取締役　眞田奈津基")</f>
        <v>株式会社　一真代表取締役　眞田奈津基</v>
      </c>
      <c r="D19" s="19"/>
      <c r="E19" s="4" t="str">
        <f>IFERROR(__xludf.DUMMYFUNCTION("""COMPUTED_VALUE"""),"一般整備")</f>
        <v>一般整備</v>
      </c>
      <c r="F19" s="23"/>
      <c r="G19" s="19"/>
      <c r="H19" s="4" t="str">
        <f>IFERROR(__xludf.DUMMYFUNCTION("""COMPUTED_VALUE"""),"未照合")</f>
        <v>未照合</v>
      </c>
      <c r="I19" s="19"/>
      <c r="J19" s="17"/>
      <c r="K19" s="23">
        <f>IFERROR(__xludf.DUMMYFUNCTION("""COMPUTED_VALUE"""),0.0)</f>
        <v>0</v>
      </c>
      <c r="L19" s="23" t="str">
        <f>IFERROR(__xludf.DUMMYFUNCTION("""COMPUTED_VALUE"""),"")</f>
        <v/>
      </c>
      <c r="M19" s="4" t="str">
        <f>IFERROR(__xludf.DUMMYFUNCTION("""COMPUTED_VALUE"""),"未入金")</f>
        <v>未入金</v>
      </c>
      <c r="N19" s="19"/>
      <c r="O19" s="19"/>
    </row>
    <row r="20" ht="15.75" customHeight="1">
      <c r="A20" s="4" t="str">
        <f>IFERROR(__xludf.DUMMYFUNCTION("""COMPUTED_VALUE"""),"SB00024565")</f>
        <v>SB00024565</v>
      </c>
      <c r="B20" s="17">
        <f>IFERROR(__xludf.DUMMYFUNCTION("""COMPUTED_VALUE"""),46139.0)</f>
        <v>46139</v>
      </c>
      <c r="C20" s="4" t="str">
        <f>IFERROR(__xludf.DUMMYFUNCTION("""COMPUTED_VALUE"""),"有限会社　協栄商事代表取締役　眞城　地植")</f>
        <v>有限会社　協栄商事代表取締役　眞城　地植</v>
      </c>
      <c r="D20" s="19"/>
      <c r="E20" s="4" t="str">
        <f>IFERROR(__xludf.DUMMYFUNCTION("""COMPUTED_VALUE"""),"車検")</f>
        <v>車検</v>
      </c>
      <c r="F20" s="23"/>
      <c r="G20" s="19"/>
      <c r="H20" s="4" t="str">
        <f>IFERROR(__xludf.DUMMYFUNCTION("""COMPUTED_VALUE"""),"未照合")</f>
        <v>未照合</v>
      </c>
      <c r="I20" s="19"/>
      <c r="J20" s="17"/>
      <c r="K20" s="23">
        <f>IFERROR(__xludf.DUMMYFUNCTION("""COMPUTED_VALUE"""),0.0)</f>
        <v>0</v>
      </c>
      <c r="L20" s="23" t="str">
        <f>IFERROR(__xludf.DUMMYFUNCTION("""COMPUTED_VALUE"""),"")</f>
        <v/>
      </c>
      <c r="M20" s="4" t="str">
        <f>IFERROR(__xludf.DUMMYFUNCTION("""COMPUTED_VALUE"""),"未入金")</f>
        <v>未入金</v>
      </c>
      <c r="N20" s="19"/>
      <c r="O20" s="19"/>
    </row>
    <row r="21" ht="15.75" customHeight="1">
      <c r="A21" s="4" t="str">
        <f>IFERROR(__xludf.DUMMYFUNCTION("""COMPUTED_VALUE"""),"SB00024580")</f>
        <v>SB00024580</v>
      </c>
      <c r="B21" s="17">
        <f>IFERROR(__xludf.DUMMYFUNCTION("""COMPUTED_VALUE"""),46139.0)</f>
        <v>46139</v>
      </c>
      <c r="C21" s="4" t="str">
        <f>IFERROR(__xludf.DUMMYFUNCTION("""COMPUTED_VALUE"""),"医療法人　彩生会理事長　中島　健吾")</f>
        <v>医療法人　彩生会理事長　中島　健吾</v>
      </c>
      <c r="D21" s="19"/>
      <c r="E21" s="4" t="str">
        <f>IFERROR(__xludf.DUMMYFUNCTION("""COMPUTED_VALUE"""),"一般整備")</f>
        <v>一般整備</v>
      </c>
      <c r="F21" s="23"/>
      <c r="G21" s="19"/>
      <c r="H21" s="4" t="str">
        <f>IFERROR(__xludf.DUMMYFUNCTION("""COMPUTED_VALUE"""),"未照合")</f>
        <v>未照合</v>
      </c>
      <c r="I21" s="19"/>
      <c r="J21" s="17"/>
      <c r="K21" s="23">
        <f>IFERROR(__xludf.DUMMYFUNCTION("""COMPUTED_VALUE"""),0.0)</f>
        <v>0</v>
      </c>
      <c r="L21" s="23" t="str">
        <f>IFERROR(__xludf.DUMMYFUNCTION("""COMPUTED_VALUE"""),"")</f>
        <v/>
      </c>
      <c r="M21" s="4" t="str">
        <f>IFERROR(__xludf.DUMMYFUNCTION("""COMPUTED_VALUE"""),"未入金")</f>
        <v>未入金</v>
      </c>
      <c r="N21" s="19"/>
      <c r="O21" s="19"/>
    </row>
    <row r="22" ht="15.75" customHeight="1">
      <c r="A22" s="4" t="str">
        <f>IFERROR(__xludf.DUMMYFUNCTION("""COMPUTED_VALUE"""),"SB00024584")</f>
        <v>SB00024584</v>
      </c>
      <c r="B22" s="17">
        <f>IFERROR(__xludf.DUMMYFUNCTION("""COMPUTED_VALUE"""),46139.0)</f>
        <v>46139</v>
      </c>
      <c r="C22" s="4" t="str">
        <f>IFERROR(__xludf.DUMMYFUNCTION("""COMPUTED_VALUE"""),"千々木　弘道")</f>
        <v>千々木　弘道</v>
      </c>
      <c r="D22" s="19"/>
      <c r="E22" s="4" t="str">
        <f>IFERROR(__xludf.DUMMYFUNCTION("""COMPUTED_VALUE"""),"車検")</f>
        <v>車検</v>
      </c>
      <c r="F22" s="23"/>
      <c r="G22" s="19"/>
      <c r="H22" s="4" t="str">
        <f>IFERROR(__xludf.DUMMYFUNCTION("""COMPUTED_VALUE"""),"未照合")</f>
        <v>未照合</v>
      </c>
      <c r="I22" s="19"/>
      <c r="J22" s="17"/>
      <c r="K22" s="23">
        <f>IFERROR(__xludf.DUMMYFUNCTION("""COMPUTED_VALUE"""),0.0)</f>
        <v>0</v>
      </c>
      <c r="L22" s="23" t="str">
        <f>IFERROR(__xludf.DUMMYFUNCTION("""COMPUTED_VALUE"""),"")</f>
        <v/>
      </c>
      <c r="M22" s="4" t="str">
        <f>IFERROR(__xludf.DUMMYFUNCTION("""COMPUTED_VALUE"""),"未入金")</f>
        <v>未入金</v>
      </c>
      <c r="N22" s="19"/>
      <c r="O22" s="19"/>
    </row>
    <row r="23" ht="15.75" customHeight="1">
      <c r="A23" s="4" t="str">
        <f>IFERROR(__xludf.DUMMYFUNCTION("""COMPUTED_VALUE"""),"SB00024592")</f>
        <v>SB00024592</v>
      </c>
      <c r="B23" s="17">
        <f>IFERROR(__xludf.DUMMYFUNCTION("""COMPUTED_VALUE"""),46139.0)</f>
        <v>46139</v>
      </c>
      <c r="C23" s="4" t="str">
        <f>IFERROR(__xludf.DUMMYFUNCTION("""COMPUTED_VALUE"""),"株式会社 ｱｸｾ代表取締役 　高垣　 圭一朗")</f>
        <v>株式会社 ｱｸｾ代表取締役 　高垣　 圭一朗</v>
      </c>
      <c r="D23" s="19"/>
      <c r="E23" s="4" t="str">
        <f>IFERROR(__xludf.DUMMYFUNCTION("""COMPUTED_VALUE"""),"一般整備")</f>
        <v>一般整備</v>
      </c>
      <c r="F23" s="23"/>
      <c r="G23" s="19"/>
      <c r="H23" s="4" t="str">
        <f>IFERROR(__xludf.DUMMYFUNCTION("""COMPUTED_VALUE"""),"未照合")</f>
        <v>未照合</v>
      </c>
      <c r="I23" s="19"/>
      <c r="J23" s="17"/>
      <c r="K23" s="23">
        <f>IFERROR(__xludf.DUMMYFUNCTION("""COMPUTED_VALUE"""),0.0)</f>
        <v>0</v>
      </c>
      <c r="L23" s="23" t="str">
        <f>IFERROR(__xludf.DUMMYFUNCTION("""COMPUTED_VALUE"""),"")</f>
        <v/>
      </c>
      <c r="M23" s="4" t="str">
        <f>IFERROR(__xludf.DUMMYFUNCTION("""COMPUTED_VALUE"""),"未入金")</f>
        <v>未入金</v>
      </c>
      <c r="N23" s="19"/>
      <c r="O23" s="19"/>
    </row>
    <row r="24" ht="15.75" customHeight="1">
      <c r="A24" s="4" t="str">
        <f>IFERROR(__xludf.DUMMYFUNCTION("""COMPUTED_VALUE"""),"SB00024524")</f>
        <v>SB00024524</v>
      </c>
      <c r="B24" s="17">
        <f>IFERROR(__xludf.DUMMYFUNCTION("""COMPUTED_VALUE"""),46139.0)</f>
        <v>46139</v>
      </c>
      <c r="C24" s="4" t="str">
        <f>IFERROR(__xludf.DUMMYFUNCTION("""COMPUTED_VALUE"""),"関根　わかな")</f>
        <v>関根　わかな</v>
      </c>
      <c r="D24" s="19"/>
      <c r="E24" s="4" t="str">
        <f>IFERROR(__xludf.DUMMYFUNCTION("""COMPUTED_VALUE"""),"点検")</f>
        <v>点検</v>
      </c>
      <c r="F24" s="23"/>
      <c r="G24" s="19"/>
      <c r="H24" s="4" t="str">
        <f>IFERROR(__xludf.DUMMYFUNCTION("""COMPUTED_VALUE"""),"自動消込")</f>
        <v>自動消込</v>
      </c>
      <c r="I24" s="4" t="str">
        <f>IFERROR(__xludf.DUMMYFUNCTION("""COMPUTED_VALUE"""),"振り込み")</f>
        <v>振り込み</v>
      </c>
      <c r="J24" s="17"/>
      <c r="K24" s="23">
        <f>IFERROR(__xludf.DUMMYFUNCTION("""COMPUTED_VALUE"""),93720.0)</f>
        <v>93720</v>
      </c>
      <c r="L24" s="23">
        <f>IFERROR(__xludf.DUMMYFUNCTION("""COMPUTED_VALUE"""),0.0)</f>
        <v>0</v>
      </c>
      <c r="M24" s="4" t="str">
        <f>IFERROR(__xludf.DUMMYFUNCTION("""COMPUTED_VALUE"""),"入金済")</f>
        <v>入金済</v>
      </c>
      <c r="N24" s="19"/>
      <c r="O24" s="4" t="str">
        <f>IFERROR(__xludf.DUMMYFUNCTION("""COMPUTED_VALUE"""),"銀行入金 2026/04/28 93,720")</f>
        <v>銀行入金 2026/04/28 93,720</v>
      </c>
    </row>
    <row r="25" ht="15.75" customHeight="1">
      <c r="A25" s="4" t="str">
        <f>IFERROR(__xludf.DUMMYFUNCTION("""COMPUTED_VALUE"""),"SB00024574")</f>
        <v>SB00024574</v>
      </c>
      <c r="B25" s="17">
        <f>IFERROR(__xludf.DUMMYFUNCTION("""COMPUTED_VALUE"""),46137.0)</f>
        <v>46137</v>
      </c>
      <c r="C25" s="4" t="str">
        <f>IFERROR(__xludf.DUMMYFUNCTION("""COMPUTED_VALUE"""),"有限会社エル・グレコ代表取締役 長沼　眞智子")</f>
        <v>有限会社エル・グレコ代表取締役 長沼　眞智子</v>
      </c>
      <c r="D25" s="4" t="str">
        <f>IFERROR(__xludf.DUMMYFUNCTION("""COMPUTED_VALUE"""),"三井住友海上火災保険　株式会社")</f>
        <v>三井住友海上火災保険　株式会社</v>
      </c>
      <c r="E25" s="4" t="str">
        <f>IFERROR(__xludf.DUMMYFUNCTION("""COMPUTED_VALUE"""),"保険請求")</f>
        <v>保険請求</v>
      </c>
      <c r="F25" s="23"/>
      <c r="G25" s="4"/>
      <c r="H25" s="4" t="str">
        <f>IFERROR(__xludf.DUMMYFUNCTION("""COMPUTED_VALUE"""),"未照合")</f>
        <v>未照合</v>
      </c>
      <c r="I25" s="4"/>
      <c r="J25" s="17"/>
      <c r="K25" s="23">
        <f>IFERROR(__xludf.DUMMYFUNCTION("""COMPUTED_VALUE"""),0.0)</f>
        <v>0</v>
      </c>
      <c r="L25" s="23" t="str">
        <f>IFERROR(__xludf.DUMMYFUNCTION("""COMPUTED_VALUE"""),"")</f>
        <v/>
      </c>
      <c r="M25" s="4" t="str">
        <f>IFERROR(__xludf.DUMMYFUNCTION("""COMPUTED_VALUE"""),"未入金")</f>
        <v>未入金</v>
      </c>
      <c r="N25" s="19" t="str">
        <f>IFERROR(__xludf.DUMMYFUNCTION("""COMPUTED_VALUE"""),"")</f>
        <v/>
      </c>
      <c r="O25" s="19"/>
    </row>
    <row r="26" ht="15.75" customHeight="1">
      <c r="A26" s="4" t="str">
        <f>IFERROR(__xludf.DUMMYFUNCTION("""COMPUTED_VALUE"""),"SB00024586")</f>
        <v>SB00024586</v>
      </c>
      <c r="B26" s="17">
        <f>IFERROR(__xludf.DUMMYFUNCTION("""COMPUTED_VALUE"""),46137.0)</f>
        <v>46137</v>
      </c>
      <c r="C26" s="4" t="str">
        <f>IFERROR(__xludf.DUMMYFUNCTION("""COMPUTED_VALUE"""),"村上　裕二")</f>
        <v>村上　裕二</v>
      </c>
      <c r="D26" s="4" t="str">
        <f>IFERROR(__xludf.DUMMYFUNCTION("""COMPUTED_VALUE"""),"東京海上日動火災保険株式会社")</f>
        <v>東京海上日動火災保険株式会社</v>
      </c>
      <c r="E26" s="4" t="str">
        <f>IFERROR(__xludf.DUMMYFUNCTION("""COMPUTED_VALUE"""),"損保ﾚﾝ（福")</f>
        <v>損保ﾚﾝ（福</v>
      </c>
      <c r="F26" s="23"/>
      <c r="G26" s="4"/>
      <c r="H26" s="4" t="str">
        <f>IFERROR(__xludf.DUMMYFUNCTION("""COMPUTED_VALUE"""),"未照合")</f>
        <v>未照合</v>
      </c>
      <c r="I26" s="4"/>
      <c r="J26" s="17"/>
      <c r="K26" s="23">
        <f>IFERROR(__xludf.DUMMYFUNCTION("""COMPUTED_VALUE"""),0.0)</f>
        <v>0</v>
      </c>
      <c r="L26" s="23" t="str">
        <f>IFERROR(__xludf.DUMMYFUNCTION("""COMPUTED_VALUE"""),"")</f>
        <v/>
      </c>
      <c r="M26" s="4" t="str">
        <f>IFERROR(__xludf.DUMMYFUNCTION("""COMPUTED_VALUE"""),"未入金")</f>
        <v>未入金</v>
      </c>
      <c r="N26" s="19" t="str">
        <f>IFERROR(__xludf.DUMMYFUNCTION("""COMPUTED_VALUE"""),"")</f>
        <v/>
      </c>
      <c r="O26" s="19"/>
    </row>
    <row r="27" ht="15.75" customHeight="1">
      <c r="A27" s="4" t="str">
        <f>IFERROR(__xludf.DUMMYFUNCTION("""COMPUTED_VALUE"""),"SB00024587")</f>
        <v>SB00024587</v>
      </c>
      <c r="B27" s="17">
        <f>IFERROR(__xludf.DUMMYFUNCTION("""COMPUTED_VALUE"""),46137.0)</f>
        <v>46137</v>
      </c>
      <c r="C27" s="4" t="str">
        <f>IFERROR(__xludf.DUMMYFUNCTION("""COMPUTED_VALUE"""),"株式会社 ｻﾝｴｽ　代表取締役社長 佐藤卓己")</f>
        <v>株式会社 ｻﾝｴｽ　代表取締役社長 佐藤卓己</v>
      </c>
      <c r="D27" s="4"/>
      <c r="E27" s="4" t="str">
        <f>IFERROR(__xludf.DUMMYFUNCTION("""COMPUTED_VALUE"""),"保険請求")</f>
        <v>保険請求</v>
      </c>
      <c r="F27" s="23"/>
      <c r="G27" s="4"/>
      <c r="H27" s="4" t="str">
        <f>IFERROR(__xludf.DUMMYFUNCTION("""COMPUTED_VALUE"""),"自動消込")</f>
        <v>自動消込</v>
      </c>
      <c r="I27" s="4" t="str">
        <f>IFERROR(__xludf.DUMMYFUNCTION("""COMPUTED_VALUE"""),"振り込み")</f>
        <v>振り込み</v>
      </c>
      <c r="J27" s="17"/>
      <c r="K27" s="23">
        <f>IFERROR(__xludf.DUMMYFUNCTION("""COMPUTED_VALUE"""),0.0)</f>
        <v>0</v>
      </c>
      <c r="L27" s="23" t="str">
        <f>IFERROR(__xludf.DUMMYFUNCTION("""COMPUTED_VALUE"""),"")</f>
        <v/>
      </c>
      <c r="M27" s="4" t="str">
        <f>IFERROR(__xludf.DUMMYFUNCTION("""COMPUTED_VALUE"""),"入金済")</f>
        <v>入金済</v>
      </c>
      <c r="N27" s="19" t="str">
        <f>IFERROR(__xludf.DUMMYFUNCTION("""COMPUTED_VALUE"""),"")</f>
        <v/>
      </c>
      <c r="O27" s="19"/>
    </row>
    <row r="28" ht="15.75" customHeight="1">
      <c r="A28" s="4" t="str">
        <f>IFERROR(__xludf.DUMMYFUNCTION("""COMPUTED_VALUE"""),"SB00024589")</f>
        <v>SB00024589</v>
      </c>
      <c r="B28" s="17">
        <f>IFERROR(__xludf.DUMMYFUNCTION("""COMPUTED_VALUE"""),46137.0)</f>
        <v>46137</v>
      </c>
      <c r="C28" s="4" t="str">
        <f>IFERROR(__xludf.DUMMYFUNCTION("""COMPUTED_VALUE"""),"吉野　準")</f>
        <v>吉野　準</v>
      </c>
      <c r="D28" s="4" t="str">
        <f>IFERROR(__xludf.DUMMYFUNCTION("""COMPUTED_VALUE"""),"株式会社コンクエスト　ジャガーランドローバー広島")</f>
        <v>株式会社コンクエスト　ジャガーランドローバー広島</v>
      </c>
      <c r="E28" s="4" t="str">
        <f>IFERROR(__xludf.DUMMYFUNCTION("""COMPUTED_VALUE"""),"一般整備")</f>
        <v>一般整備</v>
      </c>
      <c r="F28" s="23"/>
      <c r="G28" s="4"/>
      <c r="H28" s="4" t="str">
        <f>IFERROR(__xludf.DUMMYFUNCTION("""COMPUTED_VALUE"""),"未照合")</f>
        <v>未照合</v>
      </c>
      <c r="I28" s="4"/>
      <c r="J28" s="17"/>
      <c r="K28" s="23">
        <f>IFERROR(__xludf.DUMMYFUNCTION("""COMPUTED_VALUE"""),0.0)</f>
        <v>0</v>
      </c>
      <c r="L28" s="23" t="str">
        <f>IFERROR(__xludf.DUMMYFUNCTION("""COMPUTED_VALUE"""),"")</f>
        <v/>
      </c>
      <c r="M28" s="4" t="str">
        <f>IFERROR(__xludf.DUMMYFUNCTION("""COMPUTED_VALUE"""),"未入金")</f>
        <v>未入金</v>
      </c>
      <c r="N28" s="19" t="str">
        <f>IFERROR(__xludf.DUMMYFUNCTION("""COMPUTED_VALUE"""),"")</f>
        <v/>
      </c>
      <c r="O28" s="19"/>
    </row>
    <row r="29" ht="15.75" customHeight="1">
      <c r="A29" s="4" t="str">
        <f>IFERROR(__xludf.DUMMYFUNCTION("""COMPUTED_VALUE"""),"SB00024590")</f>
        <v>SB00024590</v>
      </c>
      <c r="B29" s="17">
        <f>IFERROR(__xludf.DUMMYFUNCTION("""COMPUTED_VALUE"""),46137.0)</f>
        <v>46137</v>
      </c>
      <c r="C29" s="4" t="str">
        <f>IFERROR(__xludf.DUMMYFUNCTION("""COMPUTED_VALUE"""),"株式会社　水島設備代表取締役　岡彬")</f>
        <v>株式会社　水島設備代表取締役　岡彬</v>
      </c>
      <c r="D29" s="4" t="str">
        <f>IFERROR(__xludf.DUMMYFUNCTION("""COMPUTED_VALUE"""),"株式会社コンクエスト　ジャガーランドローバー広島")</f>
        <v>株式会社コンクエスト　ジャガーランドローバー広島</v>
      </c>
      <c r="E29" s="4" t="str">
        <f>IFERROR(__xludf.DUMMYFUNCTION("""COMPUTED_VALUE"""),"一般整備")</f>
        <v>一般整備</v>
      </c>
      <c r="F29" s="23"/>
      <c r="G29" s="4"/>
      <c r="H29" s="4" t="str">
        <f>IFERROR(__xludf.DUMMYFUNCTION("""COMPUTED_VALUE"""),"未照合")</f>
        <v>未照合</v>
      </c>
      <c r="I29" s="4"/>
      <c r="J29" s="17"/>
      <c r="K29" s="23">
        <f>IFERROR(__xludf.DUMMYFUNCTION("""COMPUTED_VALUE"""),0.0)</f>
        <v>0</v>
      </c>
      <c r="L29" s="23" t="str">
        <f>IFERROR(__xludf.DUMMYFUNCTION("""COMPUTED_VALUE"""),"")</f>
        <v/>
      </c>
      <c r="M29" s="4" t="str">
        <f>IFERROR(__xludf.DUMMYFUNCTION("""COMPUTED_VALUE"""),"未入金")</f>
        <v>未入金</v>
      </c>
      <c r="N29" s="19" t="str">
        <f>IFERROR(__xludf.DUMMYFUNCTION("""COMPUTED_VALUE"""),"")</f>
        <v/>
      </c>
      <c r="O29" s="19"/>
    </row>
    <row r="30" ht="15.75" customHeight="1">
      <c r="A30" s="4" t="str">
        <f>IFERROR(__xludf.DUMMYFUNCTION("""COMPUTED_VALUE"""),"SB00024522")</f>
        <v>SB00024522</v>
      </c>
      <c r="B30" s="17">
        <f>IFERROR(__xludf.DUMMYFUNCTION("""COMPUTED_VALUE"""),46137.0)</f>
        <v>46137</v>
      </c>
      <c r="C30" s="4" t="str">
        <f>IFERROR(__xludf.DUMMYFUNCTION("""COMPUTED_VALUE"""),"株式会社 ｻﾝｴｽ　代表取締役社長 佐藤卓己")</f>
        <v>株式会社 ｻﾝｴｽ　代表取締役社長 佐藤卓己</v>
      </c>
      <c r="D30" s="4" t="str">
        <f>IFERROR(__xludf.DUMMYFUNCTION("""COMPUTED_VALUE"""),"東京海上日動火災保険株式会社")</f>
        <v>東京海上日動火災保険株式会社</v>
      </c>
      <c r="E30" s="4" t="str">
        <f>IFERROR(__xludf.DUMMYFUNCTION("""COMPUTED_VALUE"""),"保険請求")</f>
        <v>保険請求</v>
      </c>
      <c r="F30" s="23"/>
      <c r="G30" s="19"/>
      <c r="H30" s="4" t="str">
        <f>IFERROR(__xludf.DUMMYFUNCTION("""COMPUTED_VALUE"""),"未照合")</f>
        <v>未照合</v>
      </c>
      <c r="I30" s="19"/>
      <c r="J30" s="17"/>
      <c r="K30" s="23">
        <f>IFERROR(__xludf.DUMMYFUNCTION("""COMPUTED_VALUE"""),0.0)</f>
        <v>0</v>
      </c>
      <c r="L30" s="23" t="str">
        <f>IFERROR(__xludf.DUMMYFUNCTION("""COMPUTED_VALUE"""),"")</f>
        <v/>
      </c>
      <c r="M30" s="4" t="str">
        <f>IFERROR(__xludf.DUMMYFUNCTION("""COMPUTED_VALUE"""),"未入金")</f>
        <v>未入金</v>
      </c>
      <c r="N30" s="19"/>
      <c r="O30" s="19"/>
    </row>
    <row r="31" ht="15.75" customHeight="1">
      <c r="A31" s="4" t="str">
        <f>IFERROR(__xludf.DUMMYFUNCTION("""COMPUTED_VALUE"""),"SB00024532")</f>
        <v>SB00024532</v>
      </c>
      <c r="B31" s="17">
        <f>IFERROR(__xludf.DUMMYFUNCTION("""COMPUTED_VALUE"""),46137.0)</f>
        <v>46137</v>
      </c>
      <c r="C31" s="4" t="str">
        <f>IFERROR(__xludf.DUMMYFUNCTION("""COMPUTED_VALUE"""),"村上　裕二")</f>
        <v>村上　裕二</v>
      </c>
      <c r="D31" s="4" t="str">
        <f>IFERROR(__xludf.DUMMYFUNCTION("""COMPUTED_VALUE"""),"東京海上日動火災保険株式会社")</f>
        <v>東京海上日動火災保険株式会社</v>
      </c>
      <c r="E31" s="4" t="str">
        <f>IFERROR(__xludf.DUMMYFUNCTION("""COMPUTED_VALUE"""),"損保ﾚﾝ（福")</f>
        <v>損保ﾚﾝ（福</v>
      </c>
      <c r="F31" s="23"/>
      <c r="G31" s="19"/>
      <c r="H31" s="4" t="str">
        <f>IFERROR(__xludf.DUMMYFUNCTION("""COMPUTED_VALUE"""),"未照合")</f>
        <v>未照合</v>
      </c>
      <c r="I31" s="19"/>
      <c r="J31" s="17"/>
      <c r="K31" s="23">
        <f>IFERROR(__xludf.DUMMYFUNCTION("""COMPUTED_VALUE"""),0.0)</f>
        <v>0</v>
      </c>
      <c r="L31" s="23" t="str">
        <f>IFERROR(__xludf.DUMMYFUNCTION("""COMPUTED_VALUE"""),"")</f>
        <v/>
      </c>
      <c r="M31" s="4" t="str">
        <f>IFERROR(__xludf.DUMMYFUNCTION("""COMPUTED_VALUE"""),"未入金")</f>
        <v>未入金</v>
      </c>
      <c r="N31" s="19"/>
      <c r="O31" s="19"/>
    </row>
    <row r="32" ht="15.75" customHeight="1">
      <c r="A32" s="4" t="str">
        <f>IFERROR(__xludf.DUMMYFUNCTION("""COMPUTED_VALUE"""),"SB00024549")</f>
        <v>SB00024549</v>
      </c>
      <c r="B32" s="17">
        <f>IFERROR(__xludf.DUMMYFUNCTION("""COMPUTED_VALUE"""),46137.0)</f>
        <v>46137</v>
      </c>
      <c r="C32" s="4" t="str">
        <f>IFERROR(__xludf.DUMMYFUNCTION("""COMPUTED_VALUE"""),"株式会社ｄｒ-wanwan.com代表取締役 麻生暁秀")</f>
        <v>株式会社ｄｒ-wanwan.com代表取締役 麻生暁秀</v>
      </c>
      <c r="D32" s="19"/>
      <c r="E32" s="4" t="str">
        <f>IFERROR(__xludf.DUMMYFUNCTION("""COMPUTED_VALUE"""),"保険請求")</f>
        <v>保険請求</v>
      </c>
      <c r="F32" s="23"/>
      <c r="G32" s="19"/>
      <c r="H32" s="4" t="str">
        <f>IFERROR(__xludf.DUMMYFUNCTION("""COMPUTED_VALUE"""),"未照合")</f>
        <v>未照合</v>
      </c>
      <c r="I32" s="19"/>
      <c r="J32" s="17"/>
      <c r="K32" s="23">
        <f>IFERROR(__xludf.DUMMYFUNCTION("""COMPUTED_VALUE"""),0.0)</f>
        <v>0</v>
      </c>
      <c r="L32" s="23" t="str">
        <f>IFERROR(__xludf.DUMMYFUNCTION("""COMPUTED_VALUE"""),"")</f>
        <v/>
      </c>
      <c r="M32" s="4" t="str">
        <f>IFERROR(__xludf.DUMMYFUNCTION("""COMPUTED_VALUE"""),"未入金")</f>
        <v>未入金</v>
      </c>
      <c r="N32" s="19"/>
      <c r="O32" s="19"/>
    </row>
    <row r="33" ht="15.75" customHeight="1">
      <c r="A33" s="4" t="str">
        <f>IFERROR(__xludf.DUMMYFUNCTION("""COMPUTED_VALUE"""),"SB00024574")</f>
        <v>SB00024574</v>
      </c>
      <c r="B33" s="17">
        <f>IFERROR(__xludf.DUMMYFUNCTION("""COMPUTED_VALUE"""),46137.0)</f>
        <v>46137</v>
      </c>
      <c r="C33" s="4" t="str">
        <f>IFERROR(__xludf.DUMMYFUNCTION("""COMPUTED_VALUE"""),"有限会社エル・グレコ代表取締役 長沼　眞智子")</f>
        <v>有限会社エル・グレコ代表取締役 長沼　眞智子</v>
      </c>
      <c r="D33" s="4" t="str">
        <f>IFERROR(__xludf.DUMMYFUNCTION("""COMPUTED_VALUE"""),"三井住友海上火災保険　株式会社")</f>
        <v>三井住友海上火災保険　株式会社</v>
      </c>
      <c r="E33" s="4" t="str">
        <f>IFERROR(__xludf.DUMMYFUNCTION("""COMPUTED_VALUE"""),"保険請求")</f>
        <v>保険請求</v>
      </c>
      <c r="F33" s="23"/>
      <c r="G33" s="19"/>
      <c r="H33" s="4" t="str">
        <f>IFERROR(__xludf.DUMMYFUNCTION("""COMPUTED_VALUE"""),"未照合")</f>
        <v>未照合</v>
      </c>
      <c r="I33" s="19"/>
      <c r="J33" s="17"/>
      <c r="K33" s="23">
        <f>IFERROR(__xludf.DUMMYFUNCTION("""COMPUTED_VALUE"""),0.0)</f>
        <v>0</v>
      </c>
      <c r="L33" s="23" t="str">
        <f>IFERROR(__xludf.DUMMYFUNCTION("""COMPUTED_VALUE"""),"")</f>
        <v/>
      </c>
      <c r="M33" s="4" t="str">
        <f>IFERROR(__xludf.DUMMYFUNCTION("""COMPUTED_VALUE"""),"未入金")</f>
        <v>未入金</v>
      </c>
      <c r="N33" s="19"/>
      <c r="O33" s="19"/>
    </row>
    <row r="34" ht="15.75" customHeight="1">
      <c r="A34" s="4" t="str">
        <f>IFERROR(__xludf.DUMMYFUNCTION("""COMPUTED_VALUE"""),"SB00024586")</f>
        <v>SB00024586</v>
      </c>
      <c r="B34" s="17">
        <f>IFERROR(__xludf.DUMMYFUNCTION("""COMPUTED_VALUE"""),46137.0)</f>
        <v>46137</v>
      </c>
      <c r="C34" s="4" t="str">
        <f>IFERROR(__xludf.DUMMYFUNCTION("""COMPUTED_VALUE"""),"村上　裕二")</f>
        <v>村上　裕二</v>
      </c>
      <c r="D34" s="4" t="str">
        <f>IFERROR(__xludf.DUMMYFUNCTION("""COMPUTED_VALUE"""),"東京海上日動火災保険株式会社")</f>
        <v>東京海上日動火災保険株式会社</v>
      </c>
      <c r="E34" s="4" t="str">
        <f>IFERROR(__xludf.DUMMYFUNCTION("""COMPUTED_VALUE"""),"損保ﾚﾝ（福")</f>
        <v>損保ﾚﾝ（福</v>
      </c>
      <c r="F34" s="23"/>
      <c r="G34" s="19"/>
      <c r="H34" s="4" t="str">
        <f>IFERROR(__xludf.DUMMYFUNCTION("""COMPUTED_VALUE"""),"未照合")</f>
        <v>未照合</v>
      </c>
      <c r="I34" s="19"/>
      <c r="J34" s="17"/>
      <c r="K34" s="23">
        <f>IFERROR(__xludf.DUMMYFUNCTION("""COMPUTED_VALUE"""),0.0)</f>
        <v>0</v>
      </c>
      <c r="L34" s="23" t="str">
        <f>IFERROR(__xludf.DUMMYFUNCTION("""COMPUTED_VALUE"""),"")</f>
        <v/>
      </c>
      <c r="M34" s="4" t="str">
        <f>IFERROR(__xludf.DUMMYFUNCTION("""COMPUTED_VALUE"""),"未入金")</f>
        <v>未入金</v>
      </c>
      <c r="N34" s="19"/>
      <c r="O34" s="19"/>
    </row>
    <row r="35" ht="15.75" customHeight="1">
      <c r="A35" s="4" t="str">
        <f>IFERROR(__xludf.DUMMYFUNCTION("""COMPUTED_VALUE"""),"SB00024587")</f>
        <v>SB00024587</v>
      </c>
      <c r="B35" s="17">
        <f>IFERROR(__xludf.DUMMYFUNCTION("""COMPUTED_VALUE"""),46137.0)</f>
        <v>46137</v>
      </c>
      <c r="C35" s="4" t="str">
        <f>IFERROR(__xludf.DUMMYFUNCTION("""COMPUTED_VALUE"""),"株式会社 ｻﾝｴｽ　代表取締役社長 佐藤卓己")</f>
        <v>株式会社 ｻﾝｴｽ　代表取締役社長 佐藤卓己</v>
      </c>
      <c r="D35" s="19"/>
      <c r="E35" s="4" t="str">
        <f>IFERROR(__xludf.DUMMYFUNCTION("""COMPUTED_VALUE"""),"保険請求")</f>
        <v>保険請求</v>
      </c>
      <c r="F35" s="23"/>
      <c r="G35" s="19"/>
      <c r="H35" s="4" t="str">
        <f>IFERROR(__xludf.DUMMYFUNCTION("""COMPUTED_VALUE"""),"未照合")</f>
        <v>未照合</v>
      </c>
      <c r="I35" s="19"/>
      <c r="J35" s="17"/>
      <c r="K35" s="23">
        <f>IFERROR(__xludf.DUMMYFUNCTION("""COMPUTED_VALUE"""),0.0)</f>
        <v>0</v>
      </c>
      <c r="L35" s="23" t="str">
        <f>IFERROR(__xludf.DUMMYFUNCTION("""COMPUTED_VALUE"""),"")</f>
        <v/>
      </c>
      <c r="M35" s="4" t="str">
        <f>IFERROR(__xludf.DUMMYFUNCTION("""COMPUTED_VALUE"""),"未入金")</f>
        <v>未入金</v>
      </c>
      <c r="N35" s="19"/>
      <c r="O35" s="19"/>
    </row>
    <row r="36" ht="15.75" customHeight="1">
      <c r="A36" s="4" t="str">
        <f>IFERROR(__xludf.DUMMYFUNCTION("""COMPUTED_VALUE"""),"SB00024589")</f>
        <v>SB00024589</v>
      </c>
      <c r="B36" s="17">
        <f>IFERROR(__xludf.DUMMYFUNCTION("""COMPUTED_VALUE"""),46137.0)</f>
        <v>46137</v>
      </c>
      <c r="C36" s="4" t="str">
        <f>IFERROR(__xludf.DUMMYFUNCTION("""COMPUTED_VALUE"""),"吉野　準")</f>
        <v>吉野　準</v>
      </c>
      <c r="D36" s="4" t="str">
        <f>IFERROR(__xludf.DUMMYFUNCTION("""COMPUTED_VALUE"""),"株式会社コンクエスト　ジャガーランドローバー広島")</f>
        <v>株式会社コンクエスト　ジャガーランドローバー広島</v>
      </c>
      <c r="E36" s="4" t="str">
        <f>IFERROR(__xludf.DUMMYFUNCTION("""COMPUTED_VALUE"""),"一般整備")</f>
        <v>一般整備</v>
      </c>
      <c r="F36" s="23"/>
      <c r="G36" s="19"/>
      <c r="H36" s="4" t="str">
        <f>IFERROR(__xludf.DUMMYFUNCTION("""COMPUTED_VALUE"""),"未照合")</f>
        <v>未照合</v>
      </c>
      <c r="I36" s="19"/>
      <c r="J36" s="17"/>
      <c r="K36" s="23">
        <f>IFERROR(__xludf.DUMMYFUNCTION("""COMPUTED_VALUE"""),0.0)</f>
        <v>0</v>
      </c>
      <c r="L36" s="23" t="str">
        <f>IFERROR(__xludf.DUMMYFUNCTION("""COMPUTED_VALUE"""),"")</f>
        <v/>
      </c>
      <c r="M36" s="4" t="str">
        <f>IFERROR(__xludf.DUMMYFUNCTION("""COMPUTED_VALUE"""),"未入金")</f>
        <v>未入金</v>
      </c>
      <c r="N36" s="19"/>
      <c r="O36" s="19"/>
    </row>
    <row r="37" ht="15.75" customHeight="1">
      <c r="A37" s="4" t="str">
        <f>IFERROR(__xludf.DUMMYFUNCTION("""COMPUTED_VALUE"""),"SB00024590")</f>
        <v>SB00024590</v>
      </c>
      <c r="B37" s="17">
        <f>IFERROR(__xludf.DUMMYFUNCTION("""COMPUTED_VALUE"""),46137.0)</f>
        <v>46137</v>
      </c>
      <c r="C37" s="4" t="str">
        <f>IFERROR(__xludf.DUMMYFUNCTION("""COMPUTED_VALUE"""),"株式会社　水島設備代表取締役　岡彬")</f>
        <v>株式会社　水島設備代表取締役　岡彬</v>
      </c>
      <c r="D37" s="4" t="str">
        <f>IFERROR(__xludf.DUMMYFUNCTION("""COMPUTED_VALUE"""),"株式会社コンクエスト　ジャガーランドローバー広島")</f>
        <v>株式会社コンクエスト　ジャガーランドローバー広島</v>
      </c>
      <c r="E37" s="4" t="str">
        <f>IFERROR(__xludf.DUMMYFUNCTION("""COMPUTED_VALUE"""),"一般整備")</f>
        <v>一般整備</v>
      </c>
      <c r="F37" s="23"/>
      <c r="G37" s="19"/>
      <c r="H37" s="4" t="str">
        <f>IFERROR(__xludf.DUMMYFUNCTION("""COMPUTED_VALUE"""),"未照合")</f>
        <v>未照合</v>
      </c>
      <c r="I37" s="19"/>
      <c r="J37" s="17"/>
      <c r="K37" s="23">
        <f>IFERROR(__xludf.DUMMYFUNCTION("""COMPUTED_VALUE"""),0.0)</f>
        <v>0</v>
      </c>
      <c r="L37" s="23" t="str">
        <f>IFERROR(__xludf.DUMMYFUNCTION("""COMPUTED_VALUE"""),"")</f>
        <v/>
      </c>
      <c r="M37" s="4" t="str">
        <f>IFERROR(__xludf.DUMMYFUNCTION("""COMPUTED_VALUE"""),"未入金")</f>
        <v>未入金</v>
      </c>
      <c r="N37" s="19"/>
      <c r="O37" s="19"/>
    </row>
    <row r="38" ht="15.75" customHeight="1">
      <c r="A38" s="4" t="str">
        <f>IFERROR(__xludf.DUMMYFUNCTION("""COMPUTED_VALUE"""),"SB00024579")</f>
        <v>SB00024579</v>
      </c>
      <c r="B38" s="17">
        <f>IFERROR(__xludf.DUMMYFUNCTION("""COMPUTED_VALUE"""),46135.0)</f>
        <v>46135</v>
      </c>
      <c r="C38" s="4" t="str">
        <f>IFERROR(__xludf.DUMMYFUNCTION("""COMPUTED_VALUE"""),"高垣圭一朗")</f>
        <v>高垣圭一朗</v>
      </c>
      <c r="D38" s="19"/>
      <c r="E38" s="4" t="str">
        <f>IFERROR(__xludf.DUMMYFUNCTION("""COMPUTED_VALUE"""),"車検")</f>
        <v>車検</v>
      </c>
      <c r="F38" s="23"/>
      <c r="G38" s="4"/>
      <c r="H38" s="4" t="str">
        <f>IFERROR(__xludf.DUMMYFUNCTION("""COMPUTED_VALUE"""),"未照合")</f>
        <v>未照合</v>
      </c>
      <c r="I38" s="4"/>
      <c r="J38" s="17"/>
      <c r="K38" s="23">
        <f>IFERROR(__xludf.DUMMYFUNCTION("""COMPUTED_VALUE"""),0.0)</f>
        <v>0</v>
      </c>
      <c r="L38" s="23" t="str">
        <f>IFERROR(__xludf.DUMMYFUNCTION("""COMPUTED_VALUE"""),"")</f>
        <v/>
      </c>
      <c r="M38" s="4" t="str">
        <f>IFERROR(__xludf.DUMMYFUNCTION("""COMPUTED_VALUE"""),"未入金")</f>
        <v>未入金</v>
      </c>
      <c r="N38" s="19" t="str">
        <f>IFERROR(__xludf.DUMMYFUNCTION("""COMPUTED_VALUE"""),"")</f>
        <v/>
      </c>
      <c r="O38" s="19"/>
    </row>
    <row r="39" ht="15.75" customHeight="1">
      <c r="A39" s="4" t="str">
        <f>IFERROR(__xludf.DUMMYFUNCTION("""COMPUTED_VALUE"""),"SB00024583")</f>
        <v>SB00024583</v>
      </c>
      <c r="B39" s="17">
        <f>IFERROR(__xludf.DUMMYFUNCTION("""COMPUTED_VALUE"""),46135.0)</f>
        <v>46135</v>
      </c>
      <c r="C39" s="4" t="str">
        <f>IFERROR(__xludf.DUMMYFUNCTION("""COMPUTED_VALUE"""),"医療法人　徹慈会　　堀病院理事長　宇高毅")</f>
        <v>医療法人　徹慈会　　堀病院理事長　宇高毅</v>
      </c>
      <c r="D39" s="19"/>
      <c r="E39" s="4" t="str">
        <f>IFERROR(__xludf.DUMMYFUNCTION("""COMPUTED_VALUE"""),"一般整備")</f>
        <v>一般整備</v>
      </c>
      <c r="F39" s="23"/>
      <c r="G39" s="4"/>
      <c r="H39" s="4" t="str">
        <f>IFERROR(__xludf.DUMMYFUNCTION("""COMPUTED_VALUE"""),"自動消込")</f>
        <v>自動消込</v>
      </c>
      <c r="I39" s="4" t="str">
        <f>IFERROR(__xludf.DUMMYFUNCTION("""COMPUTED_VALUE"""),"JCB")</f>
        <v>JCB</v>
      </c>
      <c r="J39" s="17"/>
      <c r="K39" s="23">
        <f>IFERROR(__xludf.DUMMYFUNCTION("""COMPUTED_VALUE"""),0.0)</f>
        <v>0</v>
      </c>
      <c r="L39" s="23" t="str">
        <f>IFERROR(__xludf.DUMMYFUNCTION("""COMPUTED_VALUE"""),"")</f>
        <v/>
      </c>
      <c r="M39" s="4" t="str">
        <f>IFERROR(__xludf.DUMMYFUNCTION("""COMPUTED_VALUE"""),"入金済")</f>
        <v>入金済</v>
      </c>
      <c r="N39" s="19" t="str">
        <f>IFERROR(__xludf.DUMMYFUNCTION("""COMPUTED_VALUE"""),"")</f>
        <v/>
      </c>
      <c r="O39" s="19"/>
    </row>
    <row r="40" ht="15.75" customHeight="1">
      <c r="A40" s="4" t="str">
        <f>IFERROR(__xludf.DUMMYFUNCTION("""COMPUTED_VALUE"""),"SB00024540")</f>
        <v>SB00024540</v>
      </c>
      <c r="B40" s="17">
        <f>IFERROR(__xludf.DUMMYFUNCTION("""COMPUTED_VALUE"""),46135.0)</f>
        <v>46135</v>
      </c>
      <c r="C40" s="4" t="str">
        <f>IFERROR(__xludf.DUMMYFUNCTION("""COMPUTED_VALUE"""),"有限会社ミモザ薬局代表取締役　藤原清隆")</f>
        <v>有限会社ミモザ薬局代表取締役　藤原清隆</v>
      </c>
      <c r="D40" s="4" t="str">
        <f>IFERROR(__xludf.DUMMYFUNCTION("""COMPUTED_VALUE"""),"株式会社コンクエスト　ジャガーランドローバー広島")</f>
        <v>株式会社コンクエスト　ジャガーランドローバー広島</v>
      </c>
      <c r="E40" s="4" t="str">
        <f>IFERROR(__xludf.DUMMYFUNCTION("""COMPUTED_VALUE"""),"点検")</f>
        <v>点検</v>
      </c>
      <c r="F40" s="23"/>
      <c r="G40" s="19"/>
      <c r="H40" s="4" t="str">
        <f>IFERROR(__xludf.DUMMYFUNCTION("""COMPUTED_VALUE"""),"未照合")</f>
        <v>未照合</v>
      </c>
      <c r="I40" s="19"/>
      <c r="J40" s="17"/>
      <c r="K40" s="23">
        <f>IFERROR(__xludf.DUMMYFUNCTION("""COMPUTED_VALUE"""),0.0)</f>
        <v>0</v>
      </c>
      <c r="L40" s="23" t="str">
        <f>IFERROR(__xludf.DUMMYFUNCTION("""COMPUTED_VALUE"""),"")</f>
        <v/>
      </c>
      <c r="M40" s="4" t="str">
        <f>IFERROR(__xludf.DUMMYFUNCTION("""COMPUTED_VALUE"""),"未入金")</f>
        <v>未入金</v>
      </c>
      <c r="N40" s="19"/>
      <c r="O40" s="19"/>
    </row>
    <row r="41" ht="15.75" customHeight="1">
      <c r="A41" s="4" t="str">
        <f>IFERROR(__xludf.DUMMYFUNCTION("""COMPUTED_VALUE"""),"SB00024579")</f>
        <v>SB00024579</v>
      </c>
      <c r="B41" s="17">
        <f>IFERROR(__xludf.DUMMYFUNCTION("""COMPUTED_VALUE"""),46135.0)</f>
        <v>46135</v>
      </c>
      <c r="C41" s="4" t="str">
        <f>IFERROR(__xludf.DUMMYFUNCTION("""COMPUTED_VALUE"""),"高垣圭一朗")</f>
        <v>高垣圭一朗</v>
      </c>
      <c r="D41" s="19"/>
      <c r="E41" s="4" t="str">
        <f>IFERROR(__xludf.DUMMYFUNCTION("""COMPUTED_VALUE"""),"車検")</f>
        <v>車検</v>
      </c>
      <c r="F41" s="23"/>
      <c r="G41" s="19"/>
      <c r="H41" s="4" t="str">
        <f>IFERROR(__xludf.DUMMYFUNCTION("""COMPUTED_VALUE"""),"未照合")</f>
        <v>未照合</v>
      </c>
      <c r="I41" s="19"/>
      <c r="J41" s="17"/>
      <c r="K41" s="23">
        <f>IFERROR(__xludf.DUMMYFUNCTION("""COMPUTED_VALUE"""),0.0)</f>
        <v>0</v>
      </c>
      <c r="L41" s="23" t="str">
        <f>IFERROR(__xludf.DUMMYFUNCTION("""COMPUTED_VALUE"""),"")</f>
        <v/>
      </c>
      <c r="M41" s="4" t="str">
        <f>IFERROR(__xludf.DUMMYFUNCTION("""COMPUTED_VALUE"""),"未入金")</f>
        <v>未入金</v>
      </c>
      <c r="N41" s="19"/>
      <c r="O41" s="19"/>
    </row>
    <row r="42" ht="15.75" customHeight="1">
      <c r="A42" s="4" t="str">
        <f>IFERROR(__xludf.DUMMYFUNCTION("""COMPUTED_VALUE"""),"SB00024583")</f>
        <v>SB00024583</v>
      </c>
      <c r="B42" s="17">
        <f>IFERROR(__xludf.DUMMYFUNCTION("""COMPUTED_VALUE"""),46135.0)</f>
        <v>46135</v>
      </c>
      <c r="C42" s="4" t="str">
        <f>IFERROR(__xludf.DUMMYFUNCTION("""COMPUTED_VALUE"""),"医療法人　徹慈会　　堀病院理事長　宇高毅")</f>
        <v>医療法人　徹慈会　　堀病院理事長　宇高毅</v>
      </c>
      <c r="D42" s="19"/>
      <c r="E42" s="4" t="str">
        <f>IFERROR(__xludf.DUMMYFUNCTION("""COMPUTED_VALUE"""),"一般整備")</f>
        <v>一般整備</v>
      </c>
      <c r="F42" s="23"/>
      <c r="G42" s="19"/>
      <c r="H42" s="4" t="str">
        <f>IFERROR(__xludf.DUMMYFUNCTION("""COMPUTED_VALUE"""),"未照合")</f>
        <v>未照合</v>
      </c>
      <c r="I42" s="19"/>
      <c r="J42" s="17"/>
      <c r="K42" s="23">
        <f>IFERROR(__xludf.DUMMYFUNCTION("""COMPUTED_VALUE"""),0.0)</f>
        <v>0</v>
      </c>
      <c r="L42" s="23" t="str">
        <f>IFERROR(__xludf.DUMMYFUNCTION("""COMPUTED_VALUE"""),"")</f>
        <v/>
      </c>
      <c r="M42" s="4" t="str">
        <f>IFERROR(__xludf.DUMMYFUNCTION("""COMPUTED_VALUE"""),"未入金")</f>
        <v>未入金</v>
      </c>
      <c r="N42" s="19"/>
      <c r="O42" s="19"/>
    </row>
    <row r="43" ht="15.75" customHeight="1">
      <c r="A43" s="4" t="str">
        <f>IFERROR(__xludf.DUMMYFUNCTION("""COMPUTED_VALUE"""),"SB00024533")</f>
        <v>SB00024533</v>
      </c>
      <c r="B43" s="17">
        <f>IFERROR(__xludf.DUMMYFUNCTION("""COMPUTED_VALUE"""),46131.0)</f>
        <v>46131</v>
      </c>
      <c r="C43" s="4" t="str">
        <f>IFERROR(__xludf.DUMMYFUNCTION("""COMPUTED_VALUE"""),"株式会社　一真代表取締役　眞田奈津基")</f>
        <v>株式会社　一真代表取締役　眞田奈津基</v>
      </c>
      <c r="D43" s="4"/>
      <c r="E43" s="4" t="str">
        <f>IFERROR(__xludf.DUMMYFUNCTION("""COMPUTED_VALUE"""),"一般整備")</f>
        <v>一般整備</v>
      </c>
      <c r="F43" s="23"/>
      <c r="G43" s="4"/>
      <c r="H43" s="4" t="str">
        <f>IFERROR(__xludf.DUMMYFUNCTION("""COMPUTED_VALUE"""),"未照合")</f>
        <v>未照合</v>
      </c>
      <c r="I43" s="4"/>
      <c r="J43" s="17"/>
      <c r="K43" s="23">
        <f>IFERROR(__xludf.DUMMYFUNCTION("""COMPUTED_VALUE"""),0.0)</f>
        <v>0</v>
      </c>
      <c r="L43" s="23" t="str">
        <f>IFERROR(__xludf.DUMMYFUNCTION("""COMPUTED_VALUE"""),"")</f>
        <v/>
      </c>
      <c r="M43" s="4" t="str">
        <f>IFERROR(__xludf.DUMMYFUNCTION("""COMPUTED_VALUE"""),"未入金")</f>
        <v>未入金</v>
      </c>
      <c r="N43" s="19" t="str">
        <f>IFERROR(__xludf.DUMMYFUNCTION("""COMPUTED_VALUE"""),"")</f>
        <v/>
      </c>
      <c r="O43" s="19"/>
    </row>
    <row r="44" ht="15.75" customHeight="1">
      <c r="A44" s="4" t="str">
        <f>IFERROR(__xludf.DUMMYFUNCTION("""COMPUTED_VALUE"""),"SB00024581")</f>
        <v>SB00024581</v>
      </c>
      <c r="B44" s="17">
        <f>IFERROR(__xludf.DUMMYFUNCTION("""COMPUTED_VALUE"""),46131.0)</f>
        <v>46131</v>
      </c>
      <c r="C44" s="4" t="str">
        <f>IFERROR(__xludf.DUMMYFUNCTION("""COMPUTED_VALUE"""),"猪口智典")</f>
        <v>猪口智典</v>
      </c>
      <c r="D44" s="19"/>
      <c r="E44" s="4" t="str">
        <f>IFERROR(__xludf.DUMMYFUNCTION("""COMPUTED_VALUE"""),"一般整備")</f>
        <v>一般整備</v>
      </c>
      <c r="F44" s="23"/>
      <c r="G44" s="4"/>
      <c r="H44" s="4" t="str">
        <f>IFERROR(__xludf.DUMMYFUNCTION("""COMPUTED_VALUE"""),"自動消込")</f>
        <v>自動消込</v>
      </c>
      <c r="I44" s="4" t="str">
        <f>IFERROR(__xludf.DUMMYFUNCTION("""COMPUTED_VALUE"""),"MASTER")</f>
        <v>MASTER</v>
      </c>
      <c r="J44" s="17"/>
      <c r="K44" s="23">
        <f>IFERROR(__xludf.DUMMYFUNCTION("""COMPUTED_VALUE"""),0.0)</f>
        <v>0</v>
      </c>
      <c r="L44" s="23" t="str">
        <f>IFERROR(__xludf.DUMMYFUNCTION("""COMPUTED_VALUE"""),"")</f>
        <v/>
      </c>
      <c r="M44" s="4" t="str">
        <f>IFERROR(__xludf.DUMMYFUNCTION("""COMPUTED_VALUE"""),"入金済")</f>
        <v>入金済</v>
      </c>
      <c r="N44" s="19" t="str">
        <f>IFERROR(__xludf.DUMMYFUNCTION("""COMPUTED_VALUE"""),"")</f>
        <v/>
      </c>
      <c r="O44" s="19"/>
    </row>
    <row r="45" ht="15.75" customHeight="1">
      <c r="A45" s="4" t="str">
        <f>IFERROR(__xludf.DUMMYFUNCTION("""COMPUTED_VALUE"""),"SB00024576")</f>
        <v>SB00024576</v>
      </c>
      <c r="B45" s="17">
        <f>IFERROR(__xludf.DUMMYFUNCTION("""COMPUTED_VALUE"""),46130.0)</f>
        <v>46130</v>
      </c>
      <c r="C45" s="4" t="str">
        <f>IFERROR(__xludf.DUMMYFUNCTION("""COMPUTED_VALUE"""),"医療法人　彩生会理事長　中島　健吾")</f>
        <v>医療法人　彩生会理事長　中島　健吾</v>
      </c>
      <c r="D45" s="4" t="str">
        <f>IFERROR(__xludf.DUMMYFUNCTION("""COMPUTED_VALUE"""),"株式会社コンクエスト　ジャガーランドローバー広島")</f>
        <v>株式会社コンクエスト　ジャガーランドローバー広島</v>
      </c>
      <c r="E45" s="4" t="str">
        <f>IFERROR(__xludf.DUMMYFUNCTION("""COMPUTED_VALUE"""),"一般整備")</f>
        <v>一般整備</v>
      </c>
      <c r="F45" s="23"/>
      <c r="G45" s="4"/>
      <c r="H45" s="4" t="str">
        <f>IFERROR(__xludf.DUMMYFUNCTION("""COMPUTED_VALUE"""),"要確認")</f>
        <v>要確認</v>
      </c>
      <c r="I45" s="4"/>
      <c r="J45" s="17"/>
      <c r="K45" s="23">
        <f>IFERROR(__xludf.DUMMYFUNCTION("""COMPUTED_VALUE"""),0.0)</f>
        <v>0</v>
      </c>
      <c r="L45" s="23" t="str">
        <f>IFERROR(__xludf.DUMMYFUNCTION("""COMPUTED_VALUE"""),"")</f>
        <v/>
      </c>
      <c r="M45" s="4" t="str">
        <f>IFERROR(__xludf.DUMMYFUNCTION("""COMPUTED_VALUE"""),"未入金")</f>
        <v>未入金</v>
      </c>
      <c r="N45" s="19" t="str">
        <f>IFERROR(__xludf.DUMMYFUNCTION("""COMPUTED_VALUE"""),"")</f>
        <v/>
      </c>
      <c r="O45" s="19"/>
    </row>
    <row r="46" ht="15.75" customHeight="1">
      <c r="A46" s="4" t="str">
        <f>IFERROR(__xludf.DUMMYFUNCTION("""COMPUTED_VALUE"""),"SB00024577")</f>
        <v>SB00024577</v>
      </c>
      <c r="B46" s="17">
        <f>IFERROR(__xludf.DUMMYFUNCTION("""COMPUTED_VALUE"""),46130.0)</f>
        <v>46130</v>
      </c>
      <c r="C46" s="4" t="str">
        <f>IFERROR(__xludf.DUMMYFUNCTION("""COMPUTED_VALUE"""),"医療法人　彩生会理事長　中島　健吾")</f>
        <v>医療法人　彩生会理事長　中島　健吾</v>
      </c>
      <c r="D46" s="4" t="str">
        <f>IFERROR(__xludf.DUMMYFUNCTION("""COMPUTED_VALUE"""),"株式会社コンクエスト　ジャガーランドローバー広島")</f>
        <v>株式会社コンクエスト　ジャガーランドローバー広島</v>
      </c>
      <c r="E46" s="4" t="str">
        <f>IFERROR(__xludf.DUMMYFUNCTION("""COMPUTED_VALUE"""),"一般整備")</f>
        <v>一般整備</v>
      </c>
      <c r="F46" s="23"/>
      <c r="G46" s="4"/>
      <c r="H46" s="4" t="str">
        <f>IFERROR(__xludf.DUMMYFUNCTION("""COMPUTED_VALUE"""),"要確認")</f>
        <v>要確認</v>
      </c>
      <c r="I46" s="4"/>
      <c r="J46" s="17"/>
      <c r="K46" s="23">
        <f>IFERROR(__xludf.DUMMYFUNCTION("""COMPUTED_VALUE"""),0.0)</f>
        <v>0</v>
      </c>
      <c r="L46" s="23" t="str">
        <f>IFERROR(__xludf.DUMMYFUNCTION("""COMPUTED_VALUE"""),"")</f>
        <v/>
      </c>
      <c r="M46" s="4" t="str">
        <f>IFERROR(__xludf.DUMMYFUNCTION("""COMPUTED_VALUE"""),"未入金")</f>
        <v>未入金</v>
      </c>
      <c r="N46" s="19" t="str">
        <f>IFERROR(__xludf.DUMMYFUNCTION("""COMPUTED_VALUE"""),"")</f>
        <v/>
      </c>
      <c r="O46" s="19"/>
    </row>
    <row r="47" ht="15.75" customHeight="1">
      <c r="A47" s="4" t="str">
        <f>IFERROR(__xludf.DUMMYFUNCTION("""COMPUTED_VALUE"""),"SB00024578")</f>
        <v>SB00024578</v>
      </c>
      <c r="B47" s="17">
        <f>IFERROR(__xludf.DUMMYFUNCTION("""COMPUTED_VALUE"""),46130.0)</f>
        <v>46130</v>
      </c>
      <c r="C47" s="4" t="str">
        <f>IFERROR(__xludf.DUMMYFUNCTION("""COMPUTED_VALUE"""),"有限会社エル・グレコ代表取締役 長沼　眞智子")</f>
        <v>有限会社エル・グレコ代表取締役 長沼　眞智子</v>
      </c>
      <c r="D47" s="19"/>
      <c r="E47" s="4" t="str">
        <f>IFERROR(__xludf.DUMMYFUNCTION("""COMPUTED_VALUE"""),"一般整備")</f>
        <v>一般整備</v>
      </c>
      <c r="F47" s="23"/>
      <c r="G47" s="4"/>
      <c r="H47" s="4" t="str">
        <f>IFERROR(__xludf.DUMMYFUNCTION("""COMPUTED_VALUE"""),"要確認")</f>
        <v>要確認</v>
      </c>
      <c r="I47" s="4"/>
      <c r="J47" s="17"/>
      <c r="K47" s="23">
        <f>IFERROR(__xludf.DUMMYFUNCTION("""COMPUTED_VALUE"""),0.0)</f>
        <v>0</v>
      </c>
      <c r="L47" s="23" t="str">
        <f>IFERROR(__xludf.DUMMYFUNCTION("""COMPUTED_VALUE"""),"")</f>
        <v/>
      </c>
      <c r="M47" s="4" t="str">
        <f>IFERROR(__xludf.DUMMYFUNCTION("""COMPUTED_VALUE"""),"未入金")</f>
        <v>未入金</v>
      </c>
      <c r="N47" s="19" t="str">
        <f>IFERROR(__xludf.DUMMYFUNCTION("""COMPUTED_VALUE"""),"")</f>
        <v/>
      </c>
      <c r="O47" s="19"/>
    </row>
    <row r="48" ht="15.75" customHeight="1">
      <c r="A48" s="4" t="str">
        <f>IFERROR(__xludf.DUMMYFUNCTION("""COMPUTED_VALUE"""),"SB00007567")</f>
        <v>SB00007567</v>
      </c>
      <c r="B48" s="17">
        <f>IFERROR(__xludf.DUMMYFUNCTION("""COMPUTED_VALUE"""),46130.0)</f>
        <v>46130</v>
      </c>
      <c r="C48" s="4" t="str">
        <f>IFERROR(__xludf.DUMMYFUNCTION("""COMPUTED_VALUE"""),"平山 八広")</f>
        <v>平山 八広</v>
      </c>
      <c r="D48" s="4" t="str">
        <f>IFERROR(__xludf.DUMMYFUNCTION("""COMPUTED_VALUE"""),"橋本 裕太郎")</f>
        <v>橋本 裕太郎</v>
      </c>
      <c r="E48" s="4" t="str">
        <f>IFERROR(__xludf.DUMMYFUNCTION("""COMPUTED_VALUE"""),"一般整備")</f>
        <v>一般整備</v>
      </c>
      <c r="F48" s="23"/>
      <c r="G48" s="19"/>
      <c r="H48" s="4" t="str">
        <f>IFERROR(__xludf.DUMMYFUNCTION("""COMPUTED_VALUE"""),"未照合")</f>
        <v>未照合</v>
      </c>
      <c r="I48" s="19"/>
      <c r="J48" s="17"/>
      <c r="K48" s="23">
        <f>IFERROR(__xludf.DUMMYFUNCTION("""COMPUTED_VALUE"""),0.0)</f>
        <v>0</v>
      </c>
      <c r="L48" s="23" t="str">
        <f>IFERROR(__xludf.DUMMYFUNCTION("""COMPUTED_VALUE"""),"")</f>
        <v/>
      </c>
      <c r="M48" s="4" t="str">
        <f>IFERROR(__xludf.DUMMYFUNCTION("""COMPUTED_VALUE"""),"未入金")</f>
        <v>未入金</v>
      </c>
      <c r="N48" s="19" t="str">
        <f>IFERROR(__xludf.DUMMYFUNCTION("""COMPUTED_VALUE"""),"")</f>
        <v/>
      </c>
      <c r="O48" s="19"/>
    </row>
    <row r="49" ht="15.75" customHeight="1">
      <c r="A49" s="4" t="str">
        <f>IFERROR(__xludf.DUMMYFUNCTION("""COMPUTED_VALUE"""),"SB00007588")</f>
        <v>SB00007588</v>
      </c>
      <c r="B49" s="17">
        <f>IFERROR(__xludf.DUMMYFUNCTION("""COMPUTED_VALUE"""),46130.0)</f>
        <v>46130</v>
      </c>
      <c r="C49" s="4" t="str">
        <f>IFERROR(__xludf.DUMMYFUNCTION("""COMPUTED_VALUE"""),"株式会社 一真代表取締役 眞田")</f>
        <v>株式会社 一真代表取締役 眞田</v>
      </c>
      <c r="D49" s="4" t="str">
        <f>IFERROR(__xludf.DUMMYFUNCTION("""COMPUTED_VALUE"""),"橋本 裕太郎")</f>
        <v>橋本 裕太郎</v>
      </c>
      <c r="E49" s="4" t="str">
        <f>IFERROR(__xludf.DUMMYFUNCTION("""COMPUTED_VALUE"""),"その他")</f>
        <v>その他</v>
      </c>
      <c r="F49" s="23"/>
      <c r="G49" s="19"/>
      <c r="H49" s="4" t="str">
        <f>IFERROR(__xludf.DUMMYFUNCTION("""COMPUTED_VALUE"""),"未照合")</f>
        <v>未照合</v>
      </c>
      <c r="I49" s="19"/>
      <c r="J49" s="17"/>
      <c r="K49" s="23">
        <f>IFERROR(__xludf.DUMMYFUNCTION("""COMPUTED_VALUE"""),0.0)</f>
        <v>0</v>
      </c>
      <c r="L49" s="23" t="str">
        <f>IFERROR(__xludf.DUMMYFUNCTION("""COMPUTED_VALUE"""),"")</f>
        <v/>
      </c>
      <c r="M49" s="4" t="str">
        <f>IFERROR(__xludf.DUMMYFUNCTION("""COMPUTED_VALUE"""),"未入金")</f>
        <v>未入金</v>
      </c>
      <c r="N49" s="19" t="str">
        <f>IFERROR(__xludf.DUMMYFUNCTION("""COMPUTED_VALUE"""),"")</f>
        <v/>
      </c>
      <c r="O49" s="19"/>
    </row>
    <row r="50" ht="15.75" customHeight="1">
      <c r="A50" s="4" t="str">
        <f>IFERROR(__xludf.DUMMYFUNCTION("""COMPUTED_VALUE"""),"SB00007589")</f>
        <v>SB00007589</v>
      </c>
      <c r="B50" s="17">
        <f>IFERROR(__xludf.DUMMYFUNCTION("""COMPUTED_VALUE"""),46130.0)</f>
        <v>46130</v>
      </c>
      <c r="C50" s="4" t="str">
        <f>IFERROR(__xludf.DUMMYFUNCTION("""COMPUTED_VALUE"""),"株式会社 一真代表取締役 眞田")</f>
        <v>株式会社 一真代表取締役 眞田</v>
      </c>
      <c r="D50" s="4" t="str">
        <f>IFERROR(__xludf.DUMMYFUNCTION("""COMPUTED_VALUE"""),"橋本 裕太郎")</f>
        <v>橋本 裕太郎</v>
      </c>
      <c r="E50" s="4" t="str">
        <f>IFERROR(__xludf.DUMMYFUNCTION("""COMPUTED_VALUE"""),"その他")</f>
        <v>その他</v>
      </c>
      <c r="F50" s="23"/>
      <c r="G50" s="19"/>
      <c r="H50" s="4" t="str">
        <f>IFERROR(__xludf.DUMMYFUNCTION("""COMPUTED_VALUE"""),"未照合")</f>
        <v>未照合</v>
      </c>
      <c r="I50" s="19"/>
      <c r="J50" s="17"/>
      <c r="K50" s="23">
        <f>IFERROR(__xludf.DUMMYFUNCTION("""COMPUTED_VALUE"""),0.0)</f>
        <v>0</v>
      </c>
      <c r="L50" s="23" t="str">
        <f>IFERROR(__xludf.DUMMYFUNCTION("""COMPUTED_VALUE"""),"")</f>
        <v/>
      </c>
      <c r="M50" s="4" t="str">
        <f>IFERROR(__xludf.DUMMYFUNCTION("""COMPUTED_VALUE"""),"未入金")</f>
        <v>未入金</v>
      </c>
      <c r="N50" s="19" t="str">
        <f>IFERROR(__xludf.DUMMYFUNCTION("""COMPUTED_VALUE"""),"")</f>
        <v/>
      </c>
      <c r="O50" s="19"/>
    </row>
    <row r="51" ht="15.75" customHeight="1">
      <c r="A51" s="4" t="str">
        <f>IFERROR(__xludf.DUMMYFUNCTION("""COMPUTED_VALUE"""),"SB00007590")</f>
        <v>SB00007590</v>
      </c>
      <c r="B51" s="17">
        <f>IFERROR(__xludf.DUMMYFUNCTION("""COMPUTED_VALUE"""),46130.0)</f>
        <v>46130</v>
      </c>
      <c r="C51" s="4" t="str">
        <f>IFERROR(__xludf.DUMMYFUNCTION("""COMPUTED_VALUE"""),"株式会社 一真代表取締役 眞田")</f>
        <v>株式会社 一真代表取締役 眞田</v>
      </c>
      <c r="D51" s="4" t="str">
        <f>IFERROR(__xludf.DUMMYFUNCTION("""COMPUTED_VALUE"""),"橋本 裕太郎")</f>
        <v>橋本 裕太郎</v>
      </c>
      <c r="E51" s="4" t="str">
        <f>IFERROR(__xludf.DUMMYFUNCTION("""COMPUTED_VALUE"""),"その他")</f>
        <v>その他</v>
      </c>
      <c r="F51" s="23"/>
      <c r="G51" s="19"/>
      <c r="H51" s="4" t="str">
        <f>IFERROR(__xludf.DUMMYFUNCTION("""COMPUTED_VALUE"""),"未照合")</f>
        <v>未照合</v>
      </c>
      <c r="I51" s="19"/>
      <c r="J51" s="17"/>
      <c r="K51" s="23">
        <f>IFERROR(__xludf.DUMMYFUNCTION("""COMPUTED_VALUE"""),0.0)</f>
        <v>0</v>
      </c>
      <c r="L51" s="23" t="str">
        <f>IFERROR(__xludf.DUMMYFUNCTION("""COMPUTED_VALUE"""),"")</f>
        <v/>
      </c>
      <c r="M51" s="4" t="str">
        <f>IFERROR(__xludf.DUMMYFUNCTION("""COMPUTED_VALUE"""),"未入金")</f>
        <v>未入金</v>
      </c>
      <c r="N51" s="19" t="str">
        <f>IFERROR(__xludf.DUMMYFUNCTION("""COMPUTED_VALUE"""),"")</f>
        <v/>
      </c>
      <c r="O51" s="19"/>
    </row>
    <row r="52" ht="15.75" customHeight="1">
      <c r="A52" s="19"/>
      <c r="B52" s="17">
        <f>IFERROR(__xludf.DUMMYFUNCTION("""COMPUTED_VALUE"""),46130.0)</f>
        <v>46130</v>
      </c>
      <c r="C52" s="4" t="str">
        <f>IFERROR(__xludf.DUMMYFUNCTION("""COMPUTED_VALUE"""),"平山 八広")</f>
        <v>平山 八広</v>
      </c>
      <c r="D52" s="19"/>
      <c r="E52" s="4" t="str">
        <f>IFERROR(__xludf.DUMMYFUNCTION("""COMPUTED_VALUE"""),"一般整備")</f>
        <v>一般整備</v>
      </c>
      <c r="F52" s="23"/>
      <c r="G52" s="19"/>
      <c r="H52" s="4" t="str">
        <f>IFERROR(__xludf.DUMMYFUNCTION("""COMPUTED_VALUE"""),"未照合")</f>
        <v>未照合</v>
      </c>
      <c r="I52" s="19"/>
      <c r="J52" s="17"/>
      <c r="K52" s="23">
        <f>IFERROR(__xludf.DUMMYFUNCTION("""COMPUTED_VALUE"""),0.0)</f>
        <v>0</v>
      </c>
      <c r="L52" s="23" t="str">
        <f>IFERROR(__xludf.DUMMYFUNCTION("""COMPUTED_VALUE"""),"")</f>
        <v/>
      </c>
      <c r="M52" s="4" t="str">
        <f>IFERROR(__xludf.DUMMYFUNCTION("""COMPUTED_VALUE"""),"未入金")</f>
        <v>未入金</v>
      </c>
      <c r="N52" s="19"/>
      <c r="O52" s="19"/>
    </row>
    <row r="53" ht="15.75" customHeight="1">
      <c r="A53" s="19"/>
      <c r="B53" s="17">
        <f>IFERROR(__xludf.DUMMYFUNCTION("""COMPUTED_VALUE"""),46130.0)</f>
        <v>46130</v>
      </c>
      <c r="C53" s="4" t="str">
        <f>IFERROR(__xludf.DUMMYFUNCTION("""COMPUTED_VALUE"""),"株式会社一真代表取締役 眞田")</f>
        <v>株式会社一真代表取締役 眞田</v>
      </c>
      <c r="D53" s="19"/>
      <c r="E53" s="4" t="str">
        <f>IFERROR(__xludf.DUMMYFUNCTION("""COMPUTED_VALUE"""),"点検")</f>
        <v>点検</v>
      </c>
      <c r="F53" s="23"/>
      <c r="G53" s="19"/>
      <c r="H53" s="4" t="str">
        <f>IFERROR(__xludf.DUMMYFUNCTION("""COMPUTED_VALUE"""),"未照合")</f>
        <v>未照合</v>
      </c>
      <c r="I53" s="19"/>
      <c r="J53" s="17"/>
      <c r="K53" s="23">
        <f>IFERROR(__xludf.DUMMYFUNCTION("""COMPUTED_VALUE"""),0.0)</f>
        <v>0</v>
      </c>
      <c r="L53" s="23" t="str">
        <f>IFERROR(__xludf.DUMMYFUNCTION("""COMPUTED_VALUE"""),"")</f>
        <v/>
      </c>
      <c r="M53" s="4" t="str">
        <f>IFERROR(__xludf.DUMMYFUNCTION("""COMPUTED_VALUE"""),"未入金")</f>
        <v>未入金</v>
      </c>
      <c r="N53" s="19"/>
      <c r="O53" s="19"/>
    </row>
    <row r="54" ht="15.75" customHeight="1">
      <c r="A54" s="19"/>
      <c r="B54" s="17">
        <f>IFERROR(__xludf.DUMMYFUNCTION("""COMPUTED_VALUE"""),46130.0)</f>
        <v>46130</v>
      </c>
      <c r="C54" s="4" t="str">
        <f>IFERROR(__xludf.DUMMYFUNCTION("""COMPUTED_VALUE"""),"株式会社一真代表取締役 眞田")</f>
        <v>株式会社一真代表取締役 眞田</v>
      </c>
      <c r="D54" s="19"/>
      <c r="E54" s="4" t="str">
        <f>IFERROR(__xludf.DUMMYFUNCTION("""COMPUTED_VALUE"""),"メンプロ")</f>
        <v>メンプロ</v>
      </c>
      <c r="F54" s="23"/>
      <c r="G54" s="19"/>
      <c r="H54" s="4" t="str">
        <f>IFERROR(__xludf.DUMMYFUNCTION("""COMPUTED_VALUE"""),"未照合")</f>
        <v>未照合</v>
      </c>
      <c r="I54" s="19"/>
      <c r="J54" s="17"/>
      <c r="K54" s="23">
        <f>IFERROR(__xludf.DUMMYFUNCTION("""COMPUTED_VALUE"""),0.0)</f>
        <v>0</v>
      </c>
      <c r="L54" s="23" t="str">
        <f>IFERROR(__xludf.DUMMYFUNCTION("""COMPUTED_VALUE"""),"")</f>
        <v/>
      </c>
      <c r="M54" s="4" t="str">
        <f>IFERROR(__xludf.DUMMYFUNCTION("""COMPUTED_VALUE"""),"未入金")</f>
        <v>未入金</v>
      </c>
      <c r="N54" s="19"/>
      <c r="O54" s="19"/>
    </row>
    <row r="55" ht="15.75" customHeight="1">
      <c r="A55" s="19"/>
      <c r="B55" s="17">
        <f>IFERROR(__xludf.DUMMYFUNCTION("""COMPUTED_VALUE"""),46130.0)</f>
        <v>46130</v>
      </c>
      <c r="C55" s="4" t="str">
        <f>IFERROR(__xludf.DUMMYFUNCTION("""COMPUTED_VALUE"""),"株式会社一真代表取締役 眞田")</f>
        <v>株式会社一真代表取締役 眞田</v>
      </c>
      <c r="D55" s="19"/>
      <c r="E55" s="4" t="str">
        <f>IFERROR(__xludf.DUMMYFUNCTION("""COMPUTED_VALUE"""),"リコール")</f>
        <v>リコール</v>
      </c>
      <c r="F55" s="23"/>
      <c r="G55" s="19"/>
      <c r="H55" s="4" t="str">
        <f>IFERROR(__xludf.DUMMYFUNCTION("""COMPUTED_VALUE"""),"未照合")</f>
        <v>未照合</v>
      </c>
      <c r="I55" s="19"/>
      <c r="J55" s="17"/>
      <c r="K55" s="23">
        <f>IFERROR(__xludf.DUMMYFUNCTION("""COMPUTED_VALUE"""),0.0)</f>
        <v>0</v>
      </c>
      <c r="L55" s="23" t="str">
        <f>IFERROR(__xludf.DUMMYFUNCTION("""COMPUTED_VALUE"""),"")</f>
        <v/>
      </c>
      <c r="M55" s="4" t="str">
        <f>IFERROR(__xludf.DUMMYFUNCTION("""COMPUTED_VALUE"""),"未入金")</f>
        <v>未入金</v>
      </c>
      <c r="N55" s="19"/>
      <c r="O55" s="19"/>
    </row>
    <row r="56" ht="15.75" customHeight="1">
      <c r="A56" s="19"/>
      <c r="B56" s="17">
        <f>IFERROR(__xludf.DUMMYFUNCTION("""COMPUTED_VALUE"""),46130.0)</f>
        <v>46130</v>
      </c>
      <c r="C56" s="4" t="str">
        <f>IFERROR(__xludf.DUMMYFUNCTION("""COMPUTED_VALUE"""),"株式会社一真代表取締役 眞田")</f>
        <v>株式会社一真代表取締役 眞田</v>
      </c>
      <c r="D56" s="19"/>
      <c r="E56" s="4" t="str">
        <f>IFERROR(__xludf.DUMMYFUNCTION("""COMPUTED_VALUE"""),"リコール")</f>
        <v>リコール</v>
      </c>
      <c r="F56" s="23"/>
      <c r="G56" s="19"/>
      <c r="H56" s="4" t="str">
        <f>IFERROR(__xludf.DUMMYFUNCTION("""COMPUTED_VALUE"""),"未照合")</f>
        <v>未照合</v>
      </c>
      <c r="I56" s="19"/>
      <c r="J56" s="17"/>
      <c r="K56" s="23">
        <f>IFERROR(__xludf.DUMMYFUNCTION("""COMPUTED_VALUE"""),0.0)</f>
        <v>0</v>
      </c>
      <c r="L56" s="23" t="str">
        <f>IFERROR(__xludf.DUMMYFUNCTION("""COMPUTED_VALUE"""),"")</f>
        <v/>
      </c>
      <c r="M56" s="4" t="str">
        <f>IFERROR(__xludf.DUMMYFUNCTION("""COMPUTED_VALUE"""),"未入金")</f>
        <v>未入金</v>
      </c>
      <c r="N56" s="19"/>
      <c r="O56" s="19"/>
    </row>
    <row r="57" ht="15.75" customHeight="1">
      <c r="A57" s="4" t="str">
        <f>IFERROR(__xludf.DUMMYFUNCTION("""COMPUTED_VALUE"""),"SB00024550")</f>
        <v>SB00024550</v>
      </c>
      <c r="B57" s="17">
        <f>IFERROR(__xludf.DUMMYFUNCTION("""COMPUTED_VALUE"""),46129.0)</f>
        <v>46129</v>
      </c>
      <c r="C57" s="4" t="str">
        <f>IFERROR(__xludf.DUMMYFUNCTION("""COMPUTED_VALUE"""),"株式会社　フレッチェ・ボスコ代表取締役　林　正道")</f>
        <v>株式会社　フレッチェ・ボスコ代表取締役　林　正道</v>
      </c>
      <c r="D57" s="19"/>
      <c r="E57" s="4" t="str">
        <f>IFERROR(__xludf.DUMMYFUNCTION("""COMPUTED_VALUE"""),"車検")</f>
        <v>車検</v>
      </c>
      <c r="F57" s="23"/>
      <c r="G57" s="4"/>
      <c r="H57" s="4" t="str">
        <f>IFERROR(__xludf.DUMMYFUNCTION("""COMPUTED_VALUE"""),"未照合")</f>
        <v>未照合</v>
      </c>
      <c r="I57" s="4"/>
      <c r="J57" s="17"/>
      <c r="K57" s="23">
        <f>IFERROR(__xludf.DUMMYFUNCTION("""COMPUTED_VALUE"""),0.0)</f>
        <v>0</v>
      </c>
      <c r="L57" s="23" t="str">
        <f>IFERROR(__xludf.DUMMYFUNCTION("""COMPUTED_VALUE"""),"")</f>
        <v/>
      </c>
      <c r="M57" s="4" t="str">
        <f>IFERROR(__xludf.DUMMYFUNCTION("""COMPUTED_VALUE"""),"未入金")</f>
        <v>未入金</v>
      </c>
      <c r="N57" s="19" t="str">
        <f>IFERROR(__xludf.DUMMYFUNCTION("""COMPUTED_VALUE"""),"")</f>
        <v/>
      </c>
      <c r="O57" s="19"/>
    </row>
    <row r="58" ht="15.75" customHeight="1">
      <c r="A58" s="4" t="str">
        <f>IFERROR(__xludf.DUMMYFUNCTION("""COMPUTED_VALUE"""),"SB00007583")</f>
        <v>SB00007583</v>
      </c>
      <c r="B58" s="17">
        <f>IFERROR(__xludf.DUMMYFUNCTION("""COMPUTED_VALUE"""),46129.0)</f>
        <v>46129</v>
      </c>
      <c r="C58" s="4" t="str">
        <f>IFERROR(__xludf.DUMMYFUNCTION("""COMPUTED_VALUE"""),"小俣 英夫")</f>
        <v>小俣 英夫</v>
      </c>
      <c r="D58" s="4" t="str">
        <f>IFERROR(__xludf.DUMMYFUNCTION("""COMPUTED_VALUE"""),"橋本 裕太郎")</f>
        <v>橋本 裕太郎</v>
      </c>
      <c r="E58" s="4" t="str">
        <f>IFERROR(__xludf.DUMMYFUNCTION("""COMPUTED_VALUE"""),"その他")</f>
        <v>その他</v>
      </c>
      <c r="F58" s="23"/>
      <c r="G58" s="19"/>
      <c r="H58" s="4" t="str">
        <f>IFERROR(__xludf.DUMMYFUNCTION("""COMPUTED_VALUE"""),"未照合")</f>
        <v>未照合</v>
      </c>
      <c r="I58" s="19"/>
      <c r="J58" s="17"/>
      <c r="K58" s="23">
        <f>IFERROR(__xludf.DUMMYFUNCTION("""COMPUTED_VALUE"""),0.0)</f>
        <v>0</v>
      </c>
      <c r="L58" s="23" t="str">
        <f>IFERROR(__xludf.DUMMYFUNCTION("""COMPUTED_VALUE"""),"")</f>
        <v/>
      </c>
      <c r="M58" s="4" t="str">
        <f>IFERROR(__xludf.DUMMYFUNCTION("""COMPUTED_VALUE"""),"未入金")</f>
        <v>未入金</v>
      </c>
      <c r="N58" s="19" t="str">
        <f>IFERROR(__xludf.DUMMYFUNCTION("""COMPUTED_VALUE"""),"")</f>
        <v/>
      </c>
      <c r="O58" s="19"/>
    </row>
    <row r="59" ht="15.75" customHeight="1">
      <c r="A59" s="4" t="str">
        <f>IFERROR(__xludf.DUMMYFUNCTION("""COMPUTED_VALUE"""),"SB00024552")</f>
        <v>SB00024552</v>
      </c>
      <c r="B59" s="17">
        <f>IFERROR(__xludf.DUMMYFUNCTION("""COMPUTED_VALUE"""),46129.0)</f>
        <v>46129</v>
      </c>
      <c r="C59" s="4" t="str">
        <f>IFERROR(__xludf.DUMMYFUNCTION("""COMPUTED_VALUE"""),"島田　伸也")</f>
        <v>島田　伸也</v>
      </c>
      <c r="D59" s="4" t="str">
        <f>IFERROR(__xludf.DUMMYFUNCTION("""COMPUTED_VALUE"""),"三井住友海上火災保険　株式会社")</f>
        <v>三井住友海上火災保険　株式会社</v>
      </c>
      <c r="E59" s="4" t="str">
        <f>IFERROR(__xludf.DUMMYFUNCTION("""COMPUTED_VALUE"""),"損保ﾚﾝ（福")</f>
        <v>損保ﾚﾝ（福</v>
      </c>
      <c r="F59" s="23"/>
      <c r="G59" s="19"/>
      <c r="H59" s="4" t="str">
        <f>IFERROR(__xludf.DUMMYFUNCTION("""COMPUTED_VALUE"""),"未照合")</f>
        <v>未照合</v>
      </c>
      <c r="I59" s="19"/>
      <c r="J59" s="17"/>
      <c r="K59" s="23">
        <f>IFERROR(__xludf.DUMMYFUNCTION("""COMPUTED_VALUE"""),0.0)</f>
        <v>0</v>
      </c>
      <c r="L59" s="23" t="str">
        <f>IFERROR(__xludf.DUMMYFUNCTION("""COMPUTED_VALUE"""),"")</f>
        <v/>
      </c>
      <c r="M59" s="4" t="str">
        <f>IFERROR(__xludf.DUMMYFUNCTION("""COMPUTED_VALUE"""),"未入金")</f>
        <v>未入金</v>
      </c>
      <c r="N59" s="19"/>
      <c r="O59" s="19"/>
    </row>
    <row r="60" ht="15.75" customHeight="1">
      <c r="A60" s="4" t="str">
        <f>IFERROR(__xludf.DUMMYFUNCTION("""COMPUTED_VALUE"""),"SB00024591")</f>
        <v>SB00024591</v>
      </c>
      <c r="B60" s="17">
        <f>IFERROR(__xludf.DUMMYFUNCTION("""COMPUTED_VALUE"""),46129.0)</f>
        <v>46129</v>
      </c>
      <c r="C60" s="4"/>
      <c r="D60" s="19"/>
      <c r="E60" s="4" t="str">
        <f>IFERROR(__xludf.DUMMYFUNCTION("""COMPUTED_VALUE"""),"在納点A-③")</f>
        <v>在納点A-③</v>
      </c>
      <c r="F60" s="23"/>
      <c r="G60" s="19"/>
      <c r="H60" s="4" t="str">
        <f>IFERROR(__xludf.DUMMYFUNCTION("""COMPUTED_VALUE"""),"未照合")</f>
        <v>未照合</v>
      </c>
      <c r="I60" s="19"/>
      <c r="J60" s="17"/>
      <c r="K60" s="23">
        <f>IFERROR(__xludf.DUMMYFUNCTION("""COMPUTED_VALUE"""),0.0)</f>
        <v>0</v>
      </c>
      <c r="L60" s="23" t="str">
        <f>IFERROR(__xludf.DUMMYFUNCTION("""COMPUTED_VALUE"""),"")</f>
        <v/>
      </c>
      <c r="M60" s="4" t="str">
        <f>IFERROR(__xludf.DUMMYFUNCTION("""COMPUTED_VALUE"""),"未入金")</f>
        <v>未入金</v>
      </c>
      <c r="N60" s="19"/>
      <c r="O60" s="19"/>
    </row>
    <row r="61" ht="15.75" customHeight="1">
      <c r="A61" s="19"/>
      <c r="B61" s="17">
        <f>IFERROR(__xludf.DUMMYFUNCTION("""COMPUTED_VALUE"""),46129.0)</f>
        <v>46129</v>
      </c>
      <c r="C61" s="4" t="str">
        <f>IFERROR(__xludf.DUMMYFUNCTION("""COMPUTED_VALUE"""),"小俣 英夫")</f>
        <v>小俣 英夫</v>
      </c>
      <c r="D61" s="19"/>
      <c r="E61" s="4" t="str">
        <f>IFERROR(__xludf.DUMMYFUNCTION("""COMPUTED_VALUE"""),"中古車")</f>
        <v>中古車</v>
      </c>
      <c r="F61" s="23"/>
      <c r="G61" s="19"/>
      <c r="H61" s="4" t="str">
        <f>IFERROR(__xludf.DUMMYFUNCTION("""COMPUTED_VALUE"""),"未照合")</f>
        <v>未照合</v>
      </c>
      <c r="I61" s="19"/>
      <c r="J61" s="17"/>
      <c r="K61" s="23">
        <f>IFERROR(__xludf.DUMMYFUNCTION("""COMPUTED_VALUE"""),0.0)</f>
        <v>0</v>
      </c>
      <c r="L61" s="23" t="str">
        <f>IFERROR(__xludf.DUMMYFUNCTION("""COMPUTED_VALUE"""),"")</f>
        <v/>
      </c>
      <c r="M61" s="4" t="str">
        <f>IFERROR(__xludf.DUMMYFUNCTION("""COMPUTED_VALUE"""),"未入金")</f>
        <v>未入金</v>
      </c>
      <c r="N61" s="19"/>
      <c r="O61" s="19"/>
    </row>
    <row r="62" ht="15.75" customHeight="1">
      <c r="A62" s="4" t="str">
        <f>IFERROR(__xludf.DUMMYFUNCTION("""COMPUTED_VALUE"""),"SB00024561")</f>
        <v>SB00024561</v>
      </c>
      <c r="B62" s="17">
        <f>IFERROR(__xludf.DUMMYFUNCTION("""COMPUTED_VALUE"""),46128.0)</f>
        <v>46128</v>
      </c>
      <c r="C62" s="4" t="str">
        <f>IFERROR(__xludf.DUMMYFUNCTION("""COMPUTED_VALUE"""),"木村　直路")</f>
        <v>木村　直路</v>
      </c>
      <c r="D62" s="4" t="str">
        <f>IFERROR(__xludf.DUMMYFUNCTION("""COMPUTED_VALUE"""),"東京海上日動火災保険株式会社")</f>
        <v>東京海上日動火災保険株式会社</v>
      </c>
      <c r="E62" s="4" t="str">
        <f>IFERROR(__xludf.DUMMYFUNCTION("""COMPUTED_VALUE"""),"損保ﾚﾝ（福")</f>
        <v>損保ﾚﾝ（福</v>
      </c>
      <c r="F62" s="23"/>
      <c r="G62" s="4"/>
      <c r="H62" s="4" t="str">
        <f>IFERROR(__xludf.DUMMYFUNCTION("""COMPUTED_VALUE"""),"未照合")</f>
        <v>未照合</v>
      </c>
      <c r="I62" s="4"/>
      <c r="J62" s="17"/>
      <c r="K62" s="23">
        <f>IFERROR(__xludf.DUMMYFUNCTION("""COMPUTED_VALUE"""),0.0)</f>
        <v>0</v>
      </c>
      <c r="L62" s="23" t="str">
        <f>IFERROR(__xludf.DUMMYFUNCTION("""COMPUTED_VALUE"""),"")</f>
        <v/>
      </c>
      <c r="M62" s="4" t="str">
        <f>IFERROR(__xludf.DUMMYFUNCTION("""COMPUTED_VALUE"""),"未入金")</f>
        <v>未入金</v>
      </c>
      <c r="N62" s="19" t="str">
        <f>IFERROR(__xludf.DUMMYFUNCTION("""COMPUTED_VALUE"""),"")</f>
        <v/>
      </c>
      <c r="O62" s="19"/>
    </row>
    <row r="63" ht="15.75" customHeight="1">
      <c r="A63" s="4" t="str">
        <f>IFERROR(__xludf.DUMMYFUNCTION("""COMPUTED_VALUE"""),"SB00024570")</f>
        <v>SB00024570</v>
      </c>
      <c r="B63" s="17">
        <f>IFERROR(__xludf.DUMMYFUNCTION("""COMPUTED_VALUE"""),46128.0)</f>
        <v>46128</v>
      </c>
      <c r="C63" s="4" t="str">
        <f>IFERROR(__xludf.DUMMYFUNCTION("""COMPUTED_VALUE"""),"眞城　地植")</f>
        <v>眞城　地植</v>
      </c>
      <c r="D63" s="19"/>
      <c r="E63" s="4" t="str">
        <f>IFERROR(__xludf.DUMMYFUNCTION("""COMPUTED_VALUE"""),"一般整備")</f>
        <v>一般整備</v>
      </c>
      <c r="F63" s="23"/>
      <c r="G63" s="4"/>
      <c r="H63" s="4" t="str">
        <f>IFERROR(__xludf.DUMMYFUNCTION("""COMPUTED_VALUE"""),"未照合")</f>
        <v>未照合</v>
      </c>
      <c r="I63" s="4"/>
      <c r="J63" s="17"/>
      <c r="K63" s="23">
        <f>IFERROR(__xludf.DUMMYFUNCTION("""COMPUTED_VALUE"""),0.0)</f>
        <v>0</v>
      </c>
      <c r="L63" s="23" t="str">
        <f>IFERROR(__xludf.DUMMYFUNCTION("""COMPUTED_VALUE"""),"")</f>
        <v/>
      </c>
      <c r="M63" s="4" t="str">
        <f>IFERROR(__xludf.DUMMYFUNCTION("""COMPUTED_VALUE"""),"未入金")</f>
        <v>未入金</v>
      </c>
      <c r="N63" s="19" t="str">
        <f>IFERROR(__xludf.DUMMYFUNCTION("""COMPUTED_VALUE"""),"")</f>
        <v/>
      </c>
      <c r="O63" s="19"/>
    </row>
    <row r="64" ht="15.75" customHeight="1">
      <c r="A64" s="4" t="str">
        <f>IFERROR(__xludf.DUMMYFUNCTION("""COMPUTED_VALUE"""),"SB00024571")</f>
        <v>SB00024571</v>
      </c>
      <c r="B64" s="17">
        <f>IFERROR(__xludf.DUMMYFUNCTION("""COMPUTED_VALUE"""),46128.0)</f>
        <v>46128</v>
      </c>
      <c r="C64" s="4" t="str">
        <f>IFERROR(__xludf.DUMMYFUNCTION("""COMPUTED_VALUE"""),"有限会社　協栄商事代表取締役　眞城　地植")</f>
        <v>有限会社　協栄商事代表取締役　眞城　地植</v>
      </c>
      <c r="D64" s="19"/>
      <c r="E64" s="4" t="str">
        <f>IFERROR(__xludf.DUMMYFUNCTION("""COMPUTED_VALUE"""),"一般整備")</f>
        <v>一般整備</v>
      </c>
      <c r="F64" s="23"/>
      <c r="G64" s="4"/>
      <c r="H64" s="4" t="str">
        <f>IFERROR(__xludf.DUMMYFUNCTION("""COMPUTED_VALUE"""),"未照合")</f>
        <v>未照合</v>
      </c>
      <c r="I64" s="4"/>
      <c r="J64" s="17"/>
      <c r="K64" s="23">
        <f>IFERROR(__xludf.DUMMYFUNCTION("""COMPUTED_VALUE"""),0.0)</f>
        <v>0</v>
      </c>
      <c r="L64" s="23" t="str">
        <f>IFERROR(__xludf.DUMMYFUNCTION("""COMPUTED_VALUE"""),"")</f>
        <v/>
      </c>
      <c r="M64" s="4" t="str">
        <f>IFERROR(__xludf.DUMMYFUNCTION("""COMPUTED_VALUE"""),"未入金")</f>
        <v>未入金</v>
      </c>
      <c r="N64" s="19" t="str">
        <f>IFERROR(__xludf.DUMMYFUNCTION("""COMPUTED_VALUE"""),"")</f>
        <v/>
      </c>
      <c r="O64" s="19"/>
    </row>
    <row r="65" ht="15.75" customHeight="1">
      <c r="A65" s="19"/>
      <c r="B65" s="17">
        <f>IFERROR(__xludf.DUMMYFUNCTION("""COMPUTED_VALUE"""),46128.0)</f>
        <v>46128</v>
      </c>
      <c r="C65" s="4" t="str">
        <f>IFERROR(__xludf.DUMMYFUNCTION("""COMPUTED_VALUE"""),"株式会社はなまる")</f>
        <v>株式会社はなまる</v>
      </c>
      <c r="D65" s="19"/>
      <c r="E65" s="4" t="str">
        <f>IFERROR(__xludf.DUMMYFUNCTION("""COMPUTED_VALUE"""),"車販")</f>
        <v>車販</v>
      </c>
      <c r="F65" s="23"/>
      <c r="G65" s="19"/>
      <c r="H65" s="4" t="str">
        <f>IFERROR(__xludf.DUMMYFUNCTION("""COMPUTED_VALUE"""),"未照合")</f>
        <v>未照合</v>
      </c>
      <c r="I65" s="19"/>
      <c r="J65" s="17"/>
      <c r="K65" s="23">
        <f>IFERROR(__xludf.DUMMYFUNCTION("""COMPUTED_VALUE"""),0.0)</f>
        <v>0</v>
      </c>
      <c r="L65" s="23" t="str">
        <f>IFERROR(__xludf.DUMMYFUNCTION("""COMPUTED_VALUE"""),"")</f>
        <v/>
      </c>
      <c r="M65" s="4" t="str">
        <f>IFERROR(__xludf.DUMMYFUNCTION("""COMPUTED_VALUE"""),"未入金")</f>
        <v>未入金</v>
      </c>
      <c r="N65" s="19" t="str">
        <f>IFERROR(__xludf.DUMMYFUNCTION("""COMPUTED_VALUE"""),"")</f>
        <v/>
      </c>
      <c r="O65" s="19"/>
    </row>
    <row r="66" ht="15.75" customHeight="1">
      <c r="A66" s="4" t="str">
        <f>IFERROR(__xludf.DUMMYFUNCTION("""COMPUTED_VALUE"""),"SB00007560")</f>
        <v>SB00007560</v>
      </c>
      <c r="B66" s="17">
        <f>IFERROR(__xludf.DUMMYFUNCTION("""COMPUTED_VALUE"""),46128.0)</f>
        <v>46128</v>
      </c>
      <c r="C66" s="4" t="str">
        <f>IFERROR(__xludf.DUMMYFUNCTION("""COMPUTED_VALUE"""),"株式会社ブリッジ代表取締役 橋")</f>
        <v>株式会社ブリッジ代表取締役 橋</v>
      </c>
      <c r="D66" s="4" t="str">
        <f>IFERROR(__xludf.DUMMYFUNCTION("""COMPUTED_VALUE"""),"橋本 裕太郎")</f>
        <v>橋本 裕太郎</v>
      </c>
      <c r="E66" s="4" t="str">
        <f>IFERROR(__xludf.DUMMYFUNCTION("""COMPUTED_VALUE"""),"定期点検")</f>
        <v>定期点検</v>
      </c>
      <c r="F66" s="23"/>
      <c r="G66" s="19"/>
      <c r="H66" s="4" t="str">
        <f>IFERROR(__xludf.DUMMYFUNCTION("""COMPUTED_VALUE"""),"未照合")</f>
        <v>未照合</v>
      </c>
      <c r="I66" s="19"/>
      <c r="J66" s="17"/>
      <c r="K66" s="23">
        <f>IFERROR(__xludf.DUMMYFUNCTION("""COMPUTED_VALUE"""),0.0)</f>
        <v>0</v>
      </c>
      <c r="L66" s="23" t="str">
        <f>IFERROR(__xludf.DUMMYFUNCTION("""COMPUTED_VALUE"""),"")</f>
        <v/>
      </c>
      <c r="M66" s="4" t="str">
        <f>IFERROR(__xludf.DUMMYFUNCTION("""COMPUTED_VALUE"""),"未入金")</f>
        <v>未入金</v>
      </c>
      <c r="N66" s="19" t="str">
        <f>IFERROR(__xludf.DUMMYFUNCTION("""COMPUTED_VALUE"""),"")</f>
        <v/>
      </c>
      <c r="O66" s="19"/>
    </row>
    <row r="67" ht="15.75" customHeight="1">
      <c r="A67" s="4" t="str">
        <f>IFERROR(__xludf.DUMMYFUNCTION("""COMPUTED_VALUE"""),"SB00007585")</f>
        <v>SB00007585</v>
      </c>
      <c r="B67" s="17">
        <f>IFERROR(__xludf.DUMMYFUNCTION("""COMPUTED_VALUE"""),46128.0)</f>
        <v>46128</v>
      </c>
      <c r="C67" s="4" t="str">
        <f>IFERROR(__xludf.DUMMYFUNCTION("""COMPUTED_VALUE"""),"株式会社 T企画代表取締役富")</f>
        <v>株式会社 T企画代表取締役富</v>
      </c>
      <c r="D67" s="4" t="str">
        <f>IFERROR(__xludf.DUMMYFUNCTION("""COMPUTED_VALUE"""),"橋本 裕太郎")</f>
        <v>橋本 裕太郎</v>
      </c>
      <c r="E67" s="4" t="str">
        <f>IFERROR(__xludf.DUMMYFUNCTION("""COMPUTED_VALUE"""),"一般整備")</f>
        <v>一般整備</v>
      </c>
      <c r="F67" s="23"/>
      <c r="G67" s="19"/>
      <c r="H67" s="4" t="str">
        <f>IFERROR(__xludf.DUMMYFUNCTION("""COMPUTED_VALUE"""),"未照合")</f>
        <v>未照合</v>
      </c>
      <c r="I67" s="19"/>
      <c r="J67" s="17"/>
      <c r="K67" s="23">
        <f>IFERROR(__xludf.DUMMYFUNCTION("""COMPUTED_VALUE"""),0.0)</f>
        <v>0</v>
      </c>
      <c r="L67" s="23" t="str">
        <f>IFERROR(__xludf.DUMMYFUNCTION("""COMPUTED_VALUE"""),"")</f>
        <v/>
      </c>
      <c r="M67" s="4" t="str">
        <f>IFERROR(__xludf.DUMMYFUNCTION("""COMPUTED_VALUE"""),"未入金")</f>
        <v>未入金</v>
      </c>
      <c r="N67" s="19" t="str">
        <f>IFERROR(__xludf.DUMMYFUNCTION("""COMPUTED_VALUE"""),"")</f>
        <v/>
      </c>
      <c r="O67" s="19"/>
    </row>
    <row r="68" ht="15.75" customHeight="1">
      <c r="A68" s="4" t="str">
        <f>IFERROR(__xludf.DUMMYFUNCTION("""COMPUTED_VALUE"""),"SB00007587")</f>
        <v>SB00007587</v>
      </c>
      <c r="B68" s="17">
        <f>IFERROR(__xludf.DUMMYFUNCTION("""COMPUTED_VALUE"""),46128.0)</f>
        <v>46128</v>
      </c>
      <c r="C68" s="4" t="str">
        <f>IFERROR(__xludf.DUMMYFUNCTION("""COMPUTED_VALUE"""),"青地耳鼻咽喉科院長 青地克也")</f>
        <v>青地耳鼻咽喉科院長 青地克也</v>
      </c>
      <c r="D68" s="4" t="str">
        <f>IFERROR(__xludf.DUMMYFUNCTION("""COMPUTED_VALUE"""),"橋本 裕太郎")</f>
        <v>橋本 裕太郎</v>
      </c>
      <c r="E68" s="4" t="str">
        <f>IFERROR(__xludf.DUMMYFUNCTION("""COMPUTED_VALUE"""),"一般整備")</f>
        <v>一般整備</v>
      </c>
      <c r="F68" s="23"/>
      <c r="G68" s="19"/>
      <c r="H68" s="4" t="str">
        <f>IFERROR(__xludf.DUMMYFUNCTION("""COMPUTED_VALUE"""),"未照合")</f>
        <v>未照合</v>
      </c>
      <c r="I68" s="19"/>
      <c r="J68" s="17"/>
      <c r="K68" s="23">
        <f>IFERROR(__xludf.DUMMYFUNCTION("""COMPUTED_VALUE"""),0.0)</f>
        <v>0</v>
      </c>
      <c r="L68" s="23" t="str">
        <f>IFERROR(__xludf.DUMMYFUNCTION("""COMPUTED_VALUE"""),"")</f>
        <v/>
      </c>
      <c r="M68" s="4" t="str">
        <f>IFERROR(__xludf.DUMMYFUNCTION("""COMPUTED_VALUE"""),"未入金")</f>
        <v>未入金</v>
      </c>
      <c r="N68" s="19" t="str">
        <f>IFERROR(__xludf.DUMMYFUNCTION("""COMPUTED_VALUE"""),"")</f>
        <v/>
      </c>
      <c r="O68" s="19"/>
    </row>
    <row r="69" ht="15.75" customHeight="1">
      <c r="A69" s="4" t="str">
        <f>IFERROR(__xludf.DUMMYFUNCTION("""COMPUTED_VALUE"""),"SB00007591")</f>
        <v>SB00007591</v>
      </c>
      <c r="B69" s="17">
        <f>IFERROR(__xludf.DUMMYFUNCTION("""COMPUTED_VALUE"""),46128.0)</f>
        <v>46128</v>
      </c>
      <c r="C69" s="4" t="str">
        <f>IFERROR(__xludf.DUMMYFUNCTION("""COMPUTED_VALUE"""),"青地耳鼻咽喉科院長 青地克也")</f>
        <v>青地耳鼻咽喉科院長 青地克也</v>
      </c>
      <c r="D69" s="4" t="str">
        <f>IFERROR(__xludf.DUMMYFUNCTION("""COMPUTED_VALUE"""),"橋本 裕太郎")</f>
        <v>橋本 裕太郎</v>
      </c>
      <c r="E69" s="4" t="str">
        <f>IFERROR(__xludf.DUMMYFUNCTION("""COMPUTED_VALUE"""),"定期点検")</f>
        <v>定期点検</v>
      </c>
      <c r="F69" s="23"/>
      <c r="G69" s="19"/>
      <c r="H69" s="4" t="str">
        <f>IFERROR(__xludf.DUMMYFUNCTION("""COMPUTED_VALUE"""),"未照合")</f>
        <v>未照合</v>
      </c>
      <c r="I69" s="19"/>
      <c r="J69" s="17"/>
      <c r="K69" s="23">
        <f>IFERROR(__xludf.DUMMYFUNCTION("""COMPUTED_VALUE"""),0.0)</f>
        <v>0</v>
      </c>
      <c r="L69" s="23" t="str">
        <f>IFERROR(__xludf.DUMMYFUNCTION("""COMPUTED_VALUE"""),"")</f>
        <v/>
      </c>
      <c r="M69" s="4" t="str">
        <f>IFERROR(__xludf.DUMMYFUNCTION("""COMPUTED_VALUE"""),"未入金")</f>
        <v>未入金</v>
      </c>
      <c r="N69" s="19" t="str">
        <f>IFERROR(__xludf.DUMMYFUNCTION("""COMPUTED_VALUE"""),"")</f>
        <v/>
      </c>
      <c r="O69" s="19"/>
    </row>
    <row r="70" ht="15.75" customHeight="1">
      <c r="A70" s="4" t="str">
        <f>IFERROR(__xludf.DUMMYFUNCTION("""COMPUTED_VALUE"""),"SB00024460")</f>
        <v>SB00024460</v>
      </c>
      <c r="B70" s="17">
        <f>IFERROR(__xludf.DUMMYFUNCTION("""COMPUTED_VALUE"""),46128.0)</f>
        <v>46128</v>
      </c>
      <c r="C70" s="4"/>
      <c r="D70" s="19"/>
      <c r="E70" s="4" t="str">
        <f>IFERROR(__xludf.DUMMYFUNCTION("""COMPUTED_VALUE"""),"社用車C-①")</f>
        <v>社用車C-①</v>
      </c>
      <c r="F70" s="23"/>
      <c r="G70" s="19"/>
      <c r="H70" s="4" t="str">
        <f>IFERROR(__xludf.DUMMYFUNCTION("""COMPUTED_VALUE"""),"未照合")</f>
        <v>未照合</v>
      </c>
      <c r="I70" s="19"/>
      <c r="J70" s="17"/>
      <c r="K70" s="23">
        <f>IFERROR(__xludf.DUMMYFUNCTION("""COMPUTED_VALUE"""),0.0)</f>
        <v>0</v>
      </c>
      <c r="L70" s="23" t="str">
        <f>IFERROR(__xludf.DUMMYFUNCTION("""COMPUTED_VALUE"""),"")</f>
        <v/>
      </c>
      <c r="M70" s="4" t="str">
        <f>IFERROR(__xludf.DUMMYFUNCTION("""COMPUTED_VALUE"""),"未入金")</f>
        <v>未入金</v>
      </c>
      <c r="N70" s="19"/>
      <c r="O70" s="19"/>
    </row>
    <row r="71" ht="15.75" customHeight="1">
      <c r="A71" s="19"/>
      <c r="B71" s="17">
        <f>IFERROR(__xludf.DUMMYFUNCTION("""COMPUTED_VALUE"""),46128.0)</f>
        <v>46128</v>
      </c>
      <c r="C71" s="4" t="str">
        <f>IFERROR(__xludf.DUMMYFUNCTION("""COMPUTED_VALUE"""),"株式会社ブリッジ代表取締役 橋")</f>
        <v>株式会社ブリッジ代表取締役 橋</v>
      </c>
      <c r="D71" s="19"/>
      <c r="E71" s="4" t="str">
        <f>IFERROR(__xludf.DUMMYFUNCTION("""COMPUTED_VALUE"""),"点検")</f>
        <v>点検</v>
      </c>
      <c r="F71" s="23"/>
      <c r="G71" s="19"/>
      <c r="H71" s="4" t="str">
        <f>IFERROR(__xludf.DUMMYFUNCTION("""COMPUTED_VALUE"""),"未照合")</f>
        <v>未照合</v>
      </c>
      <c r="I71" s="19"/>
      <c r="J71" s="17"/>
      <c r="K71" s="23">
        <f>IFERROR(__xludf.DUMMYFUNCTION("""COMPUTED_VALUE"""),0.0)</f>
        <v>0</v>
      </c>
      <c r="L71" s="23" t="str">
        <f>IFERROR(__xludf.DUMMYFUNCTION("""COMPUTED_VALUE"""),"")</f>
        <v/>
      </c>
      <c r="M71" s="4" t="str">
        <f>IFERROR(__xludf.DUMMYFUNCTION("""COMPUTED_VALUE"""),"未入金")</f>
        <v>未入金</v>
      </c>
      <c r="N71" s="19"/>
      <c r="O71" s="19"/>
    </row>
    <row r="72" ht="15.75" customHeight="1">
      <c r="A72" s="19"/>
      <c r="B72" s="17">
        <f>IFERROR(__xludf.DUMMYFUNCTION("""COMPUTED_VALUE"""),46128.0)</f>
        <v>46128</v>
      </c>
      <c r="C72" s="4" t="str">
        <f>IFERROR(__xludf.DUMMYFUNCTION("""COMPUTED_VALUE"""),"株式会社T企画代表取締役 富")</f>
        <v>株式会社T企画代表取締役 富</v>
      </c>
      <c r="D72" s="19"/>
      <c r="E72" s="4" t="str">
        <f>IFERROR(__xludf.DUMMYFUNCTION("""COMPUTED_VALUE"""),"一般整備")</f>
        <v>一般整備</v>
      </c>
      <c r="F72" s="23"/>
      <c r="G72" s="19"/>
      <c r="H72" s="4" t="str">
        <f>IFERROR(__xludf.DUMMYFUNCTION("""COMPUTED_VALUE"""),"未照合")</f>
        <v>未照合</v>
      </c>
      <c r="I72" s="19"/>
      <c r="J72" s="17"/>
      <c r="K72" s="23">
        <f>IFERROR(__xludf.DUMMYFUNCTION("""COMPUTED_VALUE"""),0.0)</f>
        <v>0</v>
      </c>
      <c r="L72" s="23" t="str">
        <f>IFERROR(__xludf.DUMMYFUNCTION("""COMPUTED_VALUE"""),"")</f>
        <v/>
      </c>
      <c r="M72" s="4" t="str">
        <f>IFERROR(__xludf.DUMMYFUNCTION("""COMPUTED_VALUE"""),"未入金")</f>
        <v>未入金</v>
      </c>
      <c r="N72" s="19"/>
      <c r="O72" s="19"/>
    </row>
    <row r="73" ht="15.75" customHeight="1">
      <c r="A73" s="19"/>
      <c r="B73" s="17">
        <f>IFERROR(__xludf.DUMMYFUNCTION("""COMPUTED_VALUE"""),46128.0)</f>
        <v>46128</v>
      </c>
      <c r="C73" s="4" t="str">
        <f>IFERROR(__xludf.DUMMYFUNCTION("""COMPUTED_VALUE"""),"青地耳鼻咽喉科院長 青地 克也")</f>
        <v>青地耳鼻咽喉科院長 青地 克也</v>
      </c>
      <c r="D73" s="19"/>
      <c r="E73" s="4" t="str">
        <f>IFERROR(__xludf.DUMMYFUNCTION("""COMPUTED_VALUE"""),"一般整備")</f>
        <v>一般整備</v>
      </c>
      <c r="F73" s="23"/>
      <c r="G73" s="19"/>
      <c r="H73" s="4" t="str">
        <f>IFERROR(__xludf.DUMMYFUNCTION("""COMPUTED_VALUE"""),"未照合")</f>
        <v>未照合</v>
      </c>
      <c r="I73" s="19"/>
      <c r="J73" s="17"/>
      <c r="K73" s="23">
        <f>IFERROR(__xludf.DUMMYFUNCTION("""COMPUTED_VALUE"""),0.0)</f>
        <v>0</v>
      </c>
      <c r="L73" s="23" t="str">
        <f>IFERROR(__xludf.DUMMYFUNCTION("""COMPUTED_VALUE"""),"")</f>
        <v/>
      </c>
      <c r="M73" s="4" t="str">
        <f>IFERROR(__xludf.DUMMYFUNCTION("""COMPUTED_VALUE"""),"未入金")</f>
        <v>未入金</v>
      </c>
      <c r="N73" s="19"/>
      <c r="O73" s="19"/>
    </row>
    <row r="74" ht="15.75" customHeight="1">
      <c r="A74" s="19"/>
      <c r="B74" s="17">
        <f>IFERROR(__xludf.DUMMYFUNCTION("""COMPUTED_VALUE"""),46128.0)</f>
        <v>46128</v>
      </c>
      <c r="C74" s="4" t="str">
        <f>IFERROR(__xludf.DUMMYFUNCTION("""COMPUTED_VALUE"""),"青地耳鼻咽喉科院長 青地 克也")</f>
        <v>青地耳鼻咽喉科院長 青地 克也</v>
      </c>
      <c r="D74" s="19"/>
      <c r="E74" s="4" t="str">
        <f>IFERROR(__xludf.DUMMYFUNCTION("""COMPUTED_VALUE"""),"点検")</f>
        <v>点検</v>
      </c>
      <c r="F74" s="23"/>
      <c r="G74" s="19"/>
      <c r="H74" s="4" t="str">
        <f>IFERROR(__xludf.DUMMYFUNCTION("""COMPUTED_VALUE"""),"未照合")</f>
        <v>未照合</v>
      </c>
      <c r="I74" s="19"/>
      <c r="J74" s="17"/>
      <c r="K74" s="23">
        <f>IFERROR(__xludf.DUMMYFUNCTION("""COMPUTED_VALUE"""),0.0)</f>
        <v>0</v>
      </c>
      <c r="L74" s="23" t="str">
        <f>IFERROR(__xludf.DUMMYFUNCTION("""COMPUTED_VALUE"""),"")</f>
        <v/>
      </c>
      <c r="M74" s="4" t="str">
        <f>IFERROR(__xludf.DUMMYFUNCTION("""COMPUTED_VALUE"""),"未入金")</f>
        <v>未入金</v>
      </c>
      <c r="N74" s="19"/>
      <c r="O74" s="19"/>
    </row>
    <row r="75" ht="15.75" customHeight="1">
      <c r="A75" s="4" t="str">
        <f>IFERROR(__xludf.DUMMYFUNCTION("""COMPUTED_VALUE"""),"SB00024566")</f>
        <v>SB00024566</v>
      </c>
      <c r="B75" s="17">
        <f>IFERROR(__xludf.DUMMYFUNCTION("""COMPUTED_VALUE"""),46125.0)</f>
        <v>46125</v>
      </c>
      <c r="C75" s="4" t="str">
        <f>IFERROR(__xludf.DUMMYFUNCTION("""COMPUTED_VALUE"""),"医療法人　徹慈会　　堀病院理事長　宇高毅")</f>
        <v>医療法人　徹慈会　　堀病院理事長　宇高毅</v>
      </c>
      <c r="D75" s="4"/>
      <c r="E75" s="4" t="str">
        <f>IFERROR(__xludf.DUMMYFUNCTION("""COMPUTED_VALUE"""),"一般整備")</f>
        <v>一般整備</v>
      </c>
      <c r="F75" s="23"/>
      <c r="G75" s="4"/>
      <c r="H75" s="4" t="str">
        <f>IFERROR(__xludf.DUMMYFUNCTION("""COMPUTED_VALUE"""),"未照合")</f>
        <v>未照合</v>
      </c>
      <c r="I75" s="4"/>
      <c r="J75" s="17"/>
      <c r="K75" s="23">
        <f>IFERROR(__xludf.DUMMYFUNCTION("""COMPUTED_VALUE"""),0.0)</f>
        <v>0</v>
      </c>
      <c r="L75" s="23" t="str">
        <f>IFERROR(__xludf.DUMMYFUNCTION("""COMPUTED_VALUE"""),"")</f>
        <v/>
      </c>
      <c r="M75" s="4" t="str">
        <f>IFERROR(__xludf.DUMMYFUNCTION("""COMPUTED_VALUE"""),"未入金")</f>
        <v>未入金</v>
      </c>
      <c r="N75" s="19" t="str">
        <f>IFERROR(__xludf.DUMMYFUNCTION("""COMPUTED_VALUE"""),"")</f>
        <v/>
      </c>
      <c r="O75" s="19"/>
    </row>
    <row r="76" ht="15.75" customHeight="1">
      <c r="A76" s="4" t="str">
        <f>IFERROR(__xludf.DUMMYFUNCTION("""COMPUTED_VALUE"""),"SB00024567")</f>
        <v>SB00024567</v>
      </c>
      <c r="B76" s="17">
        <f>IFERROR(__xludf.DUMMYFUNCTION("""COMPUTED_VALUE"""),46125.0)</f>
        <v>46125</v>
      </c>
      <c r="C76" s="4" t="str">
        <f>IFERROR(__xludf.DUMMYFUNCTION("""COMPUTED_VALUE"""),"T's company株式会社代表取締役 塚本妙子")</f>
        <v>T's company株式会社代表取締役 塚本妙子</v>
      </c>
      <c r="D76" s="4" t="str">
        <f>IFERROR(__xludf.DUMMYFUNCTION("""COMPUTED_VALUE"""),"株式会社コンクエスト　ジャガーランドローバー広島")</f>
        <v>株式会社コンクエスト　ジャガーランドローバー広島</v>
      </c>
      <c r="E76" s="4" t="str">
        <f>IFERROR(__xludf.DUMMYFUNCTION("""COMPUTED_VALUE"""),"一般整備")</f>
        <v>一般整備</v>
      </c>
      <c r="F76" s="23"/>
      <c r="G76" s="4"/>
      <c r="H76" s="4" t="str">
        <f>IFERROR(__xludf.DUMMYFUNCTION("""COMPUTED_VALUE"""),"未照合")</f>
        <v>未照合</v>
      </c>
      <c r="I76" s="4"/>
      <c r="J76" s="17"/>
      <c r="K76" s="23">
        <f>IFERROR(__xludf.DUMMYFUNCTION("""COMPUTED_VALUE"""),0.0)</f>
        <v>0</v>
      </c>
      <c r="L76" s="23" t="str">
        <f>IFERROR(__xludf.DUMMYFUNCTION("""COMPUTED_VALUE"""),"")</f>
        <v/>
      </c>
      <c r="M76" s="4" t="str">
        <f>IFERROR(__xludf.DUMMYFUNCTION("""COMPUTED_VALUE"""),"未入金")</f>
        <v>未入金</v>
      </c>
      <c r="N76" s="19" t="str">
        <f>IFERROR(__xludf.DUMMYFUNCTION("""COMPUTED_VALUE"""),"")</f>
        <v/>
      </c>
      <c r="O76" s="19"/>
    </row>
    <row r="77" ht="15.75" customHeight="1">
      <c r="A77" s="4" t="str">
        <f>IFERROR(__xludf.DUMMYFUNCTION("""COMPUTED_VALUE"""),"SB00024545")</f>
        <v>SB00024545</v>
      </c>
      <c r="B77" s="17">
        <f>IFERROR(__xludf.DUMMYFUNCTION("""COMPUTED_VALUE"""),46124.0)</f>
        <v>46124</v>
      </c>
      <c r="C77" s="4" t="str">
        <f>IFERROR(__xludf.DUMMYFUNCTION("""COMPUTED_VALUE"""),"李　樹人")</f>
        <v>李　樹人</v>
      </c>
      <c r="D77" s="4"/>
      <c r="E77" s="4" t="str">
        <f>IFERROR(__xludf.DUMMYFUNCTION("""COMPUTED_VALUE"""),"車検")</f>
        <v>車検</v>
      </c>
      <c r="F77" s="23"/>
      <c r="G77" s="4"/>
      <c r="H77" s="4" t="str">
        <f>IFERROR(__xludf.DUMMYFUNCTION("""COMPUTED_VALUE"""),"自動消込")</f>
        <v>自動消込</v>
      </c>
      <c r="I77" s="4" t="str">
        <f>IFERROR(__xludf.DUMMYFUNCTION("""COMPUTED_VALUE"""),"VISA")</f>
        <v>VISA</v>
      </c>
      <c r="J77" s="17"/>
      <c r="K77" s="23">
        <f>IFERROR(__xludf.DUMMYFUNCTION("""COMPUTED_VALUE"""),0.0)</f>
        <v>0</v>
      </c>
      <c r="L77" s="23" t="str">
        <f>IFERROR(__xludf.DUMMYFUNCTION("""COMPUTED_VALUE"""),"")</f>
        <v/>
      </c>
      <c r="M77" s="4" t="str">
        <f>IFERROR(__xludf.DUMMYFUNCTION("""COMPUTED_VALUE"""),"入金済")</f>
        <v>入金済</v>
      </c>
      <c r="N77" s="19" t="str">
        <f>IFERROR(__xludf.DUMMYFUNCTION("""COMPUTED_VALUE"""),"")</f>
        <v/>
      </c>
      <c r="O77" s="19"/>
    </row>
    <row r="78" ht="15.75" customHeight="1">
      <c r="A78" s="4" t="str">
        <f>IFERROR(__xludf.DUMMYFUNCTION("""COMPUTED_VALUE"""),"SB00024559")</f>
        <v>SB00024559</v>
      </c>
      <c r="B78" s="17">
        <f>IFERROR(__xludf.DUMMYFUNCTION("""COMPUTED_VALUE"""),46124.0)</f>
        <v>46124</v>
      </c>
      <c r="C78" s="4" t="str">
        <f>IFERROR(__xludf.DUMMYFUNCTION("""COMPUTED_VALUE"""),"有限会社エル・グレコ代表取締役 長沼　眞智子")</f>
        <v>有限会社エル・グレコ代表取締役 長沼　眞智子</v>
      </c>
      <c r="D78" s="4" t="str">
        <f>IFERROR(__xludf.DUMMYFUNCTION("""COMPUTED_VALUE"""),"三井住友海上火災保険　株式会社")</f>
        <v>三井住友海上火災保険　株式会社</v>
      </c>
      <c r="E78" s="4" t="str">
        <f>IFERROR(__xludf.DUMMYFUNCTION("""COMPUTED_VALUE"""),"損保ﾚﾝ（福")</f>
        <v>損保ﾚﾝ（福</v>
      </c>
      <c r="F78" s="23"/>
      <c r="G78" s="4"/>
      <c r="H78" s="4" t="str">
        <f>IFERROR(__xludf.DUMMYFUNCTION("""COMPUTED_VALUE"""),"自動消込")</f>
        <v>自動消込</v>
      </c>
      <c r="I78" s="4" t="str">
        <f>IFERROR(__xludf.DUMMYFUNCTION("""COMPUTED_VALUE"""),"振り込み")</f>
        <v>振り込み</v>
      </c>
      <c r="J78" s="17"/>
      <c r="K78" s="23">
        <f>IFERROR(__xludf.DUMMYFUNCTION("""COMPUTED_VALUE"""),0.0)</f>
        <v>0</v>
      </c>
      <c r="L78" s="23" t="str">
        <f>IFERROR(__xludf.DUMMYFUNCTION("""COMPUTED_VALUE"""),"")</f>
        <v/>
      </c>
      <c r="M78" s="4" t="str">
        <f>IFERROR(__xludf.DUMMYFUNCTION("""COMPUTED_VALUE"""),"入金済")</f>
        <v>入金済</v>
      </c>
      <c r="N78" s="19" t="str">
        <f>IFERROR(__xludf.DUMMYFUNCTION("""COMPUTED_VALUE"""),"")</f>
        <v/>
      </c>
      <c r="O78" s="19"/>
    </row>
    <row r="79" ht="15.75" customHeight="1">
      <c r="A79" s="4" t="str">
        <f>IFERROR(__xludf.DUMMYFUNCTION("""COMPUTED_VALUE"""),"SB00024560")</f>
        <v>SB00024560</v>
      </c>
      <c r="B79" s="17">
        <f>IFERROR(__xludf.DUMMYFUNCTION("""COMPUTED_VALUE"""),46124.0)</f>
        <v>46124</v>
      </c>
      <c r="C79" s="4" t="str">
        <f>IFERROR(__xludf.DUMMYFUNCTION("""COMPUTED_VALUE"""),"ﾀﾞｯｸﾃｷｽﾀｲﾙ株式会社代表取締役 三原龍二")</f>
        <v>ﾀﾞｯｸﾃｷｽﾀｲﾙ株式会社代表取締役 三原龍二</v>
      </c>
      <c r="D79" s="4" t="str">
        <f>IFERROR(__xludf.DUMMYFUNCTION("""COMPUTED_VALUE"""),"株式会社コンクエスト　ジャガーランドローバー広島")</f>
        <v>株式会社コンクエスト　ジャガーランドローバー広島</v>
      </c>
      <c r="E79" s="4" t="str">
        <f>IFERROR(__xludf.DUMMYFUNCTION("""COMPUTED_VALUE"""),"一般整備")</f>
        <v>一般整備</v>
      </c>
      <c r="F79" s="23"/>
      <c r="G79" s="4"/>
      <c r="H79" s="4" t="str">
        <f>IFERROR(__xludf.DUMMYFUNCTION("""COMPUTED_VALUE"""),"未照合")</f>
        <v>未照合</v>
      </c>
      <c r="I79" s="4"/>
      <c r="J79" s="17"/>
      <c r="K79" s="23">
        <f>IFERROR(__xludf.DUMMYFUNCTION("""COMPUTED_VALUE"""),0.0)</f>
        <v>0</v>
      </c>
      <c r="L79" s="23" t="str">
        <f>IFERROR(__xludf.DUMMYFUNCTION("""COMPUTED_VALUE"""),"")</f>
        <v/>
      </c>
      <c r="M79" s="4" t="str">
        <f>IFERROR(__xludf.DUMMYFUNCTION("""COMPUTED_VALUE"""),"未入金")</f>
        <v>未入金</v>
      </c>
      <c r="N79" s="19" t="str">
        <f>IFERROR(__xludf.DUMMYFUNCTION("""COMPUTED_VALUE"""),"")</f>
        <v/>
      </c>
      <c r="O79" s="19"/>
    </row>
    <row r="80" ht="15.75" customHeight="1">
      <c r="A80" s="4" t="str">
        <f>IFERROR(__xludf.DUMMYFUNCTION("""COMPUTED_VALUE"""),"SB00024562")</f>
        <v>SB00024562</v>
      </c>
      <c r="B80" s="17">
        <f>IFERROR(__xludf.DUMMYFUNCTION("""COMPUTED_VALUE"""),46124.0)</f>
        <v>46124</v>
      </c>
      <c r="C80" s="4" t="str">
        <f>IFERROR(__xludf.DUMMYFUNCTION("""COMPUTED_VALUE"""),"株式会社ｾﾞﾈｺｽ代表取締役　小川　恭史")</f>
        <v>株式会社ｾﾞﾈｺｽ代表取締役　小川　恭史</v>
      </c>
      <c r="D80" s="4" t="str">
        <f>IFERROR(__xludf.DUMMYFUNCTION("""COMPUTED_VALUE"""),"株式会社コンクエスト　ジャガーランドローバー広島")</f>
        <v>株式会社コンクエスト　ジャガーランドローバー広島</v>
      </c>
      <c r="E80" s="4" t="str">
        <f>IFERROR(__xludf.DUMMYFUNCTION("""COMPUTED_VALUE"""),"一般整備")</f>
        <v>一般整備</v>
      </c>
      <c r="F80" s="23"/>
      <c r="G80" s="4"/>
      <c r="H80" s="4" t="str">
        <f>IFERROR(__xludf.DUMMYFUNCTION("""COMPUTED_VALUE"""),"未照合")</f>
        <v>未照合</v>
      </c>
      <c r="I80" s="4"/>
      <c r="J80" s="17"/>
      <c r="K80" s="23">
        <f>IFERROR(__xludf.DUMMYFUNCTION("""COMPUTED_VALUE"""),0.0)</f>
        <v>0</v>
      </c>
      <c r="L80" s="23" t="str">
        <f>IFERROR(__xludf.DUMMYFUNCTION("""COMPUTED_VALUE"""),"")</f>
        <v/>
      </c>
      <c r="M80" s="4" t="str">
        <f>IFERROR(__xludf.DUMMYFUNCTION("""COMPUTED_VALUE"""),"未入金")</f>
        <v>未入金</v>
      </c>
      <c r="N80" s="19" t="str">
        <f>IFERROR(__xludf.DUMMYFUNCTION("""COMPUTED_VALUE"""),"")</f>
        <v/>
      </c>
      <c r="O80" s="19"/>
    </row>
    <row r="81" ht="15.75" customHeight="1">
      <c r="A81" s="4" t="str">
        <f>IFERROR(__xludf.DUMMYFUNCTION("""COMPUTED_VALUE"""),"SB00024563")</f>
        <v>SB00024563</v>
      </c>
      <c r="B81" s="17">
        <f>IFERROR(__xludf.DUMMYFUNCTION("""COMPUTED_VALUE"""),46124.0)</f>
        <v>46124</v>
      </c>
      <c r="C81" s="4" t="str">
        <f>IFERROR(__xludf.DUMMYFUNCTION("""COMPUTED_VALUE"""),"原　保香")</f>
        <v>原　保香</v>
      </c>
      <c r="D81" s="19"/>
      <c r="E81" s="4" t="str">
        <f>IFERROR(__xludf.DUMMYFUNCTION("""COMPUTED_VALUE"""),"一般整備")</f>
        <v>一般整備</v>
      </c>
      <c r="F81" s="23"/>
      <c r="G81" s="4"/>
      <c r="H81" s="4" t="str">
        <f>IFERROR(__xludf.DUMMYFUNCTION("""COMPUTED_VALUE"""),"自動消込")</f>
        <v>自動消込</v>
      </c>
      <c r="I81" s="4" t="str">
        <f>IFERROR(__xludf.DUMMYFUNCTION("""COMPUTED_VALUE"""),"VISA")</f>
        <v>VISA</v>
      </c>
      <c r="J81" s="17"/>
      <c r="K81" s="23">
        <f>IFERROR(__xludf.DUMMYFUNCTION("""COMPUTED_VALUE"""),0.0)</f>
        <v>0</v>
      </c>
      <c r="L81" s="23" t="str">
        <f>IFERROR(__xludf.DUMMYFUNCTION("""COMPUTED_VALUE"""),"")</f>
        <v/>
      </c>
      <c r="M81" s="4" t="str">
        <f>IFERROR(__xludf.DUMMYFUNCTION("""COMPUTED_VALUE"""),"入金済")</f>
        <v>入金済</v>
      </c>
      <c r="N81" s="19" t="str">
        <f>IFERROR(__xludf.DUMMYFUNCTION("""COMPUTED_VALUE"""),"")</f>
        <v/>
      </c>
      <c r="O81" s="19"/>
    </row>
    <row r="82" ht="15.75" customHeight="1">
      <c r="A82" s="4" t="str">
        <f>IFERROR(__xludf.DUMMYFUNCTION("""COMPUTED_VALUE"""),"SB00024564")</f>
        <v>SB00024564</v>
      </c>
      <c r="B82" s="17">
        <f>IFERROR(__xludf.DUMMYFUNCTION("""COMPUTED_VALUE"""),46124.0)</f>
        <v>46124</v>
      </c>
      <c r="C82" s="4" t="str">
        <f>IFERROR(__xludf.DUMMYFUNCTION("""COMPUTED_VALUE"""),"三栄石油株式会社代表取締役　三好浩章")</f>
        <v>三栄石油株式会社代表取締役　三好浩章</v>
      </c>
      <c r="D82" s="4" t="str">
        <f>IFERROR(__xludf.DUMMYFUNCTION("""COMPUTED_VALUE"""),"損害保険ジャパン株式会社")</f>
        <v>損害保険ジャパン株式会社</v>
      </c>
      <c r="E82" s="4" t="str">
        <f>IFERROR(__xludf.DUMMYFUNCTION("""COMPUTED_VALUE"""),"保険請求")</f>
        <v>保険請求</v>
      </c>
      <c r="F82" s="23"/>
      <c r="G82" s="4"/>
      <c r="H82" s="4" t="str">
        <f>IFERROR(__xludf.DUMMYFUNCTION("""COMPUTED_VALUE"""),"自動消込")</f>
        <v>自動消込</v>
      </c>
      <c r="I82" s="4" t="str">
        <f>IFERROR(__xludf.DUMMYFUNCTION("""COMPUTED_VALUE"""),"振り込み")</f>
        <v>振り込み</v>
      </c>
      <c r="J82" s="17"/>
      <c r="K82" s="23">
        <f>IFERROR(__xludf.DUMMYFUNCTION("""COMPUTED_VALUE"""),0.0)</f>
        <v>0</v>
      </c>
      <c r="L82" s="23" t="str">
        <f>IFERROR(__xludf.DUMMYFUNCTION("""COMPUTED_VALUE"""),"")</f>
        <v/>
      </c>
      <c r="M82" s="4" t="str">
        <f>IFERROR(__xludf.DUMMYFUNCTION("""COMPUTED_VALUE"""),"入金済")</f>
        <v>入金済</v>
      </c>
      <c r="N82" s="19" t="str">
        <f>IFERROR(__xludf.DUMMYFUNCTION("""COMPUTED_VALUE"""),"")</f>
        <v/>
      </c>
      <c r="O82" s="19"/>
    </row>
    <row r="83" ht="15.75" customHeight="1">
      <c r="A83" s="4" t="str">
        <f>IFERROR(__xludf.DUMMYFUNCTION("""COMPUTED_VALUE"""),"SB00007572")</f>
        <v>SB00007572</v>
      </c>
      <c r="B83" s="17">
        <f>IFERROR(__xludf.DUMMYFUNCTION("""COMPUTED_VALUE"""),46123.0)</f>
        <v>46123</v>
      </c>
      <c r="C83" s="4" t="str">
        <f>IFERROR(__xludf.DUMMYFUNCTION("""COMPUTED_VALUE"""),"森 祐司")</f>
        <v>森 祐司</v>
      </c>
      <c r="D83" s="4" t="str">
        <f>IFERROR(__xludf.DUMMYFUNCTION("""COMPUTED_VALUE"""),"但井智哉")</f>
        <v>但井智哉</v>
      </c>
      <c r="E83" s="4" t="str">
        <f>IFERROR(__xludf.DUMMYFUNCTION("""COMPUTED_VALUE"""),"一般整備")</f>
        <v>一般整備</v>
      </c>
      <c r="F83" s="23"/>
      <c r="G83" s="19"/>
      <c r="H83" s="4" t="str">
        <f>IFERROR(__xludf.DUMMYFUNCTION("""COMPUTED_VALUE"""),"未照合")</f>
        <v>未照合</v>
      </c>
      <c r="I83" s="19"/>
      <c r="J83" s="17"/>
      <c r="K83" s="23">
        <f>IFERROR(__xludf.DUMMYFUNCTION("""COMPUTED_VALUE"""),0.0)</f>
        <v>0</v>
      </c>
      <c r="L83" s="23" t="str">
        <f>IFERROR(__xludf.DUMMYFUNCTION("""COMPUTED_VALUE"""),"")</f>
        <v/>
      </c>
      <c r="M83" s="4" t="str">
        <f>IFERROR(__xludf.DUMMYFUNCTION("""COMPUTED_VALUE"""),"未入金")</f>
        <v>未入金</v>
      </c>
      <c r="N83" s="19" t="str">
        <f>IFERROR(__xludf.DUMMYFUNCTION("""COMPUTED_VALUE"""),"")</f>
        <v/>
      </c>
      <c r="O83" s="19"/>
    </row>
    <row r="84" ht="15.75" customHeight="1">
      <c r="A84" s="4" t="str">
        <f>IFERROR(__xludf.DUMMYFUNCTION("""COMPUTED_VALUE"""),"SB00007581")</f>
        <v>SB00007581</v>
      </c>
      <c r="B84" s="17">
        <f>IFERROR(__xludf.DUMMYFUNCTION("""COMPUTED_VALUE"""),46123.0)</f>
        <v>46123</v>
      </c>
      <c r="C84" s="4" t="str">
        <f>IFERROR(__xludf.DUMMYFUNCTION("""COMPUTED_VALUE"""),"株式会社ぐんけい")</f>
        <v>株式会社ぐんけい</v>
      </c>
      <c r="D84" s="4" t="str">
        <f>IFERROR(__xludf.DUMMYFUNCTION("""COMPUTED_VALUE"""),"株式会社ぐんけい")</f>
        <v>株式会社ぐんけい</v>
      </c>
      <c r="E84" s="4" t="str">
        <f>IFERROR(__xludf.DUMMYFUNCTION("""COMPUTED_VALUE"""),"車検")</f>
        <v>車検</v>
      </c>
      <c r="F84" s="23"/>
      <c r="G84" s="19"/>
      <c r="H84" s="4" t="str">
        <f>IFERROR(__xludf.DUMMYFUNCTION("""COMPUTED_VALUE"""),"未照合")</f>
        <v>未照合</v>
      </c>
      <c r="I84" s="19"/>
      <c r="J84" s="17"/>
      <c r="K84" s="23">
        <f>IFERROR(__xludf.DUMMYFUNCTION("""COMPUTED_VALUE"""),0.0)</f>
        <v>0</v>
      </c>
      <c r="L84" s="23" t="str">
        <f>IFERROR(__xludf.DUMMYFUNCTION("""COMPUTED_VALUE"""),"")</f>
        <v/>
      </c>
      <c r="M84" s="4" t="str">
        <f>IFERROR(__xludf.DUMMYFUNCTION("""COMPUTED_VALUE"""),"未入金")</f>
        <v>未入金</v>
      </c>
      <c r="N84" s="19" t="str">
        <f>IFERROR(__xludf.DUMMYFUNCTION("""COMPUTED_VALUE"""),"")</f>
        <v/>
      </c>
      <c r="O84" s="19"/>
    </row>
    <row r="85" ht="15.75" customHeight="1">
      <c r="A85" s="19"/>
      <c r="B85" s="17">
        <f>IFERROR(__xludf.DUMMYFUNCTION("""COMPUTED_VALUE"""),46123.0)</f>
        <v>46123</v>
      </c>
      <c r="C85" s="4" t="str">
        <f>IFERROR(__xludf.DUMMYFUNCTION("""COMPUTED_VALUE"""),"森 祐司")</f>
        <v>森 祐司</v>
      </c>
      <c r="D85" s="19"/>
      <c r="E85" s="4" t="str">
        <f>IFERROR(__xludf.DUMMYFUNCTION("""COMPUTED_VALUE"""),"一般整備")</f>
        <v>一般整備</v>
      </c>
      <c r="F85" s="23"/>
      <c r="G85" s="19"/>
      <c r="H85" s="4" t="str">
        <f>IFERROR(__xludf.DUMMYFUNCTION("""COMPUTED_VALUE"""),"未照合")</f>
        <v>未照合</v>
      </c>
      <c r="I85" s="19"/>
      <c r="J85" s="17"/>
      <c r="K85" s="23">
        <f>IFERROR(__xludf.DUMMYFUNCTION("""COMPUTED_VALUE"""),0.0)</f>
        <v>0</v>
      </c>
      <c r="L85" s="23" t="str">
        <f>IFERROR(__xludf.DUMMYFUNCTION("""COMPUTED_VALUE"""),"")</f>
        <v/>
      </c>
      <c r="M85" s="4" t="str">
        <f>IFERROR(__xludf.DUMMYFUNCTION("""COMPUTED_VALUE"""),"未入金")</f>
        <v>未入金</v>
      </c>
      <c r="N85" s="19"/>
      <c r="O85" s="19"/>
    </row>
    <row r="86" ht="15.75" customHeight="1">
      <c r="A86" s="4" t="str">
        <f>IFERROR(__xludf.DUMMYFUNCTION("""COMPUTED_VALUE"""),"SB00024547")</f>
        <v>SB00024547</v>
      </c>
      <c r="B86" s="17">
        <f>IFERROR(__xludf.DUMMYFUNCTION("""COMPUTED_VALUE"""),46121.0)</f>
        <v>46121</v>
      </c>
      <c r="C86" s="4" t="str">
        <f>IFERROR(__xludf.DUMMYFUNCTION("""COMPUTED_VALUE"""),"株式会社 ﾙｯｸ　代表取締役社長 　岡崎芳明")</f>
        <v>株式会社 ﾙｯｸ　代表取締役社長 　岡崎芳明</v>
      </c>
      <c r="D86" s="19"/>
      <c r="E86" s="4" t="str">
        <f>IFERROR(__xludf.DUMMYFUNCTION("""COMPUTED_VALUE"""),"車検")</f>
        <v>車検</v>
      </c>
      <c r="F86" s="23"/>
      <c r="G86" s="4"/>
      <c r="H86" s="4" t="str">
        <f>IFERROR(__xludf.DUMMYFUNCTION("""COMPUTED_VALUE"""),"自動消込")</f>
        <v>自動消込</v>
      </c>
      <c r="I86" s="4" t="str">
        <f>IFERROR(__xludf.DUMMYFUNCTION("""COMPUTED_VALUE"""),"振り込み")</f>
        <v>振り込み</v>
      </c>
      <c r="J86" s="17"/>
      <c r="K86" s="23">
        <f>IFERROR(__xludf.DUMMYFUNCTION("""COMPUTED_VALUE"""),137410.0)</f>
        <v>137410</v>
      </c>
      <c r="L86" s="23">
        <f>IFERROR(__xludf.DUMMYFUNCTION("""COMPUTED_VALUE"""),0.0)</f>
        <v>0</v>
      </c>
      <c r="M86" s="4" t="str">
        <f>IFERROR(__xludf.DUMMYFUNCTION("""COMPUTED_VALUE"""),"入金済")</f>
        <v>入金済</v>
      </c>
      <c r="N86" s="4"/>
      <c r="O86" s="4" t="str">
        <f>IFERROR(__xludf.DUMMYFUNCTION("""COMPUTED_VALUE"""),"銀行入金 2026/04/30 137,410")</f>
        <v>銀行入金 2026/04/30 137,410</v>
      </c>
    </row>
    <row r="87" ht="15.75" customHeight="1">
      <c r="A87" s="4" t="str">
        <f>IFERROR(__xludf.DUMMYFUNCTION("""COMPUTED_VALUE"""),"SB00024554")</f>
        <v>SB00024554</v>
      </c>
      <c r="B87" s="17">
        <f>IFERROR(__xludf.DUMMYFUNCTION("""COMPUTED_VALUE"""),46121.0)</f>
        <v>46121</v>
      </c>
      <c r="C87" s="4" t="str">
        <f>IFERROR(__xludf.DUMMYFUNCTION("""COMPUTED_VALUE"""),"有限会社山陽商事代表取締役　世良剛志")</f>
        <v>有限会社山陽商事代表取締役　世良剛志</v>
      </c>
      <c r="D87" s="4" t="str">
        <f>IFERROR(__xludf.DUMMYFUNCTION("""COMPUTED_VALUE"""),"株式会社コンクエスト　ジャガーランドローバー広島")</f>
        <v>株式会社コンクエスト　ジャガーランドローバー広島</v>
      </c>
      <c r="E87" s="4" t="str">
        <f>IFERROR(__xludf.DUMMYFUNCTION("""COMPUTED_VALUE"""),"点検")</f>
        <v>点検</v>
      </c>
      <c r="F87" s="23"/>
      <c r="G87" s="4"/>
      <c r="H87" s="4" t="str">
        <f>IFERROR(__xludf.DUMMYFUNCTION("""COMPUTED_VALUE"""),"未照合")</f>
        <v>未照合</v>
      </c>
      <c r="I87" s="4"/>
      <c r="J87" s="17"/>
      <c r="K87" s="23">
        <f>IFERROR(__xludf.DUMMYFUNCTION("""COMPUTED_VALUE"""),0.0)</f>
        <v>0</v>
      </c>
      <c r="L87" s="23" t="str">
        <f>IFERROR(__xludf.DUMMYFUNCTION("""COMPUTED_VALUE"""),"")</f>
        <v/>
      </c>
      <c r="M87" s="4" t="str">
        <f>IFERROR(__xludf.DUMMYFUNCTION("""COMPUTED_VALUE"""),"未入金")</f>
        <v>未入金</v>
      </c>
      <c r="N87" s="19" t="str">
        <f>IFERROR(__xludf.DUMMYFUNCTION("""COMPUTED_VALUE"""),"")</f>
        <v/>
      </c>
      <c r="O87" s="4"/>
    </row>
    <row r="88" ht="15.75" customHeight="1">
      <c r="A88" s="4" t="str">
        <f>IFERROR(__xludf.DUMMYFUNCTION("""COMPUTED_VALUE"""),"SB00024558")</f>
        <v>SB00024558</v>
      </c>
      <c r="B88" s="17">
        <f>IFERROR(__xludf.DUMMYFUNCTION("""COMPUTED_VALUE"""),46121.0)</f>
        <v>46121</v>
      </c>
      <c r="C88" s="4" t="str">
        <f>IFERROR(__xludf.DUMMYFUNCTION("""COMPUTED_VALUE"""),"医療法人よしおかﾎｰﾑｸﾘﾆｯｸ理事長　吉岡孝")</f>
        <v>医療法人よしおかﾎｰﾑｸﾘﾆｯｸ理事長　吉岡孝</v>
      </c>
      <c r="D88" s="4" t="str">
        <f>IFERROR(__xludf.DUMMYFUNCTION("""COMPUTED_VALUE"""),"株式会社コンクエスト　ジャガーランドローバー広島")</f>
        <v>株式会社コンクエスト　ジャガーランドローバー広島</v>
      </c>
      <c r="E88" s="4" t="str">
        <f>IFERROR(__xludf.DUMMYFUNCTION("""COMPUTED_VALUE"""),"一般整備")</f>
        <v>一般整備</v>
      </c>
      <c r="F88" s="23"/>
      <c r="G88" s="4"/>
      <c r="H88" s="4" t="str">
        <f>IFERROR(__xludf.DUMMYFUNCTION("""COMPUTED_VALUE"""),"未照合")</f>
        <v>未照合</v>
      </c>
      <c r="I88" s="4"/>
      <c r="J88" s="17"/>
      <c r="K88" s="23">
        <f>IFERROR(__xludf.DUMMYFUNCTION("""COMPUTED_VALUE"""),0.0)</f>
        <v>0</v>
      </c>
      <c r="L88" s="23" t="str">
        <f>IFERROR(__xludf.DUMMYFUNCTION("""COMPUTED_VALUE"""),"")</f>
        <v/>
      </c>
      <c r="M88" s="4" t="str">
        <f>IFERROR(__xludf.DUMMYFUNCTION("""COMPUTED_VALUE"""),"未入金")</f>
        <v>未入金</v>
      </c>
      <c r="N88" s="4" t="str">
        <f>IFERROR(__xludf.DUMMYFUNCTION("""COMPUTED_VALUE"""),"")</f>
        <v/>
      </c>
      <c r="O88" s="4"/>
    </row>
    <row r="89" ht="15.75" customHeight="1">
      <c r="A89" s="4" t="str">
        <f>IFERROR(__xludf.DUMMYFUNCTION("""COMPUTED_VALUE"""),"SB00024553")</f>
        <v>SB00024553</v>
      </c>
      <c r="B89" s="17">
        <f>IFERROR(__xludf.DUMMYFUNCTION("""COMPUTED_VALUE"""),46121.0)</f>
        <v>46121</v>
      </c>
      <c r="C89" s="4" t="str">
        <f>IFERROR(__xludf.DUMMYFUNCTION("""COMPUTED_VALUE"""),"医療法人　徹慈会　　堀病院理事長　宇高毅")</f>
        <v>医療法人　徹慈会　　堀病院理事長　宇高毅</v>
      </c>
      <c r="D89" s="4" t="str">
        <f>IFERROR(__xludf.DUMMYFUNCTION("""COMPUTED_VALUE"""),"東京海上日動火災保険株式会社")</f>
        <v>東京海上日動火災保険株式会社</v>
      </c>
      <c r="E89" s="4" t="str">
        <f>IFERROR(__xludf.DUMMYFUNCTION("""COMPUTED_VALUE"""),"保険請求")</f>
        <v>保険請求</v>
      </c>
      <c r="F89" s="23"/>
      <c r="G89" s="4"/>
      <c r="H89" s="4" t="str">
        <f>IFERROR(__xludf.DUMMYFUNCTION("""COMPUTED_VALUE"""),"自動消込")</f>
        <v>自動消込</v>
      </c>
      <c r="I89" s="4" t="str">
        <f>IFERROR(__xludf.DUMMYFUNCTION("""COMPUTED_VALUE"""),"振り込み")</f>
        <v>振り込み</v>
      </c>
      <c r="J89" s="17"/>
      <c r="K89" s="23">
        <f>IFERROR(__xludf.DUMMYFUNCTION("""COMPUTED_VALUE"""),0.0)</f>
        <v>0</v>
      </c>
      <c r="L89" s="23" t="str">
        <f>IFERROR(__xludf.DUMMYFUNCTION("""COMPUTED_VALUE"""),"")</f>
        <v/>
      </c>
      <c r="M89" s="4" t="str">
        <f>IFERROR(__xludf.DUMMYFUNCTION("""COMPUTED_VALUE"""),"入金済")</f>
        <v>入金済</v>
      </c>
      <c r="N89" s="4" t="str">
        <f>IFERROR(__xludf.DUMMYFUNCTION("""COMPUTED_VALUE"""),"")</f>
        <v/>
      </c>
      <c r="O89" s="4"/>
    </row>
    <row r="90" ht="15.75" customHeight="1">
      <c r="A90" s="4" t="str">
        <f>IFERROR(__xludf.DUMMYFUNCTION("""COMPUTED_VALUE"""),"SB00024555")</f>
        <v>SB00024555</v>
      </c>
      <c r="B90" s="17">
        <f>IFERROR(__xludf.DUMMYFUNCTION("""COMPUTED_VALUE"""),46121.0)</f>
        <v>46121</v>
      </c>
      <c r="C90" s="4"/>
      <c r="D90" s="4"/>
      <c r="E90" s="4" t="str">
        <f>IFERROR(__xludf.DUMMYFUNCTION("""COMPUTED_VALUE"""),"ｻｰﾋﾞｽD-②")</f>
        <v>ｻｰﾋﾞｽD-②</v>
      </c>
      <c r="F90" s="23"/>
      <c r="G90" s="4"/>
      <c r="H90" s="4" t="str">
        <f>IFERROR(__xludf.DUMMYFUNCTION("""COMPUTED_VALUE"""),"未照合")</f>
        <v>未照合</v>
      </c>
      <c r="I90" s="4"/>
      <c r="J90" s="17"/>
      <c r="K90" s="23">
        <f>IFERROR(__xludf.DUMMYFUNCTION("""COMPUTED_VALUE"""),0.0)</f>
        <v>0</v>
      </c>
      <c r="L90" s="23" t="str">
        <f>IFERROR(__xludf.DUMMYFUNCTION("""COMPUTED_VALUE"""),"")</f>
        <v/>
      </c>
      <c r="M90" s="4" t="str">
        <f>IFERROR(__xludf.DUMMYFUNCTION("""COMPUTED_VALUE"""),"未入金")</f>
        <v>未入金</v>
      </c>
      <c r="N90" s="4" t="str">
        <f>IFERROR(__xludf.DUMMYFUNCTION("""COMPUTED_VALUE"""),"")</f>
        <v/>
      </c>
      <c r="O90" s="4"/>
    </row>
    <row r="91" ht="15.75" customHeight="1">
      <c r="A91" s="4" t="str">
        <f>IFERROR(__xludf.DUMMYFUNCTION("""COMPUTED_VALUE"""),"SB00007577")</f>
        <v>SB00007577</v>
      </c>
      <c r="B91" s="17">
        <f>IFERROR(__xludf.DUMMYFUNCTION("""COMPUTED_VALUE"""),46121.0)</f>
        <v>46121</v>
      </c>
      <c r="C91" s="4" t="str">
        <f>IFERROR(__xludf.DUMMYFUNCTION("""COMPUTED_VALUE"""),"廣岡 孝彦")</f>
        <v>廣岡 孝彦</v>
      </c>
      <c r="D91" s="4" t="str">
        <f>IFERROR(__xludf.DUMMYFUNCTION("""COMPUTED_VALUE"""),"橋本 裕太郎")</f>
        <v>橋本 裕太郎</v>
      </c>
      <c r="E91" s="4" t="str">
        <f>IFERROR(__xludf.DUMMYFUNCTION("""COMPUTED_VALUE"""),"一般整備")</f>
        <v>一般整備</v>
      </c>
      <c r="F91" s="23"/>
      <c r="G91" s="19"/>
      <c r="H91" s="4" t="str">
        <f>IFERROR(__xludf.DUMMYFUNCTION("""COMPUTED_VALUE"""),"未照合")</f>
        <v>未照合</v>
      </c>
      <c r="I91" s="19"/>
      <c r="J91" s="17"/>
      <c r="K91" s="23">
        <f>IFERROR(__xludf.DUMMYFUNCTION("""COMPUTED_VALUE"""),0.0)</f>
        <v>0</v>
      </c>
      <c r="L91" s="23" t="str">
        <f>IFERROR(__xludf.DUMMYFUNCTION("""COMPUTED_VALUE"""),"")</f>
        <v/>
      </c>
      <c r="M91" s="4" t="str">
        <f>IFERROR(__xludf.DUMMYFUNCTION("""COMPUTED_VALUE"""),"未入金")</f>
        <v>未入金</v>
      </c>
      <c r="N91" s="19" t="str">
        <f>IFERROR(__xludf.DUMMYFUNCTION("""COMPUTED_VALUE"""),"")</f>
        <v/>
      </c>
      <c r="O91" s="19"/>
    </row>
    <row r="92" ht="15.75" customHeight="1">
      <c r="A92" s="4" t="str">
        <f>IFERROR(__xludf.DUMMYFUNCTION("""COMPUTED_VALUE"""),"SB00007578")</f>
        <v>SB00007578</v>
      </c>
      <c r="B92" s="17">
        <f>IFERROR(__xludf.DUMMYFUNCTION("""COMPUTED_VALUE"""),46121.0)</f>
        <v>46121</v>
      </c>
      <c r="C92" s="4" t="str">
        <f>IFERROR(__xludf.DUMMYFUNCTION("""COMPUTED_VALUE"""),"医療法人 徹慈会")</f>
        <v>医療法人 徹慈会</v>
      </c>
      <c r="D92" s="4" t="str">
        <f>IFERROR(__xludf.DUMMYFUNCTION("""COMPUTED_VALUE"""),"橋本 裕太郎")</f>
        <v>橋本 裕太郎</v>
      </c>
      <c r="E92" s="4" t="str">
        <f>IFERROR(__xludf.DUMMYFUNCTION("""COMPUTED_VALUE"""),"一般整備")</f>
        <v>一般整備</v>
      </c>
      <c r="F92" s="23"/>
      <c r="G92" s="19"/>
      <c r="H92" s="4" t="str">
        <f>IFERROR(__xludf.DUMMYFUNCTION("""COMPUTED_VALUE"""),"未照合")</f>
        <v>未照合</v>
      </c>
      <c r="I92" s="19"/>
      <c r="J92" s="17"/>
      <c r="K92" s="23">
        <f>IFERROR(__xludf.DUMMYFUNCTION("""COMPUTED_VALUE"""),0.0)</f>
        <v>0</v>
      </c>
      <c r="L92" s="23" t="str">
        <f>IFERROR(__xludf.DUMMYFUNCTION("""COMPUTED_VALUE"""),"")</f>
        <v/>
      </c>
      <c r="M92" s="4" t="str">
        <f>IFERROR(__xludf.DUMMYFUNCTION("""COMPUTED_VALUE"""),"未入金")</f>
        <v>未入金</v>
      </c>
      <c r="N92" s="19" t="str">
        <f>IFERROR(__xludf.DUMMYFUNCTION("""COMPUTED_VALUE"""),"")</f>
        <v/>
      </c>
      <c r="O92" s="19"/>
    </row>
    <row r="93" ht="15.75" customHeight="1">
      <c r="A93" s="4" t="str">
        <f>IFERROR(__xludf.DUMMYFUNCTION("""COMPUTED_VALUE"""),"SB00024555")</f>
        <v>SB00024555</v>
      </c>
      <c r="B93" s="17">
        <f>IFERROR(__xludf.DUMMYFUNCTION("""COMPUTED_VALUE"""),46121.0)</f>
        <v>46121</v>
      </c>
      <c r="C93" s="4"/>
      <c r="D93" s="19"/>
      <c r="E93" s="4" t="str">
        <f>IFERROR(__xludf.DUMMYFUNCTION("""COMPUTED_VALUE"""),"ｻｰﾋﾞｽD-②")</f>
        <v>ｻｰﾋﾞｽD-②</v>
      </c>
      <c r="F93" s="23"/>
      <c r="G93" s="19"/>
      <c r="H93" s="4" t="str">
        <f>IFERROR(__xludf.DUMMYFUNCTION("""COMPUTED_VALUE"""),"未照合")</f>
        <v>未照合</v>
      </c>
      <c r="I93" s="19"/>
      <c r="J93" s="17"/>
      <c r="K93" s="23">
        <f>IFERROR(__xludf.DUMMYFUNCTION("""COMPUTED_VALUE"""),0.0)</f>
        <v>0</v>
      </c>
      <c r="L93" s="23" t="str">
        <f>IFERROR(__xludf.DUMMYFUNCTION("""COMPUTED_VALUE"""),"")</f>
        <v/>
      </c>
      <c r="M93" s="4" t="str">
        <f>IFERROR(__xludf.DUMMYFUNCTION("""COMPUTED_VALUE"""),"未入金")</f>
        <v>未入金</v>
      </c>
      <c r="N93" s="19"/>
      <c r="O93" s="19"/>
    </row>
    <row r="94" ht="15.75" customHeight="1">
      <c r="A94" s="4" t="str">
        <f>IFERROR(__xludf.DUMMYFUNCTION("""COMPUTED_VALUE"""),"SB00024557")</f>
        <v>SB00024557</v>
      </c>
      <c r="B94" s="17">
        <f>IFERROR(__xludf.DUMMYFUNCTION("""COMPUTED_VALUE"""),46121.0)</f>
        <v>46121</v>
      </c>
      <c r="C94" s="4"/>
      <c r="D94" s="19"/>
      <c r="E94" s="4" t="str">
        <f>IFERROR(__xludf.DUMMYFUNCTION("""COMPUTED_VALUE"""),"社用車C-①")</f>
        <v>社用車C-①</v>
      </c>
      <c r="F94" s="23"/>
      <c r="G94" s="19"/>
      <c r="H94" s="4" t="str">
        <f>IFERROR(__xludf.DUMMYFUNCTION("""COMPUTED_VALUE"""),"未照合")</f>
        <v>未照合</v>
      </c>
      <c r="I94" s="19"/>
      <c r="J94" s="17"/>
      <c r="K94" s="23">
        <f>IFERROR(__xludf.DUMMYFUNCTION("""COMPUTED_VALUE"""),0.0)</f>
        <v>0</v>
      </c>
      <c r="L94" s="23" t="str">
        <f>IFERROR(__xludf.DUMMYFUNCTION("""COMPUTED_VALUE"""),"")</f>
        <v/>
      </c>
      <c r="M94" s="4" t="str">
        <f>IFERROR(__xludf.DUMMYFUNCTION("""COMPUTED_VALUE"""),"未入金")</f>
        <v>未入金</v>
      </c>
      <c r="N94" s="19"/>
      <c r="O94" s="19"/>
    </row>
    <row r="95" ht="15.75" customHeight="1">
      <c r="A95" s="19"/>
      <c r="B95" s="17">
        <f>IFERROR(__xludf.DUMMYFUNCTION("""COMPUTED_VALUE"""),46121.0)</f>
        <v>46121</v>
      </c>
      <c r="C95" s="4" t="str">
        <f>IFERROR(__xludf.DUMMYFUNCTION("""COMPUTED_VALUE"""),"廣岡 孝彦")</f>
        <v>廣岡 孝彦</v>
      </c>
      <c r="D95" s="19"/>
      <c r="E95" s="4" t="str">
        <f>IFERROR(__xludf.DUMMYFUNCTION("""COMPUTED_VALUE"""),"一般整備")</f>
        <v>一般整備</v>
      </c>
      <c r="F95" s="23"/>
      <c r="G95" s="19"/>
      <c r="H95" s="4" t="str">
        <f>IFERROR(__xludf.DUMMYFUNCTION("""COMPUTED_VALUE"""),"未照合")</f>
        <v>未照合</v>
      </c>
      <c r="I95" s="19"/>
      <c r="J95" s="17"/>
      <c r="K95" s="23">
        <f>IFERROR(__xludf.DUMMYFUNCTION("""COMPUTED_VALUE"""),0.0)</f>
        <v>0</v>
      </c>
      <c r="L95" s="23" t="str">
        <f>IFERROR(__xludf.DUMMYFUNCTION("""COMPUTED_VALUE"""),"")</f>
        <v/>
      </c>
      <c r="M95" s="4" t="str">
        <f>IFERROR(__xludf.DUMMYFUNCTION("""COMPUTED_VALUE"""),"未入金")</f>
        <v>未入金</v>
      </c>
      <c r="N95" s="19"/>
      <c r="O95" s="19"/>
    </row>
    <row r="96" ht="15.75" customHeight="1">
      <c r="A96" s="19"/>
      <c r="B96" s="17">
        <f>IFERROR(__xludf.DUMMYFUNCTION("""COMPUTED_VALUE"""),46121.0)</f>
        <v>46121</v>
      </c>
      <c r="C96" s="4" t="str">
        <f>IFERROR(__xludf.DUMMYFUNCTION("""COMPUTED_VALUE"""),"医療法人 徹慈会 堀病院理事")</f>
        <v>医療法人 徹慈会 堀病院理事</v>
      </c>
      <c r="D96" s="19"/>
      <c r="E96" s="4" t="str">
        <f>IFERROR(__xludf.DUMMYFUNCTION("""COMPUTED_VALUE"""),"一般整備")</f>
        <v>一般整備</v>
      </c>
      <c r="F96" s="23"/>
      <c r="G96" s="19"/>
      <c r="H96" s="4" t="str">
        <f>IFERROR(__xludf.DUMMYFUNCTION("""COMPUTED_VALUE"""),"未照合")</f>
        <v>未照合</v>
      </c>
      <c r="I96" s="19"/>
      <c r="J96" s="17"/>
      <c r="K96" s="23">
        <f>IFERROR(__xludf.DUMMYFUNCTION("""COMPUTED_VALUE"""),0.0)</f>
        <v>0</v>
      </c>
      <c r="L96" s="23" t="str">
        <f>IFERROR(__xludf.DUMMYFUNCTION("""COMPUTED_VALUE"""),"")</f>
        <v/>
      </c>
      <c r="M96" s="4" t="str">
        <f>IFERROR(__xludf.DUMMYFUNCTION("""COMPUTED_VALUE"""),"未入金")</f>
        <v>未入金</v>
      </c>
      <c r="N96" s="19"/>
      <c r="O96" s="19"/>
    </row>
    <row r="97" ht="15.75" customHeight="1">
      <c r="A97" s="4" t="str">
        <f>IFERROR(__xludf.DUMMYFUNCTION("""COMPUTED_VALUE"""),"SB00024551")</f>
        <v>SB00024551</v>
      </c>
      <c r="B97" s="17">
        <f>IFERROR(__xludf.DUMMYFUNCTION("""COMPUTED_VALUE"""),46118.0)</f>
        <v>46118</v>
      </c>
      <c r="C97" s="4" t="str">
        <f>IFERROR(__xludf.DUMMYFUNCTION("""COMPUTED_VALUE"""),"株式会社　カニエ")</f>
        <v>株式会社　カニエ</v>
      </c>
      <c r="D97" s="4" t="str">
        <f>IFERROR(__xludf.DUMMYFUNCTION("""COMPUTED_VALUE"""),"株式会社コンクエスト　ジャガーランドローバー広島")</f>
        <v>株式会社コンクエスト　ジャガーランドローバー広島</v>
      </c>
      <c r="E97" s="4" t="str">
        <f>IFERROR(__xludf.DUMMYFUNCTION("""COMPUTED_VALUE"""),"一般整備")</f>
        <v>一般整備</v>
      </c>
      <c r="F97" s="23"/>
      <c r="G97" s="4"/>
      <c r="H97" s="4" t="str">
        <f>IFERROR(__xludf.DUMMYFUNCTION("""COMPUTED_VALUE"""),"未照合")</f>
        <v>未照合</v>
      </c>
      <c r="I97" s="4"/>
      <c r="J97" s="17"/>
      <c r="K97" s="23">
        <f>IFERROR(__xludf.DUMMYFUNCTION("""COMPUTED_VALUE"""),0.0)</f>
        <v>0</v>
      </c>
      <c r="L97" s="23" t="str">
        <f>IFERROR(__xludf.DUMMYFUNCTION("""COMPUTED_VALUE"""),"")</f>
        <v/>
      </c>
      <c r="M97" s="4" t="str">
        <f>IFERROR(__xludf.DUMMYFUNCTION("""COMPUTED_VALUE"""),"未入金")</f>
        <v>未入金</v>
      </c>
      <c r="N97" s="4" t="str">
        <f>IFERROR(__xludf.DUMMYFUNCTION("""COMPUTED_VALUE"""),"")</f>
        <v/>
      </c>
      <c r="O97" s="4"/>
    </row>
    <row r="98" ht="15.75" customHeight="1">
      <c r="A98" s="4" t="str">
        <f>IFERROR(__xludf.DUMMYFUNCTION("""COMPUTED_VALUE"""),"SB00007570")</f>
        <v>SB00007570</v>
      </c>
      <c r="B98" s="17">
        <f>IFERROR(__xludf.DUMMYFUNCTION("""COMPUTED_VALUE"""),46118.0)</f>
        <v>46118</v>
      </c>
      <c r="C98" s="4" t="str">
        <f>IFERROR(__xludf.DUMMYFUNCTION("""COMPUTED_VALUE"""),"株式会社J's company")</f>
        <v>株式会社J's company</v>
      </c>
      <c r="D98" s="4" t="str">
        <f>IFERROR(__xludf.DUMMYFUNCTION("""COMPUTED_VALUE"""),"但井智哉")</f>
        <v>但井智哉</v>
      </c>
      <c r="E98" s="4" t="str">
        <f>IFERROR(__xludf.DUMMYFUNCTION("""COMPUTED_VALUE"""),"定期点検")</f>
        <v>定期点検</v>
      </c>
      <c r="F98" s="23"/>
      <c r="G98" s="19"/>
      <c r="H98" s="4" t="str">
        <f>IFERROR(__xludf.DUMMYFUNCTION("""COMPUTED_VALUE"""),"未照合")</f>
        <v>未照合</v>
      </c>
      <c r="I98" s="19"/>
      <c r="J98" s="17"/>
      <c r="K98" s="23">
        <f>IFERROR(__xludf.DUMMYFUNCTION("""COMPUTED_VALUE"""),0.0)</f>
        <v>0</v>
      </c>
      <c r="L98" s="23" t="str">
        <f>IFERROR(__xludf.DUMMYFUNCTION("""COMPUTED_VALUE"""),"")</f>
        <v/>
      </c>
      <c r="M98" s="4" t="str">
        <f>IFERROR(__xludf.DUMMYFUNCTION("""COMPUTED_VALUE"""),"未入金")</f>
        <v>未入金</v>
      </c>
      <c r="N98" s="19" t="str">
        <f>IFERROR(__xludf.DUMMYFUNCTION("""COMPUTED_VALUE"""),"")</f>
        <v/>
      </c>
      <c r="O98" s="19"/>
    </row>
    <row r="99" ht="15.75" customHeight="1">
      <c r="A99" s="4" t="str">
        <f>IFERROR(__xludf.DUMMYFUNCTION("""COMPUTED_VALUE"""),"SB00007573")</f>
        <v>SB00007573</v>
      </c>
      <c r="B99" s="17">
        <f>IFERROR(__xludf.DUMMYFUNCTION("""COMPUTED_VALUE"""),46118.0)</f>
        <v>46118</v>
      </c>
      <c r="C99" s="4" t="str">
        <f>IFERROR(__xludf.DUMMYFUNCTION("""COMPUTED_VALUE"""),"株式会社J's company")</f>
        <v>株式会社J's company</v>
      </c>
      <c r="D99" s="4" t="str">
        <f>IFERROR(__xludf.DUMMYFUNCTION("""COMPUTED_VALUE"""),"但井智哉")</f>
        <v>但井智哉</v>
      </c>
      <c r="E99" s="4" t="str">
        <f>IFERROR(__xludf.DUMMYFUNCTION("""COMPUTED_VALUE"""),"その他")</f>
        <v>その他</v>
      </c>
      <c r="F99" s="23"/>
      <c r="G99" s="19"/>
      <c r="H99" s="4" t="str">
        <f>IFERROR(__xludf.DUMMYFUNCTION("""COMPUTED_VALUE"""),"未照合")</f>
        <v>未照合</v>
      </c>
      <c r="I99" s="19"/>
      <c r="J99" s="17"/>
      <c r="K99" s="23">
        <f>IFERROR(__xludf.DUMMYFUNCTION("""COMPUTED_VALUE"""),0.0)</f>
        <v>0</v>
      </c>
      <c r="L99" s="23" t="str">
        <f>IFERROR(__xludf.DUMMYFUNCTION("""COMPUTED_VALUE"""),"")</f>
        <v/>
      </c>
      <c r="M99" s="4" t="str">
        <f>IFERROR(__xludf.DUMMYFUNCTION("""COMPUTED_VALUE"""),"未入金")</f>
        <v>未入金</v>
      </c>
      <c r="N99" s="19" t="str">
        <f>IFERROR(__xludf.DUMMYFUNCTION("""COMPUTED_VALUE"""),"")</f>
        <v/>
      </c>
      <c r="O99" s="19"/>
    </row>
    <row r="100" ht="15.75" customHeight="1">
      <c r="A100" s="4" t="str">
        <f>IFERROR(__xludf.DUMMYFUNCTION("""COMPUTED_VALUE"""),"SB00007574")</f>
        <v>SB00007574</v>
      </c>
      <c r="B100" s="17">
        <f>IFERROR(__xludf.DUMMYFUNCTION("""COMPUTED_VALUE"""),46118.0)</f>
        <v>46118</v>
      </c>
      <c r="C100" s="4" t="str">
        <f>IFERROR(__xludf.DUMMYFUNCTION("""COMPUTED_VALUE"""),"株式会社J's company")</f>
        <v>株式会社J's company</v>
      </c>
      <c r="D100" s="4" t="str">
        <f>IFERROR(__xludf.DUMMYFUNCTION("""COMPUTED_VALUE"""),"但井智哉")</f>
        <v>但井智哉</v>
      </c>
      <c r="E100" s="4" t="str">
        <f>IFERROR(__xludf.DUMMYFUNCTION("""COMPUTED_VALUE"""),"その他")</f>
        <v>その他</v>
      </c>
      <c r="F100" s="23"/>
      <c r="G100" s="19"/>
      <c r="H100" s="4" t="str">
        <f>IFERROR(__xludf.DUMMYFUNCTION("""COMPUTED_VALUE"""),"未照合")</f>
        <v>未照合</v>
      </c>
      <c r="I100" s="19"/>
      <c r="J100" s="17"/>
      <c r="K100" s="23">
        <f>IFERROR(__xludf.DUMMYFUNCTION("""COMPUTED_VALUE"""),0.0)</f>
        <v>0</v>
      </c>
      <c r="L100" s="23" t="str">
        <f>IFERROR(__xludf.DUMMYFUNCTION("""COMPUTED_VALUE"""),"")</f>
        <v/>
      </c>
      <c r="M100" s="4" t="str">
        <f>IFERROR(__xludf.DUMMYFUNCTION("""COMPUTED_VALUE"""),"未入金")</f>
        <v>未入金</v>
      </c>
      <c r="N100" s="19" t="str">
        <f>IFERROR(__xludf.DUMMYFUNCTION("""COMPUTED_VALUE"""),"")</f>
        <v/>
      </c>
      <c r="O100" s="19"/>
    </row>
    <row r="101" ht="15.75" customHeight="1">
      <c r="A101" s="4" t="str">
        <f>IFERROR(__xludf.DUMMYFUNCTION("""COMPUTED_VALUE"""),"SB00007575")</f>
        <v>SB00007575</v>
      </c>
      <c r="B101" s="17">
        <f>IFERROR(__xludf.DUMMYFUNCTION("""COMPUTED_VALUE"""),46118.0)</f>
        <v>46118</v>
      </c>
      <c r="C101" s="4" t="str">
        <f>IFERROR(__xludf.DUMMYFUNCTION("""COMPUTED_VALUE"""),"株式会社 一真代表取締役 眞田")</f>
        <v>株式会社 一真代表取締役 眞田</v>
      </c>
      <c r="D101" s="4" t="str">
        <f>IFERROR(__xludf.DUMMYFUNCTION("""COMPUTED_VALUE"""),"但井智哉")</f>
        <v>但井智哉</v>
      </c>
      <c r="E101" s="4" t="str">
        <f>IFERROR(__xludf.DUMMYFUNCTION("""COMPUTED_VALUE"""),"定期点検")</f>
        <v>定期点検</v>
      </c>
      <c r="F101" s="23"/>
      <c r="G101" s="19"/>
      <c r="H101" s="4" t="str">
        <f>IFERROR(__xludf.DUMMYFUNCTION("""COMPUTED_VALUE"""),"未照合")</f>
        <v>未照合</v>
      </c>
      <c r="I101" s="19"/>
      <c r="J101" s="17"/>
      <c r="K101" s="23">
        <f>IFERROR(__xludf.DUMMYFUNCTION("""COMPUTED_VALUE"""),0.0)</f>
        <v>0</v>
      </c>
      <c r="L101" s="23" t="str">
        <f>IFERROR(__xludf.DUMMYFUNCTION("""COMPUTED_VALUE"""),"")</f>
        <v/>
      </c>
      <c r="M101" s="4" t="str">
        <f>IFERROR(__xludf.DUMMYFUNCTION("""COMPUTED_VALUE"""),"未入金")</f>
        <v>未入金</v>
      </c>
      <c r="N101" s="19" t="str">
        <f>IFERROR(__xludf.DUMMYFUNCTION("""COMPUTED_VALUE"""),"")</f>
        <v/>
      </c>
      <c r="O101" s="19"/>
    </row>
    <row r="102" ht="15.75" customHeight="1">
      <c r="A102" s="19"/>
      <c r="B102" s="17">
        <f>IFERROR(__xludf.DUMMYFUNCTION("""COMPUTED_VALUE"""),46118.0)</f>
        <v>46118</v>
      </c>
      <c r="C102" s="4" t="str">
        <f>IFERROR(__xludf.DUMMYFUNCTION("""COMPUTED_VALUE"""),"株式会社J's company")</f>
        <v>株式会社J's company</v>
      </c>
      <c r="D102" s="19"/>
      <c r="E102" s="4" t="str">
        <f>IFERROR(__xludf.DUMMYFUNCTION("""COMPUTED_VALUE"""),"点検")</f>
        <v>点検</v>
      </c>
      <c r="F102" s="23"/>
      <c r="G102" s="19"/>
      <c r="H102" s="4" t="str">
        <f>IFERROR(__xludf.DUMMYFUNCTION("""COMPUTED_VALUE"""),"未照合")</f>
        <v>未照合</v>
      </c>
      <c r="I102" s="19"/>
      <c r="J102" s="17"/>
      <c r="K102" s="23">
        <f>IFERROR(__xludf.DUMMYFUNCTION("""COMPUTED_VALUE"""),0.0)</f>
        <v>0</v>
      </c>
      <c r="L102" s="23" t="str">
        <f>IFERROR(__xludf.DUMMYFUNCTION("""COMPUTED_VALUE"""),"")</f>
        <v/>
      </c>
      <c r="M102" s="4" t="str">
        <f>IFERROR(__xludf.DUMMYFUNCTION("""COMPUTED_VALUE"""),"未入金")</f>
        <v>未入金</v>
      </c>
      <c r="N102" s="19"/>
      <c r="O102" s="19"/>
    </row>
    <row r="103" ht="15.75" customHeight="1">
      <c r="A103" s="19"/>
      <c r="B103" s="17">
        <f>IFERROR(__xludf.DUMMYFUNCTION("""COMPUTED_VALUE"""),46118.0)</f>
        <v>46118</v>
      </c>
      <c r="C103" s="4" t="str">
        <f>IFERROR(__xludf.DUMMYFUNCTION("""COMPUTED_VALUE"""),"株式会社J's company")</f>
        <v>株式会社J's company</v>
      </c>
      <c r="D103" s="19"/>
      <c r="E103" s="4" t="str">
        <f>IFERROR(__xludf.DUMMYFUNCTION("""COMPUTED_VALUE"""),"メンプロ")</f>
        <v>メンプロ</v>
      </c>
      <c r="F103" s="23"/>
      <c r="G103" s="19"/>
      <c r="H103" s="4" t="str">
        <f>IFERROR(__xludf.DUMMYFUNCTION("""COMPUTED_VALUE"""),"未照合")</f>
        <v>未照合</v>
      </c>
      <c r="I103" s="19"/>
      <c r="J103" s="17"/>
      <c r="K103" s="23">
        <f>IFERROR(__xludf.DUMMYFUNCTION("""COMPUTED_VALUE"""),0.0)</f>
        <v>0</v>
      </c>
      <c r="L103" s="23" t="str">
        <f>IFERROR(__xludf.DUMMYFUNCTION("""COMPUTED_VALUE"""),"")</f>
        <v/>
      </c>
      <c r="M103" s="4" t="str">
        <f>IFERROR(__xludf.DUMMYFUNCTION("""COMPUTED_VALUE"""),"未入金")</f>
        <v>未入金</v>
      </c>
      <c r="N103" s="19"/>
      <c r="O103" s="19"/>
    </row>
    <row r="104" ht="15.75" customHeight="1">
      <c r="A104" s="19"/>
      <c r="B104" s="17">
        <f>IFERROR(__xludf.DUMMYFUNCTION("""COMPUTED_VALUE"""),46118.0)</f>
        <v>46118</v>
      </c>
      <c r="C104" s="4" t="str">
        <f>IFERROR(__xludf.DUMMYFUNCTION("""COMPUTED_VALUE"""),"株式会社J's company")</f>
        <v>株式会社J's company</v>
      </c>
      <c r="D104" s="19"/>
      <c r="E104" s="4" t="str">
        <f>IFERROR(__xludf.DUMMYFUNCTION("""COMPUTED_VALUE"""),"リコール")</f>
        <v>リコール</v>
      </c>
      <c r="F104" s="23"/>
      <c r="G104" s="19"/>
      <c r="H104" s="4" t="str">
        <f>IFERROR(__xludf.DUMMYFUNCTION("""COMPUTED_VALUE"""),"未照合")</f>
        <v>未照合</v>
      </c>
      <c r="I104" s="19"/>
      <c r="J104" s="17"/>
      <c r="K104" s="23">
        <f>IFERROR(__xludf.DUMMYFUNCTION("""COMPUTED_VALUE"""),0.0)</f>
        <v>0</v>
      </c>
      <c r="L104" s="23" t="str">
        <f>IFERROR(__xludf.DUMMYFUNCTION("""COMPUTED_VALUE"""),"")</f>
        <v/>
      </c>
      <c r="M104" s="4" t="str">
        <f>IFERROR(__xludf.DUMMYFUNCTION("""COMPUTED_VALUE"""),"未入金")</f>
        <v>未入金</v>
      </c>
      <c r="N104" s="19"/>
      <c r="O104" s="19"/>
    </row>
    <row r="105" ht="15.75" customHeight="1">
      <c r="A105" s="4" t="str">
        <f>IFERROR(__xludf.DUMMYFUNCTION("""COMPUTED_VALUE"""),"SB00007569")</f>
        <v>SB00007569</v>
      </c>
      <c r="B105" s="17">
        <f>IFERROR(__xludf.DUMMYFUNCTION("""COMPUTED_VALUE"""),46116.0)</f>
        <v>46116</v>
      </c>
      <c r="C105" s="4" t="str">
        <f>IFERROR(__xludf.DUMMYFUNCTION("""COMPUTED_VALUE"""),"島田 伸也")</f>
        <v>島田 伸也</v>
      </c>
      <c r="D105" s="4" t="str">
        <f>IFERROR(__xludf.DUMMYFUNCTION("""COMPUTED_VALUE"""),"橋本 裕太郎")</f>
        <v>橋本 裕太郎</v>
      </c>
      <c r="E105" s="4" t="str">
        <f>IFERROR(__xludf.DUMMYFUNCTION("""COMPUTED_VALUE"""),"一般整備")</f>
        <v>一般整備</v>
      </c>
      <c r="F105" s="23"/>
      <c r="G105" s="19"/>
      <c r="H105" s="4" t="str">
        <f>IFERROR(__xludf.DUMMYFUNCTION("""COMPUTED_VALUE"""),"要確認")</f>
        <v>要確認</v>
      </c>
      <c r="I105" s="19"/>
      <c r="J105" s="17"/>
      <c r="K105" s="23">
        <f>IFERROR(__xludf.DUMMYFUNCTION("""COMPUTED_VALUE"""),0.0)</f>
        <v>0</v>
      </c>
      <c r="L105" s="23" t="str">
        <f>IFERROR(__xludf.DUMMYFUNCTION("""COMPUTED_VALUE"""),"")</f>
        <v/>
      </c>
      <c r="M105" s="4" t="str">
        <f>IFERROR(__xludf.DUMMYFUNCTION("""COMPUTED_VALUE"""),"未入金")</f>
        <v>未入金</v>
      </c>
      <c r="N105" s="19" t="str">
        <f>IFERROR(__xludf.DUMMYFUNCTION("""COMPUTED_VALUE"""),"")</f>
        <v/>
      </c>
      <c r="O105" s="19"/>
    </row>
    <row r="106" ht="15.75" customHeight="1">
      <c r="A106" s="19"/>
      <c r="B106" s="17">
        <f>IFERROR(__xludf.DUMMYFUNCTION("""COMPUTED_VALUE"""),46116.0)</f>
        <v>46116</v>
      </c>
      <c r="C106" s="4" t="str">
        <f>IFERROR(__xludf.DUMMYFUNCTION("""COMPUTED_VALUE"""),"島田 伸也")</f>
        <v>島田 伸也</v>
      </c>
      <c r="D106" s="19"/>
      <c r="E106" s="4" t="str">
        <f>IFERROR(__xludf.DUMMYFUNCTION("""COMPUTED_VALUE"""),"一般整備")</f>
        <v>一般整備</v>
      </c>
      <c r="F106" s="23"/>
      <c r="G106" s="19"/>
      <c r="H106" s="4" t="str">
        <f>IFERROR(__xludf.DUMMYFUNCTION("""COMPUTED_VALUE"""),"未照合")</f>
        <v>未照合</v>
      </c>
      <c r="I106" s="19"/>
      <c r="J106" s="17"/>
      <c r="K106" s="23">
        <f>IFERROR(__xludf.DUMMYFUNCTION("""COMPUTED_VALUE"""),0.0)</f>
        <v>0</v>
      </c>
      <c r="L106" s="23" t="str">
        <f>IFERROR(__xludf.DUMMYFUNCTION("""COMPUTED_VALUE"""),"")</f>
        <v/>
      </c>
      <c r="M106" s="4" t="str">
        <f>IFERROR(__xludf.DUMMYFUNCTION("""COMPUTED_VALUE"""),"未入金")</f>
        <v>未入金</v>
      </c>
      <c r="N106" s="19"/>
      <c r="O106" s="19"/>
    </row>
    <row r="107" ht="15.75" customHeight="1">
      <c r="A107" s="19"/>
      <c r="B107" s="17">
        <f>IFERROR(__xludf.DUMMYFUNCTION("""COMPUTED_VALUE"""),46115.0)</f>
        <v>46115</v>
      </c>
      <c r="C107" s="4" t="str">
        <f>IFERROR(__xludf.DUMMYFUNCTION("""COMPUTED_VALUE"""),"映クラ株式会社（クリアメタル様下取）")</f>
        <v>映クラ株式会社（クリアメタル様下取）</v>
      </c>
      <c r="D107" s="19"/>
      <c r="E107" s="4" t="str">
        <f>IFERROR(__xludf.DUMMYFUNCTION("""COMPUTED_VALUE"""),"車販")</f>
        <v>車販</v>
      </c>
      <c r="F107" s="23"/>
      <c r="G107" s="19"/>
      <c r="H107" s="4" t="str">
        <f>IFERROR(__xludf.DUMMYFUNCTION("""COMPUTED_VALUE"""),"未照合")</f>
        <v>未照合</v>
      </c>
      <c r="I107" s="4"/>
      <c r="J107" s="17"/>
      <c r="K107" s="23">
        <f>IFERROR(__xludf.DUMMYFUNCTION("""COMPUTED_VALUE"""),0.0)</f>
        <v>0</v>
      </c>
      <c r="L107" s="23" t="str">
        <f>IFERROR(__xludf.DUMMYFUNCTION("""COMPUTED_VALUE"""),"")</f>
        <v/>
      </c>
      <c r="M107" s="4" t="str">
        <f>IFERROR(__xludf.DUMMYFUNCTION("""COMPUTED_VALUE"""),"未入金")</f>
        <v>未入金</v>
      </c>
      <c r="N107" s="19" t="str">
        <f>IFERROR(__xludf.DUMMYFUNCTION("""COMPUTED_VALUE"""),"")</f>
        <v/>
      </c>
      <c r="O107" s="19"/>
    </row>
    <row r="108" ht="15.75" customHeight="1">
      <c r="A108" s="4" t="str">
        <f>IFERROR(__xludf.DUMMYFUNCTION("""COMPUTED_VALUE"""),"SB00024548")</f>
        <v>SB00024548</v>
      </c>
      <c r="B108" s="17">
        <f>IFERROR(__xludf.DUMMYFUNCTION("""COMPUTED_VALUE"""),46115.0)</f>
        <v>46115</v>
      </c>
      <c r="C108" s="4" t="str">
        <f>IFERROR(__xludf.DUMMYFUNCTION("""COMPUTED_VALUE"""),"有限会社エル・グレコ代表取締役 長沼　眞智子")</f>
        <v>有限会社エル・グレコ代表取締役 長沼　眞智子</v>
      </c>
      <c r="D108" s="19"/>
      <c r="E108" s="4" t="str">
        <f>IFERROR(__xludf.DUMMYFUNCTION("""COMPUTED_VALUE"""),"一般整備")</f>
        <v>一般整備</v>
      </c>
      <c r="F108" s="23"/>
      <c r="G108" s="4"/>
      <c r="H108" s="4" t="str">
        <f>IFERROR(__xludf.DUMMYFUNCTION("""COMPUTED_VALUE"""),"要確認")</f>
        <v>要確認</v>
      </c>
      <c r="I108" s="4"/>
      <c r="J108" s="17"/>
      <c r="K108" s="23">
        <f>IFERROR(__xludf.DUMMYFUNCTION("""COMPUTED_VALUE"""),0.0)</f>
        <v>0</v>
      </c>
      <c r="L108" s="23" t="str">
        <f>IFERROR(__xludf.DUMMYFUNCTION("""COMPUTED_VALUE"""),"")</f>
        <v/>
      </c>
      <c r="M108" s="4" t="str">
        <f>IFERROR(__xludf.DUMMYFUNCTION("""COMPUTED_VALUE"""),"未入金")</f>
        <v>未入金</v>
      </c>
      <c r="N108" s="4" t="str">
        <f>IFERROR(__xludf.DUMMYFUNCTION("""COMPUTED_VALUE"""),"")</f>
        <v/>
      </c>
      <c r="O108" s="4"/>
    </row>
    <row r="109" ht="15.75" customHeight="1">
      <c r="A109" s="19"/>
      <c r="B109" s="17">
        <f>IFERROR(__xludf.DUMMYFUNCTION("""COMPUTED_VALUE"""),46114.0)</f>
        <v>46114</v>
      </c>
      <c r="C109" s="4" t="str">
        <f>IFERROR(__xludf.DUMMYFUNCTION("""COMPUTED_VALUE"""),"山本晋平様DEF")</f>
        <v>山本晋平様DEF</v>
      </c>
      <c r="D109" s="19"/>
      <c r="E109" s="4" t="str">
        <f>IFERROR(__xludf.DUMMYFUNCTION("""COMPUTED_VALUE"""),"車販")</f>
        <v>車販</v>
      </c>
      <c r="F109" s="23"/>
      <c r="G109" s="19"/>
      <c r="H109" s="4" t="str">
        <f>IFERROR(__xludf.DUMMYFUNCTION("""COMPUTED_VALUE"""),"未照合")</f>
        <v>未照合</v>
      </c>
      <c r="I109" s="19"/>
      <c r="J109" s="17"/>
      <c r="K109" s="23">
        <f>IFERROR(__xludf.DUMMYFUNCTION("""COMPUTED_VALUE"""),0.0)</f>
        <v>0</v>
      </c>
      <c r="L109" s="23" t="str">
        <f>IFERROR(__xludf.DUMMYFUNCTION("""COMPUTED_VALUE"""),"")</f>
        <v/>
      </c>
      <c r="M109" s="4" t="str">
        <f>IFERROR(__xludf.DUMMYFUNCTION("""COMPUTED_VALUE"""),"未入金")</f>
        <v>未入金</v>
      </c>
      <c r="N109" s="19" t="str">
        <f>IFERROR(__xludf.DUMMYFUNCTION("""COMPUTED_VALUE"""),"")</f>
        <v/>
      </c>
      <c r="O109" s="19"/>
    </row>
    <row r="110" ht="15.75" customHeight="1">
      <c r="A110" s="19"/>
      <c r="B110" s="17">
        <f>IFERROR(__xludf.DUMMYFUNCTION("""COMPUTED_VALUE"""),46114.0)</f>
        <v>46114</v>
      </c>
      <c r="C110" s="4" t="str">
        <f>IFERROR(__xludf.DUMMYFUNCTION("""COMPUTED_VALUE"""),"㈲安西工業 DEF")</f>
        <v>㈲安西工業 DEF</v>
      </c>
      <c r="D110" s="19"/>
      <c r="E110" s="4" t="str">
        <f>IFERROR(__xludf.DUMMYFUNCTION("""COMPUTED_VALUE"""),"車販")</f>
        <v>車販</v>
      </c>
      <c r="F110" s="23"/>
      <c r="G110" s="19"/>
      <c r="H110" s="4" t="str">
        <f>IFERROR(__xludf.DUMMYFUNCTION("""COMPUTED_VALUE"""),"未照合")</f>
        <v>未照合</v>
      </c>
      <c r="I110" s="19"/>
      <c r="J110" s="17"/>
      <c r="K110" s="23">
        <f>IFERROR(__xludf.DUMMYFUNCTION("""COMPUTED_VALUE"""),0.0)</f>
        <v>0</v>
      </c>
      <c r="L110" s="23" t="str">
        <f>IFERROR(__xludf.DUMMYFUNCTION("""COMPUTED_VALUE"""),"")</f>
        <v/>
      </c>
      <c r="M110" s="4" t="str">
        <f>IFERROR(__xludf.DUMMYFUNCTION("""COMPUTED_VALUE"""),"未入金")</f>
        <v>未入金</v>
      </c>
      <c r="N110" s="19" t="str">
        <f>IFERROR(__xludf.DUMMYFUNCTION("""COMPUTED_VALUE"""),"")</f>
        <v/>
      </c>
      <c r="O110" s="19"/>
    </row>
    <row r="111" ht="15.75" customHeight="1">
      <c r="A111" s="19"/>
      <c r="B111" s="17">
        <f>IFERROR(__xludf.DUMMYFUNCTION("""COMPUTED_VALUE"""),46114.0)</f>
        <v>46114</v>
      </c>
      <c r="C111" s="4" t="str">
        <f>IFERROR(__xludf.DUMMYFUNCTION("""COMPUTED_VALUE"""),"小俣英夫GRE")</f>
        <v>小俣英夫GRE</v>
      </c>
      <c r="D111" s="19"/>
      <c r="E111" s="4" t="str">
        <f>IFERROR(__xludf.DUMMYFUNCTION("""COMPUTED_VALUE"""),"車販")</f>
        <v>車販</v>
      </c>
      <c r="F111" s="23"/>
      <c r="G111" s="19"/>
      <c r="H111" s="4" t="str">
        <f>IFERROR(__xludf.DUMMYFUNCTION("""COMPUTED_VALUE"""),"要確認")</f>
        <v>要確認</v>
      </c>
      <c r="I111" s="4" t="str">
        <f>IFERROR(__xludf.DUMMYFUNCTION("""COMPUTED_VALUE"""),"振り込み")</f>
        <v>振り込み</v>
      </c>
      <c r="J111" s="17"/>
      <c r="K111" s="23">
        <f>IFERROR(__xludf.DUMMYFUNCTION("""COMPUTED_VALUE"""),0.0)</f>
        <v>0</v>
      </c>
      <c r="L111" s="23" t="str">
        <f>IFERROR(__xludf.DUMMYFUNCTION("""COMPUTED_VALUE"""),"")</f>
        <v/>
      </c>
      <c r="M111" s="4" t="str">
        <f>IFERROR(__xludf.DUMMYFUNCTION("""COMPUTED_VALUE"""),"未入金")</f>
        <v>未入金</v>
      </c>
      <c r="N111" s="19" t="str">
        <f>IFERROR(__xludf.DUMMYFUNCTION("""COMPUTED_VALUE"""),"")</f>
        <v/>
      </c>
      <c r="O111" s="19"/>
    </row>
    <row r="112" ht="15.75" customHeight="1">
      <c r="A112" s="19"/>
      <c r="B112" s="17">
        <f>IFERROR(__xludf.DUMMYFUNCTION("""COMPUTED_VALUE"""),46114.0)</f>
        <v>46114</v>
      </c>
      <c r="C112" s="4" t="str">
        <f>IFERROR(__xludf.DUMMYFUNCTION("""COMPUTED_VALUE"""),"映クラ株式会社（小俣英夫様下取）")</f>
        <v>映クラ株式会社（小俣英夫様下取）</v>
      </c>
      <c r="D112" s="19"/>
      <c r="E112" s="4" t="str">
        <f>IFERROR(__xludf.DUMMYFUNCTION("""COMPUTED_VALUE"""),"車販")</f>
        <v>車販</v>
      </c>
      <c r="F112" s="23"/>
      <c r="G112" s="19"/>
      <c r="H112" s="4" t="str">
        <f>IFERROR(__xludf.DUMMYFUNCTION("""COMPUTED_VALUE"""),"未照合")</f>
        <v>未照合</v>
      </c>
      <c r="I112" s="4"/>
      <c r="J112" s="17"/>
      <c r="K112" s="23">
        <f>IFERROR(__xludf.DUMMYFUNCTION("""COMPUTED_VALUE"""),0.0)</f>
        <v>0</v>
      </c>
      <c r="L112" s="23" t="str">
        <f>IFERROR(__xludf.DUMMYFUNCTION("""COMPUTED_VALUE"""),"")</f>
        <v/>
      </c>
      <c r="M112" s="4" t="str">
        <f>IFERROR(__xludf.DUMMYFUNCTION("""COMPUTED_VALUE"""),"未入金")</f>
        <v>未入金</v>
      </c>
      <c r="N112" s="19" t="str">
        <f>IFERROR(__xludf.DUMMYFUNCTION("""COMPUTED_VALUE"""),"")</f>
        <v/>
      </c>
      <c r="O112" s="19"/>
    </row>
    <row r="113" ht="15.75" customHeight="1">
      <c r="A113" s="4" t="str">
        <f>IFERROR(__xludf.DUMMYFUNCTION("""COMPUTED_VALUE"""),"SB00007410")</f>
        <v>SB00007410</v>
      </c>
      <c r="B113" s="17">
        <f>IFERROR(__xludf.DUMMYFUNCTION("""COMPUTED_VALUE"""),46113.0)</f>
        <v>46113</v>
      </c>
      <c r="C113" s="4" t="str">
        <f>IFERROR(__xludf.DUMMYFUNCTION("""COMPUTED_VALUE"""),"初村 亘")</f>
        <v>初村 亘</v>
      </c>
      <c r="D113" s="4" t="str">
        <f>IFERROR(__xludf.DUMMYFUNCTION("""COMPUTED_VALUE"""),"植敷剛")</f>
        <v>植敷剛</v>
      </c>
      <c r="E113" s="4" t="str">
        <f>IFERROR(__xludf.DUMMYFUNCTION("""COMPUTED_VALUE"""),"一般整備")</f>
        <v>一般整備</v>
      </c>
      <c r="F113" s="23"/>
      <c r="G113" s="19"/>
      <c r="H113" s="4" t="str">
        <f>IFERROR(__xludf.DUMMYFUNCTION("""COMPUTED_VALUE"""),"未照合")</f>
        <v>未照合</v>
      </c>
      <c r="I113" s="19"/>
      <c r="J113" s="17"/>
      <c r="K113" s="23">
        <f>IFERROR(__xludf.DUMMYFUNCTION("""COMPUTED_VALUE"""),0.0)</f>
        <v>0</v>
      </c>
      <c r="L113" s="23" t="str">
        <f>IFERROR(__xludf.DUMMYFUNCTION("""COMPUTED_VALUE"""),"")</f>
        <v/>
      </c>
      <c r="M113" s="4" t="str">
        <f>IFERROR(__xludf.DUMMYFUNCTION("""COMPUTED_VALUE"""),"未入金")</f>
        <v>未入金</v>
      </c>
      <c r="N113" s="19" t="str">
        <f>IFERROR(__xludf.DUMMYFUNCTION("""COMPUTED_VALUE"""),"")</f>
        <v/>
      </c>
      <c r="O113" s="19"/>
    </row>
    <row r="114" ht="15.75" customHeight="1">
      <c r="A114" s="4" t="str">
        <f>IFERROR(__xludf.DUMMYFUNCTION("""COMPUTED_VALUE"""),"SB00007558")</f>
        <v>SB00007558</v>
      </c>
      <c r="B114" s="17">
        <f>IFERROR(__xludf.DUMMYFUNCTION("""COMPUTED_VALUE"""),46113.0)</f>
        <v>46113</v>
      </c>
      <c r="C114" s="4" t="str">
        <f>IFERROR(__xludf.DUMMYFUNCTION("""COMPUTED_VALUE"""),"株式会社 フレッチェ・ボスコ代")</f>
        <v>株式会社 フレッチェ・ボスコ代</v>
      </c>
      <c r="D114" s="4" t="str">
        <f>IFERROR(__xludf.DUMMYFUNCTION("""COMPUTED_VALUE"""),"但井智哉")</f>
        <v>但井智哉</v>
      </c>
      <c r="E114" s="4" t="str">
        <f>IFERROR(__xludf.DUMMYFUNCTION("""COMPUTED_VALUE"""),"定期点検")</f>
        <v>定期点検</v>
      </c>
      <c r="F114" s="23"/>
      <c r="G114" s="19"/>
      <c r="H114" s="4" t="str">
        <f>IFERROR(__xludf.DUMMYFUNCTION("""COMPUTED_VALUE"""),"未照合")</f>
        <v>未照合</v>
      </c>
      <c r="I114" s="19"/>
      <c r="J114" s="17"/>
      <c r="K114" s="23">
        <f>IFERROR(__xludf.DUMMYFUNCTION("""COMPUTED_VALUE"""),0.0)</f>
        <v>0</v>
      </c>
      <c r="L114" s="23" t="str">
        <f>IFERROR(__xludf.DUMMYFUNCTION("""COMPUTED_VALUE"""),"")</f>
        <v/>
      </c>
      <c r="M114" s="4" t="str">
        <f>IFERROR(__xludf.DUMMYFUNCTION("""COMPUTED_VALUE"""),"未入金")</f>
        <v>未入金</v>
      </c>
      <c r="N114" s="19" t="str">
        <f>IFERROR(__xludf.DUMMYFUNCTION("""COMPUTED_VALUE"""),"")</f>
        <v/>
      </c>
      <c r="O114" s="19"/>
    </row>
    <row r="115" ht="15.75" customHeight="1">
      <c r="A115" s="4" t="str">
        <f>IFERROR(__xludf.DUMMYFUNCTION("""COMPUTED_VALUE"""),"SB00007565")</f>
        <v>SB00007565</v>
      </c>
      <c r="B115" s="17">
        <f>IFERROR(__xludf.DUMMYFUNCTION("""COMPUTED_VALUE"""),46113.0)</f>
        <v>46113</v>
      </c>
      <c r="C115" s="4" t="str">
        <f>IFERROR(__xludf.DUMMYFUNCTION("""COMPUTED_VALUE"""),"株式会社 高木")</f>
        <v>株式会社 高木</v>
      </c>
      <c r="D115" s="4" t="str">
        <f>IFERROR(__xludf.DUMMYFUNCTION("""COMPUTED_VALUE"""),"橋本 裕太郎")</f>
        <v>橋本 裕太郎</v>
      </c>
      <c r="E115" s="4" t="str">
        <f>IFERROR(__xludf.DUMMYFUNCTION("""COMPUTED_VALUE"""),"その他")</f>
        <v>その他</v>
      </c>
      <c r="F115" s="23"/>
      <c r="G115" s="19"/>
      <c r="H115" s="4" t="str">
        <f>IFERROR(__xludf.DUMMYFUNCTION("""COMPUTED_VALUE"""),"未照合")</f>
        <v>未照合</v>
      </c>
      <c r="I115" s="19"/>
      <c r="J115" s="17"/>
      <c r="K115" s="23">
        <f>IFERROR(__xludf.DUMMYFUNCTION("""COMPUTED_VALUE"""),0.0)</f>
        <v>0</v>
      </c>
      <c r="L115" s="23" t="str">
        <f>IFERROR(__xludf.DUMMYFUNCTION("""COMPUTED_VALUE"""),"")</f>
        <v/>
      </c>
      <c r="M115" s="4" t="str">
        <f>IFERROR(__xludf.DUMMYFUNCTION("""COMPUTED_VALUE"""),"未入金")</f>
        <v>未入金</v>
      </c>
      <c r="N115" s="19" t="str">
        <f>IFERROR(__xludf.DUMMYFUNCTION("""COMPUTED_VALUE"""),"")</f>
        <v/>
      </c>
      <c r="O115" s="19"/>
    </row>
    <row r="116" ht="15.75" customHeight="1">
      <c r="A116" s="19"/>
      <c r="B116" s="17">
        <f>IFERROR(__xludf.DUMMYFUNCTION("""COMPUTED_VALUE"""),46113.0)</f>
        <v>46113</v>
      </c>
      <c r="C116" s="4" t="str">
        <f>IFERROR(__xludf.DUMMYFUNCTION("""COMPUTED_VALUE"""),"初村 亘")</f>
        <v>初村 亘</v>
      </c>
      <c r="D116" s="19"/>
      <c r="E116" s="4" t="str">
        <f>IFERROR(__xludf.DUMMYFUNCTION("""COMPUTED_VALUE"""),"一般整備")</f>
        <v>一般整備</v>
      </c>
      <c r="F116" s="23"/>
      <c r="G116" s="19"/>
      <c r="H116" s="4" t="str">
        <f>IFERROR(__xludf.DUMMYFUNCTION("""COMPUTED_VALUE"""),"未照合")</f>
        <v>未照合</v>
      </c>
      <c r="I116" s="19"/>
      <c r="J116" s="17"/>
      <c r="K116" s="23">
        <f>IFERROR(__xludf.DUMMYFUNCTION("""COMPUTED_VALUE"""),0.0)</f>
        <v>0</v>
      </c>
      <c r="L116" s="23" t="str">
        <f>IFERROR(__xludf.DUMMYFUNCTION("""COMPUTED_VALUE"""),"")</f>
        <v/>
      </c>
      <c r="M116" s="4" t="str">
        <f>IFERROR(__xludf.DUMMYFUNCTION("""COMPUTED_VALUE"""),"未入金")</f>
        <v>未入金</v>
      </c>
      <c r="N116" s="19"/>
      <c r="O116" s="19"/>
    </row>
    <row r="117" ht="15.75" customHeight="1">
      <c r="A117" s="19"/>
      <c r="B117" s="17">
        <f>IFERROR(__xludf.DUMMYFUNCTION("""COMPUTED_VALUE"""),46113.0)</f>
        <v>46113</v>
      </c>
      <c r="C117" s="4" t="str">
        <f>IFERROR(__xludf.DUMMYFUNCTION("""COMPUTED_VALUE"""),"株式会社フレッチェ・ボスコ代")</f>
        <v>株式会社フレッチェ・ボスコ代</v>
      </c>
      <c r="D117" s="19"/>
      <c r="E117" s="4" t="str">
        <f>IFERROR(__xludf.DUMMYFUNCTION("""COMPUTED_VALUE"""),"点検")</f>
        <v>点検</v>
      </c>
      <c r="F117" s="23"/>
      <c r="G117" s="19"/>
      <c r="H117" s="4" t="str">
        <f>IFERROR(__xludf.DUMMYFUNCTION("""COMPUTED_VALUE"""),"未照合")</f>
        <v>未照合</v>
      </c>
      <c r="I117" s="19"/>
      <c r="J117" s="17"/>
      <c r="K117" s="23">
        <f>IFERROR(__xludf.DUMMYFUNCTION("""COMPUTED_VALUE"""),0.0)</f>
        <v>0</v>
      </c>
      <c r="L117" s="23" t="str">
        <f>IFERROR(__xludf.DUMMYFUNCTION("""COMPUTED_VALUE"""),"")</f>
        <v/>
      </c>
      <c r="M117" s="4" t="str">
        <f>IFERROR(__xludf.DUMMYFUNCTION("""COMPUTED_VALUE"""),"未入金")</f>
        <v>未入金</v>
      </c>
      <c r="N117" s="19"/>
      <c r="O117" s="19"/>
    </row>
    <row r="118" ht="15.75" customHeight="1">
      <c r="A118" s="19"/>
      <c r="B118" s="17">
        <f>IFERROR(__xludf.DUMMYFUNCTION("""COMPUTED_VALUE"""),46113.0)</f>
        <v>46113</v>
      </c>
      <c r="C118" s="4" t="str">
        <f>IFERROR(__xludf.DUMMYFUNCTION("""COMPUTED_VALUE"""),"株式会社 高木")</f>
        <v>株式会社 高木</v>
      </c>
      <c r="D118" s="19"/>
      <c r="E118" s="4" t="str">
        <f>IFERROR(__xludf.DUMMYFUNCTION("""COMPUTED_VALUE"""),"メンプロ")</f>
        <v>メンプロ</v>
      </c>
      <c r="F118" s="23"/>
      <c r="G118" s="19"/>
      <c r="H118" s="4" t="str">
        <f>IFERROR(__xludf.DUMMYFUNCTION("""COMPUTED_VALUE"""),"未照合")</f>
        <v>未照合</v>
      </c>
      <c r="I118" s="19"/>
      <c r="J118" s="17"/>
      <c r="K118" s="23">
        <f>IFERROR(__xludf.DUMMYFUNCTION("""COMPUTED_VALUE"""),0.0)</f>
        <v>0</v>
      </c>
      <c r="L118" s="23" t="str">
        <f>IFERROR(__xludf.DUMMYFUNCTION("""COMPUTED_VALUE"""),"")</f>
        <v/>
      </c>
      <c r="M118" s="4" t="str">
        <f>IFERROR(__xludf.DUMMYFUNCTION("""COMPUTED_VALUE"""),"未入金")</f>
        <v>未入金</v>
      </c>
      <c r="N118" s="19"/>
      <c r="O118" s="19"/>
    </row>
    <row r="119" ht="15.75" customHeight="1">
      <c r="A119" s="19"/>
      <c r="B119" s="17">
        <f>IFERROR(__xludf.DUMMYFUNCTION("""COMPUTED_VALUE"""),46112.0)</f>
        <v>46112</v>
      </c>
      <c r="C119" s="4" t="str">
        <f>IFERROR(__xludf.DUMMYFUNCTION("""COMPUTED_VALUE"""),"株式会社ｺﾝｸｴｽﾄ 代表取締役社長　清水勝重")</f>
        <v>株式会社ｺﾝｸｴｽﾄ 代表取締役社長　清水勝重</v>
      </c>
      <c r="D119" s="19"/>
      <c r="E119" s="4" t="str">
        <f>IFERROR(__xludf.DUMMYFUNCTION("""COMPUTED_VALUE"""),"車販")</f>
        <v>車販</v>
      </c>
      <c r="F119" s="23"/>
      <c r="G119" s="19"/>
      <c r="H119" s="4" t="str">
        <f>IFERROR(__xludf.DUMMYFUNCTION("""COMPUTED_VALUE"""),"未照合")</f>
        <v>未照合</v>
      </c>
      <c r="I119" s="19"/>
      <c r="J119" s="17"/>
      <c r="K119" s="23">
        <f>IFERROR(__xludf.DUMMYFUNCTION("""COMPUTED_VALUE"""),0.0)</f>
        <v>0</v>
      </c>
      <c r="L119" s="23" t="str">
        <f>IFERROR(__xludf.DUMMYFUNCTION("""COMPUTED_VALUE"""),"")</f>
        <v/>
      </c>
      <c r="M119" s="4" t="str">
        <f>IFERROR(__xludf.DUMMYFUNCTION("""COMPUTED_VALUE"""),"未入金")</f>
        <v>未入金</v>
      </c>
      <c r="N119" s="19" t="str">
        <f>IFERROR(__xludf.DUMMYFUNCTION("""COMPUTED_VALUE"""),"")</f>
        <v/>
      </c>
      <c r="O119" s="19"/>
    </row>
    <row r="120" ht="15.75" customHeight="1">
      <c r="A120" s="4" t="str">
        <f>IFERROR(__xludf.DUMMYFUNCTION("""COMPUTED_VALUE"""),"SB00024543")</f>
        <v>SB00024543</v>
      </c>
      <c r="B120" s="17">
        <f>IFERROR(__xludf.DUMMYFUNCTION("""COMPUTED_VALUE"""),46111.0)</f>
        <v>46111</v>
      </c>
      <c r="C120" s="4" t="str">
        <f>IFERROR(__xludf.DUMMYFUNCTION("""COMPUTED_VALUE"""),"吉野　幸美")</f>
        <v>吉野　幸美</v>
      </c>
      <c r="D120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120" s="4" t="str">
        <f>IFERROR(__xludf.DUMMYFUNCTION("""COMPUTED_VALUE"""),"部品")</f>
        <v>部品</v>
      </c>
      <c r="F120" s="23"/>
      <c r="G120" s="4"/>
      <c r="H120" s="4" t="str">
        <f>IFERROR(__xludf.DUMMYFUNCTION("""COMPUTED_VALUE"""),"未照合")</f>
        <v>未照合</v>
      </c>
      <c r="I120" s="4"/>
      <c r="J120" s="17"/>
      <c r="K120" s="23">
        <f>IFERROR(__xludf.DUMMYFUNCTION("""COMPUTED_VALUE"""),0.0)</f>
        <v>0</v>
      </c>
      <c r="L120" s="23" t="str">
        <f>IFERROR(__xludf.DUMMYFUNCTION("""COMPUTED_VALUE"""),"")</f>
        <v/>
      </c>
      <c r="M120" s="4" t="str">
        <f>IFERROR(__xludf.DUMMYFUNCTION("""COMPUTED_VALUE"""),"未入金")</f>
        <v>未入金</v>
      </c>
      <c r="N120" s="4" t="str">
        <f>IFERROR(__xludf.DUMMYFUNCTION("""COMPUTED_VALUE"""),"")</f>
        <v/>
      </c>
      <c r="O120" s="4"/>
    </row>
    <row r="121" ht="15.75" customHeight="1">
      <c r="A121" s="4" t="str">
        <f>IFERROR(__xludf.DUMMYFUNCTION("""COMPUTED_VALUE"""),"SB00024544")</f>
        <v>SB00024544</v>
      </c>
      <c r="B121" s="17">
        <f>IFERROR(__xludf.DUMMYFUNCTION("""COMPUTED_VALUE"""),46111.0)</f>
        <v>46111</v>
      </c>
      <c r="C121" s="4" t="str">
        <f>IFERROR(__xludf.DUMMYFUNCTION("""COMPUTED_VALUE"""),"木村　直路")</f>
        <v>木村　直路</v>
      </c>
      <c r="D121" s="4" t="str">
        <f>IFERROR(__xludf.DUMMYFUNCTION("""COMPUTED_VALUE"""),"東京海上日動火災保険株式会社")</f>
        <v>東京海上日動火災保険株式会社</v>
      </c>
      <c r="E121" s="4" t="str">
        <f>IFERROR(__xludf.DUMMYFUNCTION("""COMPUTED_VALUE"""),"損保ﾚﾝ（福")</f>
        <v>損保ﾚﾝ（福</v>
      </c>
      <c r="F121" s="23"/>
      <c r="G121" s="4"/>
      <c r="H121" s="4" t="str">
        <f>IFERROR(__xludf.DUMMYFUNCTION("""COMPUTED_VALUE"""),"未照合")</f>
        <v>未照合</v>
      </c>
      <c r="I121" s="4"/>
      <c r="J121" s="17"/>
      <c r="K121" s="23">
        <f>IFERROR(__xludf.DUMMYFUNCTION("""COMPUTED_VALUE"""),0.0)</f>
        <v>0</v>
      </c>
      <c r="L121" s="23" t="str">
        <f>IFERROR(__xludf.DUMMYFUNCTION("""COMPUTED_VALUE"""),"")</f>
        <v/>
      </c>
      <c r="M121" s="4" t="str">
        <f>IFERROR(__xludf.DUMMYFUNCTION("""COMPUTED_VALUE"""),"未入金")</f>
        <v>未入金</v>
      </c>
      <c r="N121" s="4" t="str">
        <f>IFERROR(__xludf.DUMMYFUNCTION("""COMPUTED_VALUE"""),"")</f>
        <v/>
      </c>
      <c r="O121" s="4"/>
    </row>
    <row r="122" ht="15.75" customHeight="1">
      <c r="A122" s="4" t="str">
        <f>IFERROR(__xludf.DUMMYFUNCTION("""COMPUTED_VALUE"""),"SB00024396")</f>
        <v>SB00024396</v>
      </c>
      <c r="B122" s="17">
        <f>IFERROR(__xludf.DUMMYFUNCTION("""COMPUTED_VALUE"""),46111.0)</f>
        <v>46111</v>
      </c>
      <c r="C122" s="4"/>
      <c r="D122" s="19"/>
      <c r="E122" s="4" t="str">
        <f>IFERROR(__xludf.DUMMYFUNCTION("""COMPUTED_VALUE"""),"在納点A-③")</f>
        <v>在納点A-③</v>
      </c>
      <c r="F122" s="23"/>
      <c r="G122" s="4"/>
      <c r="H122" s="4" t="str">
        <f>IFERROR(__xludf.DUMMYFUNCTION("""COMPUTED_VALUE"""),"未照合")</f>
        <v>未照合</v>
      </c>
      <c r="I122" s="4"/>
      <c r="J122" s="17"/>
      <c r="K122" s="23">
        <f>IFERROR(__xludf.DUMMYFUNCTION("""COMPUTED_VALUE"""),0.0)</f>
        <v>0</v>
      </c>
      <c r="L122" s="23" t="str">
        <f>IFERROR(__xludf.DUMMYFUNCTION("""COMPUTED_VALUE"""),"")</f>
        <v/>
      </c>
      <c r="M122" s="4" t="str">
        <f>IFERROR(__xludf.DUMMYFUNCTION("""COMPUTED_VALUE"""),"未入金")</f>
        <v>未入金</v>
      </c>
      <c r="N122" s="4" t="str">
        <f>IFERROR(__xludf.DUMMYFUNCTION("""COMPUTED_VALUE"""),"")</f>
        <v/>
      </c>
      <c r="O122" s="4"/>
    </row>
    <row r="123" ht="15.75" customHeight="1">
      <c r="A123" s="4" t="str">
        <f>IFERROR(__xludf.DUMMYFUNCTION("""COMPUTED_VALUE"""),"SB00007524")</f>
        <v>SB00007524</v>
      </c>
      <c r="B123" s="17">
        <f>IFERROR(__xludf.DUMMYFUNCTION("""COMPUTED_VALUE"""),46111.0)</f>
        <v>46111</v>
      </c>
      <c r="C123" s="4" t="str">
        <f>IFERROR(__xludf.DUMMYFUNCTION("""COMPUTED_VALUE"""),"尾道医療器株式会社代表取締役")</f>
        <v>尾道医療器株式会社代表取締役</v>
      </c>
      <c r="D123" s="4" t="str">
        <f>IFERROR(__xludf.DUMMYFUNCTION("""COMPUTED_VALUE"""),"あいおいニッセイ同和損害保険株式会")</f>
        <v>あいおいニッセイ同和損害保険株式会</v>
      </c>
      <c r="E123" s="4" t="str">
        <f>IFERROR(__xludf.DUMMYFUNCTION("""COMPUTED_VALUE"""),"鈑金")</f>
        <v>鈑金</v>
      </c>
      <c r="F123" s="23"/>
      <c r="G123" s="19"/>
      <c r="H123" s="4" t="str">
        <f>IFERROR(__xludf.DUMMYFUNCTION("""COMPUTED_VALUE"""),"未照合")</f>
        <v>未照合</v>
      </c>
      <c r="I123" s="19"/>
      <c r="J123" s="17"/>
      <c r="K123" s="23">
        <f>IFERROR(__xludf.DUMMYFUNCTION("""COMPUTED_VALUE"""),0.0)</f>
        <v>0</v>
      </c>
      <c r="L123" s="23" t="str">
        <f>IFERROR(__xludf.DUMMYFUNCTION("""COMPUTED_VALUE"""),"")</f>
        <v/>
      </c>
      <c r="M123" s="4" t="str">
        <f>IFERROR(__xludf.DUMMYFUNCTION("""COMPUTED_VALUE"""),"未入金")</f>
        <v>未入金</v>
      </c>
      <c r="N123" s="19" t="str">
        <f>IFERROR(__xludf.DUMMYFUNCTION("""COMPUTED_VALUE"""),"")</f>
        <v/>
      </c>
      <c r="O123" s="19"/>
    </row>
    <row r="124" ht="15.75" customHeight="1">
      <c r="A124" s="4" t="str">
        <f>IFERROR(__xludf.DUMMYFUNCTION("""COMPUTED_VALUE"""),"SB00007541")</f>
        <v>SB00007541</v>
      </c>
      <c r="B124" s="17">
        <f>IFERROR(__xludf.DUMMYFUNCTION("""COMPUTED_VALUE"""),46111.0)</f>
        <v>46111</v>
      </c>
      <c r="C124" s="4" t="str">
        <f>IFERROR(__xludf.DUMMYFUNCTION("""COMPUTED_VALUE"""),"有限会社 積和サービス 里見")</f>
        <v>有限会社 積和サービス 里見</v>
      </c>
      <c r="D124" s="4" t="str">
        <f>IFERROR(__xludf.DUMMYFUNCTION("""COMPUTED_VALUE"""),"東京海上日動火災保険株式会社")</f>
        <v>東京海上日動火災保険株式会社</v>
      </c>
      <c r="E124" s="4" t="str">
        <f>IFERROR(__xludf.DUMMYFUNCTION("""COMPUTED_VALUE"""),"一般整備")</f>
        <v>一般整備</v>
      </c>
      <c r="F124" s="23"/>
      <c r="G124" s="19"/>
      <c r="H124" s="4" t="str">
        <f>IFERROR(__xludf.DUMMYFUNCTION("""COMPUTED_VALUE"""),"未照合")</f>
        <v>未照合</v>
      </c>
      <c r="I124" s="19"/>
      <c r="J124" s="17"/>
      <c r="K124" s="23">
        <f>IFERROR(__xludf.DUMMYFUNCTION("""COMPUTED_VALUE"""),0.0)</f>
        <v>0</v>
      </c>
      <c r="L124" s="23" t="str">
        <f>IFERROR(__xludf.DUMMYFUNCTION("""COMPUTED_VALUE"""),"")</f>
        <v/>
      </c>
      <c r="M124" s="4" t="str">
        <f>IFERROR(__xludf.DUMMYFUNCTION("""COMPUTED_VALUE"""),"未入金")</f>
        <v>未入金</v>
      </c>
      <c r="N124" s="19" t="str">
        <f>IFERROR(__xludf.DUMMYFUNCTION("""COMPUTED_VALUE"""),"")</f>
        <v/>
      </c>
      <c r="O124" s="19"/>
    </row>
    <row r="125" ht="15.75" customHeight="1">
      <c r="A125" s="4" t="str">
        <f>IFERROR(__xludf.DUMMYFUNCTION("""COMPUTED_VALUE"""),"SB00007557")</f>
        <v>SB00007557</v>
      </c>
      <c r="B125" s="17">
        <f>IFERROR(__xludf.DUMMYFUNCTION("""COMPUTED_VALUE"""),46111.0)</f>
        <v>46111</v>
      </c>
      <c r="C125" s="4" t="str">
        <f>IFERROR(__xludf.DUMMYFUNCTION("""COMPUTED_VALUE"""),"株式会社 はっけん代表取締役")</f>
        <v>株式会社 はっけん代表取締役</v>
      </c>
      <c r="D125" s="19"/>
      <c r="E125" s="4" t="str">
        <f>IFERROR(__xludf.DUMMYFUNCTION("""COMPUTED_VALUE"""),"車検")</f>
        <v>車検</v>
      </c>
      <c r="F125" s="23"/>
      <c r="G125" s="19"/>
      <c r="H125" s="4" t="str">
        <f>IFERROR(__xludf.DUMMYFUNCTION("""COMPUTED_VALUE"""),"未照合")</f>
        <v>未照合</v>
      </c>
      <c r="I125" s="19"/>
      <c r="J125" s="17"/>
      <c r="K125" s="23">
        <f>IFERROR(__xludf.DUMMYFUNCTION("""COMPUTED_VALUE"""),0.0)</f>
        <v>0</v>
      </c>
      <c r="L125" s="23" t="str">
        <f>IFERROR(__xludf.DUMMYFUNCTION("""COMPUTED_VALUE"""),"")</f>
        <v/>
      </c>
      <c r="M125" s="4" t="str">
        <f>IFERROR(__xludf.DUMMYFUNCTION("""COMPUTED_VALUE"""),"未入金")</f>
        <v>未入金</v>
      </c>
      <c r="N125" s="19" t="str">
        <f>IFERROR(__xludf.DUMMYFUNCTION("""COMPUTED_VALUE"""),"")</f>
        <v/>
      </c>
      <c r="O125" s="19"/>
    </row>
    <row r="126" ht="15.75" customHeight="1">
      <c r="A126" s="4" t="str">
        <f>IFERROR(__xludf.DUMMYFUNCTION("""COMPUTED_VALUE"""),"SB00007559")</f>
        <v>SB00007559</v>
      </c>
      <c r="B126" s="17">
        <f>IFERROR(__xludf.DUMMYFUNCTION("""COMPUTED_VALUE"""),46111.0)</f>
        <v>46111</v>
      </c>
      <c r="C126" s="4" t="str">
        <f>IFERROR(__xludf.DUMMYFUNCTION("""COMPUTED_VALUE"""),"佐能運輸有限会社")</f>
        <v>佐能運輸有限会社</v>
      </c>
      <c r="D126" s="19"/>
      <c r="E126" s="4" t="str">
        <f>IFERROR(__xludf.DUMMYFUNCTION("""COMPUTED_VALUE"""),"定期点検")</f>
        <v>定期点検</v>
      </c>
      <c r="F126" s="23"/>
      <c r="G126" s="19"/>
      <c r="H126" s="4" t="str">
        <f>IFERROR(__xludf.DUMMYFUNCTION("""COMPUTED_VALUE"""),"未照合")</f>
        <v>未照合</v>
      </c>
      <c r="I126" s="19"/>
      <c r="J126" s="17"/>
      <c r="K126" s="23">
        <f>IFERROR(__xludf.DUMMYFUNCTION("""COMPUTED_VALUE"""),0.0)</f>
        <v>0</v>
      </c>
      <c r="L126" s="23" t="str">
        <f>IFERROR(__xludf.DUMMYFUNCTION("""COMPUTED_VALUE"""),"")</f>
        <v/>
      </c>
      <c r="M126" s="4" t="str">
        <f>IFERROR(__xludf.DUMMYFUNCTION("""COMPUTED_VALUE"""),"未入金")</f>
        <v>未入金</v>
      </c>
      <c r="N126" s="19" t="str">
        <f>IFERROR(__xludf.DUMMYFUNCTION("""COMPUTED_VALUE"""),"")</f>
        <v/>
      </c>
      <c r="O126" s="19"/>
    </row>
    <row r="127" ht="15.75" customHeight="1">
      <c r="A127" s="4" t="str">
        <f>IFERROR(__xludf.DUMMYFUNCTION("""COMPUTED_VALUE"""),"SB00007552")</f>
        <v>SB00007552</v>
      </c>
      <c r="B127" s="17">
        <f>IFERROR(__xludf.DUMMYFUNCTION("""COMPUTED_VALUE"""),46110.0)</f>
        <v>46110</v>
      </c>
      <c r="C127" s="4" t="str">
        <f>IFERROR(__xludf.DUMMYFUNCTION("""COMPUTED_VALUE"""),"中川明雄")</f>
        <v>中川明雄</v>
      </c>
      <c r="D127" s="19"/>
      <c r="E127" s="4" t="str">
        <f>IFERROR(__xludf.DUMMYFUNCTION("""COMPUTED_VALUE"""),"一般整備")</f>
        <v>一般整備</v>
      </c>
      <c r="F127" s="23"/>
      <c r="G127" s="19"/>
      <c r="H127" s="4" t="str">
        <f>IFERROR(__xludf.DUMMYFUNCTION("""COMPUTED_VALUE"""),"未照合")</f>
        <v>未照合</v>
      </c>
      <c r="I127" s="19"/>
      <c r="J127" s="17"/>
      <c r="K127" s="23">
        <f>IFERROR(__xludf.DUMMYFUNCTION("""COMPUTED_VALUE"""),0.0)</f>
        <v>0</v>
      </c>
      <c r="L127" s="23" t="str">
        <f>IFERROR(__xludf.DUMMYFUNCTION("""COMPUTED_VALUE"""),"")</f>
        <v/>
      </c>
      <c r="M127" s="4" t="str">
        <f>IFERROR(__xludf.DUMMYFUNCTION("""COMPUTED_VALUE"""),"未入金")</f>
        <v>未入金</v>
      </c>
      <c r="N127" s="19" t="str">
        <f>IFERROR(__xludf.DUMMYFUNCTION("""COMPUTED_VALUE"""),"")</f>
        <v/>
      </c>
      <c r="O127" s="19"/>
    </row>
    <row r="128" ht="15.75" customHeight="1">
      <c r="A128" s="4" t="str">
        <f>IFERROR(__xludf.DUMMYFUNCTION("""COMPUTED_VALUE"""),"SB00024535")</f>
        <v>SB00024535</v>
      </c>
      <c r="B128" s="17">
        <f>IFERROR(__xludf.DUMMYFUNCTION("""COMPUTED_VALUE"""),46109.0)</f>
        <v>46109</v>
      </c>
      <c r="C128" s="4" t="str">
        <f>IFERROR(__xludf.DUMMYFUNCTION("""COMPUTED_VALUE"""),"後藤　昇")</f>
        <v>後藤　昇</v>
      </c>
      <c r="D128" s="4"/>
      <c r="E128" s="4" t="str">
        <f>IFERROR(__xludf.DUMMYFUNCTION("""COMPUTED_VALUE"""),"一般整備")</f>
        <v>一般整備</v>
      </c>
      <c r="F128" s="23"/>
      <c r="G128" s="4"/>
      <c r="H128" s="4" t="str">
        <f>IFERROR(__xludf.DUMMYFUNCTION("""COMPUTED_VALUE"""),"未照合")</f>
        <v>未照合</v>
      </c>
      <c r="I128" s="4"/>
      <c r="J128" s="17"/>
      <c r="K128" s="23">
        <f>IFERROR(__xludf.DUMMYFUNCTION("""COMPUTED_VALUE"""),0.0)</f>
        <v>0</v>
      </c>
      <c r="L128" s="23" t="str">
        <f>IFERROR(__xludf.DUMMYFUNCTION("""COMPUTED_VALUE"""),"")</f>
        <v/>
      </c>
      <c r="M128" s="4" t="str">
        <f>IFERROR(__xludf.DUMMYFUNCTION("""COMPUTED_VALUE"""),"未入金")</f>
        <v>未入金</v>
      </c>
      <c r="N128" s="4" t="str">
        <f>IFERROR(__xludf.DUMMYFUNCTION("""COMPUTED_VALUE"""),"")</f>
        <v/>
      </c>
      <c r="O128" s="4"/>
    </row>
    <row r="129" ht="15.75" customHeight="1">
      <c r="A129" s="4" t="str">
        <f>IFERROR(__xludf.DUMMYFUNCTION("""COMPUTED_VALUE"""),"SB00024536")</f>
        <v>SB00024536</v>
      </c>
      <c r="B129" s="17">
        <f>IFERROR(__xludf.DUMMYFUNCTION("""COMPUTED_VALUE"""),46109.0)</f>
        <v>46109</v>
      </c>
      <c r="C129" s="4" t="str">
        <f>IFERROR(__xludf.DUMMYFUNCTION("""COMPUTED_VALUE"""),"黒坂　泰之")</f>
        <v>黒坂　泰之</v>
      </c>
      <c r="D129" s="4"/>
      <c r="E129" s="4" t="str">
        <f>IFERROR(__xludf.DUMMYFUNCTION("""COMPUTED_VALUE"""),"一般整備")</f>
        <v>一般整備</v>
      </c>
      <c r="F129" s="23"/>
      <c r="G129" s="4"/>
      <c r="H129" s="4" t="str">
        <f>IFERROR(__xludf.DUMMYFUNCTION("""COMPUTED_VALUE"""),"未照合")</f>
        <v>未照合</v>
      </c>
      <c r="I129" s="4"/>
      <c r="J129" s="17"/>
      <c r="K129" s="23">
        <f>IFERROR(__xludf.DUMMYFUNCTION("""COMPUTED_VALUE"""),0.0)</f>
        <v>0</v>
      </c>
      <c r="L129" s="23" t="str">
        <f>IFERROR(__xludf.DUMMYFUNCTION("""COMPUTED_VALUE"""),"")</f>
        <v/>
      </c>
      <c r="M129" s="4" t="str">
        <f>IFERROR(__xludf.DUMMYFUNCTION("""COMPUTED_VALUE"""),"未入金")</f>
        <v>未入金</v>
      </c>
      <c r="N129" s="4" t="str">
        <f>IFERROR(__xludf.DUMMYFUNCTION("""COMPUTED_VALUE"""),"")</f>
        <v/>
      </c>
      <c r="O129" s="4"/>
    </row>
    <row r="130" ht="15.75" customHeight="1">
      <c r="A130" s="4" t="str">
        <f>IFERROR(__xludf.DUMMYFUNCTION("""COMPUTED_VALUE"""),"SB00007547")</f>
        <v>SB00007547</v>
      </c>
      <c r="B130" s="17">
        <f>IFERROR(__xludf.DUMMYFUNCTION("""COMPUTED_VALUE"""),46109.0)</f>
        <v>46109</v>
      </c>
      <c r="C130" s="4" t="str">
        <f>IFERROR(__xludf.DUMMYFUNCTION("""COMPUTED_VALUE"""),"土肥潤一郎")</f>
        <v>土肥潤一郎</v>
      </c>
      <c r="D130" s="19"/>
      <c r="E130" s="4" t="str">
        <f>IFERROR(__xludf.DUMMYFUNCTION("""COMPUTED_VALUE"""),"定期点検")</f>
        <v>定期点検</v>
      </c>
      <c r="F130" s="23"/>
      <c r="G130" s="19"/>
      <c r="H130" s="4" t="str">
        <f>IFERROR(__xludf.DUMMYFUNCTION("""COMPUTED_VALUE"""),"未照合")</f>
        <v>未照合</v>
      </c>
      <c r="I130" s="19"/>
      <c r="J130" s="17"/>
      <c r="K130" s="23">
        <f>IFERROR(__xludf.DUMMYFUNCTION("""COMPUTED_VALUE"""),0.0)</f>
        <v>0</v>
      </c>
      <c r="L130" s="23" t="str">
        <f>IFERROR(__xludf.DUMMYFUNCTION("""COMPUTED_VALUE"""),"")</f>
        <v/>
      </c>
      <c r="M130" s="4" t="str">
        <f>IFERROR(__xludf.DUMMYFUNCTION("""COMPUTED_VALUE"""),"未入金")</f>
        <v>未入金</v>
      </c>
      <c r="N130" s="19" t="str">
        <f>IFERROR(__xludf.DUMMYFUNCTION("""COMPUTED_VALUE"""),"")</f>
        <v/>
      </c>
      <c r="O130" s="19"/>
    </row>
    <row r="131" ht="15.75" customHeight="1">
      <c r="A131" s="4" t="str">
        <f>IFERROR(__xludf.DUMMYFUNCTION("""COMPUTED_VALUE"""),"SB00007561")</f>
        <v>SB00007561</v>
      </c>
      <c r="B131" s="17">
        <f>IFERROR(__xludf.DUMMYFUNCTION("""COMPUTED_VALUE"""),46109.0)</f>
        <v>46109</v>
      </c>
      <c r="C131" s="4" t="str">
        <f>IFERROR(__xludf.DUMMYFUNCTION("""COMPUTED_VALUE"""),"株式会社 高木")</f>
        <v>株式会社 高木</v>
      </c>
      <c r="D131" s="19"/>
      <c r="E131" s="4" t="str">
        <f>IFERROR(__xludf.DUMMYFUNCTION("""COMPUTED_VALUE"""),"車検")</f>
        <v>車検</v>
      </c>
      <c r="F131" s="23"/>
      <c r="G131" s="19"/>
      <c r="H131" s="4" t="str">
        <f>IFERROR(__xludf.DUMMYFUNCTION("""COMPUTED_VALUE"""),"未照合")</f>
        <v>未照合</v>
      </c>
      <c r="I131" s="19"/>
      <c r="J131" s="17"/>
      <c r="K131" s="23">
        <f>IFERROR(__xludf.DUMMYFUNCTION("""COMPUTED_VALUE"""),0.0)</f>
        <v>0</v>
      </c>
      <c r="L131" s="23" t="str">
        <f>IFERROR(__xludf.DUMMYFUNCTION("""COMPUTED_VALUE"""),"")</f>
        <v/>
      </c>
      <c r="M131" s="4" t="str">
        <f>IFERROR(__xludf.DUMMYFUNCTION("""COMPUTED_VALUE"""),"未入金")</f>
        <v>未入金</v>
      </c>
      <c r="N131" s="19" t="str">
        <f>IFERROR(__xludf.DUMMYFUNCTION("""COMPUTED_VALUE"""),"")</f>
        <v/>
      </c>
      <c r="O131" s="19"/>
    </row>
    <row r="132" ht="15.75" customHeight="1">
      <c r="A132" s="4" t="str">
        <f>IFERROR(__xludf.DUMMYFUNCTION("""COMPUTED_VALUE"""),"SB00024531")</f>
        <v>SB00024531</v>
      </c>
      <c r="B132" s="17">
        <f>IFERROR(__xludf.DUMMYFUNCTION("""COMPUTED_VALUE"""),46107.0)</f>
        <v>46107</v>
      </c>
      <c r="C132" s="4" t="str">
        <f>IFERROR(__xludf.DUMMYFUNCTION("""COMPUTED_VALUE"""),"藤井　洋二")</f>
        <v>藤井　洋二</v>
      </c>
      <c r="D132" s="4" t="str">
        <f>IFERROR(__xludf.DUMMYFUNCTION("""COMPUTED_VALUE"""),"株式会社コンクエスト　ジャガーランドローバー広島")</f>
        <v>株式会社コンクエスト　ジャガーランドローバー広島</v>
      </c>
      <c r="E132" s="4" t="str">
        <f>IFERROR(__xludf.DUMMYFUNCTION("""COMPUTED_VALUE"""),"一般整備")</f>
        <v>一般整備</v>
      </c>
      <c r="F132" s="23"/>
      <c r="G132" s="4"/>
      <c r="H132" s="4" t="str">
        <f>IFERROR(__xludf.DUMMYFUNCTION("""COMPUTED_VALUE"""),"未照合")</f>
        <v>未照合</v>
      </c>
      <c r="I132" s="4"/>
      <c r="J132" s="17"/>
      <c r="K132" s="23">
        <f>IFERROR(__xludf.DUMMYFUNCTION("""COMPUTED_VALUE"""),0.0)</f>
        <v>0</v>
      </c>
      <c r="L132" s="23" t="str">
        <f>IFERROR(__xludf.DUMMYFUNCTION("""COMPUTED_VALUE"""),"")</f>
        <v/>
      </c>
      <c r="M132" s="4" t="str">
        <f>IFERROR(__xludf.DUMMYFUNCTION("""COMPUTED_VALUE"""),"未入金")</f>
        <v>未入金</v>
      </c>
      <c r="N132" s="4" t="str">
        <f>IFERROR(__xludf.DUMMYFUNCTION("""COMPUTED_VALUE"""),"")</f>
        <v/>
      </c>
      <c r="O132" s="4"/>
    </row>
    <row r="133" ht="15.75" customHeight="1">
      <c r="A133" s="4" t="str">
        <f>IFERROR(__xludf.DUMMYFUNCTION("""COMPUTED_VALUE"""),"SB00024526")</f>
        <v>SB00024526</v>
      </c>
      <c r="B133" s="17">
        <f>IFERROR(__xludf.DUMMYFUNCTION("""COMPUTED_VALUE"""),46107.0)</f>
        <v>46107</v>
      </c>
      <c r="C133" s="4"/>
      <c r="D133" s="19"/>
      <c r="E133" s="4" t="str">
        <f>IFERROR(__xludf.DUMMYFUNCTION("""COMPUTED_VALUE"""),"在庫車B-①")</f>
        <v>在庫車B-①</v>
      </c>
      <c r="F133" s="23"/>
      <c r="G133" s="4"/>
      <c r="H133" s="4" t="str">
        <f>IFERROR(__xludf.DUMMYFUNCTION("""COMPUTED_VALUE"""),"未照合")</f>
        <v>未照合</v>
      </c>
      <c r="I133" s="4"/>
      <c r="J133" s="17"/>
      <c r="K133" s="23">
        <f>IFERROR(__xludf.DUMMYFUNCTION("""COMPUTED_VALUE"""),0.0)</f>
        <v>0</v>
      </c>
      <c r="L133" s="23" t="str">
        <f>IFERROR(__xludf.DUMMYFUNCTION("""COMPUTED_VALUE"""),"")</f>
        <v/>
      </c>
      <c r="M133" s="4" t="str">
        <f>IFERROR(__xludf.DUMMYFUNCTION("""COMPUTED_VALUE"""),"未入金")</f>
        <v>未入金</v>
      </c>
      <c r="N133" s="4" t="str">
        <f>IFERROR(__xludf.DUMMYFUNCTION("""COMPUTED_VALUE"""),"")</f>
        <v/>
      </c>
      <c r="O133" s="4"/>
    </row>
    <row r="134" ht="15.75" customHeight="1">
      <c r="A134" s="4" t="str">
        <f>IFERROR(__xludf.DUMMYFUNCTION("""COMPUTED_VALUE"""),"SB00024480")</f>
        <v>SB00024480</v>
      </c>
      <c r="B134" s="17">
        <f>IFERROR(__xludf.DUMMYFUNCTION("""COMPUTED_VALUE"""),46104.0)</f>
        <v>46104</v>
      </c>
      <c r="C134" s="4" t="str">
        <f>IFERROR(__xludf.DUMMYFUNCTION("""COMPUTED_VALUE"""),"株式会社　マングローブ代表取締役　児玉 満樹")</f>
        <v>株式会社　マングローブ代表取締役　児玉 満樹</v>
      </c>
      <c r="D134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134" s="4" t="str">
        <f>IFERROR(__xludf.DUMMYFUNCTION("""COMPUTED_VALUE"""),"部品")</f>
        <v>部品</v>
      </c>
      <c r="F134" s="23"/>
      <c r="G134" s="4"/>
      <c r="H134" s="4" t="str">
        <f>IFERROR(__xludf.DUMMYFUNCTION("""COMPUTED_VALUE"""),"未照合")</f>
        <v>未照合</v>
      </c>
      <c r="I134" s="4"/>
      <c r="J134" s="17"/>
      <c r="K134" s="23">
        <f>IFERROR(__xludf.DUMMYFUNCTION("""COMPUTED_VALUE"""),0.0)</f>
        <v>0</v>
      </c>
      <c r="L134" s="23" t="str">
        <f>IFERROR(__xludf.DUMMYFUNCTION("""COMPUTED_VALUE"""),"")</f>
        <v/>
      </c>
      <c r="M134" s="4" t="str">
        <f>IFERROR(__xludf.DUMMYFUNCTION("""COMPUTED_VALUE"""),"未入金")</f>
        <v>未入金</v>
      </c>
      <c r="N134" s="4" t="str">
        <f>IFERROR(__xludf.DUMMYFUNCTION("""COMPUTED_VALUE"""),"")</f>
        <v/>
      </c>
      <c r="O134" s="4"/>
    </row>
    <row r="135" ht="15.75" customHeight="1">
      <c r="A135" s="4" t="str">
        <f>IFERROR(__xludf.DUMMYFUNCTION("""COMPUTED_VALUE"""),"SB00024494")</f>
        <v>SB00024494</v>
      </c>
      <c r="B135" s="17">
        <f>IFERROR(__xludf.DUMMYFUNCTION("""COMPUTED_VALUE"""),46104.0)</f>
        <v>46104</v>
      </c>
      <c r="C135" s="4" t="str">
        <f>IFERROR(__xludf.DUMMYFUNCTION("""COMPUTED_VALUE"""),"安保　雅文")</f>
        <v>安保　雅文</v>
      </c>
      <c r="D135" s="4" t="str">
        <f>IFERROR(__xludf.DUMMYFUNCTION("""COMPUTED_VALUE"""),"株式会社コンクエスト　ジャガーランドローバー広島")</f>
        <v>株式会社コンクエスト　ジャガーランドローバー広島</v>
      </c>
      <c r="E135" s="4" t="str">
        <f>IFERROR(__xludf.DUMMYFUNCTION("""COMPUTED_VALUE"""),"点検")</f>
        <v>点検</v>
      </c>
      <c r="F135" s="23"/>
      <c r="G135" s="4"/>
      <c r="H135" s="4" t="str">
        <f>IFERROR(__xludf.DUMMYFUNCTION("""COMPUTED_VALUE"""),"未照合")</f>
        <v>未照合</v>
      </c>
      <c r="I135" s="4"/>
      <c r="J135" s="17"/>
      <c r="K135" s="23">
        <f>IFERROR(__xludf.DUMMYFUNCTION("""COMPUTED_VALUE"""),0.0)</f>
        <v>0</v>
      </c>
      <c r="L135" s="23" t="str">
        <f>IFERROR(__xludf.DUMMYFUNCTION("""COMPUTED_VALUE"""),"")</f>
        <v/>
      </c>
      <c r="M135" s="4" t="str">
        <f>IFERROR(__xludf.DUMMYFUNCTION("""COMPUTED_VALUE"""),"未入金")</f>
        <v>未入金</v>
      </c>
      <c r="N135" s="4" t="str">
        <f>IFERROR(__xludf.DUMMYFUNCTION("""COMPUTED_VALUE"""),"")</f>
        <v/>
      </c>
      <c r="O135" s="4"/>
    </row>
    <row r="136" ht="15.75" customHeight="1">
      <c r="A136" s="4" t="str">
        <f>IFERROR(__xludf.DUMMYFUNCTION("""COMPUTED_VALUE"""),"SB00024519")</f>
        <v>SB00024519</v>
      </c>
      <c r="B136" s="17">
        <f>IFERROR(__xludf.DUMMYFUNCTION("""COMPUTED_VALUE"""),46104.0)</f>
        <v>46104</v>
      </c>
      <c r="C136" s="4" t="str">
        <f>IFERROR(__xludf.DUMMYFUNCTION("""COMPUTED_VALUE"""),"株式会社　エッジトラスト代表取締役　奥野浩司")</f>
        <v>株式会社　エッジトラスト代表取締役　奥野浩司</v>
      </c>
      <c r="D136" s="4"/>
      <c r="E136" s="4" t="str">
        <f>IFERROR(__xludf.DUMMYFUNCTION("""COMPUTED_VALUE"""),"点検")</f>
        <v>点検</v>
      </c>
      <c r="F136" s="23"/>
      <c r="G136" s="4"/>
      <c r="H136" s="4" t="str">
        <f>IFERROR(__xludf.DUMMYFUNCTION("""COMPUTED_VALUE"""),"要確認")</f>
        <v>要確認</v>
      </c>
      <c r="I136" s="4"/>
      <c r="J136" s="17"/>
      <c r="K136" s="23">
        <f>IFERROR(__xludf.DUMMYFUNCTION("""COMPUTED_VALUE"""),0.0)</f>
        <v>0</v>
      </c>
      <c r="L136" s="23" t="str">
        <f>IFERROR(__xludf.DUMMYFUNCTION("""COMPUTED_VALUE"""),"")</f>
        <v/>
      </c>
      <c r="M136" s="4" t="str">
        <f>IFERROR(__xludf.DUMMYFUNCTION("""COMPUTED_VALUE"""),"未入金")</f>
        <v>未入金</v>
      </c>
      <c r="N136" s="4" t="str">
        <f>IFERROR(__xludf.DUMMYFUNCTION("""COMPUTED_VALUE"""),"")</f>
        <v/>
      </c>
      <c r="O136" s="4"/>
    </row>
    <row r="137" ht="15.75" customHeight="1">
      <c r="A137" s="4" t="str">
        <f>IFERROR(__xludf.DUMMYFUNCTION("""COMPUTED_VALUE"""),"SB00024525")</f>
        <v>SB00024525</v>
      </c>
      <c r="B137" s="17">
        <f>IFERROR(__xludf.DUMMYFUNCTION("""COMPUTED_VALUE"""),46104.0)</f>
        <v>46104</v>
      </c>
      <c r="C137" s="4" t="str">
        <f>IFERROR(__xludf.DUMMYFUNCTION("""COMPUTED_VALUE"""),"小林　弘治")</f>
        <v>小林　弘治</v>
      </c>
      <c r="D137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137" s="4" t="str">
        <f>IFERROR(__xludf.DUMMYFUNCTION("""COMPUTED_VALUE"""),"部品")</f>
        <v>部品</v>
      </c>
      <c r="F137" s="23"/>
      <c r="G137" s="4"/>
      <c r="H137" s="4" t="str">
        <f>IFERROR(__xludf.DUMMYFUNCTION("""COMPUTED_VALUE"""),"未照合")</f>
        <v>未照合</v>
      </c>
      <c r="I137" s="4"/>
      <c r="J137" s="17"/>
      <c r="K137" s="23">
        <f>IFERROR(__xludf.DUMMYFUNCTION("""COMPUTED_VALUE"""),0.0)</f>
        <v>0</v>
      </c>
      <c r="L137" s="23" t="str">
        <f>IFERROR(__xludf.DUMMYFUNCTION("""COMPUTED_VALUE"""),"")</f>
        <v/>
      </c>
      <c r="M137" s="4" t="str">
        <f>IFERROR(__xludf.DUMMYFUNCTION("""COMPUTED_VALUE"""),"未入金")</f>
        <v>未入金</v>
      </c>
      <c r="N137" s="4" t="str">
        <f>IFERROR(__xludf.DUMMYFUNCTION("""COMPUTED_VALUE"""),"")</f>
        <v/>
      </c>
      <c r="O137" s="4"/>
    </row>
    <row r="138" ht="15.75" customHeight="1">
      <c r="A138" s="4" t="str">
        <f>IFERROR(__xludf.DUMMYFUNCTION("""COMPUTED_VALUE"""),"SB00024416")</f>
        <v>SB00024416</v>
      </c>
      <c r="B138" s="17">
        <f>IFERROR(__xludf.DUMMYFUNCTION("""COMPUTED_VALUE"""),46104.0)</f>
        <v>46104</v>
      </c>
      <c r="C138" s="4"/>
      <c r="D138" s="19"/>
      <c r="E138" s="4" t="str">
        <f>IFERROR(__xludf.DUMMYFUNCTION("""COMPUTED_VALUE"""),"在納点A-③")</f>
        <v>在納点A-③</v>
      </c>
      <c r="F138" s="23"/>
      <c r="G138" s="4"/>
      <c r="H138" s="4" t="str">
        <f>IFERROR(__xludf.DUMMYFUNCTION("""COMPUTED_VALUE"""),"未照合")</f>
        <v>未照合</v>
      </c>
      <c r="I138" s="4"/>
      <c r="J138" s="17"/>
      <c r="K138" s="23">
        <f>IFERROR(__xludf.DUMMYFUNCTION("""COMPUTED_VALUE"""),0.0)</f>
        <v>0</v>
      </c>
      <c r="L138" s="23" t="str">
        <f>IFERROR(__xludf.DUMMYFUNCTION("""COMPUTED_VALUE"""),"")</f>
        <v/>
      </c>
      <c r="M138" s="4" t="str">
        <f>IFERROR(__xludf.DUMMYFUNCTION("""COMPUTED_VALUE"""),"未入金")</f>
        <v>未入金</v>
      </c>
      <c r="N138" s="4" t="str">
        <f>IFERROR(__xludf.DUMMYFUNCTION("""COMPUTED_VALUE"""),"")</f>
        <v/>
      </c>
      <c r="O138" s="4"/>
    </row>
    <row r="139" ht="15.75" customHeight="1">
      <c r="A139" s="4" t="str">
        <f>IFERROR(__xludf.DUMMYFUNCTION("""COMPUTED_VALUE"""),"SB00007474")</f>
        <v>SB00007474</v>
      </c>
      <c r="B139" s="17">
        <f>IFERROR(__xludf.DUMMYFUNCTION("""COMPUTED_VALUE"""),46103.0)</f>
        <v>46103</v>
      </c>
      <c r="C139" s="4" t="str">
        <f>IFERROR(__xludf.DUMMYFUNCTION("""COMPUTED_VALUE"""),"森祐司")</f>
        <v>森祐司</v>
      </c>
      <c r="D139" s="19"/>
      <c r="E139" s="4" t="str">
        <f>IFERROR(__xludf.DUMMYFUNCTION("""COMPUTED_VALUE"""),"一般整備")</f>
        <v>一般整備</v>
      </c>
      <c r="F139" s="23"/>
      <c r="G139" s="19"/>
      <c r="H139" s="4" t="str">
        <f>IFERROR(__xludf.DUMMYFUNCTION("""COMPUTED_VALUE"""),"未照合")</f>
        <v>未照合</v>
      </c>
      <c r="I139" s="19"/>
      <c r="J139" s="17"/>
      <c r="K139" s="23">
        <f>IFERROR(__xludf.DUMMYFUNCTION("""COMPUTED_VALUE"""),0.0)</f>
        <v>0</v>
      </c>
      <c r="L139" s="23" t="str">
        <f>IFERROR(__xludf.DUMMYFUNCTION("""COMPUTED_VALUE"""),"")</f>
        <v/>
      </c>
      <c r="M139" s="4" t="str">
        <f>IFERROR(__xludf.DUMMYFUNCTION("""COMPUTED_VALUE"""),"未入金")</f>
        <v>未入金</v>
      </c>
      <c r="N139" s="19" t="str">
        <f>IFERROR(__xludf.DUMMYFUNCTION("""COMPUTED_VALUE"""),"")</f>
        <v/>
      </c>
      <c r="O139" s="19"/>
    </row>
    <row r="140" ht="15.75" customHeight="1">
      <c r="A140" s="4" t="str">
        <f>IFERROR(__xludf.DUMMYFUNCTION("""COMPUTED_VALUE"""),"SB00024473")</f>
        <v>SB00024473</v>
      </c>
      <c r="B140" s="17">
        <f>IFERROR(__xludf.DUMMYFUNCTION("""COMPUTED_VALUE"""),46102.0)</f>
        <v>46102</v>
      </c>
      <c r="C140" s="4" t="str">
        <f>IFERROR(__xludf.DUMMYFUNCTION("""COMPUTED_VALUE"""),"宮﨑　亜希子")</f>
        <v>宮﨑　亜希子</v>
      </c>
      <c r="D140" s="4"/>
      <c r="E140" s="4" t="str">
        <f>IFERROR(__xludf.DUMMYFUNCTION("""COMPUTED_VALUE"""),"車検")</f>
        <v>車検</v>
      </c>
      <c r="F140" s="23"/>
      <c r="G140" s="4"/>
      <c r="H140" s="4" t="str">
        <f>IFERROR(__xludf.DUMMYFUNCTION("""COMPUTED_VALUE"""),"未照合")</f>
        <v>未照合</v>
      </c>
      <c r="I140" s="4"/>
      <c r="J140" s="17"/>
      <c r="K140" s="23">
        <f>IFERROR(__xludf.DUMMYFUNCTION("""COMPUTED_VALUE"""),0.0)</f>
        <v>0</v>
      </c>
      <c r="L140" s="23" t="str">
        <f>IFERROR(__xludf.DUMMYFUNCTION("""COMPUTED_VALUE"""),"")</f>
        <v/>
      </c>
      <c r="M140" s="4" t="str">
        <f>IFERROR(__xludf.DUMMYFUNCTION("""COMPUTED_VALUE"""),"未入金")</f>
        <v>未入金</v>
      </c>
      <c r="N140" s="4" t="str">
        <f>IFERROR(__xludf.DUMMYFUNCTION("""COMPUTED_VALUE"""),"")</f>
        <v/>
      </c>
      <c r="O140" s="4"/>
    </row>
    <row r="141" ht="15.75" customHeight="1">
      <c r="A141" s="4" t="str">
        <f>IFERROR(__xludf.DUMMYFUNCTION("""COMPUTED_VALUE"""),"SB00024485")</f>
        <v>SB00024485</v>
      </c>
      <c r="B141" s="17">
        <f>IFERROR(__xludf.DUMMYFUNCTION("""COMPUTED_VALUE"""),46102.0)</f>
        <v>46102</v>
      </c>
      <c r="C141" s="4" t="str">
        <f>IFERROR(__xludf.DUMMYFUNCTION("""COMPUTED_VALUE"""),"船越　郁美")</f>
        <v>船越　郁美</v>
      </c>
      <c r="D141" s="4" t="str">
        <f>IFERROR(__xludf.DUMMYFUNCTION("""COMPUTED_VALUE"""),"株式会社コンクエスト　ジャガーランドローバー広島")</f>
        <v>株式会社コンクエスト　ジャガーランドローバー広島</v>
      </c>
      <c r="E141" s="4" t="str">
        <f>IFERROR(__xludf.DUMMYFUNCTION("""COMPUTED_VALUE"""),"点検")</f>
        <v>点検</v>
      </c>
      <c r="F141" s="23"/>
      <c r="G141" s="4"/>
      <c r="H141" s="4" t="str">
        <f>IFERROR(__xludf.DUMMYFUNCTION("""COMPUTED_VALUE"""),"未照合")</f>
        <v>未照合</v>
      </c>
      <c r="I141" s="4"/>
      <c r="J141" s="17"/>
      <c r="K141" s="23">
        <f>IFERROR(__xludf.DUMMYFUNCTION("""COMPUTED_VALUE"""),0.0)</f>
        <v>0</v>
      </c>
      <c r="L141" s="23" t="str">
        <f>IFERROR(__xludf.DUMMYFUNCTION("""COMPUTED_VALUE"""),"")</f>
        <v/>
      </c>
      <c r="M141" s="4" t="str">
        <f>IFERROR(__xludf.DUMMYFUNCTION("""COMPUTED_VALUE"""),"未入金")</f>
        <v>未入金</v>
      </c>
      <c r="N141" s="19" t="str">
        <f>IFERROR(__xludf.DUMMYFUNCTION("""COMPUTED_VALUE"""),"")</f>
        <v/>
      </c>
      <c r="O141" s="19"/>
    </row>
    <row r="142" ht="15.75" customHeight="1">
      <c r="A142" s="4" t="str">
        <f>IFERROR(__xludf.DUMMYFUNCTION("""COMPUTED_VALUE"""),"SB00024490")</f>
        <v>SB00024490</v>
      </c>
      <c r="B142" s="17">
        <f>IFERROR(__xludf.DUMMYFUNCTION("""COMPUTED_VALUE"""),46102.0)</f>
        <v>46102</v>
      </c>
      <c r="C142" s="4" t="str">
        <f>IFERROR(__xludf.DUMMYFUNCTION("""COMPUTED_VALUE"""),"フルモト建機株式会社代表取締役　古本幸久")</f>
        <v>フルモト建機株式会社代表取締役　古本幸久</v>
      </c>
      <c r="D142" s="4"/>
      <c r="E142" s="4" t="str">
        <f>IFERROR(__xludf.DUMMYFUNCTION("""COMPUTED_VALUE"""),"車検")</f>
        <v>車検</v>
      </c>
      <c r="F142" s="23"/>
      <c r="G142" s="4"/>
      <c r="H142" s="4" t="str">
        <f>IFERROR(__xludf.DUMMYFUNCTION("""COMPUTED_VALUE"""),"未照合")</f>
        <v>未照合</v>
      </c>
      <c r="I142" s="4"/>
      <c r="J142" s="17"/>
      <c r="K142" s="23">
        <f>IFERROR(__xludf.DUMMYFUNCTION("""COMPUTED_VALUE"""),0.0)</f>
        <v>0</v>
      </c>
      <c r="L142" s="23" t="str">
        <f>IFERROR(__xludf.DUMMYFUNCTION("""COMPUTED_VALUE"""),"")</f>
        <v/>
      </c>
      <c r="M142" s="4" t="str">
        <f>IFERROR(__xludf.DUMMYFUNCTION("""COMPUTED_VALUE"""),"未入金")</f>
        <v>未入金</v>
      </c>
      <c r="N142" s="19" t="str">
        <f>IFERROR(__xludf.DUMMYFUNCTION("""COMPUTED_VALUE"""),"")</f>
        <v/>
      </c>
      <c r="O142" s="19"/>
    </row>
    <row r="143" ht="15.75" customHeight="1">
      <c r="A143" s="4" t="str">
        <f>IFERROR(__xludf.DUMMYFUNCTION("""COMPUTED_VALUE"""),"SB00024492")</f>
        <v>SB00024492</v>
      </c>
      <c r="B143" s="17">
        <f>IFERROR(__xludf.DUMMYFUNCTION("""COMPUTED_VALUE"""),46102.0)</f>
        <v>46102</v>
      </c>
      <c r="C143" s="4" t="str">
        <f>IFERROR(__xludf.DUMMYFUNCTION("""COMPUTED_VALUE"""),"三宅　修司")</f>
        <v>三宅　修司</v>
      </c>
      <c r="D143" s="4"/>
      <c r="E143" s="4" t="str">
        <f>IFERROR(__xludf.DUMMYFUNCTION("""COMPUTED_VALUE"""),"車検")</f>
        <v>車検</v>
      </c>
      <c r="F143" s="23"/>
      <c r="G143" s="4"/>
      <c r="H143" s="4" t="str">
        <f>IFERROR(__xludf.DUMMYFUNCTION("""COMPUTED_VALUE"""),"未照合")</f>
        <v>未照合</v>
      </c>
      <c r="I143" s="4"/>
      <c r="J143" s="17"/>
      <c r="K143" s="23">
        <f>IFERROR(__xludf.DUMMYFUNCTION("""COMPUTED_VALUE"""),0.0)</f>
        <v>0</v>
      </c>
      <c r="L143" s="23" t="str">
        <f>IFERROR(__xludf.DUMMYFUNCTION("""COMPUTED_VALUE"""),"")</f>
        <v/>
      </c>
      <c r="M143" s="4" t="str">
        <f>IFERROR(__xludf.DUMMYFUNCTION("""COMPUTED_VALUE"""),"未入金")</f>
        <v>未入金</v>
      </c>
      <c r="N143" s="4" t="str">
        <f>IFERROR(__xludf.DUMMYFUNCTION("""COMPUTED_VALUE"""),"")</f>
        <v/>
      </c>
      <c r="O143" s="4"/>
    </row>
    <row r="144" ht="15.75" customHeight="1">
      <c r="A144" s="4" t="str">
        <f>IFERROR(__xludf.DUMMYFUNCTION("""COMPUTED_VALUE"""),"SB00024493")</f>
        <v>SB00024493</v>
      </c>
      <c r="B144" s="17">
        <f>IFERROR(__xludf.DUMMYFUNCTION("""COMPUTED_VALUE"""),46102.0)</f>
        <v>46102</v>
      </c>
      <c r="C144" s="4" t="str">
        <f>IFERROR(__xludf.DUMMYFUNCTION("""COMPUTED_VALUE"""),"仲本　典明")</f>
        <v>仲本　典明</v>
      </c>
      <c r="D144" s="4"/>
      <c r="E144" s="4" t="str">
        <f>IFERROR(__xludf.DUMMYFUNCTION("""COMPUTED_VALUE"""),"車検")</f>
        <v>車検</v>
      </c>
      <c r="F144" s="23"/>
      <c r="G144" s="4"/>
      <c r="H144" s="4" t="str">
        <f>IFERROR(__xludf.DUMMYFUNCTION("""COMPUTED_VALUE"""),"未照合")</f>
        <v>未照合</v>
      </c>
      <c r="I144" s="4"/>
      <c r="J144" s="17"/>
      <c r="K144" s="23">
        <f>IFERROR(__xludf.DUMMYFUNCTION("""COMPUTED_VALUE"""),0.0)</f>
        <v>0</v>
      </c>
      <c r="L144" s="23" t="str">
        <f>IFERROR(__xludf.DUMMYFUNCTION("""COMPUTED_VALUE"""),"")</f>
        <v/>
      </c>
      <c r="M144" s="4" t="str">
        <f>IFERROR(__xludf.DUMMYFUNCTION("""COMPUTED_VALUE"""),"未入金")</f>
        <v>未入金</v>
      </c>
      <c r="N144" s="4" t="str">
        <f>IFERROR(__xludf.DUMMYFUNCTION("""COMPUTED_VALUE"""),"")</f>
        <v/>
      </c>
      <c r="O144" s="4"/>
    </row>
    <row r="145" ht="15.75" customHeight="1">
      <c r="A145" s="4" t="str">
        <f>IFERROR(__xludf.DUMMYFUNCTION("""COMPUTED_VALUE"""),"SB00024502")</f>
        <v>SB00024502</v>
      </c>
      <c r="B145" s="17">
        <f>IFERROR(__xludf.DUMMYFUNCTION("""COMPUTED_VALUE"""),46102.0)</f>
        <v>46102</v>
      </c>
      <c r="C145" s="4" t="str">
        <f>IFERROR(__xludf.DUMMYFUNCTION("""COMPUTED_VALUE"""),"陶山　哲宏")</f>
        <v>陶山　哲宏</v>
      </c>
      <c r="D145" s="4"/>
      <c r="E145" s="4" t="str">
        <f>IFERROR(__xludf.DUMMYFUNCTION("""COMPUTED_VALUE"""),"車検")</f>
        <v>車検</v>
      </c>
      <c r="F145" s="23"/>
      <c r="G145" s="4"/>
      <c r="H145" s="4" t="str">
        <f>IFERROR(__xludf.DUMMYFUNCTION("""COMPUTED_VALUE"""),"未照合")</f>
        <v>未照合</v>
      </c>
      <c r="I145" s="4"/>
      <c r="J145" s="17"/>
      <c r="K145" s="23">
        <f>IFERROR(__xludf.DUMMYFUNCTION("""COMPUTED_VALUE"""),0.0)</f>
        <v>0</v>
      </c>
      <c r="L145" s="23" t="str">
        <f>IFERROR(__xludf.DUMMYFUNCTION("""COMPUTED_VALUE"""),"")</f>
        <v/>
      </c>
      <c r="M145" s="4" t="str">
        <f>IFERROR(__xludf.DUMMYFUNCTION("""COMPUTED_VALUE"""),"未入金")</f>
        <v>未入金</v>
      </c>
      <c r="N145" s="4" t="str">
        <f>IFERROR(__xludf.DUMMYFUNCTION("""COMPUTED_VALUE"""),"")</f>
        <v/>
      </c>
      <c r="O145" s="4"/>
    </row>
    <row r="146" ht="15.75" customHeight="1">
      <c r="A146" s="4" t="str">
        <f>IFERROR(__xludf.DUMMYFUNCTION("""COMPUTED_VALUE"""),"SB00024505")</f>
        <v>SB00024505</v>
      </c>
      <c r="B146" s="17">
        <f>IFERROR(__xludf.DUMMYFUNCTION("""COMPUTED_VALUE"""),46102.0)</f>
        <v>46102</v>
      </c>
      <c r="C146" s="4" t="str">
        <f>IFERROR(__xludf.DUMMYFUNCTION("""COMPUTED_VALUE"""),"株式会社藤和ホールディングス代表取締役 藤原洋明")</f>
        <v>株式会社藤和ホールディングス代表取締役 藤原洋明</v>
      </c>
      <c r="D146" s="4"/>
      <c r="E146" s="4" t="str">
        <f>IFERROR(__xludf.DUMMYFUNCTION("""COMPUTED_VALUE"""),"一般整備")</f>
        <v>一般整備</v>
      </c>
      <c r="F146" s="23"/>
      <c r="G146" s="4"/>
      <c r="H146" s="4" t="str">
        <f>IFERROR(__xludf.DUMMYFUNCTION("""COMPUTED_VALUE"""),"未照合")</f>
        <v>未照合</v>
      </c>
      <c r="I146" s="4"/>
      <c r="J146" s="17"/>
      <c r="K146" s="23">
        <f>IFERROR(__xludf.DUMMYFUNCTION("""COMPUTED_VALUE"""),0.0)</f>
        <v>0</v>
      </c>
      <c r="L146" s="23" t="str">
        <f>IFERROR(__xludf.DUMMYFUNCTION("""COMPUTED_VALUE"""),"")</f>
        <v/>
      </c>
      <c r="M146" s="4" t="str">
        <f>IFERROR(__xludf.DUMMYFUNCTION("""COMPUTED_VALUE"""),"未入金")</f>
        <v>未入金</v>
      </c>
      <c r="N146" s="4" t="str">
        <f>IFERROR(__xludf.DUMMYFUNCTION("""COMPUTED_VALUE"""),"")</f>
        <v/>
      </c>
      <c r="O146" s="4"/>
    </row>
    <row r="147" ht="15.75" customHeight="1">
      <c r="A147" s="4" t="str">
        <f>IFERROR(__xludf.DUMMYFUNCTION("""COMPUTED_VALUE"""),"SB00024517")</f>
        <v>SB00024517</v>
      </c>
      <c r="B147" s="17">
        <f>IFERROR(__xludf.DUMMYFUNCTION("""COMPUTED_VALUE"""),46102.0)</f>
        <v>46102</v>
      </c>
      <c r="C147" s="4" t="str">
        <f>IFERROR(__xludf.DUMMYFUNCTION("""COMPUTED_VALUE"""),"串田　芳文")</f>
        <v>串田　芳文</v>
      </c>
      <c r="D147" s="4" t="str">
        <f>IFERROR(__xludf.DUMMYFUNCTION("""COMPUTED_VALUE"""),"株式会社コンクエスト　ジャガーランドローバー広島")</f>
        <v>株式会社コンクエスト　ジャガーランドローバー広島</v>
      </c>
      <c r="E147" s="4" t="str">
        <f>IFERROR(__xludf.DUMMYFUNCTION("""COMPUTED_VALUE"""),"点検")</f>
        <v>点検</v>
      </c>
      <c r="F147" s="23"/>
      <c r="G147" s="4"/>
      <c r="H147" s="4" t="str">
        <f>IFERROR(__xludf.DUMMYFUNCTION("""COMPUTED_VALUE"""),"未照合")</f>
        <v>未照合</v>
      </c>
      <c r="I147" s="4"/>
      <c r="J147" s="17"/>
      <c r="K147" s="23">
        <f>IFERROR(__xludf.DUMMYFUNCTION("""COMPUTED_VALUE"""),0.0)</f>
        <v>0</v>
      </c>
      <c r="L147" s="23" t="str">
        <f>IFERROR(__xludf.DUMMYFUNCTION("""COMPUTED_VALUE"""),"")</f>
        <v/>
      </c>
      <c r="M147" s="4" t="str">
        <f>IFERROR(__xludf.DUMMYFUNCTION("""COMPUTED_VALUE"""),"未入金")</f>
        <v>未入金</v>
      </c>
      <c r="N147" s="4" t="str">
        <f>IFERROR(__xludf.DUMMYFUNCTION("""COMPUTED_VALUE"""),"")</f>
        <v/>
      </c>
      <c r="O147" s="4"/>
    </row>
    <row r="148" ht="15.75" customHeight="1">
      <c r="A148" s="4" t="str">
        <f>IFERROR(__xludf.DUMMYFUNCTION("""COMPUTED_VALUE"""),"SB00024518")</f>
        <v>SB00024518</v>
      </c>
      <c r="B148" s="17">
        <f>IFERROR(__xludf.DUMMYFUNCTION("""COMPUTED_VALUE"""),46102.0)</f>
        <v>46102</v>
      </c>
      <c r="C148" s="4" t="str">
        <f>IFERROR(__xludf.DUMMYFUNCTION("""COMPUTED_VALUE"""),"串田　芳文")</f>
        <v>串田　芳文</v>
      </c>
      <c r="D148" s="4" t="str">
        <f>IFERROR(__xludf.DUMMYFUNCTION("""COMPUTED_VALUE"""),"株式会社コンクエスト　ジャガーランドローバー広島")</f>
        <v>株式会社コンクエスト　ジャガーランドローバー広島</v>
      </c>
      <c r="E148" s="4" t="str">
        <f>IFERROR(__xludf.DUMMYFUNCTION("""COMPUTED_VALUE"""),"点検")</f>
        <v>点検</v>
      </c>
      <c r="F148" s="23"/>
      <c r="G148" s="4"/>
      <c r="H148" s="4" t="str">
        <f>IFERROR(__xludf.DUMMYFUNCTION("""COMPUTED_VALUE"""),"未照合")</f>
        <v>未照合</v>
      </c>
      <c r="I148" s="4"/>
      <c r="J148" s="17"/>
      <c r="K148" s="23">
        <f>IFERROR(__xludf.DUMMYFUNCTION("""COMPUTED_VALUE"""),0.0)</f>
        <v>0</v>
      </c>
      <c r="L148" s="23" t="str">
        <f>IFERROR(__xludf.DUMMYFUNCTION("""COMPUTED_VALUE"""),"")</f>
        <v/>
      </c>
      <c r="M148" s="4" t="str">
        <f>IFERROR(__xludf.DUMMYFUNCTION("""COMPUTED_VALUE"""),"未入金")</f>
        <v>未入金</v>
      </c>
      <c r="N148" s="4" t="str">
        <f>IFERROR(__xludf.DUMMYFUNCTION("""COMPUTED_VALUE"""),"")</f>
        <v/>
      </c>
      <c r="O148" s="4"/>
    </row>
    <row r="149" ht="15.75" customHeight="1">
      <c r="A149" s="19"/>
      <c r="B149" s="17">
        <f>IFERROR(__xludf.DUMMYFUNCTION("""COMPUTED_VALUE"""),46099.0)</f>
        <v>46099</v>
      </c>
      <c r="C149" s="4" t="str">
        <f>IFERROR(__xludf.DUMMYFUNCTION("""COMPUTED_VALUE"""),"株式会社斎藤ｺｰﾎﾟﾚｰｼｮﾝ        代表取締役　齋藤　誠")</f>
        <v>株式会社斎藤ｺｰﾎﾟﾚｰｼｮﾝ        代表取締役　齋藤　誠</v>
      </c>
      <c r="D149" s="19"/>
      <c r="E149" s="4" t="str">
        <f>IFERROR(__xludf.DUMMYFUNCTION("""COMPUTED_VALUE"""),"車販")</f>
        <v>車販</v>
      </c>
      <c r="F149" s="23"/>
      <c r="G149" s="19"/>
      <c r="H149" s="4" t="str">
        <f>IFERROR(__xludf.DUMMYFUNCTION("""COMPUTED_VALUE"""),"要確認")</f>
        <v>要確認</v>
      </c>
      <c r="I149" s="4" t="str">
        <f>IFERROR(__xludf.DUMMYFUNCTION("""COMPUTED_VALUE"""),"振り込み")</f>
        <v>振り込み</v>
      </c>
      <c r="J149" s="17"/>
      <c r="K149" s="23">
        <f>IFERROR(__xludf.DUMMYFUNCTION("""COMPUTED_VALUE"""),0.0)</f>
        <v>0</v>
      </c>
      <c r="L149" s="23" t="str">
        <f>IFERROR(__xludf.DUMMYFUNCTION("""COMPUTED_VALUE"""),"")</f>
        <v/>
      </c>
      <c r="M149" s="4" t="str">
        <f>IFERROR(__xludf.DUMMYFUNCTION("""COMPUTED_VALUE"""),"未入金")</f>
        <v>未入金</v>
      </c>
      <c r="N149" s="19" t="str">
        <f>IFERROR(__xludf.DUMMYFUNCTION("""COMPUTED_VALUE"""),"")</f>
        <v/>
      </c>
      <c r="O149" s="19"/>
    </row>
    <row r="150" ht="15.75" customHeight="1">
      <c r="A150" s="19"/>
      <c r="B150" s="17">
        <f>IFERROR(__xludf.DUMMYFUNCTION("""COMPUTED_VALUE"""),46098.0)</f>
        <v>46098</v>
      </c>
      <c r="C150" s="4" t="str">
        <f>IFERROR(__xludf.DUMMYFUNCTION("""COMPUTED_VALUE"""),"ｶｰｽﾞﾄﾞﾛｯﾌﾟｲﾝ（安西工業様下取）")</f>
        <v>ｶｰｽﾞﾄﾞﾛｯﾌﾟｲﾝ（安西工業様下取）</v>
      </c>
      <c r="D150" s="19"/>
      <c r="E150" s="4" t="str">
        <f>IFERROR(__xludf.DUMMYFUNCTION("""COMPUTED_VALUE"""),"車販")</f>
        <v>車販</v>
      </c>
      <c r="F150" s="23"/>
      <c r="G150" s="19"/>
      <c r="H150" s="4" t="str">
        <f>IFERROR(__xludf.DUMMYFUNCTION("""COMPUTED_VALUE"""),"要確認")</f>
        <v>要確認</v>
      </c>
      <c r="I150" s="19"/>
      <c r="J150" s="17"/>
      <c r="K150" s="23">
        <f>IFERROR(__xludf.DUMMYFUNCTION("""COMPUTED_VALUE"""),0.0)</f>
        <v>0</v>
      </c>
      <c r="L150" s="23" t="str">
        <f>IFERROR(__xludf.DUMMYFUNCTION("""COMPUTED_VALUE"""),"")</f>
        <v/>
      </c>
      <c r="M150" s="4" t="str">
        <f>IFERROR(__xludf.DUMMYFUNCTION("""COMPUTED_VALUE"""),"未入金")</f>
        <v>未入金</v>
      </c>
      <c r="N150" s="19" t="str">
        <f>IFERROR(__xludf.DUMMYFUNCTION("""COMPUTED_VALUE"""),"")</f>
        <v/>
      </c>
      <c r="O150" s="19"/>
    </row>
    <row r="151" ht="15.75" customHeight="1">
      <c r="A151" s="4" t="str">
        <f>IFERROR(__xludf.DUMMYFUNCTION("""COMPUTED_VALUE"""),"SB00024513")</f>
        <v>SB00024513</v>
      </c>
      <c r="B151" s="17">
        <f>IFERROR(__xludf.DUMMYFUNCTION("""COMPUTED_VALUE"""),46097.0)</f>
        <v>46097</v>
      </c>
      <c r="C151" s="4" t="str">
        <f>IFERROR(__xludf.DUMMYFUNCTION("""COMPUTED_VALUE"""),"MTAUTO岡﨑")</f>
        <v>MTAUTO岡﨑</v>
      </c>
      <c r="D151" s="4"/>
      <c r="E151" s="4" t="str">
        <f>IFERROR(__xludf.DUMMYFUNCTION("""COMPUTED_VALUE"""),"一般整備")</f>
        <v>一般整備</v>
      </c>
      <c r="F151" s="23"/>
      <c r="G151" s="4"/>
      <c r="H151" s="4" t="str">
        <f>IFERROR(__xludf.DUMMYFUNCTION("""COMPUTED_VALUE"""),"未照合")</f>
        <v>未照合</v>
      </c>
      <c r="I151" s="4"/>
      <c r="J151" s="17"/>
      <c r="K151" s="23">
        <f>IFERROR(__xludf.DUMMYFUNCTION("""COMPUTED_VALUE"""),0.0)</f>
        <v>0</v>
      </c>
      <c r="L151" s="23" t="str">
        <f>IFERROR(__xludf.DUMMYFUNCTION("""COMPUTED_VALUE"""),"")</f>
        <v/>
      </c>
      <c r="M151" s="4" t="str">
        <f>IFERROR(__xludf.DUMMYFUNCTION("""COMPUTED_VALUE"""),"未入金")</f>
        <v>未入金</v>
      </c>
      <c r="N151" s="4" t="str">
        <f>IFERROR(__xludf.DUMMYFUNCTION("""COMPUTED_VALUE"""),"")</f>
        <v/>
      </c>
      <c r="O151" s="4"/>
    </row>
    <row r="152" ht="15.75" customHeight="1">
      <c r="A152" s="4" t="str">
        <f>IFERROR(__xludf.DUMMYFUNCTION("""COMPUTED_VALUE"""),"SB00024514")</f>
        <v>SB00024514</v>
      </c>
      <c r="B152" s="17">
        <f>IFERROR(__xludf.DUMMYFUNCTION("""COMPUTED_VALUE"""),46097.0)</f>
        <v>46097</v>
      </c>
      <c r="C152" s="4" t="str">
        <f>IFERROR(__xludf.DUMMYFUNCTION("""COMPUTED_VALUE"""),"株式会社　オーバルポート代表取締役 田邉　哲郎")</f>
        <v>株式会社　オーバルポート代表取締役 田邉　哲郎</v>
      </c>
      <c r="D152" s="4" t="str">
        <f>IFERROR(__xludf.DUMMYFUNCTION("""COMPUTED_VALUE"""),"株式会社コンクエスト　ジャガーランドローバー広島")</f>
        <v>株式会社コンクエスト　ジャガーランドローバー広島</v>
      </c>
      <c r="E152" s="4" t="str">
        <f>IFERROR(__xludf.DUMMYFUNCTION("""COMPUTED_VALUE"""),"一般整備")</f>
        <v>一般整備</v>
      </c>
      <c r="F152" s="23"/>
      <c r="G152" s="4"/>
      <c r="H152" s="4" t="str">
        <f>IFERROR(__xludf.DUMMYFUNCTION("""COMPUTED_VALUE"""),"未照合")</f>
        <v>未照合</v>
      </c>
      <c r="I152" s="4"/>
      <c r="J152" s="17"/>
      <c r="K152" s="23">
        <f>IFERROR(__xludf.DUMMYFUNCTION("""COMPUTED_VALUE"""),0.0)</f>
        <v>0</v>
      </c>
      <c r="L152" s="23" t="str">
        <f>IFERROR(__xludf.DUMMYFUNCTION("""COMPUTED_VALUE"""),"")</f>
        <v/>
      </c>
      <c r="M152" s="4" t="str">
        <f>IFERROR(__xludf.DUMMYFUNCTION("""COMPUTED_VALUE"""),"未入金")</f>
        <v>未入金</v>
      </c>
      <c r="N152" s="4" t="str">
        <f>IFERROR(__xludf.DUMMYFUNCTION("""COMPUTED_VALUE"""),"")</f>
        <v/>
      </c>
      <c r="O152" s="4"/>
    </row>
    <row r="153" ht="15.75" customHeight="1">
      <c r="A153" s="4" t="str">
        <f>IFERROR(__xludf.DUMMYFUNCTION("""COMPUTED_VALUE"""),"SB00024515")</f>
        <v>SB00024515</v>
      </c>
      <c r="B153" s="17">
        <f>IFERROR(__xludf.DUMMYFUNCTION("""COMPUTED_VALUE"""),46097.0)</f>
        <v>46097</v>
      </c>
      <c r="C153" s="4" t="str">
        <f>IFERROR(__xludf.DUMMYFUNCTION("""COMPUTED_VALUE"""),"株式会社　オーバルポート代表取締役 田邉　哲郎")</f>
        <v>株式会社　オーバルポート代表取締役 田邉　哲郎</v>
      </c>
      <c r="D153" s="4" t="str">
        <f>IFERROR(__xludf.DUMMYFUNCTION("""COMPUTED_VALUE"""),"株式会社コンクエスト　ジャガーランドローバー広島")</f>
        <v>株式会社コンクエスト　ジャガーランドローバー広島</v>
      </c>
      <c r="E153" s="4" t="str">
        <f>IFERROR(__xludf.DUMMYFUNCTION("""COMPUTED_VALUE"""),"一般整備")</f>
        <v>一般整備</v>
      </c>
      <c r="F153" s="23"/>
      <c r="G153" s="4"/>
      <c r="H153" s="4" t="str">
        <f>IFERROR(__xludf.DUMMYFUNCTION("""COMPUTED_VALUE"""),"未照合")</f>
        <v>未照合</v>
      </c>
      <c r="I153" s="4"/>
      <c r="J153" s="17"/>
      <c r="K153" s="23">
        <f>IFERROR(__xludf.DUMMYFUNCTION("""COMPUTED_VALUE"""),0.0)</f>
        <v>0</v>
      </c>
      <c r="L153" s="23" t="str">
        <f>IFERROR(__xludf.DUMMYFUNCTION("""COMPUTED_VALUE"""),"")</f>
        <v/>
      </c>
      <c r="M153" s="4" t="str">
        <f>IFERROR(__xludf.DUMMYFUNCTION("""COMPUTED_VALUE"""),"未入金")</f>
        <v>未入金</v>
      </c>
      <c r="N153" s="4" t="str">
        <f>IFERROR(__xludf.DUMMYFUNCTION("""COMPUTED_VALUE"""),"")</f>
        <v/>
      </c>
      <c r="O153" s="4"/>
    </row>
    <row r="154" ht="15.75" customHeight="1">
      <c r="A154" s="19"/>
      <c r="B154" s="17">
        <f>IFERROR(__xludf.DUMMYFUNCTION("""COMPUTED_VALUE"""),46097.0)</f>
        <v>46097</v>
      </c>
      <c r="C154" s="4" t="str">
        <f>IFERROR(__xludf.DUMMYFUNCTION("""COMPUTED_VALUE"""),"吉野幸美")</f>
        <v>吉野幸美</v>
      </c>
      <c r="D154" s="19"/>
      <c r="E154" s="4" t="str">
        <f>IFERROR(__xludf.DUMMYFUNCTION("""COMPUTED_VALUE"""),"車販")</f>
        <v>車販</v>
      </c>
      <c r="F154" s="23"/>
      <c r="G154" s="19"/>
      <c r="H154" s="4" t="str">
        <f>IFERROR(__xludf.DUMMYFUNCTION("""COMPUTED_VALUE"""),"未照合")</f>
        <v>未照合</v>
      </c>
      <c r="I154" s="19"/>
      <c r="J154" s="17"/>
      <c r="K154" s="23">
        <f>IFERROR(__xludf.DUMMYFUNCTION("""COMPUTED_VALUE"""),0.0)</f>
        <v>0</v>
      </c>
      <c r="L154" s="23" t="str">
        <f>IFERROR(__xludf.DUMMYFUNCTION("""COMPUTED_VALUE"""),"")</f>
        <v/>
      </c>
      <c r="M154" s="4" t="str">
        <f>IFERROR(__xludf.DUMMYFUNCTION("""COMPUTED_VALUE"""),"未入金")</f>
        <v>未入金</v>
      </c>
      <c r="N154" s="19" t="str">
        <f>IFERROR(__xludf.DUMMYFUNCTION("""COMPUTED_VALUE"""),"")</f>
        <v/>
      </c>
      <c r="O154" s="19"/>
    </row>
    <row r="155" ht="15.75" customHeight="1">
      <c r="A155" s="4" t="str">
        <f>IFERROR(__xludf.DUMMYFUNCTION("""COMPUTED_VALUE"""),"SB00007550")</f>
        <v>SB00007550</v>
      </c>
      <c r="B155" s="17">
        <f>IFERROR(__xludf.DUMMYFUNCTION("""COMPUTED_VALUE"""),46097.0)</f>
        <v>46097</v>
      </c>
      <c r="C155" s="4" t="str">
        <f>IFERROR(__xludf.DUMMYFUNCTION("""COMPUTED_VALUE"""),"福間商事株式会社")</f>
        <v>福間商事株式会社</v>
      </c>
      <c r="D155" s="4" t="str">
        <f>IFERROR(__xludf.DUMMYFUNCTION("""COMPUTED_VALUE"""),"有限会社 ベルリーナ")</f>
        <v>有限会社 ベルリーナ</v>
      </c>
      <c r="E155" s="4" t="str">
        <f>IFERROR(__xludf.DUMMYFUNCTION("""COMPUTED_VALUE"""),"一般整備")</f>
        <v>一般整備</v>
      </c>
      <c r="F155" s="23"/>
      <c r="G155" s="19"/>
      <c r="H155" s="4" t="str">
        <f>IFERROR(__xludf.DUMMYFUNCTION("""COMPUTED_VALUE"""),"未照合")</f>
        <v>未照合</v>
      </c>
      <c r="I155" s="19"/>
      <c r="J155" s="17"/>
      <c r="K155" s="23">
        <f>IFERROR(__xludf.DUMMYFUNCTION("""COMPUTED_VALUE"""),0.0)</f>
        <v>0</v>
      </c>
      <c r="L155" s="23" t="str">
        <f>IFERROR(__xludf.DUMMYFUNCTION("""COMPUTED_VALUE"""),"")</f>
        <v/>
      </c>
      <c r="M155" s="4" t="str">
        <f>IFERROR(__xludf.DUMMYFUNCTION("""COMPUTED_VALUE"""),"未入金")</f>
        <v>未入金</v>
      </c>
      <c r="N155" s="19" t="str">
        <f>IFERROR(__xludf.DUMMYFUNCTION("""COMPUTED_VALUE"""),"")</f>
        <v/>
      </c>
      <c r="O155" s="19"/>
    </row>
    <row r="156" ht="15.75" customHeight="1">
      <c r="A156" s="4" t="str">
        <f>IFERROR(__xludf.DUMMYFUNCTION("""COMPUTED_VALUE"""),"SB00007551")</f>
        <v>SB00007551</v>
      </c>
      <c r="B156" s="17">
        <f>IFERROR(__xludf.DUMMYFUNCTION("""COMPUTED_VALUE"""),46096.0)</f>
        <v>46096</v>
      </c>
      <c r="C156" s="4" t="str">
        <f>IFERROR(__xludf.DUMMYFUNCTION("""COMPUTED_VALUE"""),"内藤 伸明")</f>
        <v>内藤 伸明</v>
      </c>
      <c r="D156" s="19"/>
      <c r="E156" s="4" t="str">
        <f>IFERROR(__xludf.DUMMYFUNCTION("""COMPUTED_VALUE"""),"一般整備")</f>
        <v>一般整備</v>
      </c>
      <c r="F156" s="23"/>
      <c r="G156" s="19"/>
      <c r="H156" s="4" t="str">
        <f>IFERROR(__xludf.DUMMYFUNCTION("""COMPUTED_VALUE"""),"未照合")</f>
        <v>未照合</v>
      </c>
      <c r="I156" s="19"/>
      <c r="J156" s="17"/>
      <c r="K156" s="23">
        <f>IFERROR(__xludf.DUMMYFUNCTION("""COMPUTED_VALUE"""),0.0)</f>
        <v>0</v>
      </c>
      <c r="L156" s="23" t="str">
        <f>IFERROR(__xludf.DUMMYFUNCTION("""COMPUTED_VALUE"""),"")</f>
        <v/>
      </c>
      <c r="M156" s="4" t="str">
        <f>IFERROR(__xludf.DUMMYFUNCTION("""COMPUTED_VALUE"""),"未入金")</f>
        <v>未入金</v>
      </c>
      <c r="N156" s="19" t="str">
        <f>IFERROR(__xludf.DUMMYFUNCTION("""COMPUTED_VALUE"""),"")</f>
        <v/>
      </c>
      <c r="O156" s="19"/>
    </row>
    <row r="157" ht="15.75" customHeight="1">
      <c r="A157" s="4" t="str">
        <f>IFERROR(__xludf.DUMMYFUNCTION("""COMPUTED_VALUE"""),"SB00024499")</f>
        <v>SB00024499</v>
      </c>
      <c r="B157" s="17">
        <f>IFERROR(__xludf.DUMMYFUNCTION("""COMPUTED_VALUE"""),46095.0)</f>
        <v>46095</v>
      </c>
      <c r="C157" s="4" t="str">
        <f>IFERROR(__xludf.DUMMYFUNCTION("""COMPUTED_VALUE"""),"株式会社　マングローブ代表取締役　児玉 満樹")</f>
        <v>株式会社　マングローブ代表取締役　児玉 満樹</v>
      </c>
      <c r="D157" s="4" t="str">
        <f>IFERROR(__xludf.DUMMYFUNCTION("""COMPUTED_VALUE"""),"株式会社コンクエスト　ジャガーランドローバー広島")</f>
        <v>株式会社コンクエスト　ジャガーランドローバー広島</v>
      </c>
      <c r="E157" s="4" t="str">
        <f>IFERROR(__xludf.DUMMYFUNCTION("""COMPUTED_VALUE"""),"一般整備")</f>
        <v>一般整備</v>
      </c>
      <c r="F157" s="23"/>
      <c r="G157" s="4"/>
      <c r="H157" s="4" t="str">
        <f>IFERROR(__xludf.DUMMYFUNCTION("""COMPUTED_VALUE"""),"未照合")</f>
        <v>未照合</v>
      </c>
      <c r="I157" s="4"/>
      <c r="J157" s="17"/>
      <c r="K157" s="23">
        <f>IFERROR(__xludf.DUMMYFUNCTION("""COMPUTED_VALUE"""),0.0)</f>
        <v>0</v>
      </c>
      <c r="L157" s="23" t="str">
        <f>IFERROR(__xludf.DUMMYFUNCTION("""COMPUTED_VALUE"""),"")</f>
        <v/>
      </c>
      <c r="M157" s="4" t="str">
        <f>IFERROR(__xludf.DUMMYFUNCTION("""COMPUTED_VALUE"""),"未入金")</f>
        <v>未入金</v>
      </c>
      <c r="N157" s="4" t="str">
        <f>IFERROR(__xludf.DUMMYFUNCTION("""COMPUTED_VALUE"""),"")</f>
        <v/>
      </c>
      <c r="O157" s="4"/>
    </row>
    <row r="158" ht="15.75" customHeight="1">
      <c r="A158" s="4" t="str">
        <f>IFERROR(__xludf.DUMMYFUNCTION("""COMPUTED_VALUE"""),"SB00007554")</f>
        <v>SB00007554</v>
      </c>
      <c r="B158" s="17">
        <f>IFERROR(__xludf.DUMMYFUNCTION("""COMPUTED_VALUE"""),46095.0)</f>
        <v>46095</v>
      </c>
      <c r="C158" s="4" t="str">
        <f>IFERROR(__xludf.DUMMYFUNCTION("""COMPUTED_VALUE"""),"有限会社 万歩書店代表取締役 金")</f>
        <v>有限会社 万歩書店代表取締役 金</v>
      </c>
      <c r="D158" s="19"/>
      <c r="E158" s="4" t="str">
        <f>IFERROR(__xludf.DUMMYFUNCTION("""COMPUTED_VALUE"""),"定期点検")</f>
        <v>定期点検</v>
      </c>
      <c r="F158" s="23"/>
      <c r="G158" s="19"/>
      <c r="H158" s="4" t="str">
        <f>IFERROR(__xludf.DUMMYFUNCTION("""COMPUTED_VALUE"""),"未照合")</f>
        <v>未照合</v>
      </c>
      <c r="I158" s="19"/>
      <c r="J158" s="17"/>
      <c r="K158" s="23">
        <f>IFERROR(__xludf.DUMMYFUNCTION("""COMPUTED_VALUE"""),0.0)</f>
        <v>0</v>
      </c>
      <c r="L158" s="23" t="str">
        <f>IFERROR(__xludf.DUMMYFUNCTION("""COMPUTED_VALUE"""),"")</f>
        <v/>
      </c>
      <c r="M158" s="4" t="str">
        <f>IFERROR(__xludf.DUMMYFUNCTION("""COMPUTED_VALUE"""),"未入金")</f>
        <v>未入金</v>
      </c>
      <c r="N158" s="19" t="str">
        <f>IFERROR(__xludf.DUMMYFUNCTION("""COMPUTED_VALUE"""),"")</f>
        <v/>
      </c>
      <c r="O158" s="19"/>
    </row>
    <row r="159" ht="15.75" customHeight="1">
      <c r="A159" s="4" t="str">
        <f>IFERROR(__xludf.DUMMYFUNCTION("""COMPUTED_VALUE"""),"SB00024427")</f>
        <v>SB00024427</v>
      </c>
      <c r="B159" s="17">
        <f>IFERROR(__xludf.DUMMYFUNCTION("""COMPUTED_VALUE"""),46094.0)</f>
        <v>46094</v>
      </c>
      <c r="C159" s="4" t="str">
        <f>IFERROR(__xludf.DUMMYFUNCTION("""COMPUTED_VALUE"""),"有限会社　出雲ﾓｰﾀｰ商会")</f>
        <v>有限会社　出雲ﾓｰﾀｰ商会</v>
      </c>
      <c r="D159" s="4"/>
      <c r="E159" s="4" t="str">
        <f>IFERROR(__xludf.DUMMYFUNCTION("""COMPUTED_VALUE"""),"一般整備")</f>
        <v>一般整備</v>
      </c>
      <c r="F159" s="23"/>
      <c r="G159" s="4"/>
      <c r="H159" s="4" t="str">
        <f>IFERROR(__xludf.DUMMYFUNCTION("""COMPUTED_VALUE"""),"未照合")</f>
        <v>未照合</v>
      </c>
      <c r="I159" s="4"/>
      <c r="J159" s="17"/>
      <c r="K159" s="23">
        <f>IFERROR(__xludf.DUMMYFUNCTION("""COMPUTED_VALUE"""),0.0)</f>
        <v>0</v>
      </c>
      <c r="L159" s="23" t="str">
        <f>IFERROR(__xludf.DUMMYFUNCTION("""COMPUTED_VALUE"""),"")</f>
        <v/>
      </c>
      <c r="M159" s="4" t="str">
        <f>IFERROR(__xludf.DUMMYFUNCTION("""COMPUTED_VALUE"""),"未入金")</f>
        <v>未入金</v>
      </c>
      <c r="N159" s="4" t="str">
        <f>IFERROR(__xludf.DUMMYFUNCTION("""COMPUTED_VALUE"""),"")</f>
        <v/>
      </c>
      <c r="O159" s="4"/>
    </row>
    <row r="160" ht="15.75" customHeight="1">
      <c r="A160" s="4" t="str">
        <f>IFERROR(__xludf.DUMMYFUNCTION("""COMPUTED_VALUE"""),"SB00024431")</f>
        <v>SB00024431</v>
      </c>
      <c r="B160" s="17">
        <f>IFERROR(__xludf.DUMMYFUNCTION("""COMPUTED_VALUE"""),46094.0)</f>
        <v>46094</v>
      </c>
      <c r="C160" s="4" t="str">
        <f>IFERROR(__xludf.DUMMYFUNCTION("""COMPUTED_VALUE"""),"株式会社 ｱｸｾ代表取締役 　高垣　 圭一朗")</f>
        <v>株式会社 ｱｸｾ代表取締役 　高垣　 圭一朗</v>
      </c>
      <c r="D160" s="4"/>
      <c r="E160" s="4" t="str">
        <f>IFERROR(__xludf.DUMMYFUNCTION("""COMPUTED_VALUE"""),"車検")</f>
        <v>車検</v>
      </c>
      <c r="F160" s="23"/>
      <c r="G160" s="4"/>
      <c r="H160" s="4" t="str">
        <f>IFERROR(__xludf.DUMMYFUNCTION("""COMPUTED_VALUE"""),"要確認")</f>
        <v>要確認</v>
      </c>
      <c r="I160" s="4"/>
      <c r="J160" s="17"/>
      <c r="K160" s="23">
        <f>IFERROR(__xludf.DUMMYFUNCTION("""COMPUTED_VALUE"""),0.0)</f>
        <v>0</v>
      </c>
      <c r="L160" s="23" t="str">
        <f>IFERROR(__xludf.DUMMYFUNCTION("""COMPUTED_VALUE"""),"")</f>
        <v/>
      </c>
      <c r="M160" s="4" t="str">
        <f>IFERROR(__xludf.DUMMYFUNCTION("""COMPUTED_VALUE"""),"未入金")</f>
        <v>未入金</v>
      </c>
      <c r="N160" s="4" t="str">
        <f>IFERROR(__xludf.DUMMYFUNCTION("""COMPUTED_VALUE"""),"")</f>
        <v/>
      </c>
      <c r="O160" s="4"/>
    </row>
    <row r="161" ht="15.75" customHeight="1">
      <c r="A161" s="4" t="str">
        <f>IFERROR(__xludf.DUMMYFUNCTION("""COMPUTED_VALUE"""),"SB00024451")</f>
        <v>SB00024451</v>
      </c>
      <c r="B161" s="17">
        <f>IFERROR(__xludf.DUMMYFUNCTION("""COMPUTED_VALUE"""),46094.0)</f>
        <v>46094</v>
      </c>
      <c r="C161" s="4" t="str">
        <f>IFERROR(__xludf.DUMMYFUNCTION("""COMPUTED_VALUE"""),"田邊　泰子")</f>
        <v>田邊　泰子</v>
      </c>
      <c r="D161" s="4"/>
      <c r="E161" s="4" t="str">
        <f>IFERROR(__xludf.DUMMYFUNCTION("""COMPUTED_VALUE"""),"車検")</f>
        <v>車検</v>
      </c>
      <c r="F161" s="23"/>
      <c r="G161" s="4"/>
      <c r="H161" s="4" t="str">
        <f>IFERROR(__xludf.DUMMYFUNCTION("""COMPUTED_VALUE"""),"未照合")</f>
        <v>未照合</v>
      </c>
      <c r="I161" s="4"/>
      <c r="J161" s="17"/>
      <c r="K161" s="23">
        <f>IFERROR(__xludf.DUMMYFUNCTION("""COMPUTED_VALUE"""),0.0)</f>
        <v>0</v>
      </c>
      <c r="L161" s="23" t="str">
        <f>IFERROR(__xludf.DUMMYFUNCTION("""COMPUTED_VALUE"""),"")</f>
        <v/>
      </c>
      <c r="M161" s="4" t="str">
        <f>IFERROR(__xludf.DUMMYFUNCTION("""COMPUTED_VALUE"""),"未入金")</f>
        <v>未入金</v>
      </c>
      <c r="N161" s="4" t="str">
        <f>IFERROR(__xludf.DUMMYFUNCTION("""COMPUTED_VALUE"""),"")</f>
        <v/>
      </c>
      <c r="O161" s="4"/>
    </row>
    <row r="162" ht="15.75" customHeight="1">
      <c r="A162" s="4" t="str">
        <f>IFERROR(__xludf.DUMMYFUNCTION("""COMPUTED_VALUE"""),"SB00024481")</f>
        <v>SB00024481</v>
      </c>
      <c r="B162" s="17">
        <f>IFERROR(__xludf.DUMMYFUNCTION("""COMPUTED_VALUE"""),46094.0)</f>
        <v>46094</v>
      </c>
      <c r="C162" s="4" t="str">
        <f>IFERROR(__xludf.DUMMYFUNCTION("""COMPUTED_VALUE"""),"寺岡 紫")</f>
        <v>寺岡 紫</v>
      </c>
      <c r="D162" s="4"/>
      <c r="E162" s="4" t="str">
        <f>IFERROR(__xludf.DUMMYFUNCTION("""COMPUTED_VALUE"""),"車検")</f>
        <v>車検</v>
      </c>
      <c r="F162" s="23"/>
      <c r="G162" s="4"/>
      <c r="H162" s="4" t="str">
        <f>IFERROR(__xludf.DUMMYFUNCTION("""COMPUTED_VALUE"""),"未照合")</f>
        <v>未照合</v>
      </c>
      <c r="I162" s="4"/>
      <c r="J162" s="17"/>
      <c r="K162" s="23">
        <f>IFERROR(__xludf.DUMMYFUNCTION("""COMPUTED_VALUE"""),0.0)</f>
        <v>0</v>
      </c>
      <c r="L162" s="23" t="str">
        <f>IFERROR(__xludf.DUMMYFUNCTION("""COMPUTED_VALUE"""),"")</f>
        <v/>
      </c>
      <c r="M162" s="4" t="str">
        <f>IFERROR(__xludf.DUMMYFUNCTION("""COMPUTED_VALUE"""),"未入金")</f>
        <v>未入金</v>
      </c>
      <c r="N162" s="4" t="str">
        <f>IFERROR(__xludf.DUMMYFUNCTION("""COMPUTED_VALUE"""),"")</f>
        <v/>
      </c>
      <c r="O162" s="4"/>
    </row>
    <row r="163" ht="15.75" customHeight="1">
      <c r="A163" s="4" t="str">
        <f>IFERROR(__xludf.DUMMYFUNCTION("""COMPUTED_VALUE"""),"SB00024482")</f>
        <v>SB00024482</v>
      </c>
      <c r="B163" s="17">
        <f>IFERROR(__xludf.DUMMYFUNCTION("""COMPUTED_VALUE"""),46094.0)</f>
        <v>46094</v>
      </c>
      <c r="C163" s="4" t="str">
        <f>IFERROR(__xludf.DUMMYFUNCTION("""COMPUTED_VALUE"""),"田邊　泰子")</f>
        <v>田邊　泰子</v>
      </c>
      <c r="D163" s="4" t="str">
        <f>IFERROR(__xludf.DUMMYFUNCTION("""COMPUTED_VALUE"""),"株式会社コンクエスト　ジャガーランドローバー広島")</f>
        <v>株式会社コンクエスト　ジャガーランドローバー広島</v>
      </c>
      <c r="E163" s="4" t="str">
        <f>IFERROR(__xludf.DUMMYFUNCTION("""COMPUTED_VALUE"""),"一般整備")</f>
        <v>一般整備</v>
      </c>
      <c r="F163" s="23"/>
      <c r="G163" s="4"/>
      <c r="H163" s="4" t="str">
        <f>IFERROR(__xludf.DUMMYFUNCTION("""COMPUTED_VALUE"""),"未照合")</f>
        <v>未照合</v>
      </c>
      <c r="I163" s="4"/>
      <c r="J163" s="17"/>
      <c r="K163" s="23">
        <f>IFERROR(__xludf.DUMMYFUNCTION("""COMPUTED_VALUE"""),0.0)</f>
        <v>0</v>
      </c>
      <c r="L163" s="23" t="str">
        <f>IFERROR(__xludf.DUMMYFUNCTION("""COMPUTED_VALUE"""),"")</f>
        <v/>
      </c>
      <c r="M163" s="4" t="str">
        <f>IFERROR(__xludf.DUMMYFUNCTION("""COMPUTED_VALUE"""),"未入金")</f>
        <v>未入金</v>
      </c>
      <c r="N163" s="4" t="str">
        <f>IFERROR(__xludf.DUMMYFUNCTION("""COMPUTED_VALUE"""),"")</f>
        <v/>
      </c>
      <c r="O163" s="4"/>
    </row>
    <row r="164" ht="15.75" customHeight="1">
      <c r="A164" s="4" t="str">
        <f>IFERROR(__xludf.DUMMYFUNCTION("""COMPUTED_VALUE"""),"SB00024483")</f>
        <v>SB00024483</v>
      </c>
      <c r="B164" s="17">
        <f>IFERROR(__xludf.DUMMYFUNCTION("""COMPUTED_VALUE"""),46094.0)</f>
        <v>46094</v>
      </c>
      <c r="C164" s="4" t="str">
        <f>IFERROR(__xludf.DUMMYFUNCTION("""COMPUTED_VALUE"""),"田邊　泰子")</f>
        <v>田邊　泰子</v>
      </c>
      <c r="D164" s="4" t="str">
        <f>IFERROR(__xludf.DUMMYFUNCTION("""COMPUTED_VALUE"""),"株式会社コンクエスト　ジャガーランドローバー広島")</f>
        <v>株式会社コンクエスト　ジャガーランドローバー広島</v>
      </c>
      <c r="E164" s="4" t="str">
        <f>IFERROR(__xludf.DUMMYFUNCTION("""COMPUTED_VALUE"""),"一般整備")</f>
        <v>一般整備</v>
      </c>
      <c r="F164" s="23"/>
      <c r="G164" s="4"/>
      <c r="H164" s="4" t="str">
        <f>IFERROR(__xludf.DUMMYFUNCTION("""COMPUTED_VALUE"""),"未照合")</f>
        <v>未照合</v>
      </c>
      <c r="I164" s="4"/>
      <c r="J164" s="17"/>
      <c r="K164" s="23">
        <f>IFERROR(__xludf.DUMMYFUNCTION("""COMPUTED_VALUE"""),0.0)</f>
        <v>0</v>
      </c>
      <c r="L164" s="23" t="str">
        <f>IFERROR(__xludf.DUMMYFUNCTION("""COMPUTED_VALUE"""),"")</f>
        <v/>
      </c>
      <c r="M164" s="4" t="str">
        <f>IFERROR(__xludf.DUMMYFUNCTION("""COMPUTED_VALUE"""),"未入金")</f>
        <v>未入金</v>
      </c>
      <c r="N164" s="4" t="str">
        <f>IFERROR(__xludf.DUMMYFUNCTION("""COMPUTED_VALUE"""),"")</f>
        <v/>
      </c>
      <c r="O164" s="4"/>
    </row>
    <row r="165" ht="15.75" customHeight="1">
      <c r="A165" s="4" t="str">
        <f>IFERROR(__xludf.DUMMYFUNCTION("""COMPUTED_VALUE"""),"SB00024510")</f>
        <v>SB00024510</v>
      </c>
      <c r="B165" s="17">
        <f>IFERROR(__xludf.DUMMYFUNCTION("""COMPUTED_VALUE"""),46094.0)</f>
        <v>46094</v>
      </c>
      <c r="C165" s="4" t="str">
        <f>IFERROR(__xludf.DUMMYFUNCTION("""COMPUTED_VALUE"""),"株式会社　円福寺代表取締役社長　円福寺雅之")</f>
        <v>株式会社　円福寺代表取締役社長　円福寺雅之</v>
      </c>
      <c r="D165" s="4"/>
      <c r="E165" s="4" t="str">
        <f>IFERROR(__xludf.DUMMYFUNCTION("""COMPUTED_VALUE"""),"一般整備")</f>
        <v>一般整備</v>
      </c>
      <c r="F165" s="23"/>
      <c r="G165" s="4"/>
      <c r="H165" s="4" t="str">
        <f>IFERROR(__xludf.DUMMYFUNCTION("""COMPUTED_VALUE"""),"自動消込")</f>
        <v>自動消込</v>
      </c>
      <c r="I165" s="4" t="str">
        <f>IFERROR(__xludf.DUMMYFUNCTION("""COMPUTED_VALUE"""),"振り込み")</f>
        <v>振り込み</v>
      </c>
      <c r="J165" s="17"/>
      <c r="K165" s="23">
        <f>IFERROR(__xludf.DUMMYFUNCTION("""COMPUTED_VALUE"""),3850.0)</f>
        <v>3850</v>
      </c>
      <c r="L165" s="23">
        <f>IFERROR(__xludf.DUMMYFUNCTION("""COMPUTED_VALUE"""),0.0)</f>
        <v>0</v>
      </c>
      <c r="M165" s="4" t="str">
        <f>IFERROR(__xludf.DUMMYFUNCTION("""COMPUTED_VALUE"""),"入金済")</f>
        <v>入金済</v>
      </c>
      <c r="N165" s="4"/>
      <c r="O165" s="4" t="str">
        <f>IFERROR(__xludf.DUMMYFUNCTION("""COMPUTED_VALUE"""),"銀行入金 2026/04/30 3,850")</f>
        <v>銀行入金 2026/04/30 3,850</v>
      </c>
    </row>
    <row r="166" ht="15.75" customHeight="1">
      <c r="A166" s="4" t="str">
        <f>IFERROR(__xludf.DUMMYFUNCTION("""COMPUTED_VALUE"""),"SB00024511")</f>
        <v>SB00024511</v>
      </c>
      <c r="B166" s="17">
        <f>IFERROR(__xludf.DUMMYFUNCTION("""COMPUTED_VALUE"""),46094.0)</f>
        <v>46094</v>
      </c>
      <c r="C166" s="4" t="str">
        <f>IFERROR(__xludf.DUMMYFUNCTION("""COMPUTED_VALUE"""),"株式会社　円福寺代表取締役社長　円福寺雅之")</f>
        <v>株式会社　円福寺代表取締役社長　円福寺雅之</v>
      </c>
      <c r="D166" s="4"/>
      <c r="E166" s="4" t="str">
        <f>IFERROR(__xludf.DUMMYFUNCTION("""COMPUTED_VALUE"""),"一般整備")</f>
        <v>一般整備</v>
      </c>
      <c r="F166" s="23"/>
      <c r="G166" s="4"/>
      <c r="H166" s="4" t="str">
        <f>IFERROR(__xludf.DUMMYFUNCTION("""COMPUTED_VALUE"""),"要確認")</f>
        <v>要確認</v>
      </c>
      <c r="I166" s="4"/>
      <c r="J166" s="17"/>
      <c r="K166" s="23">
        <f>IFERROR(__xludf.DUMMYFUNCTION("""COMPUTED_VALUE"""),0.0)</f>
        <v>0</v>
      </c>
      <c r="L166" s="23" t="str">
        <f>IFERROR(__xludf.DUMMYFUNCTION("""COMPUTED_VALUE"""),"")</f>
        <v/>
      </c>
      <c r="M166" s="4" t="str">
        <f>IFERROR(__xludf.DUMMYFUNCTION("""COMPUTED_VALUE"""),"未入金")</f>
        <v>未入金</v>
      </c>
      <c r="N166" s="19" t="str">
        <f>IFERROR(__xludf.DUMMYFUNCTION("""COMPUTED_VALUE"""),"")</f>
        <v/>
      </c>
      <c r="O166" s="4"/>
    </row>
    <row r="167" ht="15.75" customHeight="1">
      <c r="A167" s="4" t="str">
        <f>IFERROR(__xludf.DUMMYFUNCTION("""COMPUTED_VALUE"""),"SB00024512")</f>
        <v>SB00024512</v>
      </c>
      <c r="B167" s="17">
        <f>IFERROR(__xludf.DUMMYFUNCTION("""COMPUTED_VALUE"""),46094.0)</f>
        <v>46094</v>
      </c>
      <c r="C167" s="4"/>
      <c r="D167" s="19"/>
      <c r="E167" s="4" t="str">
        <f>IFERROR(__xludf.DUMMYFUNCTION("""COMPUTED_VALUE"""),"新納点A-①")</f>
        <v>新納点A-①</v>
      </c>
      <c r="F167" s="23"/>
      <c r="G167" s="4"/>
      <c r="H167" s="4" t="str">
        <f>IFERROR(__xludf.DUMMYFUNCTION("""COMPUTED_VALUE"""),"未照合")</f>
        <v>未照合</v>
      </c>
      <c r="I167" s="4"/>
      <c r="J167" s="17"/>
      <c r="K167" s="23">
        <f>IFERROR(__xludf.DUMMYFUNCTION("""COMPUTED_VALUE"""),0.0)</f>
        <v>0</v>
      </c>
      <c r="L167" s="23" t="str">
        <f>IFERROR(__xludf.DUMMYFUNCTION("""COMPUTED_VALUE"""),"")</f>
        <v/>
      </c>
      <c r="M167" s="4" t="str">
        <f>IFERROR(__xludf.DUMMYFUNCTION("""COMPUTED_VALUE"""),"未入金")</f>
        <v>未入金</v>
      </c>
      <c r="N167" s="4" t="str">
        <f>IFERROR(__xludf.DUMMYFUNCTION("""COMPUTED_VALUE"""),"")</f>
        <v/>
      </c>
      <c r="O167" s="4"/>
    </row>
    <row r="168" ht="15.75" customHeight="1">
      <c r="A168" s="4" t="str">
        <f>IFERROR(__xludf.DUMMYFUNCTION("""COMPUTED_VALUE"""),"SB00007553")</f>
        <v>SB00007553</v>
      </c>
      <c r="B168" s="17">
        <f>IFERROR(__xludf.DUMMYFUNCTION("""COMPUTED_VALUE"""),46094.0)</f>
        <v>46094</v>
      </c>
      <c r="C168" s="4" t="str">
        <f>IFERROR(__xludf.DUMMYFUNCTION("""COMPUTED_VALUE"""),"有限会社 清水自動車ガラス福山")</f>
        <v>有限会社 清水自動車ガラス福山</v>
      </c>
      <c r="D168" s="19"/>
      <c r="E168" s="4" t="str">
        <f>IFERROR(__xludf.DUMMYFUNCTION("""COMPUTED_VALUE"""),"一般整備")</f>
        <v>一般整備</v>
      </c>
      <c r="F168" s="23"/>
      <c r="G168" s="19"/>
      <c r="H168" s="4" t="str">
        <f>IFERROR(__xludf.DUMMYFUNCTION("""COMPUTED_VALUE"""),"要確認")</f>
        <v>要確認</v>
      </c>
      <c r="I168" s="19"/>
      <c r="J168" s="17"/>
      <c r="K168" s="23">
        <f>IFERROR(__xludf.DUMMYFUNCTION("""COMPUTED_VALUE"""),0.0)</f>
        <v>0</v>
      </c>
      <c r="L168" s="23" t="str">
        <f>IFERROR(__xludf.DUMMYFUNCTION("""COMPUTED_VALUE"""),"")</f>
        <v/>
      </c>
      <c r="M168" s="4" t="str">
        <f>IFERROR(__xludf.DUMMYFUNCTION("""COMPUTED_VALUE"""),"未入金")</f>
        <v>未入金</v>
      </c>
      <c r="N168" s="19" t="str">
        <f>IFERROR(__xludf.DUMMYFUNCTION("""COMPUTED_VALUE"""),"")</f>
        <v/>
      </c>
      <c r="O168" s="19"/>
    </row>
    <row r="169" ht="15.75" customHeight="1">
      <c r="A169" s="4" t="str">
        <f>IFERROR(__xludf.DUMMYFUNCTION("""COMPUTED_VALUE"""),"SB00024486")</f>
        <v>SB00024486</v>
      </c>
      <c r="B169" s="17">
        <f>IFERROR(__xludf.DUMMYFUNCTION("""COMPUTED_VALUE"""),46093.0)</f>
        <v>46093</v>
      </c>
      <c r="C169" s="4" t="str">
        <f>IFERROR(__xludf.DUMMYFUNCTION("""COMPUTED_VALUE"""),"株式会社 ｳｪﾙﾃｯｸ代表取締役　 山本 裕子")</f>
        <v>株式会社 ｳｪﾙﾃｯｸ代表取締役　 山本 裕子</v>
      </c>
      <c r="D169" s="4"/>
      <c r="E169" s="4" t="str">
        <f>IFERROR(__xludf.DUMMYFUNCTION("""COMPUTED_VALUE"""),"点検")</f>
        <v>点検</v>
      </c>
      <c r="F169" s="23"/>
      <c r="G169" s="4"/>
      <c r="H169" s="4" t="str">
        <f>IFERROR(__xludf.DUMMYFUNCTION("""COMPUTED_VALUE"""),"自動消込")</f>
        <v>自動消込</v>
      </c>
      <c r="I169" s="4" t="str">
        <f>IFERROR(__xludf.DUMMYFUNCTION("""COMPUTED_VALUE"""),"振り込み")</f>
        <v>振り込み</v>
      </c>
      <c r="J169" s="17"/>
      <c r="K169" s="23">
        <f>IFERROR(__xludf.DUMMYFUNCTION("""COMPUTED_VALUE"""),0.0)</f>
        <v>0</v>
      </c>
      <c r="L169" s="23" t="str">
        <f>IFERROR(__xludf.DUMMYFUNCTION("""COMPUTED_VALUE"""),"")</f>
        <v/>
      </c>
      <c r="M169" s="4" t="str">
        <f>IFERROR(__xludf.DUMMYFUNCTION("""COMPUTED_VALUE"""),"入金済")</f>
        <v>入金済</v>
      </c>
      <c r="N169" s="4" t="str">
        <f>IFERROR(__xludf.DUMMYFUNCTION("""COMPUTED_VALUE"""),"")</f>
        <v/>
      </c>
      <c r="O169" s="4"/>
    </row>
    <row r="170" ht="15.75" customHeight="1">
      <c r="A170" s="4" t="str">
        <f>IFERROR(__xludf.DUMMYFUNCTION("""COMPUTED_VALUE"""),"SB00024506")</f>
        <v>SB00024506</v>
      </c>
      <c r="B170" s="17">
        <f>IFERROR(__xludf.DUMMYFUNCTION("""COMPUTED_VALUE"""),46093.0)</f>
        <v>46093</v>
      </c>
      <c r="C170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170" s="4" t="str">
        <f>IFERROR(__xludf.DUMMYFUNCTION("""COMPUTED_VALUE"""),"キムラユニティー株式会社メンテ管理課")</f>
        <v>キムラユニティー株式会社メンテ管理課</v>
      </c>
      <c r="E170" s="4" t="str">
        <f>IFERROR(__xludf.DUMMYFUNCTION("""COMPUTED_VALUE"""),"一般整備")</f>
        <v>一般整備</v>
      </c>
      <c r="F170" s="23"/>
      <c r="G170" s="4"/>
      <c r="H170" s="4" t="str">
        <f>IFERROR(__xludf.DUMMYFUNCTION("""COMPUTED_VALUE"""),"未照合")</f>
        <v>未照合</v>
      </c>
      <c r="I170" s="4"/>
      <c r="J170" s="17"/>
      <c r="K170" s="23">
        <f>IFERROR(__xludf.DUMMYFUNCTION("""COMPUTED_VALUE"""),0.0)</f>
        <v>0</v>
      </c>
      <c r="L170" s="23" t="str">
        <f>IFERROR(__xludf.DUMMYFUNCTION("""COMPUTED_VALUE"""),"")</f>
        <v/>
      </c>
      <c r="M170" s="4" t="str">
        <f>IFERROR(__xludf.DUMMYFUNCTION("""COMPUTED_VALUE"""),"未入金")</f>
        <v>未入金</v>
      </c>
      <c r="N170" s="4" t="str">
        <f>IFERROR(__xludf.DUMMYFUNCTION("""COMPUTED_VALUE"""),"")</f>
        <v/>
      </c>
      <c r="O170" s="4"/>
    </row>
    <row r="171" ht="15.75" customHeight="1">
      <c r="A171" s="4" t="str">
        <f>IFERROR(__xludf.DUMMYFUNCTION("""COMPUTED_VALUE"""),"SB00024508")</f>
        <v>SB00024508</v>
      </c>
      <c r="B171" s="17">
        <f>IFERROR(__xludf.DUMMYFUNCTION("""COMPUTED_VALUE"""),46093.0)</f>
        <v>46093</v>
      </c>
      <c r="C171" s="4" t="str">
        <f>IFERROR(__xludf.DUMMYFUNCTION("""COMPUTED_VALUE"""),"株式会社コーエイメタル代表取締役　近藤　寛志")</f>
        <v>株式会社コーエイメタル代表取締役　近藤　寛志</v>
      </c>
      <c r="D171" s="4" t="str">
        <f>IFERROR(__xludf.DUMMYFUNCTION("""COMPUTED_VALUE"""),"有限会社　藤井鈑金塗装代表取締役社長　藤井謙太郎")</f>
        <v>有限会社　藤井鈑金塗装代表取締役社長　藤井謙太郎</v>
      </c>
      <c r="E171" s="4" t="str">
        <f>IFERROR(__xludf.DUMMYFUNCTION("""COMPUTED_VALUE"""),"一般整備")</f>
        <v>一般整備</v>
      </c>
      <c r="F171" s="23"/>
      <c r="G171" s="4"/>
      <c r="H171" s="4" t="str">
        <f>IFERROR(__xludf.DUMMYFUNCTION("""COMPUTED_VALUE"""),"未照合")</f>
        <v>未照合</v>
      </c>
      <c r="I171" s="4"/>
      <c r="J171" s="17"/>
      <c r="K171" s="23">
        <f>IFERROR(__xludf.DUMMYFUNCTION("""COMPUTED_VALUE"""),0.0)</f>
        <v>0</v>
      </c>
      <c r="L171" s="23" t="str">
        <f>IFERROR(__xludf.DUMMYFUNCTION("""COMPUTED_VALUE"""),"")</f>
        <v/>
      </c>
      <c r="M171" s="4" t="str">
        <f>IFERROR(__xludf.DUMMYFUNCTION("""COMPUTED_VALUE"""),"未入金")</f>
        <v>未入金</v>
      </c>
      <c r="N171" s="4" t="str">
        <f>IFERROR(__xludf.DUMMYFUNCTION("""COMPUTED_VALUE"""),"")</f>
        <v/>
      </c>
      <c r="O171" s="4"/>
    </row>
    <row r="172" ht="15.75" customHeight="1">
      <c r="A172" s="4" t="str">
        <f>IFERROR(__xludf.DUMMYFUNCTION("""COMPUTED_VALUE"""),"SB00024503")</f>
        <v>SB00024503</v>
      </c>
      <c r="B172" s="17">
        <f>IFERROR(__xludf.DUMMYFUNCTION("""COMPUTED_VALUE"""),46090.0)</f>
        <v>46090</v>
      </c>
      <c r="C172" s="4" t="str">
        <f>IFERROR(__xludf.DUMMYFUNCTION("""COMPUTED_VALUE"""),"株式会社シンコーテック")</f>
        <v>株式会社シンコーテック</v>
      </c>
      <c r="D172" s="4" t="str">
        <f>IFERROR(__xludf.DUMMYFUNCTION("""COMPUTED_VALUE"""),"株式会社コンクエスト　ジャガーランドローバー広島")</f>
        <v>株式会社コンクエスト　ジャガーランドローバー広島</v>
      </c>
      <c r="E172" s="4" t="str">
        <f>IFERROR(__xludf.DUMMYFUNCTION("""COMPUTED_VALUE"""),"一般整備")</f>
        <v>一般整備</v>
      </c>
      <c r="F172" s="23"/>
      <c r="G172" s="4"/>
      <c r="H172" s="4" t="str">
        <f>IFERROR(__xludf.DUMMYFUNCTION("""COMPUTED_VALUE"""),"未照合")</f>
        <v>未照合</v>
      </c>
      <c r="I172" s="4"/>
      <c r="J172" s="17"/>
      <c r="K172" s="23">
        <f>IFERROR(__xludf.DUMMYFUNCTION("""COMPUTED_VALUE"""),0.0)</f>
        <v>0</v>
      </c>
      <c r="L172" s="23" t="str">
        <f>IFERROR(__xludf.DUMMYFUNCTION("""COMPUTED_VALUE"""),"")</f>
        <v/>
      </c>
      <c r="M172" s="4" t="str">
        <f>IFERROR(__xludf.DUMMYFUNCTION("""COMPUTED_VALUE"""),"未入金")</f>
        <v>未入金</v>
      </c>
      <c r="N172" s="4" t="str">
        <f>IFERROR(__xludf.DUMMYFUNCTION("""COMPUTED_VALUE"""),"")</f>
        <v/>
      </c>
      <c r="O172" s="4"/>
    </row>
    <row r="173" ht="15.75" customHeight="1">
      <c r="A173" s="4" t="str">
        <f>IFERROR(__xludf.DUMMYFUNCTION("""COMPUTED_VALUE"""),"SB00024504")</f>
        <v>SB00024504</v>
      </c>
      <c r="B173" s="17">
        <f>IFERROR(__xludf.DUMMYFUNCTION("""COMPUTED_VALUE"""),46090.0)</f>
        <v>46090</v>
      </c>
      <c r="C173" s="4" t="str">
        <f>IFERROR(__xludf.DUMMYFUNCTION("""COMPUTED_VALUE"""),"株式会社藤和ホールディングス代表取締役 藤原洋明")</f>
        <v>株式会社藤和ホールディングス代表取締役 藤原洋明</v>
      </c>
      <c r="D173" s="4" t="str">
        <f>IFERROR(__xludf.DUMMYFUNCTION("""COMPUTED_VALUE"""),"株式会社コンクエスト　ジャガーランドローバー広島")</f>
        <v>株式会社コンクエスト　ジャガーランドローバー広島</v>
      </c>
      <c r="E173" s="4" t="str">
        <f>IFERROR(__xludf.DUMMYFUNCTION("""COMPUTED_VALUE"""),"点検")</f>
        <v>点検</v>
      </c>
      <c r="F173" s="23"/>
      <c r="G173" s="4"/>
      <c r="H173" s="4" t="str">
        <f>IFERROR(__xludf.DUMMYFUNCTION("""COMPUTED_VALUE"""),"未照合")</f>
        <v>未照合</v>
      </c>
      <c r="I173" s="4"/>
      <c r="J173" s="17"/>
      <c r="K173" s="23">
        <f>IFERROR(__xludf.DUMMYFUNCTION("""COMPUTED_VALUE"""),0.0)</f>
        <v>0</v>
      </c>
      <c r="L173" s="23" t="str">
        <f>IFERROR(__xludf.DUMMYFUNCTION("""COMPUTED_VALUE"""),"")</f>
        <v/>
      </c>
      <c r="M173" s="4" t="str">
        <f>IFERROR(__xludf.DUMMYFUNCTION("""COMPUTED_VALUE"""),"未入金")</f>
        <v>未入金</v>
      </c>
      <c r="N173" s="19" t="str">
        <f>IFERROR(__xludf.DUMMYFUNCTION("""COMPUTED_VALUE"""),"")</f>
        <v/>
      </c>
      <c r="O173" s="4"/>
    </row>
    <row r="174" ht="15.75" customHeight="1">
      <c r="A174" s="4" t="str">
        <f>IFERROR(__xludf.DUMMYFUNCTION("""COMPUTED_VALUE"""),"SB00007566")</f>
        <v>SB00007566</v>
      </c>
      <c r="B174" s="17">
        <f>IFERROR(__xludf.DUMMYFUNCTION("""COMPUTED_VALUE"""),46090.0)</f>
        <v>46090</v>
      </c>
      <c r="C174" s="4" t="str">
        <f>IFERROR(__xludf.DUMMYFUNCTION("""COMPUTED_VALUE"""),"有限会社 積和サービス 里見")</f>
        <v>有限会社 積和サービス 里見</v>
      </c>
      <c r="D174" s="19"/>
      <c r="E174" s="4" t="str">
        <f>IFERROR(__xludf.DUMMYFUNCTION("""COMPUTED_VALUE"""),"一般整備")</f>
        <v>一般整備</v>
      </c>
      <c r="F174" s="23"/>
      <c r="G174" s="19"/>
      <c r="H174" s="4" t="str">
        <f>IFERROR(__xludf.DUMMYFUNCTION("""COMPUTED_VALUE"""),"要確認")</f>
        <v>要確認</v>
      </c>
      <c r="I174" s="19"/>
      <c r="J174" s="17"/>
      <c r="K174" s="23">
        <f>IFERROR(__xludf.DUMMYFUNCTION("""COMPUTED_VALUE"""),0.0)</f>
        <v>0</v>
      </c>
      <c r="L174" s="23" t="str">
        <f>IFERROR(__xludf.DUMMYFUNCTION("""COMPUTED_VALUE"""),"")</f>
        <v/>
      </c>
      <c r="M174" s="4" t="str">
        <f>IFERROR(__xludf.DUMMYFUNCTION("""COMPUTED_VALUE"""),"未入金")</f>
        <v>未入金</v>
      </c>
      <c r="N174" s="19" t="str">
        <f>IFERROR(__xludf.DUMMYFUNCTION("""COMPUTED_VALUE"""),"")</f>
        <v/>
      </c>
      <c r="O174" s="19"/>
    </row>
    <row r="175" ht="15.75" customHeight="1">
      <c r="A175" s="4" t="str">
        <f>IFERROR(__xludf.DUMMYFUNCTION("""COMPUTED_VALUE"""),"SB00024455")</f>
        <v>SB00024455</v>
      </c>
      <c r="B175" s="17">
        <f>IFERROR(__xludf.DUMMYFUNCTION("""COMPUTED_VALUE"""),46089.0)</f>
        <v>46089</v>
      </c>
      <c r="C175" s="4" t="str">
        <f>IFERROR(__xludf.DUMMYFUNCTION("""COMPUTED_VALUE"""),"朝日包装株式会社代表取締役　西上克志")</f>
        <v>朝日包装株式会社代表取締役　西上克志</v>
      </c>
      <c r="D175" s="4" t="str">
        <f>IFERROR(__xludf.DUMMYFUNCTION("""COMPUTED_VALUE"""),"株式会社コンクエスト　ジャガーランドローバー広島")</f>
        <v>株式会社コンクエスト　ジャガーランドローバー広島</v>
      </c>
      <c r="E175" s="4" t="str">
        <f>IFERROR(__xludf.DUMMYFUNCTION("""COMPUTED_VALUE"""),"点検")</f>
        <v>点検</v>
      </c>
      <c r="F175" s="23"/>
      <c r="G175" s="4"/>
      <c r="H175" s="4" t="str">
        <f>IFERROR(__xludf.DUMMYFUNCTION("""COMPUTED_VALUE"""),"未照合")</f>
        <v>未照合</v>
      </c>
      <c r="I175" s="4"/>
      <c r="J175" s="17"/>
      <c r="K175" s="23">
        <f>IFERROR(__xludf.DUMMYFUNCTION("""COMPUTED_VALUE"""),0.0)</f>
        <v>0</v>
      </c>
      <c r="L175" s="23" t="str">
        <f>IFERROR(__xludf.DUMMYFUNCTION("""COMPUTED_VALUE"""),"")</f>
        <v/>
      </c>
      <c r="M175" s="4" t="str">
        <f>IFERROR(__xludf.DUMMYFUNCTION("""COMPUTED_VALUE"""),"未入金")</f>
        <v>未入金</v>
      </c>
      <c r="N175" s="4" t="str">
        <f>IFERROR(__xludf.DUMMYFUNCTION("""COMPUTED_VALUE"""),"")</f>
        <v/>
      </c>
      <c r="O175" s="4"/>
    </row>
    <row r="176" ht="15.75" customHeight="1">
      <c r="A176" s="4" t="str">
        <f>IFERROR(__xludf.DUMMYFUNCTION("""COMPUTED_VALUE"""),"SB00024474")</f>
        <v>SB00024474</v>
      </c>
      <c r="B176" s="17">
        <f>IFERROR(__xludf.DUMMYFUNCTION("""COMPUTED_VALUE"""),46089.0)</f>
        <v>46089</v>
      </c>
      <c r="C176" s="4" t="str">
        <f>IFERROR(__xludf.DUMMYFUNCTION("""COMPUTED_VALUE"""),"村上　裕二")</f>
        <v>村上　裕二</v>
      </c>
      <c r="D176" s="4"/>
      <c r="E176" s="4" t="str">
        <f>IFERROR(__xludf.DUMMYFUNCTION("""COMPUTED_VALUE"""),"車検")</f>
        <v>車検</v>
      </c>
      <c r="F176" s="23"/>
      <c r="G176" s="4"/>
      <c r="H176" s="4" t="str">
        <f>IFERROR(__xludf.DUMMYFUNCTION("""COMPUTED_VALUE"""),"未照合")</f>
        <v>未照合</v>
      </c>
      <c r="I176" s="4"/>
      <c r="J176" s="17"/>
      <c r="K176" s="23">
        <f>IFERROR(__xludf.DUMMYFUNCTION("""COMPUTED_VALUE"""),0.0)</f>
        <v>0</v>
      </c>
      <c r="L176" s="23" t="str">
        <f>IFERROR(__xludf.DUMMYFUNCTION("""COMPUTED_VALUE"""),"")</f>
        <v/>
      </c>
      <c r="M176" s="4" t="str">
        <f>IFERROR(__xludf.DUMMYFUNCTION("""COMPUTED_VALUE"""),"未入金")</f>
        <v>未入金</v>
      </c>
      <c r="N176" s="4" t="str">
        <f>IFERROR(__xludf.DUMMYFUNCTION("""COMPUTED_VALUE"""),"")</f>
        <v/>
      </c>
      <c r="O176" s="4"/>
    </row>
    <row r="177" ht="15.75" customHeight="1">
      <c r="A177" s="4" t="str">
        <f>IFERROR(__xludf.DUMMYFUNCTION("""COMPUTED_VALUE"""),"SB00024497")</f>
        <v>SB00024497</v>
      </c>
      <c r="B177" s="17">
        <f>IFERROR(__xludf.DUMMYFUNCTION("""COMPUTED_VALUE"""),46089.0)</f>
        <v>46089</v>
      </c>
      <c r="C177" s="4" t="str">
        <f>IFERROR(__xludf.DUMMYFUNCTION("""COMPUTED_VALUE"""),"朝日包装株式会社代表取締役　西上克志")</f>
        <v>朝日包装株式会社代表取締役　西上克志</v>
      </c>
      <c r="D177" s="4" t="str">
        <f>IFERROR(__xludf.DUMMYFUNCTION("""COMPUTED_VALUE"""),"株式会社コンクエスト　ジャガーランドローバー広島")</f>
        <v>株式会社コンクエスト　ジャガーランドローバー広島</v>
      </c>
      <c r="E177" s="4" t="str">
        <f>IFERROR(__xludf.DUMMYFUNCTION("""COMPUTED_VALUE"""),"一般整備")</f>
        <v>一般整備</v>
      </c>
      <c r="F177" s="23"/>
      <c r="G177" s="4"/>
      <c r="H177" s="4" t="str">
        <f>IFERROR(__xludf.DUMMYFUNCTION("""COMPUTED_VALUE"""),"未照合")</f>
        <v>未照合</v>
      </c>
      <c r="I177" s="4"/>
      <c r="J177" s="17"/>
      <c r="K177" s="23">
        <f>IFERROR(__xludf.DUMMYFUNCTION("""COMPUTED_VALUE"""),0.0)</f>
        <v>0</v>
      </c>
      <c r="L177" s="23" t="str">
        <f>IFERROR(__xludf.DUMMYFUNCTION("""COMPUTED_VALUE"""),"")</f>
        <v/>
      </c>
      <c r="M177" s="4" t="str">
        <f>IFERROR(__xludf.DUMMYFUNCTION("""COMPUTED_VALUE"""),"未入金")</f>
        <v>未入金</v>
      </c>
      <c r="N177" s="4" t="str">
        <f>IFERROR(__xludf.DUMMYFUNCTION("""COMPUTED_VALUE"""),"")</f>
        <v/>
      </c>
      <c r="O177" s="4"/>
    </row>
    <row r="178" ht="15.75" customHeight="1">
      <c r="A178" s="4" t="str">
        <f>IFERROR(__xludf.DUMMYFUNCTION("""COMPUTED_VALUE"""),"SB00024498")</f>
        <v>SB00024498</v>
      </c>
      <c r="B178" s="17">
        <f>IFERROR(__xludf.DUMMYFUNCTION("""COMPUTED_VALUE"""),46089.0)</f>
        <v>46089</v>
      </c>
      <c r="C178" s="4" t="str">
        <f>IFERROR(__xludf.DUMMYFUNCTION("""COMPUTED_VALUE"""),"株式会社ｄｒ-wanwan.com代表取締役 麻生暁秀")</f>
        <v>株式会社ｄｒ-wanwan.com代表取締役 麻生暁秀</v>
      </c>
      <c r="D178" s="4" t="str">
        <f>IFERROR(__xludf.DUMMYFUNCTION("""COMPUTED_VALUE"""),"東京海上日動火災保険株式会社")</f>
        <v>東京海上日動火災保険株式会社</v>
      </c>
      <c r="E178" s="4" t="str">
        <f>IFERROR(__xludf.DUMMYFUNCTION("""COMPUTED_VALUE"""),"保険請求")</f>
        <v>保険請求</v>
      </c>
      <c r="F178" s="23"/>
      <c r="G178" s="4"/>
      <c r="H178" s="4" t="str">
        <f>IFERROR(__xludf.DUMMYFUNCTION("""COMPUTED_VALUE"""),"要確認")</f>
        <v>要確認</v>
      </c>
      <c r="I178" s="4" t="str">
        <f>IFERROR(__xludf.DUMMYFUNCTION("""COMPUTED_VALUE"""),"振り込み")</f>
        <v>振り込み</v>
      </c>
      <c r="J178" s="17"/>
      <c r="K178" s="23">
        <f>IFERROR(__xludf.DUMMYFUNCTION("""COMPUTED_VALUE"""),0.0)</f>
        <v>0</v>
      </c>
      <c r="L178" s="23" t="str">
        <f>IFERROR(__xludf.DUMMYFUNCTION("""COMPUTED_VALUE"""),"")</f>
        <v/>
      </c>
      <c r="M178" s="4" t="str">
        <f>IFERROR(__xludf.DUMMYFUNCTION("""COMPUTED_VALUE"""),"未入金")</f>
        <v>未入金</v>
      </c>
      <c r="N178" s="4" t="str">
        <f>IFERROR(__xludf.DUMMYFUNCTION("""COMPUTED_VALUE"""),"")</f>
        <v/>
      </c>
      <c r="O178" s="4"/>
    </row>
    <row r="179" ht="15.75" customHeight="1">
      <c r="A179" s="4" t="str">
        <f>IFERROR(__xludf.DUMMYFUNCTION("""COMPUTED_VALUE"""),"SB00024500")</f>
        <v>SB00024500</v>
      </c>
      <c r="B179" s="17">
        <f>IFERROR(__xludf.DUMMYFUNCTION("""COMPUTED_VALUE"""),46089.0)</f>
        <v>46089</v>
      </c>
      <c r="C179" s="4" t="str">
        <f>IFERROR(__xludf.DUMMYFUNCTION("""COMPUTED_VALUE"""),"フルモト建機株式会社代表取締役　古本幸久")</f>
        <v>フルモト建機株式会社代表取締役　古本幸久</v>
      </c>
      <c r="D179" s="4" t="str">
        <f>IFERROR(__xludf.DUMMYFUNCTION("""COMPUTED_VALUE"""),"株式会社コンクエスト　ジャガーランドローバー広島")</f>
        <v>株式会社コンクエスト　ジャガーランドローバー広島</v>
      </c>
      <c r="E179" s="4" t="str">
        <f>IFERROR(__xludf.DUMMYFUNCTION("""COMPUTED_VALUE"""),"一般整備")</f>
        <v>一般整備</v>
      </c>
      <c r="F179" s="23"/>
      <c r="G179" s="4"/>
      <c r="H179" s="4" t="str">
        <f>IFERROR(__xludf.DUMMYFUNCTION("""COMPUTED_VALUE"""),"未照合")</f>
        <v>未照合</v>
      </c>
      <c r="I179" s="4"/>
      <c r="J179" s="17"/>
      <c r="K179" s="23">
        <f>IFERROR(__xludf.DUMMYFUNCTION("""COMPUTED_VALUE"""),0.0)</f>
        <v>0</v>
      </c>
      <c r="L179" s="23" t="str">
        <f>IFERROR(__xludf.DUMMYFUNCTION("""COMPUTED_VALUE"""),"")</f>
        <v/>
      </c>
      <c r="M179" s="4" t="str">
        <f>IFERROR(__xludf.DUMMYFUNCTION("""COMPUTED_VALUE"""),"未入金")</f>
        <v>未入金</v>
      </c>
      <c r="N179" s="4" t="str">
        <f>IFERROR(__xludf.DUMMYFUNCTION("""COMPUTED_VALUE"""),"")</f>
        <v/>
      </c>
      <c r="O179" s="4"/>
    </row>
    <row r="180" ht="15.75" customHeight="1">
      <c r="A180" s="4" t="str">
        <f>IFERROR(__xludf.DUMMYFUNCTION("""COMPUTED_VALUE"""),"SB00024569")</f>
        <v>SB00024569</v>
      </c>
      <c r="B180" s="17">
        <f>IFERROR(__xludf.DUMMYFUNCTION("""COMPUTED_VALUE"""),46089.0)</f>
        <v>46089</v>
      </c>
      <c r="C180" s="4" t="str">
        <f>IFERROR(__xludf.DUMMYFUNCTION("""COMPUTED_VALUE"""),"株式会社ｄｒ-wanwan.com代表取締役 麻生暁秀")</f>
        <v>株式会社ｄｒ-wanwan.com代表取締役 麻生暁秀</v>
      </c>
      <c r="D180" s="4" t="str">
        <f>IFERROR(__xludf.DUMMYFUNCTION("""COMPUTED_VALUE"""),"株式会社コンクエスト　ジャガーランドローバー広島")</f>
        <v>株式会社コンクエスト　ジャガーランドローバー広島</v>
      </c>
      <c r="E180" s="4" t="str">
        <f>IFERROR(__xludf.DUMMYFUNCTION("""COMPUTED_VALUE"""),"保険請求")</f>
        <v>保険請求</v>
      </c>
      <c r="F180" s="23"/>
      <c r="G180" s="4"/>
      <c r="H180" s="4" t="str">
        <f>IFERROR(__xludf.DUMMYFUNCTION("""COMPUTED_VALUE"""),"未照合")</f>
        <v>未照合</v>
      </c>
      <c r="I180" s="4"/>
      <c r="J180" s="17"/>
      <c r="K180" s="23">
        <f>IFERROR(__xludf.DUMMYFUNCTION("""COMPUTED_VALUE"""),0.0)</f>
        <v>0</v>
      </c>
      <c r="L180" s="23" t="str">
        <f>IFERROR(__xludf.DUMMYFUNCTION("""COMPUTED_VALUE"""),"")</f>
        <v/>
      </c>
      <c r="M180" s="4" t="str">
        <f>IFERROR(__xludf.DUMMYFUNCTION("""COMPUTED_VALUE"""),"未入金")</f>
        <v>未入金</v>
      </c>
      <c r="N180" s="4" t="str">
        <f>IFERROR(__xludf.DUMMYFUNCTION("""COMPUTED_VALUE"""),"")</f>
        <v/>
      </c>
      <c r="O180" s="4"/>
    </row>
    <row r="181" ht="15.75" customHeight="1">
      <c r="A181" s="4" t="str">
        <f>IFERROR(__xludf.DUMMYFUNCTION("""COMPUTED_VALUE"""),"SB00024501")</f>
        <v>SB00024501</v>
      </c>
      <c r="B181" s="17">
        <f>IFERROR(__xludf.DUMMYFUNCTION("""COMPUTED_VALUE"""),46089.0)</f>
        <v>46089</v>
      </c>
      <c r="C181" s="4"/>
      <c r="D181" s="19"/>
      <c r="E181" s="4" t="str">
        <f>IFERROR(__xludf.DUMMYFUNCTION("""COMPUTED_VALUE"""),"在庫車B-①")</f>
        <v>在庫車B-①</v>
      </c>
      <c r="F181" s="23"/>
      <c r="G181" s="4"/>
      <c r="H181" s="4" t="str">
        <f>IFERROR(__xludf.DUMMYFUNCTION("""COMPUTED_VALUE"""),"未照合")</f>
        <v>未照合</v>
      </c>
      <c r="I181" s="4"/>
      <c r="J181" s="17"/>
      <c r="K181" s="23">
        <f>IFERROR(__xludf.DUMMYFUNCTION("""COMPUTED_VALUE"""),0.0)</f>
        <v>0</v>
      </c>
      <c r="L181" s="23" t="str">
        <f>IFERROR(__xludf.DUMMYFUNCTION("""COMPUTED_VALUE"""),"")</f>
        <v/>
      </c>
      <c r="M181" s="4" t="str">
        <f>IFERROR(__xludf.DUMMYFUNCTION("""COMPUTED_VALUE"""),"未入金")</f>
        <v>未入金</v>
      </c>
      <c r="N181" s="4" t="str">
        <f>IFERROR(__xludf.DUMMYFUNCTION("""COMPUTED_VALUE"""),"")</f>
        <v/>
      </c>
      <c r="O181" s="4"/>
    </row>
    <row r="182" ht="15.75" customHeight="1">
      <c r="A182" s="4" t="str">
        <f>IFERROR(__xludf.DUMMYFUNCTION("""COMPUTED_VALUE"""),"SB00023864")</f>
        <v>SB00023864</v>
      </c>
      <c r="B182" s="17">
        <f>IFERROR(__xludf.DUMMYFUNCTION("""COMPUTED_VALUE"""),46086.0)</f>
        <v>46086</v>
      </c>
      <c r="C182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182" s="4" t="str">
        <f>IFERROR(__xludf.DUMMYFUNCTION("""COMPUTED_VALUE"""),"キムラユニティー株式会社メンテ管理課")</f>
        <v>キムラユニティー株式会社メンテ管理課</v>
      </c>
      <c r="E182" s="4" t="str">
        <f>IFERROR(__xludf.DUMMYFUNCTION("""COMPUTED_VALUE"""),"一般整備")</f>
        <v>一般整備</v>
      </c>
      <c r="F182" s="23"/>
      <c r="G182" s="4"/>
      <c r="H182" s="4" t="str">
        <f>IFERROR(__xludf.DUMMYFUNCTION("""COMPUTED_VALUE"""),"未照合")</f>
        <v>未照合</v>
      </c>
      <c r="I182" s="4"/>
      <c r="J182" s="17"/>
      <c r="K182" s="23">
        <f>IFERROR(__xludf.DUMMYFUNCTION("""COMPUTED_VALUE"""),0.0)</f>
        <v>0</v>
      </c>
      <c r="L182" s="23" t="str">
        <f>IFERROR(__xludf.DUMMYFUNCTION("""COMPUTED_VALUE"""),"")</f>
        <v/>
      </c>
      <c r="M182" s="4" t="str">
        <f>IFERROR(__xludf.DUMMYFUNCTION("""COMPUTED_VALUE"""),"未入金")</f>
        <v>未入金</v>
      </c>
      <c r="N182" s="4" t="str">
        <f>IFERROR(__xludf.DUMMYFUNCTION("""COMPUTED_VALUE"""),"")</f>
        <v/>
      </c>
      <c r="O182" s="4"/>
    </row>
    <row r="183" ht="15.75" customHeight="1">
      <c r="A183" s="4" t="str">
        <f>IFERROR(__xludf.DUMMYFUNCTION("""COMPUTED_VALUE"""),"SB00024407")</f>
        <v>SB00024407</v>
      </c>
      <c r="B183" s="17">
        <f>IFERROR(__xludf.DUMMYFUNCTION("""COMPUTED_VALUE"""),46086.0)</f>
        <v>46086</v>
      </c>
      <c r="C183" s="4" t="str">
        <f>IFERROR(__xludf.DUMMYFUNCTION("""COMPUTED_VALUE"""),"冨田　文人")</f>
        <v>冨田　文人</v>
      </c>
      <c r="D183" s="4" t="str">
        <f>IFERROR(__xludf.DUMMYFUNCTION("""COMPUTED_VALUE"""),"株式会社コンクエスト　ジャガーランドローバー広島")</f>
        <v>株式会社コンクエスト　ジャガーランドローバー広島</v>
      </c>
      <c r="E183" s="4" t="str">
        <f>IFERROR(__xludf.DUMMYFUNCTION("""COMPUTED_VALUE"""),"点検")</f>
        <v>点検</v>
      </c>
      <c r="F183" s="23"/>
      <c r="G183" s="4"/>
      <c r="H183" s="4" t="str">
        <f>IFERROR(__xludf.DUMMYFUNCTION("""COMPUTED_VALUE"""),"未照合")</f>
        <v>未照合</v>
      </c>
      <c r="I183" s="4"/>
      <c r="J183" s="17"/>
      <c r="K183" s="23">
        <f>IFERROR(__xludf.DUMMYFUNCTION("""COMPUTED_VALUE"""),0.0)</f>
        <v>0</v>
      </c>
      <c r="L183" s="23" t="str">
        <f>IFERROR(__xludf.DUMMYFUNCTION("""COMPUTED_VALUE"""),"")</f>
        <v/>
      </c>
      <c r="M183" s="4" t="str">
        <f>IFERROR(__xludf.DUMMYFUNCTION("""COMPUTED_VALUE"""),"未入金")</f>
        <v>未入金</v>
      </c>
      <c r="N183" s="4" t="str">
        <f>IFERROR(__xludf.DUMMYFUNCTION("""COMPUTED_VALUE"""),"")</f>
        <v/>
      </c>
      <c r="O183" s="4"/>
    </row>
    <row r="184" ht="15.75" customHeight="1">
      <c r="A184" s="4" t="str">
        <f>IFERROR(__xludf.DUMMYFUNCTION("""COMPUTED_VALUE"""),"SB00024491")</f>
        <v>SB00024491</v>
      </c>
      <c r="B184" s="17">
        <f>IFERROR(__xludf.DUMMYFUNCTION("""COMPUTED_VALUE"""),46086.0)</f>
        <v>46086</v>
      </c>
      <c r="C184" s="4" t="str">
        <f>IFERROR(__xludf.DUMMYFUNCTION("""COMPUTED_VALUE"""),"株式会社　一条工務店広島 代表取締役　柳本和英")</f>
        <v>株式会社　一条工務店広島 代表取締役　柳本和英</v>
      </c>
      <c r="D184" s="4"/>
      <c r="E184" s="4" t="str">
        <f>IFERROR(__xludf.DUMMYFUNCTION("""COMPUTED_VALUE"""),"一般整備")</f>
        <v>一般整備</v>
      </c>
      <c r="F184" s="23"/>
      <c r="G184" s="4"/>
      <c r="H184" s="4" t="str">
        <f>IFERROR(__xludf.DUMMYFUNCTION("""COMPUTED_VALUE"""),"未照合")</f>
        <v>未照合</v>
      </c>
      <c r="I184" s="4"/>
      <c r="J184" s="17"/>
      <c r="K184" s="23">
        <f>IFERROR(__xludf.DUMMYFUNCTION("""COMPUTED_VALUE"""),0.0)</f>
        <v>0</v>
      </c>
      <c r="L184" s="23" t="str">
        <f>IFERROR(__xludf.DUMMYFUNCTION("""COMPUTED_VALUE"""),"")</f>
        <v/>
      </c>
      <c r="M184" s="4" t="str">
        <f>IFERROR(__xludf.DUMMYFUNCTION("""COMPUTED_VALUE"""),"未入金")</f>
        <v>未入金</v>
      </c>
      <c r="N184" s="4" t="str">
        <f>IFERROR(__xludf.DUMMYFUNCTION("""COMPUTED_VALUE"""),"")</f>
        <v/>
      </c>
      <c r="O184" s="4"/>
    </row>
    <row r="185" ht="15.75" customHeight="1">
      <c r="A185" s="4" t="str">
        <f>IFERROR(__xludf.DUMMYFUNCTION("""COMPUTED_VALUE"""),"SB00007523")</f>
        <v>SB00007523</v>
      </c>
      <c r="B185" s="17">
        <f>IFERROR(__xludf.DUMMYFUNCTION("""COMPUTED_VALUE"""),46086.0)</f>
        <v>46086</v>
      </c>
      <c r="C185" s="4" t="str">
        <f>IFERROR(__xludf.DUMMYFUNCTION("""COMPUTED_VALUE"""),"株式会社ブリッジ代表取締役 橋")</f>
        <v>株式会社ブリッジ代表取締役 橋</v>
      </c>
      <c r="D185" s="19"/>
      <c r="E185" s="4" t="str">
        <f>IFERROR(__xludf.DUMMYFUNCTION("""COMPUTED_VALUE"""),"車検")</f>
        <v>車検</v>
      </c>
      <c r="F185" s="23"/>
      <c r="G185" s="19"/>
      <c r="H185" s="4" t="str">
        <f>IFERROR(__xludf.DUMMYFUNCTION("""COMPUTED_VALUE"""),"未照合")</f>
        <v>未照合</v>
      </c>
      <c r="I185" s="19"/>
      <c r="J185" s="17"/>
      <c r="K185" s="23">
        <f>IFERROR(__xludf.DUMMYFUNCTION("""COMPUTED_VALUE"""),0.0)</f>
        <v>0</v>
      </c>
      <c r="L185" s="23" t="str">
        <f>IFERROR(__xludf.DUMMYFUNCTION("""COMPUTED_VALUE"""),"")</f>
        <v/>
      </c>
      <c r="M185" s="4" t="str">
        <f>IFERROR(__xludf.DUMMYFUNCTION("""COMPUTED_VALUE"""),"未入金")</f>
        <v>未入金</v>
      </c>
      <c r="N185" s="19" t="str">
        <f>IFERROR(__xludf.DUMMYFUNCTION("""COMPUTED_VALUE"""),"")</f>
        <v/>
      </c>
      <c r="O185" s="19"/>
    </row>
    <row r="186" ht="15.75" customHeight="1">
      <c r="A186" s="4" t="str">
        <f>IFERROR(__xludf.DUMMYFUNCTION("""COMPUTED_VALUE"""),"SB00007537")</f>
        <v>SB00007537</v>
      </c>
      <c r="B186" s="17">
        <f>IFERROR(__xludf.DUMMYFUNCTION("""COMPUTED_VALUE"""),46086.0)</f>
        <v>46086</v>
      </c>
      <c r="C186" s="4" t="str">
        <f>IFERROR(__xludf.DUMMYFUNCTION("""COMPUTED_VALUE"""),"白神元徳")</f>
        <v>白神元徳</v>
      </c>
      <c r="D186" s="19"/>
      <c r="E186" s="4" t="str">
        <f>IFERROR(__xludf.DUMMYFUNCTION("""COMPUTED_VALUE"""),"車検")</f>
        <v>車検</v>
      </c>
      <c r="F186" s="23"/>
      <c r="G186" s="19"/>
      <c r="H186" s="4" t="str">
        <f>IFERROR(__xludf.DUMMYFUNCTION("""COMPUTED_VALUE"""),"未照合")</f>
        <v>未照合</v>
      </c>
      <c r="I186" s="19"/>
      <c r="J186" s="17"/>
      <c r="K186" s="23">
        <f>IFERROR(__xludf.DUMMYFUNCTION("""COMPUTED_VALUE"""),0.0)</f>
        <v>0</v>
      </c>
      <c r="L186" s="23" t="str">
        <f>IFERROR(__xludf.DUMMYFUNCTION("""COMPUTED_VALUE"""),"")</f>
        <v/>
      </c>
      <c r="M186" s="4" t="str">
        <f>IFERROR(__xludf.DUMMYFUNCTION("""COMPUTED_VALUE"""),"未入金")</f>
        <v>未入金</v>
      </c>
      <c r="N186" s="19" t="str">
        <f>IFERROR(__xludf.DUMMYFUNCTION("""COMPUTED_VALUE"""),"")</f>
        <v/>
      </c>
      <c r="O186" s="19"/>
    </row>
    <row r="187" ht="15.75" customHeight="1">
      <c r="A187" s="4" t="str">
        <f>IFERROR(__xludf.DUMMYFUNCTION("""COMPUTED_VALUE"""),"SB00007564")</f>
        <v>SB00007564</v>
      </c>
      <c r="B187" s="17">
        <f>IFERROR(__xludf.DUMMYFUNCTION("""COMPUTED_VALUE"""),46086.0)</f>
        <v>46086</v>
      </c>
      <c r="C187" s="4" t="str">
        <f>IFERROR(__xludf.DUMMYFUNCTION("""COMPUTED_VALUE"""),"白神元徳")</f>
        <v>白神元徳</v>
      </c>
      <c r="D187" s="4" t="str">
        <f>IFERROR(__xludf.DUMMYFUNCTION("""COMPUTED_VALUE"""),"マセラティジャパン株式会社")</f>
        <v>マセラティジャパン株式会社</v>
      </c>
      <c r="E187" s="4" t="str">
        <f>IFERROR(__xludf.DUMMYFUNCTION("""COMPUTED_VALUE"""),"その他")</f>
        <v>その他</v>
      </c>
      <c r="F187" s="23"/>
      <c r="G187" s="19"/>
      <c r="H187" s="4" t="str">
        <f>IFERROR(__xludf.DUMMYFUNCTION("""COMPUTED_VALUE"""),"未照合")</f>
        <v>未照合</v>
      </c>
      <c r="I187" s="19"/>
      <c r="J187" s="17"/>
      <c r="K187" s="23">
        <f>IFERROR(__xludf.DUMMYFUNCTION("""COMPUTED_VALUE"""),0.0)</f>
        <v>0</v>
      </c>
      <c r="L187" s="23" t="str">
        <f>IFERROR(__xludf.DUMMYFUNCTION("""COMPUTED_VALUE"""),"")</f>
        <v/>
      </c>
      <c r="M187" s="4" t="str">
        <f>IFERROR(__xludf.DUMMYFUNCTION("""COMPUTED_VALUE"""),"未入金")</f>
        <v>未入金</v>
      </c>
      <c r="N187" s="19" t="str">
        <f>IFERROR(__xludf.DUMMYFUNCTION("""COMPUTED_VALUE"""),"")</f>
        <v/>
      </c>
      <c r="O187" s="19"/>
    </row>
    <row r="188" ht="15.75" customHeight="1">
      <c r="A188" s="4" t="str">
        <f>IFERROR(__xludf.DUMMYFUNCTION("""COMPUTED_VALUE"""),"SB00007571")</f>
        <v>SB00007571</v>
      </c>
      <c r="B188" s="17">
        <f>IFERROR(__xludf.DUMMYFUNCTION("""COMPUTED_VALUE"""),46086.0)</f>
        <v>46086</v>
      </c>
      <c r="C188" s="4" t="str">
        <f>IFERROR(__xludf.DUMMYFUNCTION("""COMPUTED_VALUE"""),"白神元徳")</f>
        <v>白神元徳</v>
      </c>
      <c r="D188" s="4" t="str">
        <f>IFERROR(__xludf.DUMMYFUNCTION("""COMPUTED_VALUE"""),"マセラティジャパン株式会社")</f>
        <v>マセラティジャパン株式会社</v>
      </c>
      <c r="E188" s="4" t="str">
        <f>IFERROR(__xludf.DUMMYFUNCTION("""COMPUTED_VALUE"""),"その他")</f>
        <v>その他</v>
      </c>
      <c r="F188" s="23"/>
      <c r="G188" s="19"/>
      <c r="H188" s="4" t="str">
        <f>IFERROR(__xludf.DUMMYFUNCTION("""COMPUTED_VALUE"""),"未照合")</f>
        <v>未照合</v>
      </c>
      <c r="I188" s="19"/>
      <c r="J188" s="17"/>
      <c r="K188" s="23">
        <f>IFERROR(__xludf.DUMMYFUNCTION("""COMPUTED_VALUE"""),0.0)</f>
        <v>0</v>
      </c>
      <c r="L188" s="23" t="str">
        <f>IFERROR(__xludf.DUMMYFUNCTION("""COMPUTED_VALUE"""),"")</f>
        <v/>
      </c>
      <c r="M188" s="4" t="str">
        <f>IFERROR(__xludf.DUMMYFUNCTION("""COMPUTED_VALUE"""),"未入金")</f>
        <v>未入金</v>
      </c>
      <c r="N188" s="19" t="str">
        <f>IFERROR(__xludf.DUMMYFUNCTION("""COMPUTED_VALUE"""),"")</f>
        <v/>
      </c>
      <c r="O188" s="19"/>
    </row>
    <row r="189" ht="15.75" customHeight="1">
      <c r="A189" s="4" t="str">
        <f>IFERROR(__xludf.DUMMYFUNCTION("""COMPUTED_VALUE"""),"SB00024454")</f>
        <v>SB00024454</v>
      </c>
      <c r="B189" s="17">
        <f>IFERROR(__xludf.DUMMYFUNCTION("""COMPUTED_VALUE"""),46083.0)</f>
        <v>46083</v>
      </c>
      <c r="C189" s="4" t="str">
        <f>IFERROR(__xludf.DUMMYFUNCTION("""COMPUTED_VALUE"""),"ストロングマウンテン株式会社代表取締役　大山智明")</f>
        <v>ストロングマウンテン株式会社代表取締役　大山智明</v>
      </c>
      <c r="D189" s="4"/>
      <c r="E189" s="4" t="str">
        <f>IFERROR(__xludf.DUMMYFUNCTION("""COMPUTED_VALUE"""),"点検")</f>
        <v>点検</v>
      </c>
      <c r="F189" s="23"/>
      <c r="G189" s="4"/>
      <c r="H189" s="4" t="str">
        <f>IFERROR(__xludf.DUMMYFUNCTION("""COMPUTED_VALUE"""),"未照合")</f>
        <v>未照合</v>
      </c>
      <c r="I189" s="4"/>
      <c r="J189" s="17"/>
      <c r="K189" s="23">
        <f>IFERROR(__xludf.DUMMYFUNCTION("""COMPUTED_VALUE"""),0.0)</f>
        <v>0</v>
      </c>
      <c r="L189" s="23" t="str">
        <f>IFERROR(__xludf.DUMMYFUNCTION("""COMPUTED_VALUE"""),"")</f>
        <v/>
      </c>
      <c r="M189" s="4" t="str">
        <f>IFERROR(__xludf.DUMMYFUNCTION("""COMPUTED_VALUE"""),"未入金")</f>
        <v>未入金</v>
      </c>
      <c r="N189" s="4" t="str">
        <f>IFERROR(__xludf.DUMMYFUNCTION("""COMPUTED_VALUE"""),"")</f>
        <v/>
      </c>
      <c r="O189" s="4"/>
    </row>
    <row r="190" ht="15.75" customHeight="1">
      <c r="A190" s="4" t="str">
        <f>IFERROR(__xludf.DUMMYFUNCTION("""COMPUTED_VALUE"""),"SB00024456")</f>
        <v>SB00024456</v>
      </c>
      <c r="B190" s="17">
        <f>IFERROR(__xludf.DUMMYFUNCTION("""COMPUTED_VALUE"""),46083.0)</f>
        <v>46083</v>
      </c>
      <c r="C190" s="4" t="str">
        <f>IFERROR(__xludf.DUMMYFUNCTION("""COMPUTED_VALUE"""),"株式会社明和工作所代表取締役　菊田九")</f>
        <v>株式会社明和工作所代表取締役　菊田九</v>
      </c>
      <c r="D190" s="4" t="str">
        <f>IFERROR(__xludf.DUMMYFUNCTION("""COMPUTED_VALUE"""),"西日本自動車共済")</f>
        <v>西日本自動車共済</v>
      </c>
      <c r="E190" s="4" t="str">
        <f>IFERROR(__xludf.DUMMYFUNCTION("""COMPUTED_VALUE"""),"保険請求")</f>
        <v>保険請求</v>
      </c>
      <c r="F190" s="23"/>
      <c r="G190" s="4"/>
      <c r="H190" s="4" t="str">
        <f>IFERROR(__xludf.DUMMYFUNCTION("""COMPUTED_VALUE"""),"未照合")</f>
        <v>未照合</v>
      </c>
      <c r="I190" s="4"/>
      <c r="J190" s="17"/>
      <c r="K190" s="23">
        <f>IFERROR(__xludf.DUMMYFUNCTION("""COMPUTED_VALUE"""),0.0)</f>
        <v>0</v>
      </c>
      <c r="L190" s="23" t="str">
        <f>IFERROR(__xludf.DUMMYFUNCTION("""COMPUTED_VALUE"""),"")</f>
        <v/>
      </c>
      <c r="M190" s="4" t="str">
        <f>IFERROR(__xludf.DUMMYFUNCTION("""COMPUTED_VALUE"""),"未入金")</f>
        <v>未入金</v>
      </c>
      <c r="N190" s="4" t="str">
        <f>IFERROR(__xludf.DUMMYFUNCTION("""COMPUTED_VALUE"""),"")</f>
        <v/>
      </c>
      <c r="O190" s="4"/>
    </row>
    <row r="191" ht="15.75" customHeight="1">
      <c r="A191" s="4" t="str">
        <f>IFERROR(__xludf.DUMMYFUNCTION("""COMPUTED_VALUE"""),"SB00024477")</f>
        <v>SB00024477</v>
      </c>
      <c r="B191" s="17">
        <f>IFERROR(__xludf.DUMMYFUNCTION("""COMPUTED_VALUE"""),46083.0)</f>
        <v>46083</v>
      </c>
      <c r="C191" s="4" t="str">
        <f>IFERROR(__xludf.DUMMYFUNCTION("""COMPUTED_VALUE"""),"株式会社明和工作所代表取締役　菊田九")</f>
        <v>株式会社明和工作所代表取締役　菊田九</v>
      </c>
      <c r="D191" s="4" t="str">
        <f>IFERROR(__xludf.DUMMYFUNCTION("""COMPUTED_VALUE"""),"西日本自動車共済")</f>
        <v>西日本自動車共済</v>
      </c>
      <c r="E191" s="4" t="str">
        <f>IFERROR(__xludf.DUMMYFUNCTION("""COMPUTED_VALUE"""),"損保ﾚﾝ（福")</f>
        <v>損保ﾚﾝ（福</v>
      </c>
      <c r="F191" s="23"/>
      <c r="G191" s="4"/>
      <c r="H191" s="4" t="str">
        <f>IFERROR(__xludf.DUMMYFUNCTION("""COMPUTED_VALUE"""),"未照合")</f>
        <v>未照合</v>
      </c>
      <c r="I191" s="4"/>
      <c r="J191" s="17"/>
      <c r="K191" s="23">
        <f>IFERROR(__xludf.DUMMYFUNCTION("""COMPUTED_VALUE"""),0.0)</f>
        <v>0</v>
      </c>
      <c r="L191" s="23" t="str">
        <f>IFERROR(__xludf.DUMMYFUNCTION("""COMPUTED_VALUE"""),"")</f>
        <v/>
      </c>
      <c r="M191" s="4" t="str">
        <f>IFERROR(__xludf.DUMMYFUNCTION("""COMPUTED_VALUE"""),"未入金")</f>
        <v>未入金</v>
      </c>
      <c r="N191" s="4" t="str">
        <f>IFERROR(__xludf.DUMMYFUNCTION("""COMPUTED_VALUE"""),"")</f>
        <v/>
      </c>
      <c r="O191" s="4"/>
    </row>
    <row r="192" ht="15.75" customHeight="1">
      <c r="A192" s="4" t="str">
        <f>IFERROR(__xludf.DUMMYFUNCTION("""COMPUTED_VALUE"""),"SB00024488")</f>
        <v>SB00024488</v>
      </c>
      <c r="B192" s="17">
        <f>IFERROR(__xludf.DUMMYFUNCTION("""COMPUTED_VALUE"""),46083.0)</f>
        <v>46083</v>
      </c>
      <c r="C192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192" s="4"/>
      <c r="E192" s="4" t="str">
        <f>IFERROR(__xludf.DUMMYFUNCTION("""COMPUTED_VALUE"""),"一般整備")</f>
        <v>一般整備</v>
      </c>
      <c r="F192" s="23"/>
      <c r="G192" s="4"/>
      <c r="H192" s="4" t="str">
        <f>IFERROR(__xludf.DUMMYFUNCTION("""COMPUTED_VALUE"""),"未照合")</f>
        <v>未照合</v>
      </c>
      <c r="I192" s="4"/>
      <c r="J192" s="17"/>
      <c r="K192" s="23">
        <f>IFERROR(__xludf.DUMMYFUNCTION("""COMPUTED_VALUE"""),0.0)</f>
        <v>0</v>
      </c>
      <c r="L192" s="23" t="str">
        <f>IFERROR(__xludf.DUMMYFUNCTION("""COMPUTED_VALUE"""),"")</f>
        <v/>
      </c>
      <c r="M192" s="4" t="str">
        <f>IFERROR(__xludf.DUMMYFUNCTION("""COMPUTED_VALUE"""),"未入金")</f>
        <v>未入金</v>
      </c>
      <c r="N192" s="4" t="str">
        <f>IFERROR(__xludf.DUMMYFUNCTION("""COMPUTED_VALUE"""),"")</f>
        <v/>
      </c>
      <c r="O192" s="4"/>
    </row>
    <row r="193" ht="15.75" customHeight="1">
      <c r="A193" s="4" t="str">
        <f>IFERROR(__xludf.DUMMYFUNCTION("""COMPUTED_VALUE"""),"SB00024453")</f>
        <v>SB00024453</v>
      </c>
      <c r="B193" s="17">
        <f>IFERROR(__xludf.DUMMYFUNCTION("""COMPUTED_VALUE"""),46082.0)</f>
        <v>46082</v>
      </c>
      <c r="C193" s="4" t="str">
        <f>IFERROR(__xludf.DUMMYFUNCTION("""COMPUTED_VALUE"""),"オートファイル 有限会社")</f>
        <v>オートファイル 有限会社</v>
      </c>
      <c r="D193" s="4"/>
      <c r="E193" s="4" t="str">
        <f>IFERROR(__xludf.DUMMYFUNCTION("""COMPUTED_VALUE"""),"一般整備")</f>
        <v>一般整備</v>
      </c>
      <c r="F193" s="23"/>
      <c r="G193" s="4"/>
      <c r="H193" s="4" t="str">
        <f>IFERROR(__xludf.DUMMYFUNCTION("""COMPUTED_VALUE"""),"未照合")</f>
        <v>未照合</v>
      </c>
      <c r="I193" s="4"/>
      <c r="J193" s="17"/>
      <c r="K193" s="23">
        <f>IFERROR(__xludf.DUMMYFUNCTION("""COMPUTED_VALUE"""),0.0)</f>
        <v>0</v>
      </c>
      <c r="L193" s="23" t="str">
        <f>IFERROR(__xludf.DUMMYFUNCTION("""COMPUTED_VALUE"""),"")</f>
        <v/>
      </c>
      <c r="M193" s="4" t="str">
        <f>IFERROR(__xludf.DUMMYFUNCTION("""COMPUTED_VALUE"""),"未入金")</f>
        <v>未入金</v>
      </c>
      <c r="N193" s="4" t="str">
        <f>IFERROR(__xludf.DUMMYFUNCTION("""COMPUTED_VALUE"""),"")</f>
        <v/>
      </c>
      <c r="O193" s="4"/>
    </row>
    <row r="194" ht="15.75" customHeight="1">
      <c r="A194" s="4" t="str">
        <f>IFERROR(__xludf.DUMMYFUNCTION("""COMPUTED_VALUE"""),"SB00024484")</f>
        <v>SB00024484</v>
      </c>
      <c r="B194" s="17">
        <f>IFERROR(__xludf.DUMMYFUNCTION("""COMPUTED_VALUE"""),46082.0)</f>
        <v>46082</v>
      </c>
      <c r="C194" s="4" t="str">
        <f>IFERROR(__xludf.DUMMYFUNCTION("""COMPUTED_VALUE"""),"(有)ユナイテッドクローバーズ代表取締役　竹本　博一")</f>
        <v>(有)ユナイテッドクローバーズ代表取締役　竹本　博一</v>
      </c>
      <c r="D194" s="4"/>
      <c r="E194" s="4" t="str">
        <f>IFERROR(__xludf.DUMMYFUNCTION("""COMPUTED_VALUE"""),"一般整備")</f>
        <v>一般整備</v>
      </c>
      <c r="F194" s="23"/>
      <c r="G194" s="4"/>
      <c r="H194" s="4" t="str">
        <f>IFERROR(__xludf.DUMMYFUNCTION("""COMPUTED_VALUE"""),"自動消込")</f>
        <v>自動消込</v>
      </c>
      <c r="I194" s="4" t="str">
        <f>IFERROR(__xludf.DUMMYFUNCTION("""COMPUTED_VALUE"""),"振り込み")</f>
        <v>振り込み</v>
      </c>
      <c r="J194" s="17"/>
      <c r="K194" s="23">
        <f>IFERROR(__xludf.DUMMYFUNCTION("""COMPUTED_VALUE"""),0.0)</f>
        <v>0</v>
      </c>
      <c r="L194" s="23" t="str">
        <f>IFERROR(__xludf.DUMMYFUNCTION("""COMPUTED_VALUE"""),"")</f>
        <v/>
      </c>
      <c r="M194" s="4" t="str">
        <f>IFERROR(__xludf.DUMMYFUNCTION("""COMPUTED_VALUE"""),"入金済")</f>
        <v>入金済</v>
      </c>
      <c r="N194" s="4" t="str">
        <f>IFERROR(__xludf.DUMMYFUNCTION("""COMPUTED_VALUE"""),"")</f>
        <v/>
      </c>
      <c r="O194" s="4"/>
    </row>
    <row r="195" ht="15.75" customHeight="1">
      <c r="A195" s="19"/>
      <c r="B195" s="17">
        <f>IFERROR(__xludf.DUMMYFUNCTION("""COMPUTED_VALUE"""),46082.0)</f>
        <v>46082</v>
      </c>
      <c r="C195" s="4" t="str">
        <f>IFERROR(__xludf.DUMMYFUNCTION("""COMPUTED_VALUE"""),"小林弘治様RRE")</f>
        <v>小林弘治様RRE</v>
      </c>
      <c r="D195" s="19"/>
      <c r="E195" s="4" t="str">
        <f>IFERROR(__xludf.DUMMYFUNCTION("""COMPUTED_VALUE"""),"車販")</f>
        <v>車販</v>
      </c>
      <c r="F195" s="23"/>
      <c r="G195" s="19"/>
      <c r="H195" s="4" t="str">
        <f>IFERROR(__xludf.DUMMYFUNCTION("""COMPUTED_VALUE"""),"未照合")</f>
        <v>未照合</v>
      </c>
      <c r="I195" s="19"/>
      <c r="J195" s="17"/>
      <c r="K195" s="23">
        <f>IFERROR(__xludf.DUMMYFUNCTION("""COMPUTED_VALUE"""),0.0)</f>
        <v>0</v>
      </c>
      <c r="L195" s="23" t="str">
        <f>IFERROR(__xludf.DUMMYFUNCTION("""COMPUTED_VALUE"""),"")</f>
        <v/>
      </c>
      <c r="M195" s="4" t="str">
        <f>IFERROR(__xludf.DUMMYFUNCTION("""COMPUTED_VALUE"""),"未入金")</f>
        <v>未入金</v>
      </c>
      <c r="N195" s="19" t="str">
        <f>IFERROR(__xludf.DUMMYFUNCTION("""COMPUTED_VALUE"""),"")</f>
        <v/>
      </c>
      <c r="O195" s="19"/>
    </row>
    <row r="196" ht="15.75" customHeight="1">
      <c r="A196" s="19"/>
      <c r="B196" s="17">
        <f>IFERROR(__xludf.DUMMYFUNCTION("""COMPUTED_VALUE"""),46065.0)</f>
        <v>46065</v>
      </c>
      <c r="C196" s="4" t="str">
        <f>IFERROR(__xludf.DUMMYFUNCTION("""COMPUTED_VALUE"""),"難波未来")</f>
        <v>難波未来</v>
      </c>
      <c r="D196" s="19"/>
      <c r="E196" s="4" t="str">
        <f>IFERROR(__xludf.DUMMYFUNCTION("""COMPUTED_VALUE"""),"車販")</f>
        <v>車販</v>
      </c>
      <c r="F196" s="23"/>
      <c r="G196" s="19"/>
      <c r="H196" s="4" t="str">
        <f>IFERROR(__xludf.DUMMYFUNCTION("""COMPUTED_VALUE"""),"未照合")</f>
        <v>未照合</v>
      </c>
      <c r="I196" s="19"/>
      <c r="J196" s="17"/>
      <c r="K196" s="23">
        <f>IFERROR(__xludf.DUMMYFUNCTION("""COMPUTED_VALUE"""),0.0)</f>
        <v>0</v>
      </c>
      <c r="L196" s="23" t="str">
        <f>IFERROR(__xludf.DUMMYFUNCTION("""COMPUTED_VALUE"""),"")</f>
        <v/>
      </c>
      <c r="M196" s="4" t="str">
        <f>IFERROR(__xludf.DUMMYFUNCTION("""COMPUTED_VALUE"""),"未入金")</f>
        <v>未入金</v>
      </c>
      <c r="N196" s="19" t="str">
        <f>IFERROR(__xludf.DUMMYFUNCTION("""COMPUTED_VALUE"""),"")</f>
        <v/>
      </c>
      <c r="O196" s="19"/>
    </row>
    <row r="197" ht="15.75" customHeight="1">
      <c r="A197" s="19"/>
      <c r="B197" s="17">
        <f>IFERROR(__xludf.DUMMYFUNCTION("""COMPUTED_VALUE"""),46060.0)</f>
        <v>46060</v>
      </c>
      <c r="C197" s="4" t="str">
        <f>IFERROR(__xludf.DUMMYFUNCTION("""COMPUTED_VALUE"""),"㈱ﾏﾝｸﾞﾛｰﾌﾞ")</f>
        <v>㈱ﾏﾝｸﾞﾛｰﾌﾞ</v>
      </c>
      <c r="D197" s="19"/>
      <c r="E197" s="4" t="str">
        <f>IFERROR(__xludf.DUMMYFUNCTION("""COMPUTED_VALUE"""),"車販")</f>
        <v>車販</v>
      </c>
      <c r="F197" s="23"/>
      <c r="G197" s="19"/>
      <c r="H197" s="4" t="str">
        <f>IFERROR(__xludf.DUMMYFUNCTION("""COMPUTED_VALUE"""),"未照合")</f>
        <v>未照合</v>
      </c>
      <c r="I197" s="19"/>
      <c r="J197" s="17"/>
      <c r="K197" s="23">
        <f>IFERROR(__xludf.DUMMYFUNCTION("""COMPUTED_VALUE"""),0.0)</f>
        <v>0</v>
      </c>
      <c r="L197" s="23" t="str">
        <f>IFERROR(__xludf.DUMMYFUNCTION("""COMPUTED_VALUE"""),"")</f>
        <v/>
      </c>
      <c r="M197" s="4" t="str">
        <f>IFERROR(__xludf.DUMMYFUNCTION("""COMPUTED_VALUE"""),"未入金")</f>
        <v>未入金</v>
      </c>
      <c r="N197" s="19" t="str">
        <f>IFERROR(__xludf.DUMMYFUNCTION("""COMPUTED_VALUE"""),"")</f>
        <v/>
      </c>
      <c r="O197" s="19"/>
    </row>
    <row r="198" ht="15.75" customHeight="1">
      <c r="A198" s="19"/>
      <c r="B198" s="17">
        <f>IFERROR(__xludf.DUMMYFUNCTION("""COMPUTED_VALUE"""),46057.0)</f>
        <v>46057</v>
      </c>
      <c r="C198" s="4" t="str">
        <f>IFERROR(__xludf.DUMMYFUNCTION("""COMPUTED_VALUE"""),"飛谷暁儀")</f>
        <v>飛谷暁儀</v>
      </c>
      <c r="D198" s="19"/>
      <c r="E198" s="4" t="str">
        <f>IFERROR(__xludf.DUMMYFUNCTION("""COMPUTED_VALUE"""),"車販")</f>
        <v>車販</v>
      </c>
      <c r="F198" s="23"/>
      <c r="G198" s="19"/>
      <c r="H198" s="4" t="str">
        <f>IFERROR(__xludf.DUMMYFUNCTION("""COMPUTED_VALUE"""),"未照合")</f>
        <v>未照合</v>
      </c>
      <c r="I198" s="19"/>
      <c r="J198" s="17"/>
      <c r="K198" s="23">
        <f>IFERROR(__xludf.DUMMYFUNCTION("""COMPUTED_VALUE"""),0.0)</f>
        <v>0</v>
      </c>
      <c r="L198" s="23" t="str">
        <f>IFERROR(__xludf.DUMMYFUNCTION("""COMPUTED_VALUE"""),"")</f>
        <v/>
      </c>
      <c r="M198" s="4" t="str">
        <f>IFERROR(__xludf.DUMMYFUNCTION("""COMPUTED_VALUE"""),"未入金")</f>
        <v>未入金</v>
      </c>
      <c r="N198" s="19" t="str">
        <f>IFERROR(__xludf.DUMMYFUNCTION("""COMPUTED_VALUE"""),"")</f>
        <v/>
      </c>
      <c r="O198" s="19"/>
    </row>
    <row r="199" ht="15.75" customHeight="1">
      <c r="A199" s="19"/>
      <c r="B199" s="17">
        <f>IFERROR(__xludf.DUMMYFUNCTION("""COMPUTED_VALUE"""),46054.0)</f>
        <v>46054</v>
      </c>
      <c r="C199" s="4" t="str">
        <f>IFERROR(__xludf.DUMMYFUNCTION("""COMPUTED_VALUE"""),"㈱一条工務店広島")</f>
        <v>㈱一条工務店広島</v>
      </c>
      <c r="D199" s="19"/>
      <c r="E199" s="4" t="str">
        <f>IFERROR(__xludf.DUMMYFUNCTION("""COMPUTED_VALUE"""),"車販")</f>
        <v>車販</v>
      </c>
      <c r="F199" s="23"/>
      <c r="G199" s="19"/>
      <c r="H199" s="4" t="str">
        <f>IFERROR(__xludf.DUMMYFUNCTION("""COMPUTED_VALUE"""),"未照合")</f>
        <v>未照合</v>
      </c>
      <c r="I199" s="19"/>
      <c r="J199" s="17"/>
      <c r="K199" s="23">
        <f>IFERROR(__xludf.DUMMYFUNCTION("""COMPUTED_VALUE"""),0.0)</f>
        <v>0</v>
      </c>
      <c r="L199" s="23" t="str">
        <f>IFERROR(__xludf.DUMMYFUNCTION("""COMPUTED_VALUE"""),"")</f>
        <v/>
      </c>
      <c r="M199" s="4" t="str">
        <f>IFERROR(__xludf.DUMMYFUNCTION("""COMPUTED_VALUE"""),"未入金")</f>
        <v>未入金</v>
      </c>
      <c r="N199" s="19" t="str">
        <f>IFERROR(__xludf.DUMMYFUNCTION("""COMPUTED_VALUE"""),"")</f>
        <v/>
      </c>
      <c r="O199" s="19"/>
    </row>
    <row r="200" ht="15.75" customHeight="1">
      <c r="B200" s="17"/>
      <c r="F200" s="23"/>
      <c r="J200" s="17"/>
      <c r="K200" s="23"/>
      <c r="L200" s="23"/>
    </row>
    <row r="201" ht="15.75" customHeight="1">
      <c r="B201" s="17"/>
      <c r="F201" s="23"/>
      <c r="J201" s="17"/>
      <c r="K201" s="23"/>
      <c r="L201" s="23"/>
    </row>
    <row r="202" ht="15.75" customHeight="1">
      <c r="B202" s="17"/>
      <c r="F202" s="23"/>
      <c r="J202" s="17"/>
      <c r="K202" s="23"/>
      <c r="L202" s="23"/>
    </row>
    <row r="203" ht="15.75" customHeight="1">
      <c r="B203" s="17"/>
      <c r="F203" s="23"/>
      <c r="J203" s="17"/>
      <c r="K203" s="23"/>
      <c r="L203" s="23"/>
    </row>
    <row r="204" ht="15.75" customHeight="1">
      <c r="B204" s="17"/>
      <c r="F204" s="23"/>
      <c r="J204" s="17"/>
      <c r="K204" s="23"/>
      <c r="L204" s="23"/>
    </row>
    <row r="205" ht="15.75" customHeight="1">
      <c r="B205" s="17"/>
      <c r="F205" s="23"/>
      <c r="J205" s="17"/>
      <c r="K205" s="23"/>
      <c r="L205" s="23"/>
    </row>
    <row r="206" ht="15.75" customHeight="1">
      <c r="B206" s="17"/>
      <c r="F206" s="23"/>
      <c r="J206" s="17"/>
      <c r="K206" s="23"/>
      <c r="L206" s="23"/>
    </row>
    <row r="207" ht="15.75" customHeight="1">
      <c r="B207" s="17"/>
      <c r="F207" s="23"/>
      <c r="J207" s="17"/>
      <c r="K207" s="23"/>
      <c r="L207" s="23"/>
    </row>
    <row r="208" ht="15.75" customHeight="1">
      <c r="B208" s="17"/>
      <c r="F208" s="23"/>
      <c r="J208" s="17"/>
      <c r="K208" s="23"/>
      <c r="L208" s="23"/>
    </row>
    <row r="209" ht="15.75" customHeight="1">
      <c r="B209" s="17"/>
      <c r="F209" s="23"/>
      <c r="J209" s="17"/>
      <c r="K209" s="23"/>
      <c r="L209" s="23"/>
    </row>
    <row r="210" ht="15.75" customHeight="1">
      <c r="B210" s="17"/>
      <c r="F210" s="23"/>
      <c r="J210" s="17"/>
      <c r="K210" s="23"/>
      <c r="L210" s="23"/>
    </row>
    <row r="211" ht="15.75" customHeight="1">
      <c r="B211" s="17"/>
      <c r="F211" s="23"/>
      <c r="J211" s="17"/>
      <c r="K211" s="23"/>
      <c r="L211" s="23"/>
    </row>
    <row r="212" ht="15.75" customHeight="1">
      <c r="B212" s="17"/>
      <c r="F212" s="23"/>
      <c r="J212" s="17"/>
      <c r="K212" s="23"/>
      <c r="L212" s="23"/>
    </row>
    <row r="213" ht="15.75" customHeight="1">
      <c r="B213" s="17"/>
      <c r="F213" s="23"/>
      <c r="J213" s="17"/>
      <c r="K213" s="23"/>
      <c r="L213" s="23"/>
    </row>
    <row r="214" ht="15.75" customHeight="1">
      <c r="B214" s="17"/>
      <c r="F214" s="23"/>
      <c r="J214" s="17"/>
      <c r="K214" s="23"/>
      <c r="L214" s="23"/>
    </row>
    <row r="215" ht="15.75" customHeight="1">
      <c r="B215" s="17"/>
      <c r="F215" s="23"/>
      <c r="J215" s="17"/>
      <c r="K215" s="23"/>
      <c r="L215" s="23"/>
    </row>
    <row r="216" ht="15.75" customHeight="1">
      <c r="B216" s="17"/>
      <c r="F216" s="23"/>
      <c r="J216" s="17"/>
      <c r="K216" s="23"/>
      <c r="L216" s="23"/>
    </row>
    <row r="217" ht="15.75" customHeight="1">
      <c r="B217" s="17"/>
      <c r="F217" s="23"/>
      <c r="J217" s="17"/>
      <c r="K217" s="23"/>
      <c r="L217" s="23"/>
    </row>
    <row r="218" ht="15.75" customHeight="1">
      <c r="B218" s="17"/>
      <c r="F218" s="23"/>
      <c r="J218" s="17"/>
      <c r="K218" s="23"/>
      <c r="L218" s="23"/>
    </row>
    <row r="219" ht="15.75" customHeight="1">
      <c r="B219" s="17"/>
      <c r="F219" s="23"/>
      <c r="J219" s="17"/>
      <c r="K219" s="23"/>
      <c r="L219" s="23"/>
    </row>
    <row r="220" ht="15.75" customHeight="1">
      <c r="B220" s="17"/>
      <c r="F220" s="23"/>
      <c r="J220" s="17"/>
      <c r="K220" s="23"/>
      <c r="L220" s="23"/>
    </row>
    <row r="221" ht="15.75" customHeight="1">
      <c r="B221" s="17"/>
      <c r="F221" s="23"/>
      <c r="J221" s="17"/>
      <c r="K221" s="23"/>
      <c r="L221" s="23"/>
    </row>
    <row r="222" ht="15.75" customHeight="1">
      <c r="B222" s="17"/>
      <c r="F222" s="23"/>
      <c r="J222" s="17"/>
      <c r="K222" s="23"/>
      <c r="L222" s="23"/>
    </row>
    <row r="223" ht="15.75" customHeight="1">
      <c r="B223" s="17"/>
      <c r="F223" s="23"/>
      <c r="J223" s="17"/>
      <c r="K223" s="23"/>
      <c r="L223" s="23"/>
    </row>
    <row r="224" ht="15.75" customHeight="1">
      <c r="B224" s="17"/>
      <c r="F224" s="23"/>
      <c r="J224" s="17"/>
      <c r="K224" s="23"/>
      <c r="L224" s="23"/>
    </row>
    <row r="225" ht="15.75" customHeight="1">
      <c r="B225" s="17"/>
      <c r="F225" s="23"/>
      <c r="J225" s="17"/>
      <c r="K225" s="23"/>
      <c r="L225" s="23"/>
    </row>
    <row r="226" ht="15.75" customHeight="1">
      <c r="B226" s="17"/>
      <c r="F226" s="23"/>
      <c r="J226" s="17"/>
      <c r="K226" s="23"/>
      <c r="L226" s="23"/>
    </row>
    <row r="227" ht="15.75" customHeight="1">
      <c r="B227" s="17"/>
      <c r="F227" s="23"/>
      <c r="J227" s="17"/>
      <c r="K227" s="23"/>
      <c r="L227" s="23"/>
    </row>
    <row r="228" ht="15.75" customHeight="1">
      <c r="B228" s="17"/>
      <c r="F228" s="23"/>
      <c r="J228" s="17"/>
      <c r="K228" s="23"/>
      <c r="L228" s="23"/>
    </row>
    <row r="229" ht="15.75" customHeight="1">
      <c r="B229" s="17"/>
      <c r="F229" s="23"/>
      <c r="J229" s="17"/>
      <c r="K229" s="23"/>
      <c r="L229" s="23"/>
    </row>
    <row r="230" ht="15.75" customHeight="1">
      <c r="B230" s="17"/>
      <c r="F230" s="23"/>
      <c r="J230" s="17"/>
      <c r="K230" s="23"/>
      <c r="L230" s="23"/>
    </row>
    <row r="231" ht="15.75" customHeight="1">
      <c r="B231" s="17"/>
      <c r="F231" s="23"/>
      <c r="J231" s="17"/>
      <c r="K231" s="23"/>
      <c r="L231" s="23"/>
    </row>
    <row r="232" ht="15.75" customHeight="1">
      <c r="B232" s="17"/>
      <c r="F232" s="23"/>
      <c r="J232" s="17"/>
      <c r="K232" s="23"/>
      <c r="L232" s="23"/>
    </row>
    <row r="233" ht="15.75" customHeight="1">
      <c r="B233" s="17"/>
      <c r="F233" s="23"/>
      <c r="J233" s="17"/>
      <c r="K233" s="23"/>
      <c r="L233" s="23"/>
    </row>
    <row r="234" ht="15.75" customHeight="1">
      <c r="B234" s="17"/>
      <c r="F234" s="23"/>
      <c r="J234" s="17"/>
      <c r="K234" s="23"/>
      <c r="L234" s="23"/>
    </row>
    <row r="235" ht="15.75" customHeight="1">
      <c r="B235" s="17"/>
      <c r="F235" s="23"/>
      <c r="J235" s="17"/>
      <c r="K235" s="23"/>
      <c r="L235" s="23"/>
    </row>
    <row r="236" ht="15.75" customHeight="1">
      <c r="B236" s="17"/>
      <c r="F236" s="23"/>
      <c r="J236" s="17"/>
      <c r="K236" s="23"/>
      <c r="L236" s="23"/>
    </row>
    <row r="237" ht="15.75" customHeight="1">
      <c r="B237" s="17"/>
      <c r="F237" s="23"/>
      <c r="J237" s="17"/>
      <c r="K237" s="23"/>
      <c r="L237" s="23"/>
    </row>
    <row r="238" ht="15.75" customHeight="1">
      <c r="B238" s="17"/>
      <c r="F238" s="23"/>
      <c r="J238" s="17"/>
      <c r="K238" s="23"/>
      <c r="L238" s="23"/>
    </row>
    <row r="239" ht="15.75" customHeight="1">
      <c r="B239" s="17"/>
      <c r="F239" s="23"/>
      <c r="J239" s="17"/>
      <c r="K239" s="23"/>
      <c r="L239" s="23"/>
    </row>
    <row r="240" ht="15.75" customHeight="1">
      <c r="B240" s="17"/>
      <c r="F240" s="23"/>
      <c r="J240" s="17"/>
      <c r="K240" s="23"/>
      <c r="L240" s="23"/>
    </row>
    <row r="241" ht="15.75" customHeight="1">
      <c r="B241" s="17"/>
      <c r="F241" s="23"/>
      <c r="J241" s="17"/>
      <c r="K241" s="23"/>
      <c r="L241" s="23"/>
    </row>
    <row r="242" ht="15.75" customHeight="1">
      <c r="B242" s="17"/>
      <c r="F242" s="23"/>
      <c r="J242" s="17"/>
      <c r="K242" s="23"/>
      <c r="L242" s="23"/>
    </row>
    <row r="243" ht="15.75" customHeight="1">
      <c r="B243" s="17"/>
      <c r="F243" s="23"/>
      <c r="J243" s="17"/>
      <c r="K243" s="23"/>
      <c r="L243" s="23"/>
    </row>
    <row r="244" ht="15.75" customHeight="1">
      <c r="B244" s="17"/>
      <c r="F244" s="23"/>
      <c r="J244" s="17"/>
      <c r="K244" s="23"/>
      <c r="L244" s="23"/>
    </row>
    <row r="245" ht="15.75" customHeight="1">
      <c r="B245" s="17"/>
      <c r="F245" s="23"/>
      <c r="J245" s="17"/>
      <c r="K245" s="23"/>
      <c r="L245" s="23"/>
    </row>
    <row r="246" ht="15.75" customHeight="1">
      <c r="B246" s="17"/>
      <c r="F246" s="23"/>
      <c r="J246" s="17"/>
      <c r="K246" s="23"/>
      <c r="L246" s="23"/>
    </row>
    <row r="247" ht="15.75" customHeight="1">
      <c r="B247" s="17"/>
      <c r="F247" s="23"/>
      <c r="J247" s="17"/>
      <c r="K247" s="23"/>
      <c r="L247" s="23"/>
    </row>
    <row r="248" ht="15.75" customHeight="1">
      <c r="B248" s="17"/>
      <c r="F248" s="23"/>
      <c r="J248" s="17"/>
      <c r="K248" s="23"/>
      <c r="L248" s="23"/>
    </row>
    <row r="249" ht="15.75" customHeight="1">
      <c r="B249" s="17"/>
      <c r="F249" s="23"/>
      <c r="J249" s="17"/>
      <c r="K249" s="23"/>
      <c r="L249" s="23"/>
    </row>
    <row r="250" ht="15.75" customHeight="1">
      <c r="B250" s="17"/>
      <c r="F250" s="23"/>
      <c r="J250" s="17"/>
      <c r="K250" s="23"/>
      <c r="L250" s="23"/>
    </row>
    <row r="251" ht="15.75" customHeight="1">
      <c r="B251" s="17"/>
      <c r="F251" s="23"/>
      <c r="J251" s="17"/>
      <c r="K251" s="23"/>
      <c r="L251" s="23"/>
    </row>
    <row r="252" ht="15.75" customHeight="1">
      <c r="B252" s="17"/>
      <c r="F252" s="23"/>
      <c r="J252" s="17"/>
      <c r="K252" s="23"/>
      <c r="L252" s="23"/>
    </row>
    <row r="253" ht="15.75" customHeight="1">
      <c r="B253" s="17"/>
      <c r="F253" s="23"/>
      <c r="J253" s="17"/>
      <c r="K253" s="23"/>
      <c r="L253" s="23"/>
    </row>
    <row r="254" ht="15.75" customHeight="1">
      <c r="B254" s="17"/>
      <c r="F254" s="23"/>
      <c r="J254" s="17"/>
      <c r="K254" s="23"/>
      <c r="L254" s="23"/>
    </row>
    <row r="255" ht="15.75" customHeight="1">
      <c r="B255" s="17"/>
      <c r="F255" s="23"/>
      <c r="J255" s="17"/>
      <c r="K255" s="23"/>
      <c r="L255" s="23"/>
    </row>
    <row r="256" ht="15.75" customHeight="1">
      <c r="B256" s="17"/>
      <c r="F256" s="23"/>
      <c r="J256" s="17"/>
      <c r="K256" s="23"/>
      <c r="L256" s="23"/>
    </row>
    <row r="257" ht="15.75" customHeight="1">
      <c r="B257" s="17"/>
      <c r="F257" s="23"/>
      <c r="J257" s="17"/>
      <c r="K257" s="23"/>
      <c r="L257" s="23"/>
    </row>
    <row r="258" ht="15.75" customHeight="1">
      <c r="B258" s="17"/>
      <c r="F258" s="23"/>
      <c r="J258" s="17"/>
      <c r="K258" s="23"/>
      <c r="L258" s="23"/>
    </row>
    <row r="259" ht="15.75" customHeight="1">
      <c r="B259" s="17"/>
      <c r="F259" s="23"/>
      <c r="J259" s="17"/>
      <c r="K259" s="23"/>
      <c r="L259" s="23"/>
    </row>
    <row r="260" ht="15.75" customHeight="1">
      <c r="B260" s="17"/>
      <c r="F260" s="23"/>
      <c r="J260" s="17"/>
      <c r="K260" s="23"/>
      <c r="L260" s="23"/>
    </row>
    <row r="261" ht="15.75" customHeight="1">
      <c r="B261" s="17"/>
      <c r="F261" s="23"/>
      <c r="J261" s="17"/>
      <c r="K261" s="23"/>
      <c r="L261" s="23"/>
    </row>
    <row r="262" ht="15.75" customHeight="1">
      <c r="B262" s="17"/>
      <c r="F262" s="23"/>
      <c r="J262" s="17"/>
      <c r="K262" s="23"/>
      <c r="L262" s="23"/>
    </row>
    <row r="263" ht="15.75" customHeight="1">
      <c r="B263" s="17"/>
      <c r="F263" s="23"/>
      <c r="J263" s="17"/>
      <c r="K263" s="23"/>
      <c r="L263" s="23"/>
    </row>
    <row r="264" ht="15.75" customHeight="1">
      <c r="B264" s="17"/>
      <c r="F264" s="23"/>
      <c r="J264" s="17"/>
      <c r="K264" s="23"/>
      <c r="L264" s="23"/>
    </row>
    <row r="265" ht="15.75" customHeight="1">
      <c r="B265" s="17"/>
      <c r="F265" s="23"/>
      <c r="J265" s="17"/>
      <c r="K265" s="23"/>
      <c r="L265" s="23"/>
    </row>
    <row r="266" ht="15.75" customHeight="1">
      <c r="B266" s="17"/>
      <c r="F266" s="23"/>
      <c r="J266" s="17"/>
      <c r="K266" s="23"/>
      <c r="L266" s="23"/>
    </row>
    <row r="267" ht="15.75" customHeight="1">
      <c r="B267" s="17"/>
      <c r="F267" s="23"/>
      <c r="J267" s="17"/>
      <c r="K267" s="23"/>
      <c r="L267" s="23"/>
    </row>
    <row r="268" ht="15.75" customHeight="1">
      <c r="B268" s="17"/>
      <c r="F268" s="23"/>
      <c r="J268" s="17"/>
      <c r="K268" s="23"/>
      <c r="L268" s="23"/>
    </row>
    <row r="269" ht="15.75" customHeight="1">
      <c r="B269" s="17"/>
      <c r="F269" s="23"/>
      <c r="J269" s="17"/>
      <c r="K269" s="23"/>
      <c r="L269" s="23"/>
    </row>
    <row r="270" ht="15.75" customHeight="1">
      <c r="B270" s="17"/>
      <c r="F270" s="23"/>
      <c r="J270" s="17"/>
      <c r="K270" s="23"/>
      <c r="L270" s="23"/>
    </row>
    <row r="271" ht="15.75" customHeight="1">
      <c r="B271" s="17"/>
      <c r="F271" s="23"/>
      <c r="J271" s="17"/>
      <c r="K271" s="23"/>
      <c r="L271" s="23"/>
    </row>
    <row r="272" ht="15.75" customHeight="1">
      <c r="B272" s="17"/>
      <c r="F272" s="23"/>
      <c r="J272" s="17"/>
      <c r="K272" s="23"/>
      <c r="L272" s="23"/>
    </row>
    <row r="273" ht="15.75" customHeight="1">
      <c r="B273" s="17"/>
      <c r="F273" s="23"/>
      <c r="J273" s="17"/>
      <c r="K273" s="23"/>
      <c r="L273" s="23"/>
    </row>
    <row r="274" ht="15.75" customHeight="1">
      <c r="B274" s="17"/>
      <c r="F274" s="23"/>
      <c r="J274" s="17"/>
      <c r="K274" s="23"/>
      <c r="L274" s="23"/>
    </row>
    <row r="275" ht="15.75" customHeight="1">
      <c r="B275" s="17"/>
      <c r="F275" s="23"/>
      <c r="J275" s="17"/>
      <c r="K275" s="23"/>
      <c r="L275" s="23"/>
    </row>
    <row r="276" ht="15.75" customHeight="1">
      <c r="B276" s="17"/>
      <c r="F276" s="23"/>
      <c r="J276" s="17"/>
      <c r="K276" s="23"/>
      <c r="L276" s="23"/>
    </row>
    <row r="277" ht="15.75" customHeight="1">
      <c r="B277" s="17"/>
      <c r="F277" s="23"/>
      <c r="J277" s="17"/>
      <c r="K277" s="23"/>
      <c r="L277" s="23"/>
    </row>
    <row r="278" ht="15.75" customHeight="1">
      <c r="B278" s="17"/>
      <c r="F278" s="23"/>
      <c r="J278" s="17"/>
      <c r="K278" s="23"/>
      <c r="L278" s="23"/>
    </row>
    <row r="279" ht="15.75" customHeight="1">
      <c r="B279" s="17"/>
      <c r="F279" s="23"/>
      <c r="J279" s="17"/>
      <c r="K279" s="23"/>
      <c r="L279" s="23"/>
    </row>
    <row r="280" ht="15.75" customHeight="1">
      <c r="B280" s="17"/>
      <c r="F280" s="23"/>
      <c r="J280" s="17"/>
      <c r="K280" s="23"/>
      <c r="L280" s="23"/>
    </row>
    <row r="281" ht="15.75" customHeight="1">
      <c r="B281" s="17"/>
      <c r="F281" s="23"/>
      <c r="J281" s="17"/>
      <c r="K281" s="23"/>
      <c r="L281" s="23"/>
    </row>
    <row r="282" ht="15.75" customHeight="1">
      <c r="B282" s="17"/>
      <c r="F282" s="23"/>
      <c r="J282" s="17"/>
      <c r="K282" s="23"/>
      <c r="L282" s="23"/>
    </row>
    <row r="283" ht="15.75" customHeight="1">
      <c r="B283" s="17"/>
      <c r="F283" s="23"/>
      <c r="J283" s="17"/>
      <c r="K283" s="23"/>
      <c r="L283" s="23"/>
    </row>
    <row r="284" ht="15.75" customHeight="1">
      <c r="B284" s="17"/>
      <c r="F284" s="23"/>
      <c r="J284" s="17"/>
      <c r="K284" s="23"/>
      <c r="L284" s="23"/>
    </row>
    <row r="285" ht="15.75" customHeight="1">
      <c r="B285" s="17"/>
      <c r="F285" s="23"/>
      <c r="J285" s="17"/>
      <c r="K285" s="23"/>
      <c r="L285" s="23"/>
    </row>
    <row r="286" ht="15.75" customHeight="1">
      <c r="B286" s="17"/>
      <c r="F286" s="23"/>
      <c r="J286" s="17"/>
      <c r="K286" s="23"/>
      <c r="L286" s="23"/>
    </row>
    <row r="287" ht="15.75" customHeight="1">
      <c r="B287" s="17"/>
      <c r="F287" s="23"/>
      <c r="J287" s="17"/>
      <c r="K287" s="23"/>
      <c r="L287" s="23"/>
    </row>
    <row r="288" ht="15.75" customHeight="1">
      <c r="B288" s="17"/>
      <c r="F288" s="23"/>
      <c r="J288" s="17"/>
      <c r="K288" s="23"/>
      <c r="L288" s="23"/>
    </row>
    <row r="289" ht="15.75" customHeight="1">
      <c r="B289" s="17"/>
      <c r="F289" s="23"/>
      <c r="J289" s="17"/>
      <c r="K289" s="23"/>
      <c r="L289" s="23"/>
    </row>
    <row r="290" ht="15.75" customHeight="1">
      <c r="B290" s="17"/>
      <c r="F290" s="23"/>
      <c r="J290" s="17"/>
      <c r="K290" s="23"/>
      <c r="L290" s="23"/>
    </row>
    <row r="291" ht="15.75" customHeight="1">
      <c r="B291" s="17"/>
      <c r="F291" s="23"/>
      <c r="J291" s="17"/>
      <c r="K291" s="23"/>
      <c r="L291" s="23"/>
    </row>
    <row r="292" ht="15.75" customHeight="1">
      <c r="B292" s="17"/>
      <c r="F292" s="23"/>
      <c r="J292" s="17"/>
      <c r="K292" s="23"/>
      <c r="L292" s="23"/>
    </row>
    <row r="293" ht="15.75" customHeight="1">
      <c r="B293" s="17"/>
      <c r="F293" s="23"/>
      <c r="J293" s="17"/>
      <c r="K293" s="23"/>
      <c r="L293" s="23"/>
    </row>
    <row r="294" ht="15.75" customHeight="1">
      <c r="B294" s="17"/>
      <c r="F294" s="23"/>
      <c r="J294" s="17"/>
      <c r="K294" s="23"/>
      <c r="L294" s="23"/>
    </row>
    <row r="295" ht="15.75" customHeight="1">
      <c r="B295" s="17"/>
      <c r="F295" s="23"/>
      <c r="J295" s="17"/>
      <c r="K295" s="23"/>
      <c r="L295" s="23"/>
    </row>
    <row r="296" ht="15.75" customHeight="1">
      <c r="B296" s="17"/>
      <c r="F296" s="23"/>
      <c r="J296" s="17"/>
      <c r="K296" s="23"/>
      <c r="L296" s="23"/>
    </row>
    <row r="297" ht="15.75" customHeight="1">
      <c r="B297" s="17"/>
      <c r="F297" s="23"/>
      <c r="J297" s="17"/>
      <c r="K297" s="23"/>
      <c r="L297" s="23"/>
    </row>
    <row r="298" ht="15.75" customHeight="1">
      <c r="B298" s="17"/>
      <c r="F298" s="23"/>
      <c r="J298" s="17"/>
      <c r="K298" s="23"/>
      <c r="L298" s="23"/>
    </row>
    <row r="299" ht="15.75" customHeight="1">
      <c r="B299" s="17"/>
      <c r="F299" s="23"/>
      <c r="J299" s="17"/>
      <c r="K299" s="23"/>
      <c r="L299" s="23"/>
    </row>
    <row r="300" ht="15.75" customHeight="1">
      <c r="B300" s="17"/>
      <c r="F300" s="23"/>
      <c r="J300" s="17"/>
      <c r="K300" s="23"/>
      <c r="L300" s="23"/>
    </row>
    <row r="301" ht="15.75" customHeight="1">
      <c r="B301" s="17"/>
      <c r="F301" s="23"/>
      <c r="J301" s="17"/>
      <c r="K301" s="23"/>
      <c r="L301" s="23"/>
    </row>
    <row r="302" ht="15.75" customHeight="1">
      <c r="B302" s="17"/>
      <c r="F302" s="23"/>
      <c r="J302" s="17"/>
      <c r="K302" s="23"/>
      <c r="L302" s="23"/>
    </row>
    <row r="303" ht="15.75" customHeight="1">
      <c r="B303" s="17"/>
      <c r="F303" s="23"/>
      <c r="J303" s="17"/>
      <c r="K303" s="23"/>
      <c r="L303" s="23"/>
    </row>
    <row r="304" ht="15.75" customHeight="1">
      <c r="B304" s="17"/>
      <c r="F304" s="23"/>
      <c r="J304" s="17"/>
      <c r="K304" s="23"/>
      <c r="L304" s="23"/>
    </row>
    <row r="305" ht="15.75" customHeight="1">
      <c r="B305" s="17"/>
      <c r="F305" s="23"/>
      <c r="J305" s="17"/>
      <c r="K305" s="23"/>
      <c r="L305" s="23"/>
    </row>
    <row r="306" ht="15.75" customHeight="1">
      <c r="B306" s="17"/>
      <c r="F306" s="23"/>
      <c r="J306" s="17"/>
      <c r="K306" s="23"/>
      <c r="L306" s="23"/>
    </row>
    <row r="307" ht="15.75" customHeight="1">
      <c r="B307" s="17"/>
      <c r="F307" s="23"/>
      <c r="J307" s="17"/>
      <c r="K307" s="23"/>
      <c r="L307" s="23"/>
    </row>
    <row r="308" ht="15.75" customHeight="1">
      <c r="B308" s="17"/>
      <c r="F308" s="23"/>
      <c r="J308" s="17"/>
      <c r="K308" s="23"/>
      <c r="L308" s="23"/>
    </row>
    <row r="309" ht="15.75" customHeight="1">
      <c r="B309" s="17"/>
      <c r="F309" s="23"/>
      <c r="J309" s="17"/>
      <c r="K309" s="23"/>
      <c r="L309" s="23"/>
    </row>
    <row r="310" ht="15.75" customHeight="1">
      <c r="B310" s="17"/>
      <c r="F310" s="23"/>
      <c r="J310" s="17"/>
      <c r="K310" s="23"/>
      <c r="L310" s="23"/>
    </row>
    <row r="311" ht="15.75" customHeight="1">
      <c r="B311" s="17"/>
      <c r="F311" s="23"/>
      <c r="J311" s="17"/>
      <c r="K311" s="23"/>
      <c r="L311" s="23"/>
    </row>
    <row r="312" ht="15.75" customHeight="1">
      <c r="B312" s="17"/>
      <c r="F312" s="23"/>
      <c r="J312" s="17"/>
      <c r="K312" s="23"/>
      <c r="L312" s="23"/>
    </row>
    <row r="313" ht="15.75" customHeight="1">
      <c r="B313" s="17"/>
      <c r="F313" s="23"/>
      <c r="J313" s="17"/>
      <c r="K313" s="23"/>
      <c r="L313" s="23"/>
    </row>
    <row r="314" ht="15.75" customHeight="1">
      <c r="B314" s="17"/>
      <c r="F314" s="23"/>
      <c r="J314" s="17"/>
      <c r="K314" s="23"/>
      <c r="L314" s="23"/>
    </row>
    <row r="315" ht="15.75" customHeight="1">
      <c r="B315" s="17"/>
      <c r="F315" s="23"/>
      <c r="J315" s="17"/>
      <c r="K315" s="23"/>
      <c r="L315" s="23"/>
    </row>
    <row r="316" ht="15.75" customHeight="1">
      <c r="B316" s="17"/>
      <c r="F316" s="23"/>
      <c r="J316" s="17"/>
      <c r="K316" s="23"/>
      <c r="L316" s="23"/>
    </row>
    <row r="317" ht="15.75" customHeight="1">
      <c r="B317" s="17"/>
      <c r="F317" s="23"/>
      <c r="J317" s="17"/>
      <c r="K317" s="23"/>
      <c r="L317" s="23"/>
    </row>
    <row r="318" ht="15.75" customHeight="1">
      <c r="B318" s="17"/>
      <c r="F318" s="23"/>
      <c r="J318" s="17"/>
      <c r="K318" s="23"/>
      <c r="L318" s="23"/>
    </row>
    <row r="319" ht="15.75" customHeight="1">
      <c r="B319" s="17"/>
      <c r="F319" s="23"/>
      <c r="J319" s="17"/>
      <c r="K319" s="23"/>
      <c r="L319" s="23"/>
    </row>
    <row r="320" ht="15.75" customHeight="1">
      <c r="B320" s="17"/>
      <c r="F320" s="23"/>
      <c r="J320" s="17"/>
      <c r="K320" s="23"/>
      <c r="L320" s="23"/>
    </row>
    <row r="321" ht="15.75" customHeight="1">
      <c r="B321" s="17"/>
      <c r="F321" s="23"/>
      <c r="J321" s="17"/>
      <c r="K321" s="23"/>
      <c r="L321" s="23"/>
    </row>
    <row r="322" ht="15.75" customHeight="1">
      <c r="B322" s="17"/>
      <c r="F322" s="23"/>
      <c r="J322" s="17"/>
      <c r="K322" s="23"/>
      <c r="L322" s="23"/>
    </row>
    <row r="323" ht="15.75" customHeight="1">
      <c r="B323" s="17"/>
      <c r="F323" s="23"/>
      <c r="J323" s="17"/>
      <c r="K323" s="23"/>
      <c r="L323" s="23"/>
    </row>
    <row r="324" ht="15.75" customHeight="1">
      <c r="B324" s="17"/>
      <c r="F324" s="23"/>
      <c r="J324" s="17"/>
      <c r="K324" s="23"/>
      <c r="L324" s="23"/>
    </row>
    <row r="325" ht="15.75" customHeight="1">
      <c r="B325" s="17"/>
      <c r="F325" s="23"/>
      <c r="J325" s="17"/>
      <c r="K325" s="23"/>
      <c r="L325" s="23"/>
    </row>
    <row r="326" ht="15.75" customHeight="1">
      <c r="B326" s="17"/>
      <c r="F326" s="23"/>
      <c r="J326" s="17"/>
      <c r="K326" s="23"/>
      <c r="L326" s="23"/>
    </row>
    <row r="327" ht="15.75" customHeight="1">
      <c r="B327" s="17"/>
      <c r="F327" s="23"/>
      <c r="J327" s="17"/>
      <c r="K327" s="23"/>
      <c r="L327" s="23"/>
    </row>
    <row r="328" ht="15.75" customHeight="1">
      <c r="B328" s="17"/>
      <c r="F328" s="23"/>
      <c r="J328" s="17"/>
      <c r="K328" s="23"/>
      <c r="L328" s="23"/>
    </row>
    <row r="329" ht="15.75" customHeight="1">
      <c r="B329" s="17"/>
      <c r="F329" s="23"/>
      <c r="J329" s="17"/>
      <c r="K329" s="23"/>
      <c r="L329" s="23"/>
    </row>
    <row r="330" ht="15.75" customHeight="1">
      <c r="B330" s="17"/>
      <c r="F330" s="23"/>
      <c r="J330" s="17"/>
      <c r="K330" s="23"/>
      <c r="L330" s="23"/>
    </row>
    <row r="331" ht="15.75" customHeight="1">
      <c r="B331" s="17"/>
      <c r="F331" s="23"/>
      <c r="J331" s="17"/>
      <c r="K331" s="23"/>
      <c r="L331" s="23"/>
    </row>
    <row r="332" ht="15.75" customHeight="1">
      <c r="B332" s="17"/>
      <c r="F332" s="23"/>
      <c r="J332" s="17"/>
      <c r="K332" s="23"/>
      <c r="L332" s="23"/>
    </row>
    <row r="333" ht="15.75" customHeight="1">
      <c r="B333" s="17"/>
      <c r="F333" s="23"/>
      <c r="J333" s="17"/>
      <c r="K333" s="23"/>
      <c r="L333" s="23"/>
    </row>
    <row r="334" ht="15.75" customHeight="1">
      <c r="B334" s="17"/>
      <c r="F334" s="23"/>
      <c r="J334" s="17"/>
      <c r="K334" s="23"/>
      <c r="L334" s="23"/>
    </row>
    <row r="335" ht="15.75" customHeight="1">
      <c r="B335" s="17"/>
      <c r="F335" s="23"/>
      <c r="J335" s="17"/>
      <c r="K335" s="23"/>
      <c r="L335" s="23"/>
    </row>
    <row r="336" ht="15.75" customHeight="1">
      <c r="B336" s="17"/>
      <c r="F336" s="23"/>
      <c r="J336" s="17"/>
      <c r="K336" s="23"/>
      <c r="L336" s="23"/>
    </row>
    <row r="337" ht="15.75" customHeight="1">
      <c r="B337" s="17"/>
      <c r="F337" s="23"/>
      <c r="J337" s="17"/>
      <c r="K337" s="23"/>
      <c r="L337" s="23"/>
    </row>
    <row r="338" ht="15.75" customHeight="1">
      <c r="B338" s="17"/>
      <c r="F338" s="23"/>
      <c r="J338" s="17"/>
      <c r="K338" s="23"/>
      <c r="L338" s="23"/>
    </row>
    <row r="339" ht="15.75" customHeight="1">
      <c r="B339" s="17"/>
      <c r="F339" s="23"/>
      <c r="J339" s="17"/>
      <c r="K339" s="23"/>
      <c r="L339" s="23"/>
    </row>
    <row r="340" ht="15.75" customHeight="1">
      <c r="B340" s="17"/>
      <c r="F340" s="23"/>
      <c r="J340" s="17"/>
      <c r="K340" s="23"/>
      <c r="L340" s="23"/>
    </row>
    <row r="341" ht="15.75" customHeight="1">
      <c r="B341" s="17"/>
      <c r="F341" s="23"/>
      <c r="J341" s="17"/>
      <c r="K341" s="23"/>
      <c r="L341" s="23"/>
    </row>
    <row r="342" ht="15.75" customHeight="1">
      <c r="B342" s="17"/>
      <c r="F342" s="23"/>
      <c r="J342" s="17"/>
      <c r="K342" s="23"/>
      <c r="L342" s="23"/>
    </row>
    <row r="343" ht="15.75" customHeight="1">
      <c r="B343" s="17"/>
      <c r="F343" s="23"/>
      <c r="J343" s="17"/>
      <c r="K343" s="23"/>
      <c r="L343" s="23"/>
    </row>
    <row r="344" ht="15.75" customHeight="1">
      <c r="B344" s="17"/>
      <c r="F344" s="23"/>
      <c r="J344" s="17"/>
      <c r="K344" s="23"/>
      <c r="L344" s="23"/>
    </row>
    <row r="345" ht="15.75" customHeight="1">
      <c r="B345" s="17"/>
      <c r="F345" s="23"/>
      <c r="J345" s="17"/>
      <c r="K345" s="23"/>
      <c r="L345" s="23"/>
    </row>
    <row r="346" ht="15.75" customHeight="1">
      <c r="B346" s="17"/>
      <c r="F346" s="23"/>
      <c r="J346" s="17"/>
      <c r="K346" s="23"/>
      <c r="L346" s="23"/>
    </row>
    <row r="347" ht="15.75" customHeight="1">
      <c r="B347" s="17"/>
      <c r="F347" s="23"/>
      <c r="J347" s="17"/>
      <c r="K347" s="23"/>
      <c r="L347" s="23"/>
    </row>
    <row r="348" ht="15.75" customHeight="1">
      <c r="B348" s="17"/>
      <c r="F348" s="23"/>
      <c r="J348" s="17"/>
      <c r="K348" s="23"/>
      <c r="L348" s="23"/>
    </row>
    <row r="349" ht="15.75" customHeight="1">
      <c r="B349" s="17"/>
      <c r="F349" s="23"/>
      <c r="J349" s="17"/>
      <c r="K349" s="23"/>
      <c r="L349" s="23"/>
    </row>
    <row r="350" ht="15.75" customHeight="1">
      <c r="B350" s="17"/>
      <c r="F350" s="23"/>
      <c r="J350" s="17"/>
      <c r="K350" s="23"/>
      <c r="L350" s="23"/>
    </row>
    <row r="351" ht="15.75" customHeight="1">
      <c r="B351" s="17"/>
      <c r="F351" s="23"/>
      <c r="J351" s="17"/>
      <c r="K351" s="23"/>
      <c r="L351" s="23"/>
    </row>
    <row r="352" ht="15.75" customHeight="1">
      <c r="B352" s="17"/>
      <c r="F352" s="23"/>
      <c r="J352" s="17"/>
      <c r="K352" s="23"/>
      <c r="L352" s="23"/>
    </row>
    <row r="353" ht="15.75" customHeight="1">
      <c r="B353" s="17"/>
      <c r="F353" s="23"/>
      <c r="J353" s="17"/>
      <c r="K353" s="23"/>
      <c r="L353" s="23"/>
    </row>
    <row r="354" ht="15.75" customHeight="1">
      <c r="B354" s="17"/>
      <c r="F354" s="23"/>
      <c r="J354" s="17"/>
      <c r="K354" s="23"/>
      <c r="L354" s="23"/>
    </row>
    <row r="355" ht="15.75" customHeight="1">
      <c r="B355" s="17"/>
      <c r="F355" s="23"/>
      <c r="J355" s="17"/>
      <c r="K355" s="23"/>
      <c r="L355" s="23"/>
    </row>
    <row r="356" ht="15.75" customHeight="1">
      <c r="B356" s="17"/>
      <c r="F356" s="23"/>
      <c r="J356" s="17"/>
      <c r="K356" s="23"/>
      <c r="L356" s="23"/>
    </row>
    <row r="357" ht="15.75" customHeight="1">
      <c r="B357" s="17"/>
      <c r="F357" s="23"/>
      <c r="J357" s="17"/>
      <c r="K357" s="23"/>
      <c r="L357" s="23"/>
    </row>
    <row r="358" ht="15.75" customHeight="1">
      <c r="B358" s="17"/>
      <c r="F358" s="23"/>
      <c r="J358" s="17"/>
      <c r="K358" s="23"/>
      <c r="L358" s="23"/>
    </row>
    <row r="359" ht="15.75" customHeight="1">
      <c r="B359" s="17"/>
      <c r="F359" s="23"/>
      <c r="J359" s="17"/>
      <c r="K359" s="23"/>
      <c r="L359" s="23"/>
    </row>
    <row r="360" ht="15.75" customHeight="1">
      <c r="B360" s="17"/>
      <c r="F360" s="23"/>
      <c r="J360" s="17"/>
      <c r="K360" s="23"/>
      <c r="L360" s="23"/>
    </row>
    <row r="361" ht="15.75" customHeight="1">
      <c r="B361" s="17"/>
      <c r="F361" s="23"/>
      <c r="J361" s="17"/>
      <c r="K361" s="23"/>
      <c r="L361" s="23"/>
    </row>
    <row r="362" ht="15.75" customHeight="1">
      <c r="B362" s="17"/>
      <c r="F362" s="23"/>
      <c r="J362" s="17"/>
      <c r="K362" s="23"/>
      <c r="L362" s="23"/>
    </row>
    <row r="363" ht="15.75" customHeight="1">
      <c r="B363" s="17"/>
      <c r="F363" s="23"/>
      <c r="J363" s="17"/>
      <c r="K363" s="23"/>
      <c r="L363" s="23"/>
    </row>
    <row r="364" ht="15.75" customHeight="1">
      <c r="B364" s="17"/>
      <c r="F364" s="23"/>
      <c r="J364" s="17"/>
      <c r="K364" s="23"/>
      <c r="L364" s="23"/>
    </row>
    <row r="365" ht="15.75" customHeight="1">
      <c r="B365" s="17"/>
      <c r="F365" s="23"/>
      <c r="J365" s="17"/>
      <c r="K365" s="23"/>
      <c r="L365" s="23"/>
    </row>
    <row r="366" ht="15.75" customHeight="1">
      <c r="B366" s="17"/>
      <c r="F366" s="23"/>
      <c r="J366" s="17"/>
      <c r="K366" s="23"/>
      <c r="L366" s="23"/>
    </row>
    <row r="367" ht="15.75" customHeight="1">
      <c r="B367" s="17"/>
      <c r="F367" s="23"/>
      <c r="J367" s="17"/>
      <c r="K367" s="23"/>
      <c r="L367" s="23"/>
    </row>
    <row r="368" ht="15.75" customHeight="1">
      <c r="B368" s="17"/>
      <c r="F368" s="23"/>
      <c r="J368" s="17"/>
      <c r="K368" s="23"/>
      <c r="L368" s="23"/>
    </row>
    <row r="369" ht="15.75" customHeight="1">
      <c r="B369" s="17"/>
      <c r="F369" s="23"/>
      <c r="J369" s="17"/>
      <c r="K369" s="23"/>
      <c r="L369" s="23"/>
    </row>
    <row r="370" ht="15.75" customHeight="1">
      <c r="B370" s="17"/>
      <c r="F370" s="23"/>
      <c r="J370" s="17"/>
      <c r="K370" s="23"/>
      <c r="L370" s="23"/>
    </row>
    <row r="371" ht="15.75" customHeight="1">
      <c r="B371" s="17"/>
      <c r="F371" s="23"/>
      <c r="J371" s="17"/>
      <c r="K371" s="23"/>
      <c r="L371" s="23"/>
    </row>
    <row r="372" ht="15.75" customHeight="1">
      <c r="B372" s="17"/>
      <c r="F372" s="23"/>
      <c r="J372" s="17"/>
      <c r="K372" s="23"/>
      <c r="L372" s="23"/>
    </row>
    <row r="373" ht="15.75" customHeight="1">
      <c r="B373" s="17"/>
      <c r="F373" s="23"/>
      <c r="J373" s="17"/>
      <c r="K373" s="23"/>
      <c r="L373" s="23"/>
    </row>
    <row r="374" ht="15.75" customHeight="1">
      <c r="B374" s="17"/>
      <c r="F374" s="23"/>
      <c r="J374" s="17"/>
      <c r="K374" s="23"/>
      <c r="L374" s="23"/>
    </row>
    <row r="375" ht="15.75" customHeight="1">
      <c r="B375" s="17"/>
      <c r="F375" s="23"/>
      <c r="J375" s="17"/>
      <c r="K375" s="23"/>
      <c r="L375" s="23"/>
    </row>
    <row r="376" ht="15.75" customHeight="1">
      <c r="B376" s="17"/>
      <c r="F376" s="23"/>
      <c r="J376" s="17"/>
      <c r="K376" s="23"/>
      <c r="L376" s="23"/>
    </row>
    <row r="377" ht="15.75" customHeight="1">
      <c r="B377" s="17"/>
      <c r="F377" s="23"/>
      <c r="J377" s="17"/>
      <c r="K377" s="23"/>
      <c r="L377" s="23"/>
    </row>
    <row r="378" ht="15.75" customHeight="1">
      <c r="B378" s="17"/>
      <c r="F378" s="23"/>
      <c r="J378" s="17"/>
      <c r="K378" s="23"/>
      <c r="L378" s="23"/>
    </row>
    <row r="379" ht="15.75" customHeight="1">
      <c r="B379" s="17"/>
      <c r="F379" s="23"/>
      <c r="J379" s="17"/>
      <c r="K379" s="23"/>
      <c r="L379" s="23"/>
    </row>
    <row r="380" ht="15.75" customHeight="1">
      <c r="B380" s="17"/>
      <c r="F380" s="23"/>
      <c r="J380" s="17"/>
      <c r="K380" s="23"/>
      <c r="L380" s="23"/>
    </row>
    <row r="381" ht="15.75" customHeight="1">
      <c r="B381" s="17"/>
      <c r="F381" s="23"/>
      <c r="J381" s="17"/>
      <c r="K381" s="23"/>
      <c r="L381" s="23"/>
    </row>
    <row r="382" ht="15.75" customHeight="1">
      <c r="B382" s="17"/>
      <c r="F382" s="23"/>
      <c r="J382" s="17"/>
      <c r="K382" s="23"/>
      <c r="L382" s="23"/>
    </row>
    <row r="383" ht="15.75" customHeight="1">
      <c r="B383" s="17"/>
      <c r="F383" s="23"/>
      <c r="J383" s="17"/>
      <c r="K383" s="23"/>
      <c r="L383" s="23"/>
    </row>
    <row r="384" ht="15.75" customHeight="1">
      <c r="B384" s="17"/>
      <c r="F384" s="23"/>
      <c r="J384" s="17"/>
      <c r="K384" s="23"/>
      <c r="L384" s="23"/>
    </row>
    <row r="385" ht="15.75" customHeight="1">
      <c r="B385" s="17"/>
      <c r="F385" s="23"/>
      <c r="J385" s="17"/>
      <c r="K385" s="23"/>
      <c r="L385" s="23"/>
    </row>
    <row r="386" ht="15.75" customHeight="1">
      <c r="B386" s="17"/>
      <c r="F386" s="23"/>
      <c r="J386" s="17"/>
      <c r="K386" s="23"/>
      <c r="L386" s="23"/>
    </row>
    <row r="387" ht="15.75" customHeight="1">
      <c r="B387" s="17"/>
      <c r="F387" s="23"/>
      <c r="J387" s="17"/>
      <c r="K387" s="23"/>
      <c r="L387" s="23"/>
    </row>
    <row r="388" ht="15.75" customHeight="1">
      <c r="B388" s="17"/>
      <c r="F388" s="23"/>
      <c r="J388" s="17"/>
      <c r="K388" s="23"/>
      <c r="L388" s="23"/>
    </row>
    <row r="389" ht="15.75" customHeight="1">
      <c r="B389" s="17"/>
      <c r="F389" s="23"/>
      <c r="J389" s="17"/>
      <c r="K389" s="23"/>
      <c r="L389" s="23"/>
    </row>
    <row r="390" ht="15.75" customHeight="1">
      <c r="B390" s="17"/>
      <c r="F390" s="23"/>
      <c r="J390" s="17"/>
      <c r="K390" s="23"/>
      <c r="L390" s="23"/>
    </row>
    <row r="391" ht="15.75" customHeight="1">
      <c r="B391" s="17"/>
      <c r="F391" s="23"/>
      <c r="J391" s="17"/>
      <c r="K391" s="23"/>
      <c r="L391" s="23"/>
    </row>
    <row r="392" ht="15.75" customHeight="1">
      <c r="B392" s="17"/>
      <c r="F392" s="23"/>
      <c r="J392" s="17"/>
      <c r="K392" s="23"/>
      <c r="L392" s="23"/>
    </row>
    <row r="393" ht="15.75" customHeight="1">
      <c r="B393" s="17"/>
      <c r="F393" s="23"/>
      <c r="J393" s="17"/>
      <c r="K393" s="23"/>
      <c r="L393" s="23"/>
    </row>
    <row r="394" ht="15.75" customHeight="1">
      <c r="B394" s="17"/>
      <c r="F394" s="23"/>
      <c r="J394" s="17"/>
      <c r="K394" s="23"/>
      <c r="L394" s="23"/>
    </row>
    <row r="395" ht="15.75" customHeight="1">
      <c r="B395" s="17"/>
      <c r="F395" s="23"/>
      <c r="J395" s="17"/>
      <c r="K395" s="23"/>
      <c r="L395" s="23"/>
    </row>
    <row r="396" ht="15.75" customHeight="1">
      <c r="B396" s="17"/>
      <c r="F396" s="23"/>
      <c r="J396" s="17"/>
      <c r="K396" s="23"/>
      <c r="L396" s="23"/>
    </row>
    <row r="397" ht="15.75" customHeight="1">
      <c r="B397" s="17"/>
      <c r="F397" s="23"/>
      <c r="J397" s="17"/>
      <c r="K397" s="23"/>
      <c r="L397" s="23"/>
    </row>
    <row r="398" ht="15.75" customHeight="1">
      <c r="B398" s="17"/>
      <c r="F398" s="23"/>
      <c r="J398" s="17"/>
      <c r="K398" s="23"/>
      <c r="L398" s="23"/>
    </row>
    <row r="399" ht="15.75" customHeight="1">
      <c r="B399" s="17"/>
      <c r="F399" s="23"/>
      <c r="J399" s="17"/>
      <c r="K399" s="23"/>
      <c r="L399" s="23"/>
    </row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  <row r="1139" ht="15.75" customHeight="1"/>
    <row r="1140" ht="15.75" customHeight="1"/>
    <row r="1141" ht="15.75" customHeight="1"/>
    <row r="1142" ht="15.75" customHeight="1"/>
    <row r="1143" ht="15.75" customHeight="1"/>
    <row r="1144" ht="15.75" customHeight="1"/>
    <row r="1145" ht="15.75" customHeight="1"/>
    <row r="1146" ht="15.75" customHeight="1"/>
    <row r="1147" ht="15.75" customHeight="1"/>
    <row r="1148" ht="15.75" customHeight="1"/>
    <row r="1149" ht="15.75" customHeight="1"/>
    <row r="1150" ht="15.75" customHeight="1"/>
    <row r="1151" ht="15.75" customHeight="1"/>
    <row r="1152" ht="15.75" customHeight="1"/>
    <row r="1153" ht="15.75" customHeight="1"/>
    <row r="1154" ht="15.75" customHeight="1"/>
    <row r="1155" ht="15.75" customHeight="1"/>
    <row r="1156" ht="15.75" customHeight="1"/>
    <row r="1157" ht="15.75" customHeight="1"/>
    <row r="1158" ht="15.75" customHeight="1"/>
    <row r="1159" ht="15.75" customHeight="1"/>
    <row r="1160" ht="15.75" customHeight="1"/>
    <row r="1161" ht="15.75" customHeight="1"/>
    <row r="1162" ht="15.75" customHeight="1"/>
    <row r="1163" ht="15.75" customHeight="1"/>
    <row r="1164" ht="15.75" customHeight="1"/>
    <row r="1165" ht="15.75" customHeight="1"/>
    <row r="1166" ht="15.75" customHeight="1"/>
    <row r="1167" ht="15.75" customHeight="1"/>
    <row r="1168" ht="15.75" customHeight="1"/>
    <row r="1169" ht="15.75" customHeight="1"/>
    <row r="1170" ht="15.75" customHeight="1"/>
    <row r="1171" ht="15.75" customHeight="1"/>
    <row r="1172" ht="15.75" customHeight="1"/>
    <row r="1173" ht="15.75" customHeight="1"/>
    <row r="1174" ht="15.75" customHeight="1"/>
    <row r="1175" ht="15.75" customHeight="1"/>
    <row r="1176" ht="15.75" customHeight="1"/>
    <row r="1177" ht="15.75" customHeight="1"/>
    <row r="1178" ht="15.75" customHeight="1"/>
    <row r="1179" ht="15.75" customHeight="1"/>
    <row r="1180" ht="15.75" customHeight="1"/>
    <row r="1181" ht="15.75" customHeight="1"/>
    <row r="1182" ht="15.75" customHeight="1"/>
    <row r="1183" ht="15.75" customHeight="1"/>
    <row r="1184" ht="15.75" customHeight="1"/>
    <row r="1185" ht="15.75" customHeight="1"/>
    <row r="1186" ht="15.75" customHeight="1"/>
    <row r="1187" ht="15.75" customHeight="1"/>
    <row r="1188" ht="15.75" customHeight="1"/>
    <row r="1189" ht="15.75" customHeight="1"/>
    <row r="1190" ht="15.75" customHeight="1"/>
    <row r="1191" ht="15.75" customHeight="1"/>
    <row r="1192" ht="15.75" customHeight="1"/>
    <row r="1193" ht="15.75" customHeight="1"/>
    <row r="1194" ht="15.75" customHeight="1"/>
    <row r="1195" ht="15.75" customHeight="1"/>
    <row r="1196" ht="15.75" customHeight="1"/>
    <row r="1197" ht="15.75" customHeight="1"/>
    <row r="1198" ht="15.75" customHeight="1"/>
    <row r="1199" ht="15.75" customHeight="1"/>
    <row r="1200" ht="15.75" customHeight="1"/>
  </sheetData>
  <autoFilter ref="$A$7:$O$1200"/>
  <conditionalFormatting sqref="A8:O1200">
    <cfRule type="expression" dxfId="4" priority="1" stopIfTrue="1">
      <formula>$M8="入金済"</formula>
    </cfRule>
  </conditionalFormatting>
  <conditionalFormatting sqref="A8:O1200">
    <cfRule type="expression" dxfId="5" priority="2" stopIfTrue="1">
      <formula>$M8="一部入金"</formula>
    </cfRule>
  </conditionalFormatting>
  <conditionalFormatting sqref="A8:O1200">
    <cfRule type="expression" dxfId="6" priority="3" stopIfTrue="1">
      <formula>$M8="要確認"</formula>
    </cfRule>
  </conditionalFormatting>
  <conditionalFormatting sqref="A8:O1200">
    <cfRule type="expression" dxfId="7" priority="4" stopIfTrue="1">
      <formula>$N8="期限超過"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1.0" topLeftCell="H2" activePane="bottomRight" state="frozen"/>
      <selection activeCell="H1" sqref="H1" pane="topRight"/>
      <selection activeCell="A2" sqref="A2" pane="bottomLeft"/>
      <selection activeCell="H2" sqref="H2" pane="bottomRight"/>
    </sheetView>
  </sheetViews>
  <sheetFormatPr customHeight="1" defaultColWidth="12.63" defaultRowHeight="15.0"/>
  <cols>
    <col customWidth="1" min="1" max="1" width="11.38"/>
    <col customWidth="1" min="2" max="2" width="25.13"/>
    <col customWidth="1" min="3" max="3" width="16.38"/>
    <col customWidth="1" min="4" max="4" width="11.38"/>
    <col customWidth="1" min="5" max="5" width="8.88"/>
    <col customWidth="1" min="6" max="6" width="11.38"/>
    <col customWidth="1" min="7" max="7" width="12.63"/>
    <col customWidth="1" min="8" max="8" width="22.63"/>
    <col customWidth="1" min="9" max="9" width="37.63"/>
    <col customWidth="1" min="10" max="10" width="25.13"/>
    <col customWidth="1" min="11" max="11" width="12.63"/>
    <col customWidth="1" min="12" max="12" width="17.63"/>
    <col customWidth="1" min="13" max="13" width="25.13"/>
    <col customWidth="1" min="14" max="14" width="10.13"/>
    <col customWidth="1" min="15" max="15" width="37.63"/>
  </cols>
  <sheetData>
    <row r="1" ht="15.75" customHeight="1">
      <c r="A1" s="25" t="s">
        <v>128</v>
      </c>
      <c r="B1" s="25" t="s">
        <v>129</v>
      </c>
      <c r="C1" s="25" t="s">
        <v>130</v>
      </c>
      <c r="D1" s="25" t="s">
        <v>131</v>
      </c>
      <c r="E1" s="25" t="s">
        <v>132</v>
      </c>
      <c r="F1" s="25" t="s">
        <v>133</v>
      </c>
      <c r="G1" s="25" t="s">
        <v>123</v>
      </c>
      <c r="H1" s="25" t="s">
        <v>134</v>
      </c>
      <c r="I1" s="25" t="s">
        <v>135</v>
      </c>
      <c r="J1" s="25" t="s">
        <v>136</v>
      </c>
      <c r="K1" s="25" t="s">
        <v>137</v>
      </c>
      <c r="L1" s="25" t="s">
        <v>138</v>
      </c>
      <c r="M1" s="25" t="s">
        <v>139</v>
      </c>
      <c r="N1" s="25" t="s">
        <v>68</v>
      </c>
      <c r="O1" s="25" t="s">
        <v>140</v>
      </c>
      <c r="P1" s="26" t="s">
        <v>124</v>
      </c>
      <c r="Q1" s="26" t="s">
        <v>125</v>
      </c>
      <c r="R1" s="26" t="s">
        <v>126</v>
      </c>
      <c r="S1" s="26" t="s">
        <v>127</v>
      </c>
      <c r="T1" s="26" t="s">
        <v>82</v>
      </c>
      <c r="U1" s="26"/>
      <c r="V1" s="26"/>
      <c r="W1" s="26"/>
      <c r="X1" s="26"/>
      <c r="Y1" s="26"/>
      <c r="Z1" s="26"/>
    </row>
    <row r="2" ht="15.75" customHeight="1">
      <c r="A2" s="17">
        <v>46112.0</v>
      </c>
      <c r="B2" s="4" t="s">
        <v>141</v>
      </c>
      <c r="D2" s="23">
        <v>1764543.0</v>
      </c>
      <c r="E2" s="23">
        <v>176454.0</v>
      </c>
      <c r="F2" s="23">
        <v>1940997.0</v>
      </c>
      <c r="G2" s="17"/>
      <c r="H2" s="4" t="s">
        <v>142</v>
      </c>
      <c r="I2" s="27" t="s">
        <v>143</v>
      </c>
      <c r="J2" s="4" t="s">
        <v>144</v>
      </c>
      <c r="L2" s="28">
        <v>46138.35466125</v>
      </c>
      <c r="N2" s="4" t="s">
        <v>79</v>
      </c>
      <c r="O2" s="4" t="s">
        <v>145</v>
      </c>
      <c r="P2" s="23"/>
      <c r="Q2" s="23" t="str">
        <f t="shared" ref="Q2:Q1000" si="1">IF(AND($F2&lt;&gt;"",$P2&lt;&gt;""),$F2-$P2,"")</f>
        <v/>
      </c>
      <c r="R2" s="4"/>
      <c r="S2" s="4" t="str">
        <f t="shared" ref="S2:S1000" si="2">IF($R2="入金済","",IF($G2="","",IF(TODAY()&gt;$G2,"期限超過",IF(TODAY()&gt;=$G2-3,"期限間近",""))))</f>
        <v/>
      </c>
    </row>
    <row r="3" ht="15.75" customHeight="1">
      <c r="A3" s="17">
        <v>46128.0</v>
      </c>
      <c r="B3" s="4" t="s">
        <v>141</v>
      </c>
      <c r="C3" s="4">
        <v>33.0</v>
      </c>
      <c r="D3" s="23">
        <v>-83000.0</v>
      </c>
      <c r="E3" s="23">
        <v>0.0</v>
      </c>
      <c r="F3" s="23">
        <v>-83000.0</v>
      </c>
      <c r="G3" s="17"/>
      <c r="H3" s="4" t="s">
        <v>146</v>
      </c>
      <c r="I3" s="27" t="s">
        <v>147</v>
      </c>
      <c r="J3" s="4" t="s">
        <v>148</v>
      </c>
      <c r="L3" s="28">
        <v>46138.36592891204</v>
      </c>
      <c r="N3" s="4" t="s">
        <v>79</v>
      </c>
      <c r="O3" s="4" t="s">
        <v>149</v>
      </c>
      <c r="P3" s="23"/>
      <c r="Q3" s="23" t="str">
        <f t="shared" si="1"/>
        <v/>
      </c>
      <c r="R3" s="4"/>
      <c r="S3" s="4" t="str">
        <f t="shared" si="2"/>
        <v/>
      </c>
    </row>
    <row r="4" ht="15.75" customHeight="1">
      <c r="N4" s="4"/>
      <c r="P4" s="23"/>
      <c r="Q4" s="23" t="str">
        <f t="shared" si="1"/>
        <v/>
      </c>
      <c r="R4" s="4"/>
      <c r="S4" s="4" t="str">
        <f t="shared" si="2"/>
        <v/>
      </c>
    </row>
    <row r="5" ht="15.75" customHeight="1">
      <c r="N5" s="4"/>
      <c r="P5" s="23"/>
      <c r="Q5" s="23" t="str">
        <f t="shared" si="1"/>
        <v/>
      </c>
      <c r="R5" s="4"/>
      <c r="S5" s="4" t="str">
        <f t="shared" si="2"/>
        <v/>
      </c>
    </row>
    <row r="6" ht="15.75" customHeight="1">
      <c r="N6" s="4"/>
      <c r="P6" s="23"/>
      <c r="Q6" s="23" t="str">
        <f t="shared" si="1"/>
        <v/>
      </c>
      <c r="R6" s="4"/>
      <c r="S6" s="4" t="str">
        <f t="shared" si="2"/>
        <v/>
      </c>
    </row>
    <row r="7" ht="15.75" customHeight="1">
      <c r="N7" s="4"/>
      <c r="P7" s="23"/>
      <c r="Q7" s="23" t="str">
        <f t="shared" si="1"/>
        <v/>
      </c>
      <c r="R7" s="4"/>
      <c r="S7" s="4" t="str">
        <f t="shared" si="2"/>
        <v/>
      </c>
    </row>
    <row r="8" ht="15.75" customHeight="1">
      <c r="N8" s="4"/>
      <c r="P8" s="23"/>
      <c r="Q8" s="23" t="str">
        <f t="shared" si="1"/>
        <v/>
      </c>
      <c r="R8" s="4"/>
      <c r="S8" s="4" t="str">
        <f t="shared" si="2"/>
        <v/>
      </c>
    </row>
    <row r="9" ht="15.75" customHeight="1">
      <c r="N9" s="4"/>
      <c r="P9" s="23"/>
      <c r="Q9" s="23" t="str">
        <f t="shared" si="1"/>
        <v/>
      </c>
      <c r="R9" s="4"/>
      <c r="S9" s="4" t="str">
        <f t="shared" si="2"/>
        <v/>
      </c>
    </row>
    <row r="10" ht="15.75" customHeight="1">
      <c r="N10" s="4"/>
      <c r="P10" s="23"/>
      <c r="Q10" s="23" t="str">
        <f t="shared" si="1"/>
        <v/>
      </c>
      <c r="R10" s="4"/>
      <c r="S10" s="4" t="str">
        <f t="shared" si="2"/>
        <v/>
      </c>
    </row>
    <row r="11" ht="15.75" customHeight="1">
      <c r="N11" s="4"/>
      <c r="P11" s="23"/>
      <c r="Q11" s="23" t="str">
        <f t="shared" si="1"/>
        <v/>
      </c>
      <c r="R11" s="4"/>
      <c r="S11" s="4" t="str">
        <f t="shared" si="2"/>
        <v/>
      </c>
    </row>
    <row r="12" ht="15.75" customHeight="1">
      <c r="N12" s="4"/>
      <c r="P12" s="23"/>
      <c r="Q12" s="23" t="str">
        <f t="shared" si="1"/>
        <v/>
      </c>
      <c r="R12" s="4"/>
      <c r="S12" s="4" t="str">
        <f t="shared" si="2"/>
        <v/>
      </c>
    </row>
    <row r="13" ht="15.75" customHeight="1">
      <c r="N13" s="4"/>
      <c r="P13" s="23"/>
      <c r="Q13" s="23" t="str">
        <f t="shared" si="1"/>
        <v/>
      </c>
      <c r="R13" s="4"/>
      <c r="S13" s="4" t="str">
        <f t="shared" si="2"/>
        <v/>
      </c>
    </row>
    <row r="14" ht="15.75" customHeight="1">
      <c r="N14" s="4"/>
      <c r="P14" s="23"/>
      <c r="Q14" s="23" t="str">
        <f t="shared" si="1"/>
        <v/>
      </c>
      <c r="R14" s="4"/>
      <c r="S14" s="4" t="str">
        <f t="shared" si="2"/>
        <v/>
      </c>
    </row>
    <row r="15" ht="15.75" customHeight="1">
      <c r="N15" s="4"/>
      <c r="P15" s="23"/>
      <c r="Q15" s="23" t="str">
        <f t="shared" si="1"/>
        <v/>
      </c>
      <c r="R15" s="4"/>
      <c r="S15" s="4" t="str">
        <f t="shared" si="2"/>
        <v/>
      </c>
    </row>
    <row r="16" ht="15.75" customHeight="1">
      <c r="N16" s="4"/>
      <c r="P16" s="23"/>
      <c r="Q16" s="23" t="str">
        <f t="shared" si="1"/>
        <v/>
      </c>
      <c r="R16" s="4"/>
      <c r="S16" s="4" t="str">
        <f t="shared" si="2"/>
        <v/>
      </c>
    </row>
    <row r="17" ht="15.75" customHeight="1">
      <c r="N17" s="4"/>
      <c r="P17" s="23"/>
      <c r="Q17" s="23" t="str">
        <f t="shared" si="1"/>
        <v/>
      </c>
      <c r="R17" s="4"/>
      <c r="S17" s="4" t="str">
        <f t="shared" si="2"/>
        <v/>
      </c>
    </row>
    <row r="18" ht="15.75" customHeight="1">
      <c r="N18" s="4"/>
      <c r="P18" s="23"/>
      <c r="Q18" s="23" t="str">
        <f t="shared" si="1"/>
        <v/>
      </c>
      <c r="R18" s="4"/>
      <c r="S18" s="4" t="str">
        <f t="shared" si="2"/>
        <v/>
      </c>
    </row>
    <row r="19" ht="15.75" customHeight="1">
      <c r="N19" s="4"/>
      <c r="P19" s="23"/>
      <c r="Q19" s="23" t="str">
        <f t="shared" si="1"/>
        <v/>
      </c>
      <c r="R19" s="4"/>
      <c r="S19" s="4" t="str">
        <f t="shared" si="2"/>
        <v/>
      </c>
    </row>
    <row r="20" ht="15.75" customHeight="1">
      <c r="N20" s="4"/>
      <c r="P20" s="23"/>
      <c r="Q20" s="23" t="str">
        <f t="shared" si="1"/>
        <v/>
      </c>
      <c r="R20" s="4"/>
      <c r="S20" s="4" t="str">
        <f t="shared" si="2"/>
        <v/>
      </c>
    </row>
    <row r="21" ht="15.75" customHeight="1">
      <c r="N21" s="4"/>
      <c r="P21" s="23"/>
      <c r="Q21" s="23" t="str">
        <f t="shared" si="1"/>
        <v/>
      </c>
      <c r="R21" s="4"/>
      <c r="S21" s="4" t="str">
        <f t="shared" si="2"/>
        <v/>
      </c>
    </row>
    <row r="22" ht="15.75" customHeight="1">
      <c r="N22" s="4"/>
      <c r="P22" s="23"/>
      <c r="Q22" s="23" t="str">
        <f t="shared" si="1"/>
        <v/>
      </c>
      <c r="R22" s="4"/>
      <c r="S22" s="4" t="str">
        <f t="shared" si="2"/>
        <v/>
      </c>
    </row>
    <row r="23" ht="15.75" customHeight="1">
      <c r="N23" s="4"/>
      <c r="P23" s="23"/>
      <c r="Q23" s="23" t="str">
        <f t="shared" si="1"/>
        <v/>
      </c>
      <c r="R23" s="4"/>
      <c r="S23" s="4" t="str">
        <f t="shared" si="2"/>
        <v/>
      </c>
    </row>
    <row r="24" ht="15.75" customHeight="1">
      <c r="N24" s="4"/>
      <c r="P24" s="23"/>
      <c r="Q24" s="23" t="str">
        <f t="shared" si="1"/>
        <v/>
      </c>
      <c r="R24" s="4"/>
      <c r="S24" s="4" t="str">
        <f t="shared" si="2"/>
        <v/>
      </c>
    </row>
    <row r="25" ht="15.75" customHeight="1">
      <c r="N25" s="4"/>
      <c r="P25" s="23"/>
      <c r="Q25" s="23" t="str">
        <f t="shared" si="1"/>
        <v/>
      </c>
      <c r="R25" s="4"/>
      <c r="S25" s="4" t="str">
        <f t="shared" si="2"/>
        <v/>
      </c>
    </row>
    <row r="26" ht="15.75" customHeight="1">
      <c r="N26" s="4"/>
      <c r="P26" s="23"/>
      <c r="Q26" s="23" t="str">
        <f t="shared" si="1"/>
        <v/>
      </c>
      <c r="R26" s="4"/>
      <c r="S26" s="4" t="str">
        <f t="shared" si="2"/>
        <v/>
      </c>
    </row>
    <row r="27" ht="15.75" customHeight="1">
      <c r="N27" s="4"/>
      <c r="P27" s="23"/>
      <c r="Q27" s="23" t="str">
        <f t="shared" si="1"/>
        <v/>
      </c>
      <c r="R27" s="4"/>
      <c r="S27" s="4" t="str">
        <f t="shared" si="2"/>
        <v/>
      </c>
    </row>
    <row r="28" ht="15.75" customHeight="1">
      <c r="N28" s="4"/>
      <c r="P28" s="23"/>
      <c r="Q28" s="23" t="str">
        <f t="shared" si="1"/>
        <v/>
      </c>
      <c r="R28" s="4"/>
      <c r="S28" s="4" t="str">
        <f t="shared" si="2"/>
        <v/>
      </c>
    </row>
    <row r="29" ht="15.75" customHeight="1">
      <c r="N29" s="4"/>
      <c r="P29" s="23"/>
      <c r="Q29" s="23" t="str">
        <f t="shared" si="1"/>
        <v/>
      </c>
      <c r="R29" s="4"/>
      <c r="S29" s="4" t="str">
        <f t="shared" si="2"/>
        <v/>
      </c>
    </row>
    <row r="30" ht="15.75" customHeight="1">
      <c r="N30" s="4"/>
      <c r="P30" s="23"/>
      <c r="Q30" s="23" t="str">
        <f t="shared" si="1"/>
        <v/>
      </c>
      <c r="R30" s="4"/>
      <c r="S30" s="4" t="str">
        <f t="shared" si="2"/>
        <v/>
      </c>
    </row>
    <row r="31" ht="15.75" customHeight="1">
      <c r="N31" s="4"/>
      <c r="P31" s="23"/>
      <c r="Q31" s="23" t="str">
        <f t="shared" si="1"/>
        <v/>
      </c>
      <c r="R31" s="4"/>
      <c r="S31" s="4" t="str">
        <f t="shared" si="2"/>
        <v/>
      </c>
    </row>
    <row r="32" ht="15.75" customHeight="1">
      <c r="N32" s="4"/>
      <c r="P32" s="23"/>
      <c r="Q32" s="23" t="str">
        <f t="shared" si="1"/>
        <v/>
      </c>
      <c r="R32" s="4"/>
      <c r="S32" s="4" t="str">
        <f t="shared" si="2"/>
        <v/>
      </c>
    </row>
    <row r="33" ht="15.75" customHeight="1">
      <c r="N33" s="4"/>
      <c r="P33" s="23"/>
      <c r="Q33" s="23" t="str">
        <f t="shared" si="1"/>
        <v/>
      </c>
      <c r="R33" s="4"/>
      <c r="S33" s="4" t="str">
        <f t="shared" si="2"/>
        <v/>
      </c>
    </row>
    <row r="34" ht="15.75" customHeight="1">
      <c r="N34" s="4"/>
      <c r="P34" s="23"/>
      <c r="Q34" s="23" t="str">
        <f t="shared" si="1"/>
        <v/>
      </c>
      <c r="R34" s="4"/>
      <c r="S34" s="4" t="str">
        <f t="shared" si="2"/>
        <v/>
      </c>
    </row>
    <row r="35" ht="15.75" customHeight="1">
      <c r="N35" s="4"/>
      <c r="P35" s="23"/>
      <c r="Q35" s="23" t="str">
        <f t="shared" si="1"/>
        <v/>
      </c>
      <c r="R35" s="4"/>
      <c r="S35" s="4" t="str">
        <f t="shared" si="2"/>
        <v/>
      </c>
    </row>
    <row r="36" ht="15.75" customHeight="1">
      <c r="N36" s="4"/>
      <c r="P36" s="23"/>
      <c r="Q36" s="23" t="str">
        <f t="shared" si="1"/>
        <v/>
      </c>
      <c r="R36" s="4"/>
      <c r="S36" s="4" t="str">
        <f t="shared" si="2"/>
        <v/>
      </c>
    </row>
    <row r="37" ht="15.75" customHeight="1">
      <c r="N37" s="4"/>
      <c r="P37" s="23"/>
      <c r="Q37" s="23" t="str">
        <f t="shared" si="1"/>
        <v/>
      </c>
      <c r="R37" s="4"/>
      <c r="S37" s="4" t="str">
        <f t="shared" si="2"/>
        <v/>
      </c>
    </row>
    <row r="38" ht="15.75" customHeight="1">
      <c r="N38" s="4"/>
      <c r="P38" s="23"/>
      <c r="Q38" s="23" t="str">
        <f t="shared" si="1"/>
        <v/>
      </c>
      <c r="R38" s="4"/>
      <c r="S38" s="4" t="str">
        <f t="shared" si="2"/>
        <v/>
      </c>
    </row>
    <row r="39" ht="15.75" customHeight="1">
      <c r="N39" s="4"/>
      <c r="P39" s="23"/>
      <c r="Q39" s="23" t="str">
        <f t="shared" si="1"/>
        <v/>
      </c>
      <c r="R39" s="4"/>
      <c r="S39" s="4" t="str">
        <f t="shared" si="2"/>
        <v/>
      </c>
    </row>
    <row r="40" ht="15.75" customHeight="1">
      <c r="N40" s="4"/>
      <c r="P40" s="23"/>
      <c r="Q40" s="23" t="str">
        <f t="shared" si="1"/>
        <v/>
      </c>
      <c r="R40" s="4"/>
      <c r="S40" s="4" t="str">
        <f t="shared" si="2"/>
        <v/>
      </c>
    </row>
    <row r="41" ht="15.75" customHeight="1">
      <c r="N41" s="4"/>
      <c r="P41" s="23"/>
      <c r="Q41" s="23" t="str">
        <f t="shared" si="1"/>
        <v/>
      </c>
      <c r="R41" s="4"/>
      <c r="S41" s="4" t="str">
        <f t="shared" si="2"/>
        <v/>
      </c>
    </row>
    <row r="42" ht="15.75" customHeight="1">
      <c r="N42" s="4"/>
      <c r="P42" s="23"/>
      <c r="Q42" s="23" t="str">
        <f t="shared" si="1"/>
        <v/>
      </c>
      <c r="R42" s="4"/>
      <c r="S42" s="4" t="str">
        <f t="shared" si="2"/>
        <v/>
      </c>
    </row>
    <row r="43" ht="15.75" customHeight="1">
      <c r="N43" s="4"/>
      <c r="P43" s="23"/>
      <c r="Q43" s="23" t="str">
        <f t="shared" si="1"/>
        <v/>
      </c>
      <c r="R43" s="4"/>
      <c r="S43" s="4" t="str">
        <f t="shared" si="2"/>
        <v/>
      </c>
    </row>
    <row r="44" ht="15.75" customHeight="1">
      <c r="N44" s="4"/>
      <c r="P44" s="23"/>
      <c r="Q44" s="23" t="str">
        <f t="shared" si="1"/>
        <v/>
      </c>
      <c r="R44" s="4"/>
      <c r="S44" s="4" t="str">
        <f t="shared" si="2"/>
        <v/>
      </c>
    </row>
    <row r="45" ht="15.75" customHeight="1">
      <c r="N45" s="4"/>
      <c r="P45" s="23"/>
      <c r="Q45" s="23" t="str">
        <f t="shared" si="1"/>
        <v/>
      </c>
      <c r="R45" s="4"/>
      <c r="S45" s="4" t="str">
        <f t="shared" si="2"/>
        <v/>
      </c>
    </row>
    <row r="46" ht="15.75" customHeight="1">
      <c r="N46" s="4"/>
      <c r="P46" s="23"/>
      <c r="Q46" s="23" t="str">
        <f t="shared" si="1"/>
        <v/>
      </c>
      <c r="R46" s="4"/>
      <c r="S46" s="4" t="str">
        <f t="shared" si="2"/>
        <v/>
      </c>
    </row>
    <row r="47" ht="15.75" customHeight="1">
      <c r="N47" s="4"/>
      <c r="P47" s="23"/>
      <c r="Q47" s="23" t="str">
        <f t="shared" si="1"/>
        <v/>
      </c>
      <c r="R47" s="4"/>
      <c r="S47" s="4" t="str">
        <f t="shared" si="2"/>
        <v/>
      </c>
    </row>
    <row r="48" ht="15.75" customHeight="1">
      <c r="N48" s="4"/>
      <c r="P48" s="23"/>
      <c r="Q48" s="23" t="str">
        <f t="shared" si="1"/>
        <v/>
      </c>
      <c r="R48" s="4"/>
      <c r="S48" s="4" t="str">
        <f t="shared" si="2"/>
        <v/>
      </c>
    </row>
    <row r="49" ht="15.75" customHeight="1">
      <c r="N49" s="4"/>
      <c r="P49" s="23"/>
      <c r="Q49" s="23" t="str">
        <f t="shared" si="1"/>
        <v/>
      </c>
      <c r="R49" s="4"/>
      <c r="S49" s="4" t="str">
        <f t="shared" si="2"/>
        <v/>
      </c>
    </row>
    <row r="50" ht="15.75" customHeight="1">
      <c r="N50" s="4"/>
      <c r="P50" s="23"/>
      <c r="Q50" s="23" t="str">
        <f t="shared" si="1"/>
        <v/>
      </c>
      <c r="R50" s="4"/>
      <c r="S50" s="4" t="str">
        <f t="shared" si="2"/>
        <v/>
      </c>
    </row>
    <row r="51" ht="15.75" customHeight="1">
      <c r="N51" s="4"/>
      <c r="P51" s="23"/>
      <c r="Q51" s="23" t="str">
        <f t="shared" si="1"/>
        <v/>
      </c>
      <c r="R51" s="4"/>
      <c r="S51" s="4" t="str">
        <f t="shared" si="2"/>
        <v/>
      </c>
    </row>
    <row r="52" ht="15.75" customHeight="1">
      <c r="N52" s="4"/>
      <c r="P52" s="23"/>
      <c r="Q52" s="23" t="str">
        <f t="shared" si="1"/>
        <v/>
      </c>
      <c r="R52" s="4"/>
      <c r="S52" s="4" t="str">
        <f t="shared" si="2"/>
        <v/>
      </c>
    </row>
    <row r="53" ht="15.75" customHeight="1">
      <c r="N53" s="4"/>
      <c r="P53" s="23"/>
      <c r="Q53" s="23" t="str">
        <f t="shared" si="1"/>
        <v/>
      </c>
      <c r="R53" s="4"/>
      <c r="S53" s="4" t="str">
        <f t="shared" si="2"/>
        <v/>
      </c>
    </row>
    <row r="54" ht="15.75" customHeight="1">
      <c r="N54" s="4"/>
      <c r="P54" s="23"/>
      <c r="Q54" s="23" t="str">
        <f t="shared" si="1"/>
        <v/>
      </c>
      <c r="R54" s="4"/>
      <c r="S54" s="4" t="str">
        <f t="shared" si="2"/>
        <v/>
      </c>
    </row>
    <row r="55" ht="15.75" customHeight="1">
      <c r="N55" s="4"/>
      <c r="P55" s="23"/>
      <c r="Q55" s="23" t="str">
        <f t="shared" si="1"/>
        <v/>
      </c>
      <c r="R55" s="4"/>
      <c r="S55" s="4" t="str">
        <f t="shared" si="2"/>
        <v/>
      </c>
    </row>
    <row r="56" ht="15.75" customHeight="1">
      <c r="N56" s="4"/>
      <c r="P56" s="23"/>
      <c r="Q56" s="23" t="str">
        <f t="shared" si="1"/>
        <v/>
      </c>
      <c r="R56" s="4"/>
      <c r="S56" s="4" t="str">
        <f t="shared" si="2"/>
        <v/>
      </c>
    </row>
    <row r="57" ht="15.75" customHeight="1">
      <c r="N57" s="4"/>
      <c r="P57" s="23"/>
      <c r="Q57" s="23" t="str">
        <f t="shared" si="1"/>
        <v/>
      </c>
      <c r="R57" s="4"/>
      <c r="S57" s="4" t="str">
        <f t="shared" si="2"/>
        <v/>
      </c>
    </row>
    <row r="58" ht="15.75" customHeight="1">
      <c r="N58" s="4"/>
      <c r="P58" s="23"/>
      <c r="Q58" s="23" t="str">
        <f t="shared" si="1"/>
        <v/>
      </c>
      <c r="R58" s="4"/>
      <c r="S58" s="4" t="str">
        <f t="shared" si="2"/>
        <v/>
      </c>
    </row>
    <row r="59" ht="15.75" customHeight="1">
      <c r="N59" s="4"/>
      <c r="P59" s="23"/>
      <c r="Q59" s="23" t="str">
        <f t="shared" si="1"/>
        <v/>
      </c>
      <c r="R59" s="4"/>
      <c r="S59" s="4" t="str">
        <f t="shared" si="2"/>
        <v/>
      </c>
    </row>
    <row r="60" ht="15.75" customHeight="1">
      <c r="N60" s="4"/>
      <c r="P60" s="23"/>
      <c r="Q60" s="23" t="str">
        <f t="shared" si="1"/>
        <v/>
      </c>
      <c r="R60" s="4"/>
      <c r="S60" s="4" t="str">
        <f t="shared" si="2"/>
        <v/>
      </c>
    </row>
    <row r="61" ht="15.75" customHeight="1">
      <c r="N61" s="4"/>
      <c r="P61" s="23"/>
      <c r="Q61" s="23" t="str">
        <f t="shared" si="1"/>
        <v/>
      </c>
      <c r="R61" s="4"/>
      <c r="S61" s="4" t="str">
        <f t="shared" si="2"/>
        <v/>
      </c>
    </row>
    <row r="62" ht="15.75" customHeight="1">
      <c r="N62" s="4"/>
      <c r="P62" s="23"/>
      <c r="Q62" s="23" t="str">
        <f t="shared" si="1"/>
        <v/>
      </c>
      <c r="R62" s="4"/>
      <c r="S62" s="4" t="str">
        <f t="shared" si="2"/>
        <v/>
      </c>
    </row>
    <row r="63" ht="15.75" customHeight="1">
      <c r="N63" s="4"/>
      <c r="P63" s="23"/>
      <c r="Q63" s="23" t="str">
        <f t="shared" si="1"/>
        <v/>
      </c>
      <c r="R63" s="4"/>
      <c r="S63" s="4" t="str">
        <f t="shared" si="2"/>
        <v/>
      </c>
    </row>
    <row r="64" ht="15.75" customHeight="1">
      <c r="N64" s="4"/>
      <c r="P64" s="23"/>
      <c r="Q64" s="23" t="str">
        <f t="shared" si="1"/>
        <v/>
      </c>
      <c r="R64" s="4"/>
      <c r="S64" s="4" t="str">
        <f t="shared" si="2"/>
        <v/>
      </c>
    </row>
    <row r="65" ht="15.75" customHeight="1">
      <c r="N65" s="4"/>
      <c r="P65" s="23"/>
      <c r="Q65" s="23" t="str">
        <f t="shared" si="1"/>
        <v/>
      </c>
      <c r="R65" s="4"/>
      <c r="S65" s="4" t="str">
        <f t="shared" si="2"/>
        <v/>
      </c>
    </row>
    <row r="66" ht="15.75" customHeight="1">
      <c r="N66" s="4"/>
      <c r="P66" s="23"/>
      <c r="Q66" s="23" t="str">
        <f t="shared" si="1"/>
        <v/>
      </c>
      <c r="R66" s="4"/>
      <c r="S66" s="4" t="str">
        <f t="shared" si="2"/>
        <v/>
      </c>
    </row>
    <row r="67" ht="15.75" customHeight="1">
      <c r="N67" s="4"/>
      <c r="P67" s="23"/>
      <c r="Q67" s="23" t="str">
        <f t="shared" si="1"/>
        <v/>
      </c>
      <c r="R67" s="4"/>
      <c r="S67" s="4" t="str">
        <f t="shared" si="2"/>
        <v/>
      </c>
    </row>
    <row r="68" ht="15.75" customHeight="1">
      <c r="N68" s="4"/>
      <c r="P68" s="23"/>
      <c r="Q68" s="23" t="str">
        <f t="shared" si="1"/>
        <v/>
      </c>
      <c r="R68" s="4"/>
      <c r="S68" s="4" t="str">
        <f t="shared" si="2"/>
        <v/>
      </c>
    </row>
    <row r="69" ht="15.75" customHeight="1">
      <c r="N69" s="4"/>
      <c r="P69" s="23"/>
      <c r="Q69" s="23" t="str">
        <f t="shared" si="1"/>
        <v/>
      </c>
      <c r="R69" s="4"/>
      <c r="S69" s="4" t="str">
        <f t="shared" si="2"/>
        <v/>
      </c>
    </row>
    <row r="70" ht="15.75" customHeight="1">
      <c r="N70" s="4"/>
      <c r="P70" s="23"/>
      <c r="Q70" s="23" t="str">
        <f t="shared" si="1"/>
        <v/>
      </c>
      <c r="R70" s="4"/>
      <c r="S70" s="4" t="str">
        <f t="shared" si="2"/>
        <v/>
      </c>
    </row>
    <row r="71" ht="15.75" customHeight="1">
      <c r="N71" s="4"/>
      <c r="P71" s="23"/>
      <c r="Q71" s="23" t="str">
        <f t="shared" si="1"/>
        <v/>
      </c>
      <c r="R71" s="4"/>
      <c r="S71" s="4" t="str">
        <f t="shared" si="2"/>
        <v/>
      </c>
    </row>
    <row r="72" ht="15.75" customHeight="1">
      <c r="N72" s="4"/>
      <c r="P72" s="23"/>
      <c r="Q72" s="23" t="str">
        <f t="shared" si="1"/>
        <v/>
      </c>
      <c r="R72" s="4"/>
      <c r="S72" s="4" t="str">
        <f t="shared" si="2"/>
        <v/>
      </c>
    </row>
    <row r="73" ht="15.75" customHeight="1">
      <c r="N73" s="4"/>
      <c r="P73" s="23"/>
      <c r="Q73" s="23" t="str">
        <f t="shared" si="1"/>
        <v/>
      </c>
      <c r="R73" s="4"/>
      <c r="S73" s="4" t="str">
        <f t="shared" si="2"/>
        <v/>
      </c>
    </row>
    <row r="74" ht="15.75" customHeight="1">
      <c r="N74" s="4"/>
      <c r="P74" s="23"/>
      <c r="Q74" s="23" t="str">
        <f t="shared" si="1"/>
        <v/>
      </c>
      <c r="R74" s="4"/>
      <c r="S74" s="4" t="str">
        <f t="shared" si="2"/>
        <v/>
      </c>
    </row>
    <row r="75" ht="15.75" customHeight="1">
      <c r="N75" s="4"/>
      <c r="P75" s="23"/>
      <c r="Q75" s="23" t="str">
        <f t="shared" si="1"/>
        <v/>
      </c>
      <c r="R75" s="4"/>
      <c r="S75" s="4" t="str">
        <f t="shared" si="2"/>
        <v/>
      </c>
    </row>
    <row r="76" ht="15.75" customHeight="1">
      <c r="N76" s="4"/>
      <c r="P76" s="23"/>
      <c r="Q76" s="23" t="str">
        <f t="shared" si="1"/>
        <v/>
      </c>
      <c r="R76" s="4"/>
      <c r="S76" s="4" t="str">
        <f t="shared" si="2"/>
        <v/>
      </c>
    </row>
    <row r="77" ht="15.75" customHeight="1">
      <c r="N77" s="4"/>
      <c r="P77" s="23"/>
      <c r="Q77" s="23" t="str">
        <f t="shared" si="1"/>
        <v/>
      </c>
      <c r="R77" s="4"/>
      <c r="S77" s="4" t="str">
        <f t="shared" si="2"/>
        <v/>
      </c>
    </row>
    <row r="78" ht="15.75" customHeight="1">
      <c r="N78" s="4"/>
      <c r="P78" s="23"/>
      <c r="Q78" s="23" t="str">
        <f t="shared" si="1"/>
        <v/>
      </c>
      <c r="R78" s="4"/>
      <c r="S78" s="4" t="str">
        <f t="shared" si="2"/>
        <v/>
      </c>
    </row>
    <row r="79" ht="15.75" customHeight="1">
      <c r="N79" s="4"/>
      <c r="P79" s="23"/>
      <c r="Q79" s="23" t="str">
        <f t="shared" si="1"/>
        <v/>
      </c>
      <c r="R79" s="4"/>
      <c r="S79" s="4" t="str">
        <f t="shared" si="2"/>
        <v/>
      </c>
    </row>
    <row r="80" ht="15.75" customHeight="1">
      <c r="N80" s="4"/>
      <c r="P80" s="23"/>
      <c r="Q80" s="23" t="str">
        <f t="shared" si="1"/>
        <v/>
      </c>
      <c r="R80" s="4"/>
      <c r="S80" s="4" t="str">
        <f t="shared" si="2"/>
        <v/>
      </c>
    </row>
    <row r="81" ht="15.75" customHeight="1">
      <c r="N81" s="4"/>
      <c r="P81" s="23"/>
      <c r="Q81" s="23" t="str">
        <f t="shared" si="1"/>
        <v/>
      </c>
      <c r="R81" s="4"/>
      <c r="S81" s="4" t="str">
        <f t="shared" si="2"/>
        <v/>
      </c>
    </row>
    <row r="82" ht="15.75" customHeight="1">
      <c r="N82" s="4"/>
      <c r="P82" s="23"/>
      <c r="Q82" s="23" t="str">
        <f t="shared" si="1"/>
        <v/>
      </c>
      <c r="R82" s="4"/>
      <c r="S82" s="4" t="str">
        <f t="shared" si="2"/>
        <v/>
      </c>
    </row>
    <row r="83" ht="15.75" customHeight="1">
      <c r="N83" s="4"/>
      <c r="P83" s="23"/>
      <c r="Q83" s="23" t="str">
        <f t="shared" si="1"/>
        <v/>
      </c>
      <c r="R83" s="4"/>
      <c r="S83" s="4" t="str">
        <f t="shared" si="2"/>
        <v/>
      </c>
    </row>
    <row r="84" ht="15.75" customHeight="1">
      <c r="N84" s="4"/>
      <c r="P84" s="23"/>
      <c r="Q84" s="23" t="str">
        <f t="shared" si="1"/>
        <v/>
      </c>
      <c r="R84" s="4"/>
      <c r="S84" s="4" t="str">
        <f t="shared" si="2"/>
        <v/>
      </c>
    </row>
    <row r="85" ht="15.75" customHeight="1">
      <c r="N85" s="4"/>
      <c r="P85" s="23"/>
      <c r="Q85" s="23" t="str">
        <f t="shared" si="1"/>
        <v/>
      </c>
      <c r="R85" s="4"/>
      <c r="S85" s="4" t="str">
        <f t="shared" si="2"/>
        <v/>
      </c>
    </row>
    <row r="86" ht="15.75" customHeight="1">
      <c r="N86" s="4"/>
      <c r="P86" s="23"/>
      <c r="Q86" s="23" t="str">
        <f t="shared" si="1"/>
        <v/>
      </c>
      <c r="R86" s="4"/>
      <c r="S86" s="4" t="str">
        <f t="shared" si="2"/>
        <v/>
      </c>
    </row>
    <row r="87" ht="15.75" customHeight="1">
      <c r="N87" s="4"/>
      <c r="P87" s="23"/>
      <c r="Q87" s="23" t="str">
        <f t="shared" si="1"/>
        <v/>
      </c>
      <c r="R87" s="4"/>
      <c r="S87" s="4" t="str">
        <f t="shared" si="2"/>
        <v/>
      </c>
    </row>
    <row r="88" ht="15.75" customHeight="1">
      <c r="N88" s="4"/>
      <c r="P88" s="23"/>
      <c r="Q88" s="23" t="str">
        <f t="shared" si="1"/>
        <v/>
      </c>
      <c r="R88" s="4"/>
      <c r="S88" s="4" t="str">
        <f t="shared" si="2"/>
        <v/>
      </c>
    </row>
    <row r="89" ht="15.75" customHeight="1">
      <c r="N89" s="4"/>
      <c r="P89" s="23"/>
      <c r="Q89" s="23" t="str">
        <f t="shared" si="1"/>
        <v/>
      </c>
      <c r="R89" s="4"/>
      <c r="S89" s="4" t="str">
        <f t="shared" si="2"/>
        <v/>
      </c>
    </row>
    <row r="90" ht="15.75" customHeight="1">
      <c r="N90" s="4"/>
      <c r="P90" s="23"/>
      <c r="Q90" s="23" t="str">
        <f t="shared" si="1"/>
        <v/>
      </c>
      <c r="R90" s="4"/>
      <c r="S90" s="4" t="str">
        <f t="shared" si="2"/>
        <v/>
      </c>
    </row>
    <row r="91" ht="15.75" customHeight="1">
      <c r="N91" s="4"/>
      <c r="P91" s="23"/>
      <c r="Q91" s="23" t="str">
        <f t="shared" si="1"/>
        <v/>
      </c>
      <c r="R91" s="4"/>
      <c r="S91" s="4" t="str">
        <f t="shared" si="2"/>
        <v/>
      </c>
    </row>
    <row r="92" ht="15.75" customHeight="1">
      <c r="N92" s="4"/>
      <c r="P92" s="23"/>
      <c r="Q92" s="23" t="str">
        <f t="shared" si="1"/>
        <v/>
      </c>
      <c r="R92" s="4"/>
      <c r="S92" s="4" t="str">
        <f t="shared" si="2"/>
        <v/>
      </c>
    </row>
    <row r="93" ht="15.75" customHeight="1">
      <c r="N93" s="4"/>
      <c r="P93" s="23"/>
      <c r="Q93" s="23" t="str">
        <f t="shared" si="1"/>
        <v/>
      </c>
      <c r="R93" s="4"/>
      <c r="S93" s="4" t="str">
        <f t="shared" si="2"/>
        <v/>
      </c>
    </row>
    <row r="94" ht="15.75" customHeight="1">
      <c r="N94" s="4"/>
      <c r="P94" s="23"/>
      <c r="Q94" s="23" t="str">
        <f t="shared" si="1"/>
        <v/>
      </c>
      <c r="R94" s="4"/>
      <c r="S94" s="4" t="str">
        <f t="shared" si="2"/>
        <v/>
      </c>
    </row>
    <row r="95" ht="15.75" customHeight="1">
      <c r="N95" s="4"/>
      <c r="P95" s="23"/>
      <c r="Q95" s="23" t="str">
        <f t="shared" si="1"/>
        <v/>
      </c>
      <c r="R95" s="4"/>
      <c r="S95" s="4" t="str">
        <f t="shared" si="2"/>
        <v/>
      </c>
    </row>
    <row r="96" ht="15.75" customHeight="1">
      <c r="N96" s="4"/>
      <c r="P96" s="23"/>
      <c r="Q96" s="23" t="str">
        <f t="shared" si="1"/>
        <v/>
      </c>
      <c r="R96" s="4"/>
      <c r="S96" s="4" t="str">
        <f t="shared" si="2"/>
        <v/>
      </c>
    </row>
    <row r="97" ht="15.75" customHeight="1">
      <c r="N97" s="4"/>
      <c r="P97" s="23"/>
      <c r="Q97" s="23" t="str">
        <f t="shared" si="1"/>
        <v/>
      </c>
      <c r="R97" s="4"/>
      <c r="S97" s="4" t="str">
        <f t="shared" si="2"/>
        <v/>
      </c>
    </row>
    <row r="98" ht="15.75" customHeight="1">
      <c r="N98" s="4"/>
      <c r="P98" s="23"/>
      <c r="Q98" s="23" t="str">
        <f t="shared" si="1"/>
        <v/>
      </c>
      <c r="R98" s="4"/>
      <c r="S98" s="4" t="str">
        <f t="shared" si="2"/>
        <v/>
      </c>
    </row>
    <row r="99" ht="15.75" customHeight="1">
      <c r="N99" s="4"/>
      <c r="P99" s="23"/>
      <c r="Q99" s="23" t="str">
        <f t="shared" si="1"/>
        <v/>
      </c>
      <c r="R99" s="4"/>
      <c r="S99" s="4" t="str">
        <f t="shared" si="2"/>
        <v/>
      </c>
    </row>
    <row r="100" ht="15.75" customHeight="1">
      <c r="N100" s="4"/>
      <c r="P100" s="23"/>
      <c r="Q100" s="23" t="str">
        <f t="shared" si="1"/>
        <v/>
      </c>
      <c r="R100" s="4"/>
      <c r="S100" s="4" t="str">
        <f t="shared" si="2"/>
        <v/>
      </c>
    </row>
    <row r="101" ht="15.75" customHeight="1">
      <c r="N101" s="4"/>
      <c r="P101" s="23"/>
      <c r="Q101" s="23" t="str">
        <f t="shared" si="1"/>
        <v/>
      </c>
      <c r="R101" s="4"/>
      <c r="S101" s="4" t="str">
        <f t="shared" si="2"/>
        <v/>
      </c>
    </row>
    <row r="102" ht="15.75" customHeight="1">
      <c r="N102" s="4"/>
      <c r="P102" s="23"/>
      <c r="Q102" s="23" t="str">
        <f t="shared" si="1"/>
        <v/>
      </c>
      <c r="R102" s="4"/>
      <c r="S102" s="4" t="str">
        <f t="shared" si="2"/>
        <v/>
      </c>
    </row>
    <row r="103" ht="15.75" customHeight="1">
      <c r="N103" s="4"/>
      <c r="P103" s="23"/>
      <c r="Q103" s="23" t="str">
        <f t="shared" si="1"/>
        <v/>
      </c>
      <c r="R103" s="4"/>
      <c r="S103" s="4" t="str">
        <f t="shared" si="2"/>
        <v/>
      </c>
    </row>
    <row r="104" ht="15.75" customHeight="1">
      <c r="N104" s="4"/>
      <c r="P104" s="23"/>
      <c r="Q104" s="23" t="str">
        <f t="shared" si="1"/>
        <v/>
      </c>
      <c r="R104" s="4"/>
      <c r="S104" s="4" t="str">
        <f t="shared" si="2"/>
        <v/>
      </c>
    </row>
    <row r="105" ht="15.75" customHeight="1">
      <c r="N105" s="4"/>
      <c r="P105" s="23"/>
      <c r="Q105" s="23" t="str">
        <f t="shared" si="1"/>
        <v/>
      </c>
      <c r="R105" s="4"/>
      <c r="S105" s="4" t="str">
        <f t="shared" si="2"/>
        <v/>
      </c>
    </row>
    <row r="106" ht="15.75" customHeight="1">
      <c r="N106" s="4"/>
      <c r="P106" s="23"/>
      <c r="Q106" s="23" t="str">
        <f t="shared" si="1"/>
        <v/>
      </c>
      <c r="R106" s="4"/>
      <c r="S106" s="4" t="str">
        <f t="shared" si="2"/>
        <v/>
      </c>
    </row>
    <row r="107" ht="15.75" customHeight="1">
      <c r="N107" s="4"/>
      <c r="P107" s="23"/>
      <c r="Q107" s="23" t="str">
        <f t="shared" si="1"/>
        <v/>
      </c>
      <c r="R107" s="4"/>
      <c r="S107" s="4" t="str">
        <f t="shared" si="2"/>
        <v/>
      </c>
    </row>
    <row r="108" ht="15.75" customHeight="1">
      <c r="N108" s="4"/>
      <c r="P108" s="23"/>
      <c r="Q108" s="23" t="str">
        <f t="shared" si="1"/>
        <v/>
      </c>
      <c r="R108" s="4"/>
      <c r="S108" s="4" t="str">
        <f t="shared" si="2"/>
        <v/>
      </c>
    </row>
    <row r="109" ht="15.75" customHeight="1">
      <c r="N109" s="4"/>
      <c r="P109" s="23"/>
      <c r="Q109" s="23" t="str">
        <f t="shared" si="1"/>
        <v/>
      </c>
      <c r="R109" s="4"/>
      <c r="S109" s="4" t="str">
        <f t="shared" si="2"/>
        <v/>
      </c>
    </row>
    <row r="110" ht="15.75" customHeight="1">
      <c r="N110" s="4"/>
      <c r="P110" s="23"/>
      <c r="Q110" s="23" t="str">
        <f t="shared" si="1"/>
        <v/>
      </c>
      <c r="R110" s="4"/>
      <c r="S110" s="4" t="str">
        <f t="shared" si="2"/>
        <v/>
      </c>
    </row>
    <row r="111" ht="15.75" customHeight="1">
      <c r="N111" s="4"/>
      <c r="P111" s="23"/>
      <c r="Q111" s="23" t="str">
        <f t="shared" si="1"/>
        <v/>
      </c>
      <c r="R111" s="4"/>
      <c r="S111" s="4" t="str">
        <f t="shared" si="2"/>
        <v/>
      </c>
    </row>
    <row r="112" ht="15.75" customHeight="1">
      <c r="N112" s="4"/>
      <c r="P112" s="23"/>
      <c r="Q112" s="23" t="str">
        <f t="shared" si="1"/>
        <v/>
      </c>
      <c r="R112" s="4"/>
      <c r="S112" s="4" t="str">
        <f t="shared" si="2"/>
        <v/>
      </c>
    </row>
    <row r="113" ht="15.75" customHeight="1">
      <c r="N113" s="4"/>
      <c r="P113" s="23"/>
      <c r="Q113" s="23" t="str">
        <f t="shared" si="1"/>
        <v/>
      </c>
      <c r="R113" s="4"/>
      <c r="S113" s="4" t="str">
        <f t="shared" si="2"/>
        <v/>
      </c>
    </row>
    <row r="114" ht="15.75" customHeight="1">
      <c r="N114" s="4"/>
      <c r="P114" s="23"/>
      <c r="Q114" s="23" t="str">
        <f t="shared" si="1"/>
        <v/>
      </c>
      <c r="R114" s="4"/>
      <c r="S114" s="4" t="str">
        <f t="shared" si="2"/>
        <v/>
      </c>
    </row>
    <row r="115" ht="15.75" customHeight="1">
      <c r="N115" s="4"/>
      <c r="P115" s="23"/>
      <c r="Q115" s="23" t="str">
        <f t="shared" si="1"/>
        <v/>
      </c>
      <c r="R115" s="4"/>
      <c r="S115" s="4" t="str">
        <f t="shared" si="2"/>
        <v/>
      </c>
    </row>
    <row r="116" ht="15.75" customHeight="1">
      <c r="N116" s="4"/>
      <c r="P116" s="23"/>
      <c r="Q116" s="23" t="str">
        <f t="shared" si="1"/>
        <v/>
      </c>
      <c r="R116" s="4"/>
      <c r="S116" s="4" t="str">
        <f t="shared" si="2"/>
        <v/>
      </c>
    </row>
    <row r="117" ht="15.75" customHeight="1">
      <c r="N117" s="4"/>
      <c r="P117" s="23"/>
      <c r="Q117" s="23" t="str">
        <f t="shared" si="1"/>
        <v/>
      </c>
      <c r="R117" s="4"/>
      <c r="S117" s="4" t="str">
        <f t="shared" si="2"/>
        <v/>
      </c>
    </row>
    <row r="118" ht="15.75" customHeight="1">
      <c r="N118" s="4"/>
      <c r="P118" s="23"/>
      <c r="Q118" s="23" t="str">
        <f t="shared" si="1"/>
        <v/>
      </c>
      <c r="R118" s="4"/>
      <c r="S118" s="4" t="str">
        <f t="shared" si="2"/>
        <v/>
      </c>
    </row>
    <row r="119" ht="15.75" customHeight="1">
      <c r="N119" s="4"/>
      <c r="P119" s="23"/>
      <c r="Q119" s="23" t="str">
        <f t="shared" si="1"/>
        <v/>
      </c>
      <c r="R119" s="4"/>
      <c r="S119" s="4" t="str">
        <f t="shared" si="2"/>
        <v/>
      </c>
    </row>
    <row r="120" ht="15.75" customHeight="1">
      <c r="N120" s="4"/>
      <c r="P120" s="23"/>
      <c r="Q120" s="23" t="str">
        <f t="shared" si="1"/>
        <v/>
      </c>
      <c r="R120" s="4"/>
      <c r="S120" s="4" t="str">
        <f t="shared" si="2"/>
        <v/>
      </c>
    </row>
    <row r="121" ht="15.75" customHeight="1">
      <c r="N121" s="4"/>
      <c r="P121" s="23"/>
      <c r="Q121" s="23" t="str">
        <f t="shared" si="1"/>
        <v/>
      </c>
      <c r="R121" s="4"/>
      <c r="S121" s="4" t="str">
        <f t="shared" si="2"/>
        <v/>
      </c>
    </row>
    <row r="122" ht="15.75" customHeight="1">
      <c r="N122" s="4"/>
      <c r="P122" s="23"/>
      <c r="Q122" s="23" t="str">
        <f t="shared" si="1"/>
        <v/>
      </c>
      <c r="R122" s="4"/>
      <c r="S122" s="4" t="str">
        <f t="shared" si="2"/>
        <v/>
      </c>
    </row>
    <row r="123" ht="15.75" customHeight="1">
      <c r="N123" s="4"/>
      <c r="P123" s="23"/>
      <c r="Q123" s="23" t="str">
        <f t="shared" si="1"/>
        <v/>
      </c>
      <c r="R123" s="4"/>
      <c r="S123" s="4" t="str">
        <f t="shared" si="2"/>
        <v/>
      </c>
    </row>
    <row r="124" ht="15.75" customHeight="1">
      <c r="N124" s="4"/>
      <c r="P124" s="23"/>
      <c r="Q124" s="23" t="str">
        <f t="shared" si="1"/>
        <v/>
      </c>
      <c r="R124" s="4"/>
      <c r="S124" s="4" t="str">
        <f t="shared" si="2"/>
        <v/>
      </c>
    </row>
    <row r="125" ht="15.75" customHeight="1">
      <c r="N125" s="4"/>
      <c r="P125" s="23"/>
      <c r="Q125" s="23" t="str">
        <f t="shared" si="1"/>
        <v/>
      </c>
      <c r="R125" s="4"/>
      <c r="S125" s="4" t="str">
        <f t="shared" si="2"/>
        <v/>
      </c>
    </row>
    <row r="126" ht="15.75" customHeight="1">
      <c r="N126" s="4"/>
      <c r="P126" s="23"/>
      <c r="Q126" s="23" t="str">
        <f t="shared" si="1"/>
        <v/>
      </c>
      <c r="R126" s="4"/>
      <c r="S126" s="4" t="str">
        <f t="shared" si="2"/>
        <v/>
      </c>
    </row>
    <row r="127" ht="15.75" customHeight="1">
      <c r="N127" s="4"/>
      <c r="P127" s="23"/>
      <c r="Q127" s="23" t="str">
        <f t="shared" si="1"/>
        <v/>
      </c>
      <c r="R127" s="4"/>
      <c r="S127" s="4" t="str">
        <f t="shared" si="2"/>
        <v/>
      </c>
    </row>
    <row r="128" ht="15.75" customHeight="1">
      <c r="N128" s="4"/>
      <c r="P128" s="23"/>
      <c r="Q128" s="23" t="str">
        <f t="shared" si="1"/>
        <v/>
      </c>
      <c r="R128" s="4"/>
      <c r="S128" s="4" t="str">
        <f t="shared" si="2"/>
        <v/>
      </c>
    </row>
    <row r="129" ht="15.75" customHeight="1">
      <c r="N129" s="4"/>
      <c r="P129" s="23"/>
      <c r="Q129" s="23" t="str">
        <f t="shared" si="1"/>
        <v/>
      </c>
      <c r="R129" s="4"/>
      <c r="S129" s="4" t="str">
        <f t="shared" si="2"/>
        <v/>
      </c>
    </row>
    <row r="130" ht="15.75" customHeight="1">
      <c r="N130" s="4"/>
      <c r="P130" s="23"/>
      <c r="Q130" s="23" t="str">
        <f t="shared" si="1"/>
        <v/>
      </c>
      <c r="R130" s="4"/>
      <c r="S130" s="4" t="str">
        <f t="shared" si="2"/>
        <v/>
      </c>
    </row>
    <row r="131" ht="15.75" customHeight="1">
      <c r="N131" s="4"/>
      <c r="P131" s="23"/>
      <c r="Q131" s="23" t="str">
        <f t="shared" si="1"/>
        <v/>
      </c>
      <c r="R131" s="4"/>
      <c r="S131" s="4" t="str">
        <f t="shared" si="2"/>
        <v/>
      </c>
    </row>
    <row r="132" ht="15.75" customHeight="1">
      <c r="N132" s="4"/>
      <c r="P132" s="23"/>
      <c r="Q132" s="23" t="str">
        <f t="shared" si="1"/>
        <v/>
      </c>
      <c r="R132" s="4"/>
      <c r="S132" s="4" t="str">
        <f t="shared" si="2"/>
        <v/>
      </c>
    </row>
    <row r="133" ht="15.75" customHeight="1">
      <c r="N133" s="4"/>
      <c r="P133" s="23"/>
      <c r="Q133" s="23" t="str">
        <f t="shared" si="1"/>
        <v/>
      </c>
      <c r="R133" s="4"/>
      <c r="S133" s="4" t="str">
        <f t="shared" si="2"/>
        <v/>
      </c>
    </row>
    <row r="134" ht="15.75" customHeight="1">
      <c r="N134" s="4"/>
      <c r="P134" s="23"/>
      <c r="Q134" s="23" t="str">
        <f t="shared" si="1"/>
        <v/>
      </c>
      <c r="R134" s="4"/>
      <c r="S134" s="4" t="str">
        <f t="shared" si="2"/>
        <v/>
      </c>
    </row>
    <row r="135" ht="15.75" customHeight="1">
      <c r="N135" s="4"/>
      <c r="P135" s="23"/>
      <c r="Q135" s="23" t="str">
        <f t="shared" si="1"/>
        <v/>
      </c>
      <c r="R135" s="4"/>
      <c r="S135" s="4" t="str">
        <f t="shared" si="2"/>
        <v/>
      </c>
    </row>
    <row r="136" ht="15.75" customHeight="1">
      <c r="N136" s="4"/>
      <c r="P136" s="23"/>
      <c r="Q136" s="23" t="str">
        <f t="shared" si="1"/>
        <v/>
      </c>
      <c r="R136" s="4"/>
      <c r="S136" s="4" t="str">
        <f t="shared" si="2"/>
        <v/>
      </c>
    </row>
    <row r="137" ht="15.75" customHeight="1">
      <c r="N137" s="4"/>
      <c r="P137" s="23"/>
      <c r="Q137" s="23" t="str">
        <f t="shared" si="1"/>
        <v/>
      </c>
      <c r="R137" s="4"/>
      <c r="S137" s="4" t="str">
        <f t="shared" si="2"/>
        <v/>
      </c>
    </row>
    <row r="138" ht="15.75" customHeight="1">
      <c r="N138" s="4"/>
      <c r="P138" s="23"/>
      <c r="Q138" s="23" t="str">
        <f t="shared" si="1"/>
        <v/>
      </c>
      <c r="R138" s="4"/>
      <c r="S138" s="4" t="str">
        <f t="shared" si="2"/>
        <v/>
      </c>
    </row>
    <row r="139" ht="15.75" customHeight="1">
      <c r="N139" s="4"/>
      <c r="P139" s="23"/>
      <c r="Q139" s="23" t="str">
        <f t="shared" si="1"/>
        <v/>
      </c>
      <c r="R139" s="4"/>
      <c r="S139" s="4" t="str">
        <f t="shared" si="2"/>
        <v/>
      </c>
    </row>
    <row r="140" ht="15.75" customHeight="1">
      <c r="N140" s="4"/>
      <c r="P140" s="23"/>
      <c r="Q140" s="23" t="str">
        <f t="shared" si="1"/>
        <v/>
      </c>
      <c r="R140" s="4"/>
      <c r="S140" s="4" t="str">
        <f t="shared" si="2"/>
        <v/>
      </c>
    </row>
    <row r="141" ht="15.75" customHeight="1">
      <c r="N141" s="4"/>
      <c r="P141" s="23"/>
      <c r="Q141" s="23" t="str">
        <f t="shared" si="1"/>
        <v/>
      </c>
      <c r="R141" s="4"/>
      <c r="S141" s="4" t="str">
        <f t="shared" si="2"/>
        <v/>
      </c>
    </row>
    <row r="142" ht="15.75" customHeight="1">
      <c r="N142" s="4"/>
      <c r="P142" s="23"/>
      <c r="Q142" s="23" t="str">
        <f t="shared" si="1"/>
        <v/>
      </c>
      <c r="R142" s="4"/>
      <c r="S142" s="4" t="str">
        <f t="shared" si="2"/>
        <v/>
      </c>
    </row>
    <row r="143" ht="15.75" customHeight="1">
      <c r="N143" s="4"/>
      <c r="P143" s="23"/>
      <c r="Q143" s="23" t="str">
        <f t="shared" si="1"/>
        <v/>
      </c>
      <c r="R143" s="4"/>
      <c r="S143" s="4" t="str">
        <f t="shared" si="2"/>
        <v/>
      </c>
    </row>
    <row r="144" ht="15.75" customHeight="1">
      <c r="N144" s="4"/>
      <c r="P144" s="23"/>
      <c r="Q144" s="23" t="str">
        <f t="shared" si="1"/>
        <v/>
      </c>
      <c r="R144" s="4"/>
      <c r="S144" s="4" t="str">
        <f t="shared" si="2"/>
        <v/>
      </c>
    </row>
    <row r="145" ht="15.75" customHeight="1">
      <c r="N145" s="4"/>
      <c r="P145" s="23"/>
      <c r="Q145" s="23" t="str">
        <f t="shared" si="1"/>
        <v/>
      </c>
      <c r="R145" s="4"/>
      <c r="S145" s="4" t="str">
        <f t="shared" si="2"/>
        <v/>
      </c>
    </row>
    <row r="146" ht="15.75" customHeight="1">
      <c r="N146" s="4"/>
      <c r="P146" s="23"/>
      <c r="Q146" s="23" t="str">
        <f t="shared" si="1"/>
        <v/>
      </c>
      <c r="R146" s="4"/>
      <c r="S146" s="4" t="str">
        <f t="shared" si="2"/>
        <v/>
      </c>
    </row>
    <row r="147" ht="15.75" customHeight="1">
      <c r="N147" s="4"/>
      <c r="P147" s="23"/>
      <c r="Q147" s="23" t="str">
        <f t="shared" si="1"/>
        <v/>
      </c>
      <c r="R147" s="4"/>
      <c r="S147" s="4" t="str">
        <f t="shared" si="2"/>
        <v/>
      </c>
    </row>
    <row r="148" ht="15.75" customHeight="1">
      <c r="N148" s="4"/>
      <c r="P148" s="23"/>
      <c r="Q148" s="23" t="str">
        <f t="shared" si="1"/>
        <v/>
      </c>
      <c r="R148" s="4"/>
      <c r="S148" s="4" t="str">
        <f t="shared" si="2"/>
        <v/>
      </c>
    </row>
    <row r="149" ht="15.75" customHeight="1">
      <c r="N149" s="4"/>
      <c r="P149" s="23"/>
      <c r="Q149" s="23" t="str">
        <f t="shared" si="1"/>
        <v/>
      </c>
      <c r="R149" s="4"/>
      <c r="S149" s="4" t="str">
        <f t="shared" si="2"/>
        <v/>
      </c>
    </row>
    <row r="150" ht="15.75" customHeight="1">
      <c r="N150" s="4"/>
      <c r="P150" s="23"/>
      <c r="Q150" s="23" t="str">
        <f t="shared" si="1"/>
        <v/>
      </c>
      <c r="R150" s="4"/>
      <c r="S150" s="4" t="str">
        <f t="shared" si="2"/>
        <v/>
      </c>
    </row>
    <row r="151" ht="15.75" customHeight="1">
      <c r="N151" s="4"/>
      <c r="P151" s="23"/>
      <c r="Q151" s="23" t="str">
        <f t="shared" si="1"/>
        <v/>
      </c>
      <c r="R151" s="4"/>
      <c r="S151" s="4" t="str">
        <f t="shared" si="2"/>
        <v/>
      </c>
    </row>
    <row r="152" ht="15.75" customHeight="1">
      <c r="N152" s="4"/>
      <c r="P152" s="23"/>
      <c r="Q152" s="23" t="str">
        <f t="shared" si="1"/>
        <v/>
      </c>
      <c r="R152" s="4"/>
      <c r="S152" s="4" t="str">
        <f t="shared" si="2"/>
        <v/>
      </c>
    </row>
    <row r="153" ht="15.75" customHeight="1">
      <c r="N153" s="4"/>
      <c r="P153" s="23"/>
      <c r="Q153" s="23" t="str">
        <f t="shared" si="1"/>
        <v/>
      </c>
      <c r="R153" s="4"/>
      <c r="S153" s="4" t="str">
        <f t="shared" si="2"/>
        <v/>
      </c>
    </row>
    <row r="154" ht="15.75" customHeight="1">
      <c r="N154" s="4"/>
      <c r="P154" s="23"/>
      <c r="Q154" s="23" t="str">
        <f t="shared" si="1"/>
        <v/>
      </c>
      <c r="R154" s="4"/>
      <c r="S154" s="4" t="str">
        <f t="shared" si="2"/>
        <v/>
      </c>
    </row>
    <row r="155" ht="15.75" customHeight="1">
      <c r="N155" s="4"/>
      <c r="P155" s="23"/>
      <c r="Q155" s="23" t="str">
        <f t="shared" si="1"/>
        <v/>
      </c>
      <c r="R155" s="4"/>
      <c r="S155" s="4" t="str">
        <f t="shared" si="2"/>
        <v/>
      </c>
    </row>
    <row r="156" ht="15.75" customHeight="1">
      <c r="N156" s="4"/>
      <c r="P156" s="23"/>
      <c r="Q156" s="23" t="str">
        <f t="shared" si="1"/>
        <v/>
      </c>
      <c r="R156" s="4"/>
      <c r="S156" s="4" t="str">
        <f t="shared" si="2"/>
        <v/>
      </c>
    </row>
    <row r="157" ht="15.75" customHeight="1">
      <c r="N157" s="4"/>
      <c r="P157" s="23"/>
      <c r="Q157" s="23" t="str">
        <f t="shared" si="1"/>
        <v/>
      </c>
      <c r="R157" s="4"/>
      <c r="S157" s="4" t="str">
        <f t="shared" si="2"/>
        <v/>
      </c>
    </row>
    <row r="158" ht="15.75" customHeight="1">
      <c r="N158" s="4"/>
      <c r="P158" s="23"/>
      <c r="Q158" s="23" t="str">
        <f t="shared" si="1"/>
        <v/>
      </c>
      <c r="R158" s="4"/>
      <c r="S158" s="4" t="str">
        <f t="shared" si="2"/>
        <v/>
      </c>
    </row>
    <row r="159" ht="15.75" customHeight="1">
      <c r="N159" s="4"/>
      <c r="P159" s="23"/>
      <c r="Q159" s="23" t="str">
        <f t="shared" si="1"/>
        <v/>
      </c>
      <c r="R159" s="4"/>
      <c r="S159" s="4" t="str">
        <f t="shared" si="2"/>
        <v/>
      </c>
    </row>
    <row r="160" ht="15.75" customHeight="1">
      <c r="N160" s="4"/>
      <c r="P160" s="23"/>
      <c r="Q160" s="23" t="str">
        <f t="shared" si="1"/>
        <v/>
      </c>
      <c r="R160" s="4"/>
      <c r="S160" s="4" t="str">
        <f t="shared" si="2"/>
        <v/>
      </c>
    </row>
    <row r="161" ht="15.75" customHeight="1">
      <c r="N161" s="4"/>
      <c r="P161" s="23"/>
      <c r="Q161" s="23" t="str">
        <f t="shared" si="1"/>
        <v/>
      </c>
      <c r="R161" s="4"/>
      <c r="S161" s="4" t="str">
        <f t="shared" si="2"/>
        <v/>
      </c>
    </row>
    <row r="162" ht="15.75" customHeight="1">
      <c r="N162" s="4"/>
      <c r="P162" s="23"/>
      <c r="Q162" s="23" t="str">
        <f t="shared" si="1"/>
        <v/>
      </c>
      <c r="R162" s="4"/>
      <c r="S162" s="4" t="str">
        <f t="shared" si="2"/>
        <v/>
      </c>
    </row>
    <row r="163" ht="15.75" customHeight="1">
      <c r="N163" s="4"/>
      <c r="P163" s="23"/>
      <c r="Q163" s="23" t="str">
        <f t="shared" si="1"/>
        <v/>
      </c>
      <c r="R163" s="4"/>
      <c r="S163" s="4" t="str">
        <f t="shared" si="2"/>
        <v/>
      </c>
    </row>
    <row r="164" ht="15.75" customHeight="1">
      <c r="N164" s="4"/>
      <c r="P164" s="23"/>
      <c r="Q164" s="23" t="str">
        <f t="shared" si="1"/>
        <v/>
      </c>
      <c r="R164" s="4"/>
      <c r="S164" s="4" t="str">
        <f t="shared" si="2"/>
        <v/>
      </c>
    </row>
    <row r="165" ht="15.75" customHeight="1">
      <c r="N165" s="4"/>
      <c r="P165" s="23"/>
      <c r="Q165" s="23" t="str">
        <f t="shared" si="1"/>
        <v/>
      </c>
      <c r="R165" s="4"/>
      <c r="S165" s="4" t="str">
        <f t="shared" si="2"/>
        <v/>
      </c>
    </row>
    <row r="166" ht="15.75" customHeight="1">
      <c r="N166" s="4"/>
      <c r="P166" s="23"/>
      <c r="Q166" s="23" t="str">
        <f t="shared" si="1"/>
        <v/>
      </c>
      <c r="R166" s="4"/>
      <c r="S166" s="4" t="str">
        <f t="shared" si="2"/>
        <v/>
      </c>
    </row>
    <row r="167" ht="15.75" customHeight="1">
      <c r="N167" s="4"/>
      <c r="P167" s="23"/>
      <c r="Q167" s="23" t="str">
        <f t="shared" si="1"/>
        <v/>
      </c>
      <c r="R167" s="4"/>
      <c r="S167" s="4" t="str">
        <f t="shared" si="2"/>
        <v/>
      </c>
    </row>
    <row r="168" ht="15.75" customHeight="1">
      <c r="N168" s="4"/>
      <c r="P168" s="23"/>
      <c r="Q168" s="23" t="str">
        <f t="shared" si="1"/>
        <v/>
      </c>
      <c r="R168" s="4"/>
      <c r="S168" s="4" t="str">
        <f t="shared" si="2"/>
        <v/>
      </c>
    </row>
    <row r="169" ht="15.75" customHeight="1">
      <c r="N169" s="4"/>
      <c r="P169" s="23"/>
      <c r="Q169" s="23" t="str">
        <f t="shared" si="1"/>
        <v/>
      </c>
      <c r="R169" s="4"/>
      <c r="S169" s="4" t="str">
        <f t="shared" si="2"/>
        <v/>
      </c>
    </row>
    <row r="170" ht="15.75" customHeight="1">
      <c r="N170" s="4"/>
      <c r="P170" s="23"/>
      <c r="Q170" s="23" t="str">
        <f t="shared" si="1"/>
        <v/>
      </c>
      <c r="R170" s="4"/>
      <c r="S170" s="4" t="str">
        <f t="shared" si="2"/>
        <v/>
      </c>
    </row>
    <row r="171" ht="15.75" customHeight="1">
      <c r="N171" s="4"/>
      <c r="P171" s="23"/>
      <c r="Q171" s="23" t="str">
        <f t="shared" si="1"/>
        <v/>
      </c>
      <c r="R171" s="4"/>
      <c r="S171" s="4" t="str">
        <f t="shared" si="2"/>
        <v/>
      </c>
    </row>
    <row r="172" ht="15.75" customHeight="1">
      <c r="N172" s="4"/>
      <c r="P172" s="23"/>
      <c r="Q172" s="23" t="str">
        <f t="shared" si="1"/>
        <v/>
      </c>
      <c r="R172" s="4"/>
      <c r="S172" s="4" t="str">
        <f t="shared" si="2"/>
        <v/>
      </c>
    </row>
    <row r="173" ht="15.75" customHeight="1">
      <c r="N173" s="4"/>
      <c r="P173" s="23"/>
      <c r="Q173" s="23" t="str">
        <f t="shared" si="1"/>
        <v/>
      </c>
      <c r="R173" s="4"/>
      <c r="S173" s="4" t="str">
        <f t="shared" si="2"/>
        <v/>
      </c>
    </row>
    <row r="174" ht="15.75" customHeight="1">
      <c r="N174" s="4"/>
      <c r="P174" s="23"/>
      <c r="Q174" s="23" t="str">
        <f t="shared" si="1"/>
        <v/>
      </c>
      <c r="R174" s="4"/>
      <c r="S174" s="4" t="str">
        <f t="shared" si="2"/>
        <v/>
      </c>
    </row>
    <row r="175" ht="15.75" customHeight="1">
      <c r="N175" s="4"/>
      <c r="P175" s="23"/>
      <c r="Q175" s="23" t="str">
        <f t="shared" si="1"/>
        <v/>
      </c>
      <c r="R175" s="4"/>
      <c r="S175" s="4" t="str">
        <f t="shared" si="2"/>
        <v/>
      </c>
    </row>
    <row r="176" ht="15.75" customHeight="1">
      <c r="N176" s="4"/>
      <c r="P176" s="23"/>
      <c r="Q176" s="23" t="str">
        <f t="shared" si="1"/>
        <v/>
      </c>
      <c r="R176" s="4"/>
      <c r="S176" s="4" t="str">
        <f t="shared" si="2"/>
        <v/>
      </c>
    </row>
    <row r="177" ht="15.75" customHeight="1">
      <c r="N177" s="4"/>
      <c r="P177" s="23"/>
      <c r="Q177" s="23" t="str">
        <f t="shared" si="1"/>
        <v/>
      </c>
      <c r="R177" s="4"/>
      <c r="S177" s="4" t="str">
        <f t="shared" si="2"/>
        <v/>
      </c>
    </row>
    <row r="178" ht="15.75" customHeight="1">
      <c r="N178" s="4"/>
      <c r="P178" s="23"/>
      <c r="Q178" s="23" t="str">
        <f t="shared" si="1"/>
        <v/>
      </c>
      <c r="R178" s="4"/>
      <c r="S178" s="4" t="str">
        <f t="shared" si="2"/>
        <v/>
      </c>
    </row>
    <row r="179" ht="15.75" customHeight="1">
      <c r="N179" s="4"/>
      <c r="P179" s="23"/>
      <c r="Q179" s="23" t="str">
        <f t="shared" si="1"/>
        <v/>
      </c>
      <c r="R179" s="4"/>
      <c r="S179" s="4" t="str">
        <f t="shared" si="2"/>
        <v/>
      </c>
    </row>
    <row r="180" ht="15.75" customHeight="1">
      <c r="N180" s="4"/>
      <c r="P180" s="23"/>
      <c r="Q180" s="23" t="str">
        <f t="shared" si="1"/>
        <v/>
      </c>
      <c r="R180" s="4"/>
      <c r="S180" s="4" t="str">
        <f t="shared" si="2"/>
        <v/>
      </c>
    </row>
    <row r="181" ht="15.75" customHeight="1">
      <c r="N181" s="4"/>
      <c r="P181" s="23"/>
      <c r="Q181" s="23" t="str">
        <f t="shared" si="1"/>
        <v/>
      </c>
      <c r="R181" s="4"/>
      <c r="S181" s="4" t="str">
        <f t="shared" si="2"/>
        <v/>
      </c>
    </row>
    <row r="182" ht="15.75" customHeight="1">
      <c r="N182" s="4"/>
      <c r="P182" s="23"/>
      <c r="Q182" s="23" t="str">
        <f t="shared" si="1"/>
        <v/>
      </c>
      <c r="R182" s="4"/>
      <c r="S182" s="4" t="str">
        <f t="shared" si="2"/>
        <v/>
      </c>
    </row>
    <row r="183" ht="15.75" customHeight="1">
      <c r="N183" s="4"/>
      <c r="P183" s="23"/>
      <c r="Q183" s="23" t="str">
        <f t="shared" si="1"/>
        <v/>
      </c>
      <c r="R183" s="4"/>
      <c r="S183" s="4" t="str">
        <f t="shared" si="2"/>
        <v/>
      </c>
    </row>
    <row r="184" ht="15.75" customHeight="1">
      <c r="N184" s="4"/>
      <c r="P184" s="23"/>
      <c r="Q184" s="23" t="str">
        <f t="shared" si="1"/>
        <v/>
      </c>
      <c r="R184" s="4"/>
      <c r="S184" s="4" t="str">
        <f t="shared" si="2"/>
        <v/>
      </c>
    </row>
    <row r="185" ht="15.75" customHeight="1">
      <c r="N185" s="4"/>
      <c r="P185" s="23"/>
      <c r="Q185" s="23" t="str">
        <f t="shared" si="1"/>
        <v/>
      </c>
      <c r="R185" s="4"/>
      <c r="S185" s="4" t="str">
        <f t="shared" si="2"/>
        <v/>
      </c>
    </row>
    <row r="186" ht="15.75" customHeight="1">
      <c r="N186" s="4"/>
      <c r="P186" s="23"/>
      <c r="Q186" s="23" t="str">
        <f t="shared" si="1"/>
        <v/>
      </c>
      <c r="R186" s="4"/>
      <c r="S186" s="4" t="str">
        <f t="shared" si="2"/>
        <v/>
      </c>
    </row>
    <row r="187" ht="15.75" customHeight="1">
      <c r="N187" s="4"/>
      <c r="P187" s="23"/>
      <c r="Q187" s="23" t="str">
        <f t="shared" si="1"/>
        <v/>
      </c>
      <c r="R187" s="4"/>
      <c r="S187" s="4" t="str">
        <f t="shared" si="2"/>
        <v/>
      </c>
    </row>
    <row r="188" ht="15.75" customHeight="1">
      <c r="N188" s="4"/>
      <c r="P188" s="23"/>
      <c r="Q188" s="23" t="str">
        <f t="shared" si="1"/>
        <v/>
      </c>
      <c r="R188" s="4"/>
      <c r="S188" s="4" t="str">
        <f t="shared" si="2"/>
        <v/>
      </c>
    </row>
    <row r="189" ht="15.75" customHeight="1">
      <c r="N189" s="4"/>
      <c r="P189" s="23"/>
      <c r="Q189" s="23" t="str">
        <f t="shared" si="1"/>
        <v/>
      </c>
      <c r="R189" s="4"/>
      <c r="S189" s="4" t="str">
        <f t="shared" si="2"/>
        <v/>
      </c>
    </row>
    <row r="190" ht="15.75" customHeight="1">
      <c r="N190" s="4"/>
      <c r="P190" s="23"/>
      <c r="Q190" s="23" t="str">
        <f t="shared" si="1"/>
        <v/>
      </c>
      <c r="R190" s="4"/>
      <c r="S190" s="4" t="str">
        <f t="shared" si="2"/>
        <v/>
      </c>
    </row>
    <row r="191" ht="15.75" customHeight="1">
      <c r="N191" s="4"/>
      <c r="P191" s="23"/>
      <c r="Q191" s="23" t="str">
        <f t="shared" si="1"/>
        <v/>
      </c>
      <c r="R191" s="4"/>
      <c r="S191" s="4" t="str">
        <f t="shared" si="2"/>
        <v/>
      </c>
    </row>
    <row r="192" ht="15.75" customHeight="1">
      <c r="N192" s="4"/>
      <c r="P192" s="23"/>
      <c r="Q192" s="23" t="str">
        <f t="shared" si="1"/>
        <v/>
      </c>
      <c r="R192" s="4"/>
      <c r="S192" s="4" t="str">
        <f t="shared" si="2"/>
        <v/>
      </c>
    </row>
    <row r="193" ht="15.75" customHeight="1">
      <c r="N193" s="4"/>
      <c r="P193" s="23"/>
      <c r="Q193" s="23" t="str">
        <f t="shared" si="1"/>
        <v/>
      </c>
      <c r="R193" s="4"/>
      <c r="S193" s="4" t="str">
        <f t="shared" si="2"/>
        <v/>
      </c>
    </row>
    <row r="194" ht="15.75" customHeight="1">
      <c r="N194" s="4"/>
      <c r="P194" s="23"/>
      <c r="Q194" s="23" t="str">
        <f t="shared" si="1"/>
        <v/>
      </c>
      <c r="R194" s="4"/>
      <c r="S194" s="4" t="str">
        <f t="shared" si="2"/>
        <v/>
      </c>
    </row>
    <row r="195" ht="15.75" customHeight="1">
      <c r="N195" s="4"/>
      <c r="P195" s="23"/>
      <c r="Q195" s="23" t="str">
        <f t="shared" si="1"/>
        <v/>
      </c>
      <c r="R195" s="4"/>
      <c r="S195" s="4" t="str">
        <f t="shared" si="2"/>
        <v/>
      </c>
    </row>
    <row r="196" ht="15.75" customHeight="1">
      <c r="N196" s="4"/>
      <c r="P196" s="23"/>
      <c r="Q196" s="23" t="str">
        <f t="shared" si="1"/>
        <v/>
      </c>
      <c r="R196" s="4"/>
      <c r="S196" s="4" t="str">
        <f t="shared" si="2"/>
        <v/>
      </c>
    </row>
    <row r="197" ht="15.75" customHeight="1">
      <c r="N197" s="4"/>
      <c r="P197" s="23"/>
      <c r="Q197" s="23" t="str">
        <f t="shared" si="1"/>
        <v/>
      </c>
      <c r="R197" s="4"/>
      <c r="S197" s="4" t="str">
        <f t="shared" si="2"/>
        <v/>
      </c>
    </row>
    <row r="198" ht="15.75" customHeight="1">
      <c r="N198" s="4"/>
      <c r="P198" s="23"/>
      <c r="Q198" s="23" t="str">
        <f t="shared" si="1"/>
        <v/>
      </c>
      <c r="R198" s="4"/>
      <c r="S198" s="4" t="str">
        <f t="shared" si="2"/>
        <v/>
      </c>
    </row>
    <row r="199" ht="15.75" customHeight="1">
      <c r="N199" s="4"/>
      <c r="P199" s="23"/>
      <c r="Q199" s="23" t="str">
        <f t="shared" si="1"/>
        <v/>
      </c>
      <c r="R199" s="4"/>
      <c r="S199" s="4" t="str">
        <f t="shared" si="2"/>
        <v/>
      </c>
    </row>
    <row r="200" ht="15.75" customHeight="1">
      <c r="N200" s="4"/>
      <c r="P200" s="23"/>
      <c r="Q200" s="23" t="str">
        <f t="shared" si="1"/>
        <v/>
      </c>
      <c r="R200" s="4"/>
      <c r="S200" s="4" t="str">
        <f t="shared" si="2"/>
        <v/>
      </c>
    </row>
    <row r="201" ht="15.75" customHeight="1">
      <c r="N201" s="4"/>
      <c r="P201" s="23"/>
      <c r="Q201" s="23" t="str">
        <f t="shared" si="1"/>
        <v/>
      </c>
      <c r="R201" s="4"/>
      <c r="S201" s="4" t="str">
        <f t="shared" si="2"/>
        <v/>
      </c>
    </row>
    <row r="202" ht="15.75" customHeight="1">
      <c r="N202" s="4"/>
      <c r="P202" s="23"/>
      <c r="Q202" s="23" t="str">
        <f t="shared" si="1"/>
        <v/>
      </c>
      <c r="R202" s="4"/>
      <c r="S202" s="4" t="str">
        <f t="shared" si="2"/>
        <v/>
      </c>
    </row>
    <row r="203" ht="15.75" customHeight="1">
      <c r="N203" s="4"/>
      <c r="P203" s="23"/>
      <c r="Q203" s="23" t="str">
        <f t="shared" si="1"/>
        <v/>
      </c>
      <c r="R203" s="4"/>
      <c r="S203" s="4" t="str">
        <f t="shared" si="2"/>
        <v/>
      </c>
    </row>
    <row r="204" ht="15.75" customHeight="1">
      <c r="N204" s="4"/>
      <c r="P204" s="23"/>
      <c r="Q204" s="23" t="str">
        <f t="shared" si="1"/>
        <v/>
      </c>
      <c r="R204" s="4"/>
      <c r="S204" s="4" t="str">
        <f t="shared" si="2"/>
        <v/>
      </c>
    </row>
    <row r="205" ht="15.75" customHeight="1">
      <c r="N205" s="4"/>
      <c r="P205" s="23"/>
      <c r="Q205" s="23" t="str">
        <f t="shared" si="1"/>
        <v/>
      </c>
      <c r="R205" s="4"/>
      <c r="S205" s="4" t="str">
        <f t="shared" si="2"/>
        <v/>
      </c>
    </row>
    <row r="206" ht="15.75" customHeight="1">
      <c r="N206" s="4"/>
      <c r="P206" s="23"/>
      <c r="Q206" s="23" t="str">
        <f t="shared" si="1"/>
        <v/>
      </c>
      <c r="R206" s="4"/>
      <c r="S206" s="4" t="str">
        <f t="shared" si="2"/>
        <v/>
      </c>
    </row>
    <row r="207" ht="15.75" customHeight="1">
      <c r="N207" s="4"/>
      <c r="P207" s="23"/>
      <c r="Q207" s="23" t="str">
        <f t="shared" si="1"/>
        <v/>
      </c>
      <c r="R207" s="4"/>
      <c r="S207" s="4" t="str">
        <f t="shared" si="2"/>
        <v/>
      </c>
    </row>
    <row r="208" ht="15.75" customHeight="1">
      <c r="N208" s="4"/>
      <c r="P208" s="23"/>
      <c r="Q208" s="23" t="str">
        <f t="shared" si="1"/>
        <v/>
      </c>
      <c r="R208" s="4"/>
      <c r="S208" s="4" t="str">
        <f t="shared" si="2"/>
        <v/>
      </c>
    </row>
    <row r="209" ht="15.75" customHeight="1">
      <c r="N209" s="4"/>
      <c r="P209" s="23"/>
      <c r="Q209" s="23" t="str">
        <f t="shared" si="1"/>
        <v/>
      </c>
      <c r="R209" s="4"/>
      <c r="S209" s="4" t="str">
        <f t="shared" si="2"/>
        <v/>
      </c>
    </row>
    <row r="210" ht="15.75" customHeight="1">
      <c r="N210" s="4"/>
      <c r="P210" s="23"/>
      <c r="Q210" s="23" t="str">
        <f t="shared" si="1"/>
        <v/>
      </c>
      <c r="R210" s="4"/>
      <c r="S210" s="4" t="str">
        <f t="shared" si="2"/>
        <v/>
      </c>
    </row>
    <row r="211" ht="15.75" customHeight="1">
      <c r="N211" s="4"/>
      <c r="P211" s="23"/>
      <c r="Q211" s="23" t="str">
        <f t="shared" si="1"/>
        <v/>
      </c>
      <c r="R211" s="4"/>
      <c r="S211" s="4" t="str">
        <f t="shared" si="2"/>
        <v/>
      </c>
    </row>
    <row r="212" ht="15.75" customHeight="1">
      <c r="N212" s="4"/>
      <c r="P212" s="23"/>
      <c r="Q212" s="23" t="str">
        <f t="shared" si="1"/>
        <v/>
      </c>
      <c r="R212" s="4"/>
      <c r="S212" s="4" t="str">
        <f t="shared" si="2"/>
        <v/>
      </c>
    </row>
    <row r="213" ht="15.75" customHeight="1">
      <c r="N213" s="4"/>
      <c r="P213" s="23"/>
      <c r="Q213" s="23" t="str">
        <f t="shared" si="1"/>
        <v/>
      </c>
      <c r="R213" s="4"/>
      <c r="S213" s="4" t="str">
        <f t="shared" si="2"/>
        <v/>
      </c>
    </row>
    <row r="214" ht="15.75" customHeight="1">
      <c r="N214" s="4"/>
      <c r="P214" s="23"/>
      <c r="Q214" s="23" t="str">
        <f t="shared" si="1"/>
        <v/>
      </c>
      <c r="R214" s="4"/>
      <c r="S214" s="4" t="str">
        <f t="shared" si="2"/>
        <v/>
      </c>
    </row>
    <row r="215" ht="15.75" customHeight="1">
      <c r="N215" s="4"/>
      <c r="P215" s="23"/>
      <c r="Q215" s="23" t="str">
        <f t="shared" si="1"/>
        <v/>
      </c>
      <c r="R215" s="4"/>
      <c r="S215" s="4" t="str">
        <f t="shared" si="2"/>
        <v/>
      </c>
    </row>
    <row r="216" ht="15.75" customHeight="1">
      <c r="N216" s="4"/>
      <c r="P216" s="23"/>
      <c r="Q216" s="23" t="str">
        <f t="shared" si="1"/>
        <v/>
      </c>
      <c r="R216" s="4"/>
      <c r="S216" s="4" t="str">
        <f t="shared" si="2"/>
        <v/>
      </c>
    </row>
    <row r="217" ht="15.75" customHeight="1">
      <c r="N217" s="4"/>
      <c r="P217" s="23"/>
      <c r="Q217" s="23" t="str">
        <f t="shared" si="1"/>
        <v/>
      </c>
      <c r="R217" s="4"/>
      <c r="S217" s="4" t="str">
        <f t="shared" si="2"/>
        <v/>
      </c>
    </row>
    <row r="218" ht="15.75" customHeight="1">
      <c r="N218" s="4"/>
      <c r="P218" s="23"/>
      <c r="Q218" s="23" t="str">
        <f t="shared" si="1"/>
        <v/>
      </c>
      <c r="R218" s="4"/>
      <c r="S218" s="4" t="str">
        <f t="shared" si="2"/>
        <v/>
      </c>
    </row>
    <row r="219" ht="15.75" customHeight="1">
      <c r="N219" s="4"/>
      <c r="P219" s="23"/>
      <c r="Q219" s="23" t="str">
        <f t="shared" si="1"/>
        <v/>
      </c>
      <c r="R219" s="4"/>
      <c r="S219" s="4" t="str">
        <f t="shared" si="2"/>
        <v/>
      </c>
    </row>
    <row r="220" ht="15.75" customHeight="1">
      <c r="N220" s="4"/>
      <c r="P220" s="23"/>
      <c r="Q220" s="23" t="str">
        <f t="shared" si="1"/>
        <v/>
      </c>
      <c r="R220" s="4"/>
      <c r="S220" s="4" t="str">
        <f t="shared" si="2"/>
        <v/>
      </c>
    </row>
    <row r="221" ht="15.75" customHeight="1">
      <c r="N221" s="4"/>
      <c r="P221" s="23"/>
      <c r="Q221" s="23" t="str">
        <f t="shared" si="1"/>
        <v/>
      </c>
      <c r="R221" s="4"/>
      <c r="S221" s="4" t="str">
        <f t="shared" si="2"/>
        <v/>
      </c>
    </row>
    <row r="222" ht="15.75" customHeight="1">
      <c r="N222" s="4"/>
      <c r="P222" s="23"/>
      <c r="Q222" s="23" t="str">
        <f t="shared" si="1"/>
        <v/>
      </c>
      <c r="R222" s="4"/>
      <c r="S222" s="4" t="str">
        <f t="shared" si="2"/>
        <v/>
      </c>
    </row>
    <row r="223" ht="15.75" customHeight="1">
      <c r="N223" s="4"/>
      <c r="P223" s="23"/>
      <c r="Q223" s="23" t="str">
        <f t="shared" si="1"/>
        <v/>
      </c>
      <c r="R223" s="4"/>
      <c r="S223" s="4" t="str">
        <f t="shared" si="2"/>
        <v/>
      </c>
    </row>
    <row r="224" ht="15.75" customHeight="1">
      <c r="N224" s="4"/>
      <c r="P224" s="23"/>
      <c r="Q224" s="23" t="str">
        <f t="shared" si="1"/>
        <v/>
      </c>
      <c r="R224" s="4"/>
      <c r="S224" s="4" t="str">
        <f t="shared" si="2"/>
        <v/>
      </c>
    </row>
    <row r="225" ht="15.75" customHeight="1">
      <c r="N225" s="4"/>
      <c r="P225" s="23"/>
      <c r="Q225" s="23" t="str">
        <f t="shared" si="1"/>
        <v/>
      </c>
      <c r="R225" s="4"/>
      <c r="S225" s="4" t="str">
        <f t="shared" si="2"/>
        <v/>
      </c>
    </row>
    <row r="226" ht="15.75" customHeight="1">
      <c r="N226" s="4"/>
      <c r="P226" s="23"/>
      <c r="Q226" s="23" t="str">
        <f t="shared" si="1"/>
        <v/>
      </c>
      <c r="R226" s="4"/>
      <c r="S226" s="4" t="str">
        <f t="shared" si="2"/>
        <v/>
      </c>
    </row>
    <row r="227" ht="15.75" customHeight="1">
      <c r="N227" s="4"/>
      <c r="P227" s="23"/>
      <c r="Q227" s="23" t="str">
        <f t="shared" si="1"/>
        <v/>
      </c>
      <c r="R227" s="4"/>
      <c r="S227" s="4" t="str">
        <f t="shared" si="2"/>
        <v/>
      </c>
    </row>
    <row r="228" ht="15.75" customHeight="1">
      <c r="N228" s="4"/>
      <c r="P228" s="23"/>
      <c r="Q228" s="23" t="str">
        <f t="shared" si="1"/>
        <v/>
      </c>
      <c r="R228" s="4"/>
      <c r="S228" s="4" t="str">
        <f t="shared" si="2"/>
        <v/>
      </c>
    </row>
    <row r="229" ht="15.75" customHeight="1">
      <c r="N229" s="4"/>
      <c r="P229" s="23"/>
      <c r="Q229" s="23" t="str">
        <f t="shared" si="1"/>
        <v/>
      </c>
      <c r="R229" s="4"/>
      <c r="S229" s="4" t="str">
        <f t="shared" si="2"/>
        <v/>
      </c>
    </row>
    <row r="230" ht="15.75" customHeight="1">
      <c r="N230" s="4"/>
      <c r="P230" s="23"/>
      <c r="Q230" s="23" t="str">
        <f t="shared" si="1"/>
        <v/>
      </c>
      <c r="R230" s="4"/>
      <c r="S230" s="4" t="str">
        <f t="shared" si="2"/>
        <v/>
      </c>
    </row>
    <row r="231" ht="15.75" customHeight="1">
      <c r="N231" s="4"/>
      <c r="P231" s="23"/>
      <c r="Q231" s="23" t="str">
        <f t="shared" si="1"/>
        <v/>
      </c>
      <c r="R231" s="4"/>
      <c r="S231" s="4" t="str">
        <f t="shared" si="2"/>
        <v/>
      </c>
    </row>
    <row r="232" ht="15.75" customHeight="1">
      <c r="N232" s="4"/>
      <c r="P232" s="23"/>
      <c r="Q232" s="23" t="str">
        <f t="shared" si="1"/>
        <v/>
      </c>
      <c r="R232" s="4"/>
      <c r="S232" s="4" t="str">
        <f t="shared" si="2"/>
        <v/>
      </c>
    </row>
    <row r="233" ht="15.75" customHeight="1">
      <c r="N233" s="4"/>
      <c r="P233" s="23"/>
      <c r="Q233" s="23" t="str">
        <f t="shared" si="1"/>
        <v/>
      </c>
      <c r="R233" s="4"/>
      <c r="S233" s="4" t="str">
        <f t="shared" si="2"/>
        <v/>
      </c>
    </row>
    <row r="234" ht="15.75" customHeight="1">
      <c r="N234" s="4"/>
      <c r="P234" s="23"/>
      <c r="Q234" s="23" t="str">
        <f t="shared" si="1"/>
        <v/>
      </c>
      <c r="R234" s="4"/>
      <c r="S234" s="4" t="str">
        <f t="shared" si="2"/>
        <v/>
      </c>
    </row>
    <row r="235" ht="15.75" customHeight="1">
      <c r="N235" s="4"/>
      <c r="P235" s="23"/>
      <c r="Q235" s="23" t="str">
        <f t="shared" si="1"/>
        <v/>
      </c>
      <c r="R235" s="4"/>
      <c r="S235" s="4" t="str">
        <f t="shared" si="2"/>
        <v/>
      </c>
    </row>
    <row r="236" ht="15.75" customHeight="1">
      <c r="N236" s="4"/>
      <c r="P236" s="23"/>
      <c r="Q236" s="23" t="str">
        <f t="shared" si="1"/>
        <v/>
      </c>
      <c r="R236" s="4"/>
      <c r="S236" s="4" t="str">
        <f t="shared" si="2"/>
        <v/>
      </c>
    </row>
    <row r="237" ht="15.75" customHeight="1">
      <c r="N237" s="4"/>
      <c r="P237" s="23"/>
      <c r="Q237" s="23" t="str">
        <f t="shared" si="1"/>
        <v/>
      </c>
      <c r="R237" s="4"/>
      <c r="S237" s="4" t="str">
        <f t="shared" si="2"/>
        <v/>
      </c>
    </row>
    <row r="238" ht="15.75" customHeight="1">
      <c r="N238" s="4"/>
      <c r="P238" s="23"/>
      <c r="Q238" s="23" t="str">
        <f t="shared" si="1"/>
        <v/>
      </c>
      <c r="R238" s="4"/>
      <c r="S238" s="4" t="str">
        <f t="shared" si="2"/>
        <v/>
      </c>
    </row>
    <row r="239" ht="15.75" customHeight="1">
      <c r="N239" s="4"/>
      <c r="P239" s="23"/>
      <c r="Q239" s="23" t="str">
        <f t="shared" si="1"/>
        <v/>
      </c>
      <c r="R239" s="4"/>
      <c r="S239" s="4" t="str">
        <f t="shared" si="2"/>
        <v/>
      </c>
    </row>
    <row r="240" ht="15.75" customHeight="1">
      <c r="N240" s="4"/>
      <c r="P240" s="23"/>
      <c r="Q240" s="23" t="str">
        <f t="shared" si="1"/>
        <v/>
      </c>
      <c r="R240" s="4"/>
      <c r="S240" s="4" t="str">
        <f t="shared" si="2"/>
        <v/>
      </c>
    </row>
    <row r="241" ht="15.75" customHeight="1">
      <c r="N241" s="4"/>
      <c r="P241" s="23"/>
      <c r="Q241" s="23" t="str">
        <f t="shared" si="1"/>
        <v/>
      </c>
      <c r="R241" s="4"/>
      <c r="S241" s="4" t="str">
        <f t="shared" si="2"/>
        <v/>
      </c>
    </row>
    <row r="242" ht="15.75" customHeight="1">
      <c r="N242" s="4"/>
      <c r="P242" s="23"/>
      <c r="Q242" s="23" t="str">
        <f t="shared" si="1"/>
        <v/>
      </c>
      <c r="R242" s="4"/>
      <c r="S242" s="4" t="str">
        <f t="shared" si="2"/>
        <v/>
      </c>
    </row>
    <row r="243" ht="15.75" customHeight="1">
      <c r="N243" s="4"/>
      <c r="P243" s="23"/>
      <c r="Q243" s="23" t="str">
        <f t="shared" si="1"/>
        <v/>
      </c>
      <c r="R243" s="4"/>
      <c r="S243" s="4" t="str">
        <f t="shared" si="2"/>
        <v/>
      </c>
    </row>
    <row r="244" ht="15.75" customHeight="1">
      <c r="N244" s="4"/>
      <c r="P244" s="23"/>
      <c r="Q244" s="23" t="str">
        <f t="shared" si="1"/>
        <v/>
      </c>
      <c r="R244" s="4"/>
      <c r="S244" s="4" t="str">
        <f t="shared" si="2"/>
        <v/>
      </c>
    </row>
    <row r="245" ht="15.75" customHeight="1">
      <c r="N245" s="4"/>
      <c r="P245" s="23"/>
      <c r="Q245" s="23" t="str">
        <f t="shared" si="1"/>
        <v/>
      </c>
      <c r="R245" s="4"/>
      <c r="S245" s="4" t="str">
        <f t="shared" si="2"/>
        <v/>
      </c>
    </row>
    <row r="246" ht="15.75" customHeight="1">
      <c r="N246" s="4"/>
      <c r="P246" s="23"/>
      <c r="Q246" s="23" t="str">
        <f t="shared" si="1"/>
        <v/>
      </c>
      <c r="R246" s="4"/>
      <c r="S246" s="4" t="str">
        <f t="shared" si="2"/>
        <v/>
      </c>
    </row>
    <row r="247" ht="15.75" customHeight="1">
      <c r="N247" s="4"/>
      <c r="P247" s="23"/>
      <c r="Q247" s="23" t="str">
        <f t="shared" si="1"/>
        <v/>
      </c>
      <c r="R247" s="4"/>
      <c r="S247" s="4" t="str">
        <f t="shared" si="2"/>
        <v/>
      </c>
    </row>
    <row r="248" ht="15.75" customHeight="1">
      <c r="N248" s="4"/>
      <c r="P248" s="23"/>
      <c r="Q248" s="23" t="str">
        <f t="shared" si="1"/>
        <v/>
      </c>
      <c r="R248" s="4"/>
      <c r="S248" s="4" t="str">
        <f t="shared" si="2"/>
        <v/>
      </c>
    </row>
    <row r="249" ht="15.75" customHeight="1">
      <c r="N249" s="4"/>
      <c r="P249" s="23"/>
      <c r="Q249" s="23" t="str">
        <f t="shared" si="1"/>
        <v/>
      </c>
      <c r="R249" s="4"/>
      <c r="S249" s="4" t="str">
        <f t="shared" si="2"/>
        <v/>
      </c>
    </row>
    <row r="250" ht="15.75" customHeight="1">
      <c r="N250" s="4"/>
      <c r="P250" s="23"/>
      <c r="Q250" s="23" t="str">
        <f t="shared" si="1"/>
        <v/>
      </c>
      <c r="R250" s="4"/>
      <c r="S250" s="4" t="str">
        <f t="shared" si="2"/>
        <v/>
      </c>
    </row>
    <row r="251" ht="15.75" customHeight="1">
      <c r="N251" s="4"/>
      <c r="P251" s="23"/>
      <c r="Q251" s="23" t="str">
        <f t="shared" si="1"/>
        <v/>
      </c>
      <c r="R251" s="4"/>
      <c r="S251" s="4" t="str">
        <f t="shared" si="2"/>
        <v/>
      </c>
    </row>
    <row r="252" ht="15.75" customHeight="1">
      <c r="N252" s="4"/>
      <c r="P252" s="23"/>
      <c r="Q252" s="23" t="str">
        <f t="shared" si="1"/>
        <v/>
      </c>
      <c r="R252" s="4"/>
      <c r="S252" s="4" t="str">
        <f t="shared" si="2"/>
        <v/>
      </c>
    </row>
    <row r="253" ht="15.75" customHeight="1">
      <c r="N253" s="4"/>
      <c r="P253" s="23"/>
      <c r="Q253" s="23" t="str">
        <f t="shared" si="1"/>
        <v/>
      </c>
      <c r="R253" s="4"/>
      <c r="S253" s="4" t="str">
        <f t="shared" si="2"/>
        <v/>
      </c>
    </row>
    <row r="254" ht="15.75" customHeight="1">
      <c r="N254" s="4"/>
      <c r="P254" s="23"/>
      <c r="Q254" s="23" t="str">
        <f t="shared" si="1"/>
        <v/>
      </c>
      <c r="R254" s="4"/>
      <c r="S254" s="4" t="str">
        <f t="shared" si="2"/>
        <v/>
      </c>
    </row>
    <row r="255" ht="15.75" customHeight="1">
      <c r="N255" s="4"/>
      <c r="P255" s="23"/>
      <c r="Q255" s="23" t="str">
        <f t="shared" si="1"/>
        <v/>
      </c>
      <c r="R255" s="4"/>
      <c r="S255" s="4" t="str">
        <f t="shared" si="2"/>
        <v/>
      </c>
    </row>
    <row r="256" ht="15.75" customHeight="1">
      <c r="N256" s="4"/>
      <c r="P256" s="23"/>
      <c r="Q256" s="23" t="str">
        <f t="shared" si="1"/>
        <v/>
      </c>
      <c r="R256" s="4"/>
      <c r="S256" s="4" t="str">
        <f t="shared" si="2"/>
        <v/>
      </c>
    </row>
    <row r="257" ht="15.75" customHeight="1">
      <c r="N257" s="4"/>
      <c r="P257" s="23"/>
      <c r="Q257" s="23" t="str">
        <f t="shared" si="1"/>
        <v/>
      </c>
      <c r="R257" s="4"/>
      <c r="S257" s="4" t="str">
        <f t="shared" si="2"/>
        <v/>
      </c>
    </row>
    <row r="258" ht="15.75" customHeight="1">
      <c r="N258" s="4"/>
      <c r="P258" s="23"/>
      <c r="Q258" s="23" t="str">
        <f t="shared" si="1"/>
        <v/>
      </c>
      <c r="R258" s="4"/>
      <c r="S258" s="4" t="str">
        <f t="shared" si="2"/>
        <v/>
      </c>
    </row>
    <row r="259" ht="15.75" customHeight="1">
      <c r="N259" s="4"/>
      <c r="P259" s="23"/>
      <c r="Q259" s="23" t="str">
        <f t="shared" si="1"/>
        <v/>
      </c>
      <c r="R259" s="4"/>
      <c r="S259" s="4" t="str">
        <f t="shared" si="2"/>
        <v/>
      </c>
    </row>
    <row r="260" ht="15.75" customHeight="1">
      <c r="N260" s="4"/>
      <c r="P260" s="23"/>
      <c r="Q260" s="23" t="str">
        <f t="shared" si="1"/>
        <v/>
      </c>
      <c r="R260" s="4"/>
      <c r="S260" s="4" t="str">
        <f t="shared" si="2"/>
        <v/>
      </c>
    </row>
    <row r="261" ht="15.75" customHeight="1">
      <c r="N261" s="4"/>
      <c r="P261" s="23"/>
      <c r="Q261" s="23" t="str">
        <f t="shared" si="1"/>
        <v/>
      </c>
      <c r="R261" s="4"/>
      <c r="S261" s="4" t="str">
        <f t="shared" si="2"/>
        <v/>
      </c>
    </row>
    <row r="262" ht="15.75" customHeight="1">
      <c r="N262" s="4"/>
      <c r="P262" s="23"/>
      <c r="Q262" s="23" t="str">
        <f t="shared" si="1"/>
        <v/>
      </c>
      <c r="R262" s="4"/>
      <c r="S262" s="4" t="str">
        <f t="shared" si="2"/>
        <v/>
      </c>
    </row>
    <row r="263" ht="15.75" customHeight="1">
      <c r="N263" s="4"/>
      <c r="P263" s="23"/>
      <c r="Q263" s="23" t="str">
        <f t="shared" si="1"/>
        <v/>
      </c>
      <c r="R263" s="4"/>
      <c r="S263" s="4" t="str">
        <f t="shared" si="2"/>
        <v/>
      </c>
    </row>
    <row r="264" ht="15.75" customHeight="1">
      <c r="N264" s="4"/>
      <c r="P264" s="23"/>
      <c r="Q264" s="23" t="str">
        <f t="shared" si="1"/>
        <v/>
      </c>
      <c r="R264" s="4"/>
      <c r="S264" s="4" t="str">
        <f t="shared" si="2"/>
        <v/>
      </c>
    </row>
    <row r="265" ht="15.75" customHeight="1">
      <c r="N265" s="4"/>
      <c r="P265" s="23"/>
      <c r="Q265" s="23" t="str">
        <f t="shared" si="1"/>
        <v/>
      </c>
      <c r="R265" s="4"/>
      <c r="S265" s="4" t="str">
        <f t="shared" si="2"/>
        <v/>
      </c>
    </row>
    <row r="266" ht="15.75" customHeight="1">
      <c r="N266" s="4"/>
      <c r="P266" s="23"/>
      <c r="Q266" s="23" t="str">
        <f t="shared" si="1"/>
        <v/>
      </c>
      <c r="R266" s="4"/>
      <c r="S266" s="4" t="str">
        <f t="shared" si="2"/>
        <v/>
      </c>
    </row>
    <row r="267" ht="15.75" customHeight="1">
      <c r="N267" s="4"/>
      <c r="P267" s="23"/>
      <c r="Q267" s="23" t="str">
        <f t="shared" si="1"/>
        <v/>
      </c>
      <c r="R267" s="4"/>
      <c r="S267" s="4" t="str">
        <f t="shared" si="2"/>
        <v/>
      </c>
    </row>
    <row r="268" ht="15.75" customHeight="1">
      <c r="N268" s="4"/>
      <c r="P268" s="23"/>
      <c r="Q268" s="23" t="str">
        <f t="shared" si="1"/>
        <v/>
      </c>
      <c r="R268" s="4"/>
      <c r="S268" s="4" t="str">
        <f t="shared" si="2"/>
        <v/>
      </c>
    </row>
    <row r="269" ht="15.75" customHeight="1">
      <c r="N269" s="4"/>
      <c r="P269" s="23"/>
      <c r="Q269" s="23" t="str">
        <f t="shared" si="1"/>
        <v/>
      </c>
      <c r="R269" s="4"/>
      <c r="S269" s="4" t="str">
        <f t="shared" si="2"/>
        <v/>
      </c>
    </row>
    <row r="270" ht="15.75" customHeight="1">
      <c r="N270" s="4"/>
      <c r="P270" s="23"/>
      <c r="Q270" s="23" t="str">
        <f t="shared" si="1"/>
        <v/>
      </c>
      <c r="R270" s="4"/>
      <c r="S270" s="4" t="str">
        <f t="shared" si="2"/>
        <v/>
      </c>
    </row>
    <row r="271" ht="15.75" customHeight="1">
      <c r="N271" s="4"/>
      <c r="P271" s="23"/>
      <c r="Q271" s="23" t="str">
        <f t="shared" si="1"/>
        <v/>
      </c>
      <c r="R271" s="4"/>
      <c r="S271" s="4" t="str">
        <f t="shared" si="2"/>
        <v/>
      </c>
    </row>
    <row r="272" ht="15.75" customHeight="1">
      <c r="N272" s="4"/>
      <c r="P272" s="23"/>
      <c r="Q272" s="23" t="str">
        <f t="shared" si="1"/>
        <v/>
      </c>
      <c r="R272" s="4"/>
      <c r="S272" s="4" t="str">
        <f t="shared" si="2"/>
        <v/>
      </c>
    </row>
    <row r="273" ht="15.75" customHeight="1">
      <c r="N273" s="4"/>
      <c r="P273" s="23"/>
      <c r="Q273" s="23" t="str">
        <f t="shared" si="1"/>
        <v/>
      </c>
      <c r="R273" s="4"/>
      <c r="S273" s="4" t="str">
        <f t="shared" si="2"/>
        <v/>
      </c>
    </row>
    <row r="274" ht="15.75" customHeight="1">
      <c r="N274" s="4"/>
      <c r="P274" s="23"/>
      <c r="Q274" s="23" t="str">
        <f t="shared" si="1"/>
        <v/>
      </c>
      <c r="R274" s="4"/>
      <c r="S274" s="4" t="str">
        <f t="shared" si="2"/>
        <v/>
      </c>
    </row>
    <row r="275" ht="15.75" customHeight="1">
      <c r="N275" s="4"/>
      <c r="P275" s="23"/>
      <c r="Q275" s="23" t="str">
        <f t="shared" si="1"/>
        <v/>
      </c>
      <c r="R275" s="4"/>
      <c r="S275" s="4" t="str">
        <f t="shared" si="2"/>
        <v/>
      </c>
    </row>
    <row r="276" ht="15.75" customHeight="1">
      <c r="N276" s="4"/>
      <c r="P276" s="23"/>
      <c r="Q276" s="23" t="str">
        <f t="shared" si="1"/>
        <v/>
      </c>
      <c r="R276" s="4"/>
      <c r="S276" s="4" t="str">
        <f t="shared" si="2"/>
        <v/>
      </c>
    </row>
    <row r="277" ht="15.75" customHeight="1">
      <c r="N277" s="4"/>
      <c r="P277" s="23"/>
      <c r="Q277" s="23" t="str">
        <f t="shared" si="1"/>
        <v/>
      </c>
      <c r="R277" s="4"/>
      <c r="S277" s="4" t="str">
        <f t="shared" si="2"/>
        <v/>
      </c>
    </row>
    <row r="278" ht="15.75" customHeight="1">
      <c r="N278" s="4"/>
      <c r="P278" s="23"/>
      <c r="Q278" s="23" t="str">
        <f t="shared" si="1"/>
        <v/>
      </c>
      <c r="R278" s="4"/>
      <c r="S278" s="4" t="str">
        <f t="shared" si="2"/>
        <v/>
      </c>
    </row>
    <row r="279" ht="15.75" customHeight="1">
      <c r="N279" s="4"/>
      <c r="P279" s="23"/>
      <c r="Q279" s="23" t="str">
        <f t="shared" si="1"/>
        <v/>
      </c>
      <c r="R279" s="4"/>
      <c r="S279" s="4" t="str">
        <f t="shared" si="2"/>
        <v/>
      </c>
    </row>
    <row r="280" ht="15.75" customHeight="1">
      <c r="N280" s="4"/>
      <c r="P280" s="23"/>
      <c r="Q280" s="23" t="str">
        <f t="shared" si="1"/>
        <v/>
      </c>
      <c r="R280" s="4"/>
      <c r="S280" s="4" t="str">
        <f t="shared" si="2"/>
        <v/>
      </c>
    </row>
    <row r="281" ht="15.75" customHeight="1">
      <c r="N281" s="4"/>
      <c r="P281" s="23"/>
      <c r="Q281" s="23" t="str">
        <f t="shared" si="1"/>
        <v/>
      </c>
      <c r="R281" s="4"/>
      <c r="S281" s="4" t="str">
        <f t="shared" si="2"/>
        <v/>
      </c>
    </row>
    <row r="282" ht="15.75" customHeight="1">
      <c r="N282" s="4"/>
      <c r="P282" s="23"/>
      <c r="Q282" s="23" t="str">
        <f t="shared" si="1"/>
        <v/>
      </c>
      <c r="R282" s="4"/>
      <c r="S282" s="4" t="str">
        <f t="shared" si="2"/>
        <v/>
      </c>
    </row>
    <row r="283" ht="15.75" customHeight="1">
      <c r="N283" s="4"/>
      <c r="P283" s="23"/>
      <c r="Q283" s="23" t="str">
        <f t="shared" si="1"/>
        <v/>
      </c>
      <c r="R283" s="4"/>
      <c r="S283" s="4" t="str">
        <f t="shared" si="2"/>
        <v/>
      </c>
    </row>
    <row r="284" ht="15.75" customHeight="1">
      <c r="N284" s="4"/>
      <c r="P284" s="23"/>
      <c r="Q284" s="23" t="str">
        <f t="shared" si="1"/>
        <v/>
      </c>
      <c r="R284" s="4"/>
      <c r="S284" s="4" t="str">
        <f t="shared" si="2"/>
        <v/>
      </c>
    </row>
    <row r="285" ht="15.75" customHeight="1">
      <c r="N285" s="4"/>
      <c r="P285" s="23"/>
      <c r="Q285" s="23" t="str">
        <f t="shared" si="1"/>
        <v/>
      </c>
      <c r="R285" s="4"/>
      <c r="S285" s="4" t="str">
        <f t="shared" si="2"/>
        <v/>
      </c>
    </row>
    <row r="286" ht="15.75" customHeight="1">
      <c r="N286" s="4"/>
      <c r="P286" s="23"/>
      <c r="Q286" s="23" t="str">
        <f t="shared" si="1"/>
        <v/>
      </c>
      <c r="R286" s="4"/>
      <c r="S286" s="4" t="str">
        <f t="shared" si="2"/>
        <v/>
      </c>
    </row>
    <row r="287" ht="15.75" customHeight="1">
      <c r="N287" s="4"/>
      <c r="P287" s="23"/>
      <c r="Q287" s="23" t="str">
        <f t="shared" si="1"/>
        <v/>
      </c>
      <c r="R287" s="4"/>
      <c r="S287" s="4" t="str">
        <f t="shared" si="2"/>
        <v/>
      </c>
    </row>
    <row r="288" ht="15.75" customHeight="1">
      <c r="N288" s="4"/>
      <c r="P288" s="23"/>
      <c r="Q288" s="23" t="str">
        <f t="shared" si="1"/>
        <v/>
      </c>
      <c r="R288" s="4"/>
      <c r="S288" s="4" t="str">
        <f t="shared" si="2"/>
        <v/>
      </c>
    </row>
    <row r="289" ht="15.75" customHeight="1">
      <c r="N289" s="4"/>
      <c r="P289" s="23"/>
      <c r="Q289" s="23" t="str">
        <f t="shared" si="1"/>
        <v/>
      </c>
      <c r="R289" s="4"/>
      <c r="S289" s="4" t="str">
        <f t="shared" si="2"/>
        <v/>
      </c>
    </row>
    <row r="290" ht="15.75" customHeight="1">
      <c r="N290" s="4"/>
      <c r="P290" s="23"/>
      <c r="Q290" s="23" t="str">
        <f t="shared" si="1"/>
        <v/>
      </c>
      <c r="R290" s="4"/>
      <c r="S290" s="4" t="str">
        <f t="shared" si="2"/>
        <v/>
      </c>
    </row>
    <row r="291" ht="15.75" customHeight="1">
      <c r="N291" s="4"/>
      <c r="P291" s="23"/>
      <c r="Q291" s="23" t="str">
        <f t="shared" si="1"/>
        <v/>
      </c>
      <c r="R291" s="4"/>
      <c r="S291" s="4" t="str">
        <f t="shared" si="2"/>
        <v/>
      </c>
    </row>
    <row r="292" ht="15.75" customHeight="1">
      <c r="N292" s="4"/>
      <c r="P292" s="23"/>
      <c r="Q292" s="23" t="str">
        <f t="shared" si="1"/>
        <v/>
      </c>
      <c r="R292" s="4"/>
      <c r="S292" s="4" t="str">
        <f t="shared" si="2"/>
        <v/>
      </c>
    </row>
    <row r="293" ht="15.75" customHeight="1">
      <c r="N293" s="4"/>
      <c r="P293" s="23"/>
      <c r="Q293" s="23" t="str">
        <f t="shared" si="1"/>
        <v/>
      </c>
      <c r="R293" s="4"/>
      <c r="S293" s="4" t="str">
        <f t="shared" si="2"/>
        <v/>
      </c>
    </row>
    <row r="294" ht="15.75" customHeight="1">
      <c r="N294" s="4"/>
      <c r="P294" s="23"/>
      <c r="Q294" s="23" t="str">
        <f t="shared" si="1"/>
        <v/>
      </c>
      <c r="R294" s="4"/>
      <c r="S294" s="4" t="str">
        <f t="shared" si="2"/>
        <v/>
      </c>
    </row>
    <row r="295" ht="15.75" customHeight="1">
      <c r="N295" s="4"/>
      <c r="P295" s="23"/>
      <c r="Q295" s="23" t="str">
        <f t="shared" si="1"/>
        <v/>
      </c>
      <c r="R295" s="4"/>
      <c r="S295" s="4" t="str">
        <f t="shared" si="2"/>
        <v/>
      </c>
    </row>
    <row r="296" ht="15.75" customHeight="1">
      <c r="N296" s="4"/>
      <c r="P296" s="23"/>
      <c r="Q296" s="23" t="str">
        <f t="shared" si="1"/>
        <v/>
      </c>
      <c r="R296" s="4"/>
      <c r="S296" s="4" t="str">
        <f t="shared" si="2"/>
        <v/>
      </c>
    </row>
    <row r="297" ht="15.75" customHeight="1">
      <c r="N297" s="4"/>
      <c r="P297" s="23"/>
      <c r="Q297" s="23" t="str">
        <f t="shared" si="1"/>
        <v/>
      </c>
      <c r="R297" s="4"/>
      <c r="S297" s="4" t="str">
        <f t="shared" si="2"/>
        <v/>
      </c>
    </row>
    <row r="298" ht="15.75" customHeight="1">
      <c r="N298" s="4"/>
      <c r="P298" s="23"/>
      <c r="Q298" s="23" t="str">
        <f t="shared" si="1"/>
        <v/>
      </c>
      <c r="R298" s="4"/>
      <c r="S298" s="4" t="str">
        <f t="shared" si="2"/>
        <v/>
      </c>
    </row>
    <row r="299" ht="15.75" customHeight="1">
      <c r="N299" s="4"/>
      <c r="P299" s="23"/>
      <c r="Q299" s="23" t="str">
        <f t="shared" si="1"/>
        <v/>
      </c>
      <c r="R299" s="4"/>
      <c r="S299" s="4" t="str">
        <f t="shared" si="2"/>
        <v/>
      </c>
    </row>
    <row r="300" ht="15.75" customHeight="1">
      <c r="N300" s="4"/>
      <c r="P300" s="23"/>
      <c r="Q300" s="23" t="str">
        <f t="shared" si="1"/>
        <v/>
      </c>
      <c r="R300" s="4"/>
      <c r="S300" s="4" t="str">
        <f t="shared" si="2"/>
        <v/>
      </c>
    </row>
    <row r="301" ht="15.75" customHeight="1">
      <c r="N301" s="4"/>
      <c r="P301" s="23"/>
      <c r="Q301" s="23" t="str">
        <f t="shared" si="1"/>
        <v/>
      </c>
      <c r="R301" s="4"/>
      <c r="S301" s="4" t="str">
        <f t="shared" si="2"/>
        <v/>
      </c>
    </row>
    <row r="302" ht="15.75" customHeight="1">
      <c r="N302" s="4"/>
      <c r="P302" s="23"/>
      <c r="Q302" s="23" t="str">
        <f t="shared" si="1"/>
        <v/>
      </c>
      <c r="R302" s="4"/>
      <c r="S302" s="4" t="str">
        <f t="shared" si="2"/>
        <v/>
      </c>
    </row>
    <row r="303" ht="15.75" customHeight="1">
      <c r="N303" s="4"/>
      <c r="P303" s="23"/>
      <c r="Q303" s="23" t="str">
        <f t="shared" si="1"/>
        <v/>
      </c>
      <c r="R303" s="4"/>
      <c r="S303" s="4" t="str">
        <f t="shared" si="2"/>
        <v/>
      </c>
    </row>
    <row r="304" ht="15.75" customHeight="1">
      <c r="N304" s="4"/>
      <c r="P304" s="23"/>
      <c r="Q304" s="23" t="str">
        <f t="shared" si="1"/>
        <v/>
      </c>
      <c r="R304" s="4"/>
      <c r="S304" s="4" t="str">
        <f t="shared" si="2"/>
        <v/>
      </c>
    </row>
    <row r="305" ht="15.75" customHeight="1">
      <c r="N305" s="4"/>
      <c r="P305" s="23"/>
      <c r="Q305" s="23" t="str">
        <f t="shared" si="1"/>
        <v/>
      </c>
      <c r="R305" s="4"/>
      <c r="S305" s="4" t="str">
        <f t="shared" si="2"/>
        <v/>
      </c>
    </row>
    <row r="306" ht="15.75" customHeight="1">
      <c r="N306" s="4"/>
      <c r="P306" s="23"/>
      <c r="Q306" s="23" t="str">
        <f t="shared" si="1"/>
        <v/>
      </c>
      <c r="R306" s="4"/>
      <c r="S306" s="4" t="str">
        <f t="shared" si="2"/>
        <v/>
      </c>
    </row>
    <row r="307" ht="15.75" customHeight="1">
      <c r="N307" s="4"/>
      <c r="P307" s="23"/>
      <c r="Q307" s="23" t="str">
        <f t="shared" si="1"/>
        <v/>
      </c>
      <c r="R307" s="4"/>
      <c r="S307" s="4" t="str">
        <f t="shared" si="2"/>
        <v/>
      </c>
    </row>
    <row r="308" ht="15.75" customHeight="1">
      <c r="N308" s="4"/>
      <c r="P308" s="23"/>
      <c r="Q308" s="23" t="str">
        <f t="shared" si="1"/>
        <v/>
      </c>
      <c r="R308" s="4"/>
      <c r="S308" s="4" t="str">
        <f t="shared" si="2"/>
        <v/>
      </c>
    </row>
    <row r="309" ht="15.75" customHeight="1">
      <c r="N309" s="4"/>
      <c r="P309" s="23"/>
      <c r="Q309" s="23" t="str">
        <f t="shared" si="1"/>
        <v/>
      </c>
      <c r="R309" s="4"/>
      <c r="S309" s="4" t="str">
        <f t="shared" si="2"/>
        <v/>
      </c>
    </row>
    <row r="310" ht="15.75" customHeight="1">
      <c r="N310" s="4"/>
      <c r="P310" s="23"/>
      <c r="Q310" s="23" t="str">
        <f t="shared" si="1"/>
        <v/>
      </c>
      <c r="R310" s="4"/>
      <c r="S310" s="4" t="str">
        <f t="shared" si="2"/>
        <v/>
      </c>
    </row>
    <row r="311" ht="15.75" customHeight="1">
      <c r="N311" s="4"/>
      <c r="P311" s="23"/>
      <c r="Q311" s="23" t="str">
        <f t="shared" si="1"/>
        <v/>
      </c>
      <c r="R311" s="4"/>
      <c r="S311" s="4" t="str">
        <f t="shared" si="2"/>
        <v/>
      </c>
    </row>
    <row r="312" ht="15.75" customHeight="1">
      <c r="N312" s="4"/>
      <c r="P312" s="23"/>
      <c r="Q312" s="23" t="str">
        <f t="shared" si="1"/>
        <v/>
      </c>
      <c r="R312" s="4"/>
      <c r="S312" s="4" t="str">
        <f t="shared" si="2"/>
        <v/>
      </c>
    </row>
    <row r="313" ht="15.75" customHeight="1">
      <c r="N313" s="4"/>
      <c r="P313" s="23"/>
      <c r="Q313" s="23" t="str">
        <f t="shared" si="1"/>
        <v/>
      </c>
      <c r="R313" s="4"/>
      <c r="S313" s="4" t="str">
        <f t="shared" si="2"/>
        <v/>
      </c>
    </row>
    <row r="314" ht="15.75" customHeight="1">
      <c r="N314" s="4"/>
      <c r="P314" s="23"/>
      <c r="Q314" s="23" t="str">
        <f t="shared" si="1"/>
        <v/>
      </c>
      <c r="R314" s="4"/>
      <c r="S314" s="4" t="str">
        <f t="shared" si="2"/>
        <v/>
      </c>
    </row>
    <row r="315" ht="15.75" customHeight="1">
      <c r="N315" s="4"/>
      <c r="P315" s="23"/>
      <c r="Q315" s="23" t="str">
        <f t="shared" si="1"/>
        <v/>
      </c>
      <c r="R315" s="4"/>
      <c r="S315" s="4" t="str">
        <f t="shared" si="2"/>
        <v/>
      </c>
    </row>
    <row r="316" ht="15.75" customHeight="1">
      <c r="N316" s="4"/>
      <c r="P316" s="23"/>
      <c r="Q316" s="23" t="str">
        <f t="shared" si="1"/>
        <v/>
      </c>
      <c r="R316" s="4"/>
      <c r="S316" s="4" t="str">
        <f t="shared" si="2"/>
        <v/>
      </c>
    </row>
    <row r="317" ht="15.75" customHeight="1">
      <c r="N317" s="4"/>
      <c r="P317" s="23"/>
      <c r="Q317" s="23" t="str">
        <f t="shared" si="1"/>
        <v/>
      </c>
      <c r="R317" s="4"/>
      <c r="S317" s="4" t="str">
        <f t="shared" si="2"/>
        <v/>
      </c>
    </row>
    <row r="318" ht="15.75" customHeight="1">
      <c r="N318" s="4"/>
      <c r="P318" s="23"/>
      <c r="Q318" s="23" t="str">
        <f t="shared" si="1"/>
        <v/>
      </c>
      <c r="R318" s="4"/>
      <c r="S318" s="4" t="str">
        <f t="shared" si="2"/>
        <v/>
      </c>
    </row>
    <row r="319" ht="15.75" customHeight="1">
      <c r="N319" s="4"/>
      <c r="P319" s="23"/>
      <c r="Q319" s="23" t="str">
        <f t="shared" si="1"/>
        <v/>
      </c>
      <c r="R319" s="4"/>
      <c r="S319" s="4" t="str">
        <f t="shared" si="2"/>
        <v/>
      </c>
    </row>
    <row r="320" ht="15.75" customHeight="1">
      <c r="N320" s="4"/>
      <c r="P320" s="23"/>
      <c r="Q320" s="23" t="str">
        <f t="shared" si="1"/>
        <v/>
      </c>
      <c r="R320" s="4"/>
      <c r="S320" s="4" t="str">
        <f t="shared" si="2"/>
        <v/>
      </c>
    </row>
    <row r="321" ht="15.75" customHeight="1">
      <c r="N321" s="4"/>
      <c r="P321" s="23"/>
      <c r="Q321" s="23" t="str">
        <f t="shared" si="1"/>
        <v/>
      </c>
      <c r="R321" s="4"/>
      <c r="S321" s="4" t="str">
        <f t="shared" si="2"/>
        <v/>
      </c>
    </row>
    <row r="322" ht="15.75" customHeight="1">
      <c r="N322" s="4"/>
      <c r="P322" s="23"/>
      <c r="Q322" s="23" t="str">
        <f t="shared" si="1"/>
        <v/>
      </c>
      <c r="R322" s="4"/>
      <c r="S322" s="4" t="str">
        <f t="shared" si="2"/>
        <v/>
      </c>
    </row>
    <row r="323" ht="15.75" customHeight="1">
      <c r="N323" s="4"/>
      <c r="P323" s="23"/>
      <c r="Q323" s="23" t="str">
        <f t="shared" si="1"/>
        <v/>
      </c>
      <c r="R323" s="4"/>
      <c r="S323" s="4" t="str">
        <f t="shared" si="2"/>
        <v/>
      </c>
    </row>
    <row r="324" ht="15.75" customHeight="1">
      <c r="N324" s="4"/>
      <c r="P324" s="23"/>
      <c r="Q324" s="23" t="str">
        <f t="shared" si="1"/>
        <v/>
      </c>
      <c r="R324" s="4"/>
      <c r="S324" s="4" t="str">
        <f t="shared" si="2"/>
        <v/>
      </c>
    </row>
    <row r="325" ht="15.75" customHeight="1">
      <c r="N325" s="4"/>
      <c r="P325" s="23"/>
      <c r="Q325" s="23" t="str">
        <f t="shared" si="1"/>
        <v/>
      </c>
      <c r="R325" s="4"/>
      <c r="S325" s="4" t="str">
        <f t="shared" si="2"/>
        <v/>
      </c>
    </row>
    <row r="326" ht="15.75" customHeight="1">
      <c r="N326" s="4"/>
      <c r="P326" s="23"/>
      <c r="Q326" s="23" t="str">
        <f t="shared" si="1"/>
        <v/>
      </c>
      <c r="R326" s="4"/>
      <c r="S326" s="4" t="str">
        <f t="shared" si="2"/>
        <v/>
      </c>
    </row>
    <row r="327" ht="15.75" customHeight="1">
      <c r="N327" s="4"/>
      <c r="P327" s="23"/>
      <c r="Q327" s="23" t="str">
        <f t="shared" si="1"/>
        <v/>
      </c>
      <c r="R327" s="4"/>
      <c r="S327" s="4" t="str">
        <f t="shared" si="2"/>
        <v/>
      </c>
    </row>
    <row r="328" ht="15.75" customHeight="1">
      <c r="N328" s="4"/>
      <c r="P328" s="23"/>
      <c r="Q328" s="23" t="str">
        <f t="shared" si="1"/>
        <v/>
      </c>
      <c r="R328" s="4"/>
      <c r="S328" s="4" t="str">
        <f t="shared" si="2"/>
        <v/>
      </c>
    </row>
    <row r="329" ht="15.75" customHeight="1">
      <c r="N329" s="4"/>
      <c r="P329" s="23"/>
      <c r="Q329" s="23" t="str">
        <f t="shared" si="1"/>
        <v/>
      </c>
      <c r="R329" s="4"/>
      <c r="S329" s="4" t="str">
        <f t="shared" si="2"/>
        <v/>
      </c>
    </row>
    <row r="330" ht="15.75" customHeight="1">
      <c r="N330" s="4"/>
      <c r="P330" s="23"/>
      <c r="Q330" s="23" t="str">
        <f t="shared" si="1"/>
        <v/>
      </c>
      <c r="R330" s="4"/>
      <c r="S330" s="4" t="str">
        <f t="shared" si="2"/>
        <v/>
      </c>
    </row>
    <row r="331" ht="15.75" customHeight="1">
      <c r="N331" s="4"/>
      <c r="P331" s="23"/>
      <c r="Q331" s="23" t="str">
        <f t="shared" si="1"/>
        <v/>
      </c>
      <c r="R331" s="4"/>
      <c r="S331" s="4" t="str">
        <f t="shared" si="2"/>
        <v/>
      </c>
    </row>
    <row r="332" ht="15.75" customHeight="1">
      <c r="N332" s="4"/>
      <c r="P332" s="23"/>
      <c r="Q332" s="23" t="str">
        <f t="shared" si="1"/>
        <v/>
      </c>
      <c r="R332" s="4"/>
      <c r="S332" s="4" t="str">
        <f t="shared" si="2"/>
        <v/>
      </c>
    </row>
    <row r="333" ht="15.75" customHeight="1">
      <c r="N333" s="4"/>
      <c r="P333" s="23"/>
      <c r="Q333" s="23" t="str">
        <f t="shared" si="1"/>
        <v/>
      </c>
      <c r="R333" s="4"/>
      <c r="S333" s="4" t="str">
        <f t="shared" si="2"/>
        <v/>
      </c>
    </row>
    <row r="334" ht="15.75" customHeight="1">
      <c r="N334" s="4"/>
      <c r="P334" s="23"/>
      <c r="Q334" s="23" t="str">
        <f t="shared" si="1"/>
        <v/>
      </c>
      <c r="R334" s="4"/>
      <c r="S334" s="4" t="str">
        <f t="shared" si="2"/>
        <v/>
      </c>
    </row>
    <row r="335" ht="15.75" customHeight="1">
      <c r="N335" s="4"/>
      <c r="P335" s="23"/>
      <c r="Q335" s="23" t="str">
        <f t="shared" si="1"/>
        <v/>
      </c>
      <c r="R335" s="4"/>
      <c r="S335" s="4" t="str">
        <f t="shared" si="2"/>
        <v/>
      </c>
    </row>
    <row r="336" ht="15.75" customHeight="1">
      <c r="N336" s="4"/>
      <c r="P336" s="23"/>
      <c r="Q336" s="23" t="str">
        <f t="shared" si="1"/>
        <v/>
      </c>
      <c r="R336" s="4"/>
      <c r="S336" s="4" t="str">
        <f t="shared" si="2"/>
        <v/>
      </c>
    </row>
    <row r="337" ht="15.75" customHeight="1">
      <c r="N337" s="4"/>
      <c r="P337" s="23"/>
      <c r="Q337" s="23" t="str">
        <f t="shared" si="1"/>
        <v/>
      </c>
      <c r="R337" s="4"/>
      <c r="S337" s="4" t="str">
        <f t="shared" si="2"/>
        <v/>
      </c>
    </row>
    <row r="338" ht="15.75" customHeight="1">
      <c r="N338" s="4"/>
      <c r="P338" s="23"/>
      <c r="Q338" s="23" t="str">
        <f t="shared" si="1"/>
        <v/>
      </c>
      <c r="R338" s="4"/>
      <c r="S338" s="4" t="str">
        <f t="shared" si="2"/>
        <v/>
      </c>
    </row>
    <row r="339" ht="15.75" customHeight="1">
      <c r="N339" s="4"/>
      <c r="P339" s="23"/>
      <c r="Q339" s="23" t="str">
        <f t="shared" si="1"/>
        <v/>
      </c>
      <c r="R339" s="4"/>
      <c r="S339" s="4" t="str">
        <f t="shared" si="2"/>
        <v/>
      </c>
    </row>
    <row r="340" ht="15.75" customHeight="1">
      <c r="N340" s="4"/>
      <c r="P340" s="23"/>
      <c r="Q340" s="23" t="str">
        <f t="shared" si="1"/>
        <v/>
      </c>
      <c r="R340" s="4"/>
      <c r="S340" s="4" t="str">
        <f t="shared" si="2"/>
        <v/>
      </c>
    </row>
    <row r="341" ht="15.75" customHeight="1">
      <c r="N341" s="4"/>
      <c r="P341" s="23"/>
      <c r="Q341" s="23" t="str">
        <f t="shared" si="1"/>
        <v/>
      </c>
      <c r="R341" s="4"/>
      <c r="S341" s="4" t="str">
        <f t="shared" si="2"/>
        <v/>
      </c>
    </row>
    <row r="342" ht="15.75" customHeight="1">
      <c r="N342" s="4"/>
      <c r="P342" s="23"/>
      <c r="Q342" s="23" t="str">
        <f t="shared" si="1"/>
        <v/>
      </c>
      <c r="R342" s="4"/>
      <c r="S342" s="4" t="str">
        <f t="shared" si="2"/>
        <v/>
      </c>
    </row>
    <row r="343" ht="15.75" customHeight="1">
      <c r="N343" s="4"/>
      <c r="P343" s="23"/>
      <c r="Q343" s="23" t="str">
        <f t="shared" si="1"/>
        <v/>
      </c>
      <c r="R343" s="4"/>
      <c r="S343" s="4" t="str">
        <f t="shared" si="2"/>
        <v/>
      </c>
    </row>
    <row r="344" ht="15.75" customHeight="1">
      <c r="N344" s="4"/>
      <c r="P344" s="23"/>
      <c r="Q344" s="23" t="str">
        <f t="shared" si="1"/>
        <v/>
      </c>
      <c r="R344" s="4"/>
      <c r="S344" s="4" t="str">
        <f t="shared" si="2"/>
        <v/>
      </c>
    </row>
    <row r="345" ht="15.75" customHeight="1">
      <c r="N345" s="4"/>
      <c r="P345" s="23"/>
      <c r="Q345" s="23" t="str">
        <f t="shared" si="1"/>
        <v/>
      </c>
      <c r="R345" s="4"/>
      <c r="S345" s="4" t="str">
        <f t="shared" si="2"/>
        <v/>
      </c>
    </row>
    <row r="346" ht="15.75" customHeight="1">
      <c r="N346" s="4"/>
      <c r="P346" s="23"/>
      <c r="Q346" s="23" t="str">
        <f t="shared" si="1"/>
        <v/>
      </c>
      <c r="R346" s="4"/>
      <c r="S346" s="4" t="str">
        <f t="shared" si="2"/>
        <v/>
      </c>
    </row>
    <row r="347" ht="15.75" customHeight="1">
      <c r="N347" s="4"/>
      <c r="P347" s="23"/>
      <c r="Q347" s="23" t="str">
        <f t="shared" si="1"/>
        <v/>
      </c>
      <c r="R347" s="4"/>
      <c r="S347" s="4" t="str">
        <f t="shared" si="2"/>
        <v/>
      </c>
    </row>
    <row r="348" ht="15.75" customHeight="1">
      <c r="N348" s="4"/>
      <c r="P348" s="23"/>
      <c r="Q348" s="23" t="str">
        <f t="shared" si="1"/>
        <v/>
      </c>
      <c r="R348" s="4"/>
      <c r="S348" s="4" t="str">
        <f t="shared" si="2"/>
        <v/>
      </c>
    </row>
    <row r="349" ht="15.75" customHeight="1">
      <c r="N349" s="4"/>
      <c r="P349" s="23"/>
      <c r="Q349" s="23" t="str">
        <f t="shared" si="1"/>
        <v/>
      </c>
      <c r="R349" s="4"/>
      <c r="S349" s="4" t="str">
        <f t="shared" si="2"/>
        <v/>
      </c>
    </row>
    <row r="350" ht="15.75" customHeight="1">
      <c r="N350" s="4"/>
      <c r="P350" s="23"/>
      <c r="Q350" s="23" t="str">
        <f t="shared" si="1"/>
        <v/>
      </c>
      <c r="R350" s="4"/>
      <c r="S350" s="4" t="str">
        <f t="shared" si="2"/>
        <v/>
      </c>
    </row>
    <row r="351" ht="15.75" customHeight="1">
      <c r="N351" s="4"/>
      <c r="P351" s="23"/>
      <c r="Q351" s="23" t="str">
        <f t="shared" si="1"/>
        <v/>
      </c>
      <c r="R351" s="4"/>
      <c r="S351" s="4" t="str">
        <f t="shared" si="2"/>
        <v/>
      </c>
    </row>
    <row r="352" ht="15.75" customHeight="1">
      <c r="N352" s="4"/>
      <c r="P352" s="23"/>
      <c r="Q352" s="23" t="str">
        <f t="shared" si="1"/>
        <v/>
      </c>
      <c r="R352" s="4"/>
      <c r="S352" s="4" t="str">
        <f t="shared" si="2"/>
        <v/>
      </c>
    </row>
    <row r="353" ht="15.75" customHeight="1">
      <c r="N353" s="4"/>
      <c r="P353" s="23"/>
      <c r="Q353" s="23" t="str">
        <f t="shared" si="1"/>
        <v/>
      </c>
      <c r="R353" s="4"/>
      <c r="S353" s="4" t="str">
        <f t="shared" si="2"/>
        <v/>
      </c>
    </row>
    <row r="354" ht="15.75" customHeight="1">
      <c r="N354" s="4"/>
      <c r="P354" s="23"/>
      <c r="Q354" s="23" t="str">
        <f t="shared" si="1"/>
        <v/>
      </c>
      <c r="R354" s="4"/>
      <c r="S354" s="4" t="str">
        <f t="shared" si="2"/>
        <v/>
      </c>
    </row>
    <row r="355" ht="15.75" customHeight="1">
      <c r="N355" s="4"/>
      <c r="P355" s="23"/>
      <c r="Q355" s="23" t="str">
        <f t="shared" si="1"/>
        <v/>
      </c>
      <c r="R355" s="4"/>
      <c r="S355" s="4" t="str">
        <f t="shared" si="2"/>
        <v/>
      </c>
    </row>
    <row r="356" ht="15.75" customHeight="1">
      <c r="N356" s="4"/>
      <c r="P356" s="23"/>
      <c r="Q356" s="23" t="str">
        <f t="shared" si="1"/>
        <v/>
      </c>
      <c r="R356" s="4"/>
      <c r="S356" s="4" t="str">
        <f t="shared" si="2"/>
        <v/>
      </c>
    </row>
    <row r="357" ht="15.75" customHeight="1">
      <c r="N357" s="4"/>
      <c r="P357" s="23"/>
      <c r="Q357" s="23" t="str">
        <f t="shared" si="1"/>
        <v/>
      </c>
      <c r="R357" s="4"/>
      <c r="S357" s="4" t="str">
        <f t="shared" si="2"/>
        <v/>
      </c>
    </row>
    <row r="358" ht="15.75" customHeight="1">
      <c r="N358" s="4"/>
      <c r="P358" s="23"/>
      <c r="Q358" s="23" t="str">
        <f t="shared" si="1"/>
        <v/>
      </c>
      <c r="R358" s="4"/>
      <c r="S358" s="4" t="str">
        <f t="shared" si="2"/>
        <v/>
      </c>
    </row>
    <row r="359" ht="15.75" customHeight="1">
      <c r="N359" s="4"/>
      <c r="P359" s="23"/>
      <c r="Q359" s="23" t="str">
        <f t="shared" si="1"/>
        <v/>
      </c>
      <c r="R359" s="4"/>
      <c r="S359" s="4" t="str">
        <f t="shared" si="2"/>
        <v/>
      </c>
    </row>
    <row r="360" ht="15.75" customHeight="1">
      <c r="N360" s="4"/>
      <c r="P360" s="23"/>
      <c r="Q360" s="23" t="str">
        <f t="shared" si="1"/>
        <v/>
      </c>
      <c r="R360" s="4"/>
      <c r="S360" s="4" t="str">
        <f t="shared" si="2"/>
        <v/>
      </c>
    </row>
    <row r="361" ht="15.75" customHeight="1">
      <c r="N361" s="4"/>
      <c r="P361" s="23"/>
      <c r="Q361" s="23" t="str">
        <f t="shared" si="1"/>
        <v/>
      </c>
      <c r="R361" s="4"/>
      <c r="S361" s="4" t="str">
        <f t="shared" si="2"/>
        <v/>
      </c>
    </row>
    <row r="362" ht="15.75" customHeight="1">
      <c r="N362" s="4"/>
      <c r="P362" s="23"/>
      <c r="Q362" s="23" t="str">
        <f t="shared" si="1"/>
        <v/>
      </c>
      <c r="R362" s="4"/>
      <c r="S362" s="4" t="str">
        <f t="shared" si="2"/>
        <v/>
      </c>
    </row>
    <row r="363" ht="15.75" customHeight="1">
      <c r="N363" s="4"/>
      <c r="P363" s="23"/>
      <c r="Q363" s="23" t="str">
        <f t="shared" si="1"/>
        <v/>
      </c>
      <c r="R363" s="4"/>
      <c r="S363" s="4" t="str">
        <f t="shared" si="2"/>
        <v/>
      </c>
    </row>
    <row r="364" ht="15.75" customHeight="1">
      <c r="N364" s="4"/>
      <c r="P364" s="23"/>
      <c r="Q364" s="23" t="str">
        <f t="shared" si="1"/>
        <v/>
      </c>
      <c r="R364" s="4"/>
      <c r="S364" s="4" t="str">
        <f t="shared" si="2"/>
        <v/>
      </c>
    </row>
    <row r="365" ht="15.75" customHeight="1">
      <c r="N365" s="4"/>
      <c r="P365" s="23"/>
      <c r="Q365" s="23" t="str">
        <f t="shared" si="1"/>
        <v/>
      </c>
      <c r="R365" s="4"/>
      <c r="S365" s="4" t="str">
        <f t="shared" si="2"/>
        <v/>
      </c>
    </row>
    <row r="366" ht="15.75" customHeight="1">
      <c r="N366" s="4"/>
      <c r="P366" s="23"/>
      <c r="Q366" s="23" t="str">
        <f t="shared" si="1"/>
        <v/>
      </c>
      <c r="R366" s="4"/>
      <c r="S366" s="4" t="str">
        <f t="shared" si="2"/>
        <v/>
      </c>
    </row>
    <row r="367" ht="15.75" customHeight="1">
      <c r="N367" s="4"/>
      <c r="P367" s="23"/>
      <c r="Q367" s="23" t="str">
        <f t="shared" si="1"/>
        <v/>
      </c>
      <c r="R367" s="4"/>
      <c r="S367" s="4" t="str">
        <f t="shared" si="2"/>
        <v/>
      </c>
    </row>
    <row r="368" ht="15.75" customHeight="1">
      <c r="N368" s="4"/>
      <c r="P368" s="23"/>
      <c r="Q368" s="23" t="str">
        <f t="shared" si="1"/>
        <v/>
      </c>
      <c r="R368" s="4"/>
      <c r="S368" s="4" t="str">
        <f t="shared" si="2"/>
        <v/>
      </c>
    </row>
    <row r="369" ht="15.75" customHeight="1">
      <c r="N369" s="4"/>
      <c r="P369" s="23"/>
      <c r="Q369" s="23" t="str">
        <f t="shared" si="1"/>
        <v/>
      </c>
      <c r="R369" s="4"/>
      <c r="S369" s="4" t="str">
        <f t="shared" si="2"/>
        <v/>
      </c>
    </row>
    <row r="370" ht="15.75" customHeight="1">
      <c r="N370" s="4"/>
      <c r="P370" s="23"/>
      <c r="Q370" s="23" t="str">
        <f t="shared" si="1"/>
        <v/>
      </c>
      <c r="R370" s="4"/>
      <c r="S370" s="4" t="str">
        <f t="shared" si="2"/>
        <v/>
      </c>
    </row>
    <row r="371" ht="15.75" customHeight="1">
      <c r="N371" s="4"/>
      <c r="P371" s="23"/>
      <c r="Q371" s="23" t="str">
        <f t="shared" si="1"/>
        <v/>
      </c>
      <c r="R371" s="4"/>
      <c r="S371" s="4" t="str">
        <f t="shared" si="2"/>
        <v/>
      </c>
    </row>
    <row r="372" ht="15.75" customHeight="1">
      <c r="N372" s="4"/>
      <c r="P372" s="23"/>
      <c r="Q372" s="23" t="str">
        <f t="shared" si="1"/>
        <v/>
      </c>
      <c r="R372" s="4"/>
      <c r="S372" s="4" t="str">
        <f t="shared" si="2"/>
        <v/>
      </c>
    </row>
    <row r="373" ht="15.75" customHeight="1">
      <c r="N373" s="4"/>
      <c r="P373" s="23"/>
      <c r="Q373" s="23" t="str">
        <f t="shared" si="1"/>
        <v/>
      </c>
      <c r="R373" s="4"/>
      <c r="S373" s="4" t="str">
        <f t="shared" si="2"/>
        <v/>
      </c>
    </row>
    <row r="374" ht="15.75" customHeight="1">
      <c r="N374" s="4"/>
      <c r="P374" s="23"/>
      <c r="Q374" s="23" t="str">
        <f t="shared" si="1"/>
        <v/>
      </c>
      <c r="R374" s="4"/>
      <c r="S374" s="4" t="str">
        <f t="shared" si="2"/>
        <v/>
      </c>
    </row>
    <row r="375" ht="15.75" customHeight="1">
      <c r="N375" s="4"/>
      <c r="P375" s="23"/>
      <c r="Q375" s="23" t="str">
        <f t="shared" si="1"/>
        <v/>
      </c>
      <c r="R375" s="4"/>
      <c r="S375" s="4" t="str">
        <f t="shared" si="2"/>
        <v/>
      </c>
    </row>
    <row r="376" ht="15.75" customHeight="1">
      <c r="N376" s="4"/>
      <c r="P376" s="23"/>
      <c r="Q376" s="23" t="str">
        <f t="shared" si="1"/>
        <v/>
      </c>
      <c r="R376" s="4"/>
      <c r="S376" s="4" t="str">
        <f t="shared" si="2"/>
        <v/>
      </c>
    </row>
    <row r="377" ht="15.75" customHeight="1">
      <c r="N377" s="4"/>
      <c r="P377" s="23"/>
      <c r="Q377" s="23" t="str">
        <f t="shared" si="1"/>
        <v/>
      </c>
      <c r="R377" s="4"/>
      <c r="S377" s="4" t="str">
        <f t="shared" si="2"/>
        <v/>
      </c>
    </row>
    <row r="378" ht="15.75" customHeight="1">
      <c r="N378" s="4"/>
      <c r="P378" s="23"/>
      <c r="Q378" s="23" t="str">
        <f t="shared" si="1"/>
        <v/>
      </c>
      <c r="R378" s="4"/>
      <c r="S378" s="4" t="str">
        <f t="shared" si="2"/>
        <v/>
      </c>
    </row>
    <row r="379" ht="15.75" customHeight="1">
      <c r="N379" s="4"/>
      <c r="P379" s="23"/>
      <c r="Q379" s="23" t="str">
        <f t="shared" si="1"/>
        <v/>
      </c>
      <c r="R379" s="4"/>
      <c r="S379" s="4" t="str">
        <f t="shared" si="2"/>
        <v/>
      </c>
    </row>
    <row r="380" ht="15.75" customHeight="1">
      <c r="N380" s="4"/>
      <c r="P380" s="23"/>
      <c r="Q380" s="23" t="str">
        <f t="shared" si="1"/>
        <v/>
      </c>
      <c r="R380" s="4"/>
      <c r="S380" s="4" t="str">
        <f t="shared" si="2"/>
        <v/>
      </c>
    </row>
    <row r="381" ht="15.75" customHeight="1">
      <c r="N381" s="4"/>
      <c r="P381" s="23"/>
      <c r="Q381" s="23" t="str">
        <f t="shared" si="1"/>
        <v/>
      </c>
      <c r="R381" s="4"/>
      <c r="S381" s="4" t="str">
        <f t="shared" si="2"/>
        <v/>
      </c>
    </row>
    <row r="382" ht="15.75" customHeight="1">
      <c r="N382" s="4"/>
      <c r="P382" s="23"/>
      <c r="Q382" s="23" t="str">
        <f t="shared" si="1"/>
        <v/>
      </c>
      <c r="R382" s="4"/>
      <c r="S382" s="4" t="str">
        <f t="shared" si="2"/>
        <v/>
      </c>
    </row>
    <row r="383" ht="15.75" customHeight="1">
      <c r="N383" s="4"/>
      <c r="P383" s="23"/>
      <c r="Q383" s="23" t="str">
        <f t="shared" si="1"/>
        <v/>
      </c>
      <c r="R383" s="4"/>
      <c r="S383" s="4" t="str">
        <f t="shared" si="2"/>
        <v/>
      </c>
    </row>
    <row r="384" ht="15.75" customHeight="1">
      <c r="N384" s="4"/>
      <c r="P384" s="23"/>
      <c r="Q384" s="23" t="str">
        <f t="shared" si="1"/>
        <v/>
      </c>
      <c r="R384" s="4"/>
      <c r="S384" s="4" t="str">
        <f t="shared" si="2"/>
        <v/>
      </c>
    </row>
    <row r="385" ht="15.75" customHeight="1">
      <c r="N385" s="4"/>
      <c r="P385" s="23"/>
      <c r="Q385" s="23" t="str">
        <f t="shared" si="1"/>
        <v/>
      </c>
      <c r="R385" s="4"/>
      <c r="S385" s="4" t="str">
        <f t="shared" si="2"/>
        <v/>
      </c>
    </row>
    <row r="386" ht="15.75" customHeight="1">
      <c r="N386" s="4"/>
      <c r="P386" s="23"/>
      <c r="Q386" s="23" t="str">
        <f t="shared" si="1"/>
        <v/>
      </c>
      <c r="R386" s="4"/>
      <c r="S386" s="4" t="str">
        <f t="shared" si="2"/>
        <v/>
      </c>
    </row>
    <row r="387" ht="15.75" customHeight="1">
      <c r="N387" s="4"/>
      <c r="P387" s="23"/>
      <c r="Q387" s="23" t="str">
        <f t="shared" si="1"/>
        <v/>
      </c>
      <c r="R387" s="4"/>
      <c r="S387" s="4" t="str">
        <f t="shared" si="2"/>
        <v/>
      </c>
    </row>
    <row r="388" ht="15.75" customHeight="1">
      <c r="N388" s="4"/>
      <c r="P388" s="23"/>
      <c r="Q388" s="23" t="str">
        <f t="shared" si="1"/>
        <v/>
      </c>
      <c r="R388" s="4"/>
      <c r="S388" s="4" t="str">
        <f t="shared" si="2"/>
        <v/>
      </c>
    </row>
    <row r="389" ht="15.75" customHeight="1">
      <c r="N389" s="4"/>
      <c r="P389" s="23"/>
      <c r="Q389" s="23" t="str">
        <f t="shared" si="1"/>
        <v/>
      </c>
      <c r="R389" s="4"/>
      <c r="S389" s="4" t="str">
        <f t="shared" si="2"/>
        <v/>
      </c>
    </row>
    <row r="390" ht="15.75" customHeight="1">
      <c r="N390" s="4"/>
      <c r="P390" s="23"/>
      <c r="Q390" s="23" t="str">
        <f t="shared" si="1"/>
        <v/>
      </c>
      <c r="R390" s="4"/>
      <c r="S390" s="4" t="str">
        <f t="shared" si="2"/>
        <v/>
      </c>
    </row>
    <row r="391" ht="15.75" customHeight="1">
      <c r="N391" s="4"/>
      <c r="P391" s="23"/>
      <c r="Q391" s="23" t="str">
        <f t="shared" si="1"/>
        <v/>
      </c>
      <c r="R391" s="4"/>
      <c r="S391" s="4" t="str">
        <f t="shared" si="2"/>
        <v/>
      </c>
    </row>
    <row r="392" ht="15.75" customHeight="1">
      <c r="N392" s="4"/>
      <c r="P392" s="23"/>
      <c r="Q392" s="23" t="str">
        <f t="shared" si="1"/>
        <v/>
      </c>
      <c r="R392" s="4"/>
      <c r="S392" s="4" t="str">
        <f t="shared" si="2"/>
        <v/>
      </c>
    </row>
    <row r="393" ht="15.75" customHeight="1">
      <c r="N393" s="4"/>
      <c r="P393" s="23"/>
      <c r="Q393" s="23" t="str">
        <f t="shared" si="1"/>
        <v/>
      </c>
      <c r="R393" s="4"/>
      <c r="S393" s="4" t="str">
        <f t="shared" si="2"/>
        <v/>
      </c>
    </row>
    <row r="394" ht="15.75" customHeight="1">
      <c r="N394" s="4"/>
      <c r="P394" s="23"/>
      <c r="Q394" s="23" t="str">
        <f t="shared" si="1"/>
        <v/>
      </c>
      <c r="R394" s="4"/>
      <c r="S394" s="4" t="str">
        <f t="shared" si="2"/>
        <v/>
      </c>
    </row>
    <row r="395" ht="15.75" customHeight="1">
      <c r="N395" s="4"/>
      <c r="P395" s="23"/>
      <c r="Q395" s="23" t="str">
        <f t="shared" si="1"/>
        <v/>
      </c>
      <c r="R395" s="4"/>
      <c r="S395" s="4" t="str">
        <f t="shared" si="2"/>
        <v/>
      </c>
    </row>
    <row r="396" ht="15.75" customHeight="1">
      <c r="N396" s="4"/>
      <c r="P396" s="23"/>
      <c r="Q396" s="23" t="str">
        <f t="shared" si="1"/>
        <v/>
      </c>
      <c r="R396" s="4"/>
      <c r="S396" s="4" t="str">
        <f t="shared" si="2"/>
        <v/>
      </c>
    </row>
    <row r="397" ht="15.75" customHeight="1">
      <c r="N397" s="4"/>
      <c r="P397" s="23"/>
      <c r="Q397" s="23" t="str">
        <f t="shared" si="1"/>
        <v/>
      </c>
      <c r="R397" s="4"/>
      <c r="S397" s="4" t="str">
        <f t="shared" si="2"/>
        <v/>
      </c>
    </row>
    <row r="398" ht="15.75" customHeight="1">
      <c r="N398" s="4"/>
      <c r="P398" s="23"/>
      <c r="Q398" s="23" t="str">
        <f t="shared" si="1"/>
        <v/>
      </c>
      <c r="R398" s="4"/>
      <c r="S398" s="4" t="str">
        <f t="shared" si="2"/>
        <v/>
      </c>
    </row>
    <row r="399" ht="15.75" customHeight="1">
      <c r="N399" s="4"/>
      <c r="P399" s="23"/>
      <c r="Q399" s="23" t="str">
        <f t="shared" si="1"/>
        <v/>
      </c>
      <c r="R399" s="4"/>
      <c r="S399" s="4" t="str">
        <f t="shared" si="2"/>
        <v/>
      </c>
    </row>
    <row r="400" ht="15.75" customHeight="1">
      <c r="N400" s="4"/>
      <c r="P400" s="23"/>
      <c r="Q400" s="23" t="str">
        <f t="shared" si="1"/>
        <v/>
      </c>
      <c r="R400" s="4"/>
      <c r="S400" s="4" t="str">
        <f t="shared" si="2"/>
        <v/>
      </c>
    </row>
    <row r="401" ht="15.75" customHeight="1">
      <c r="N401" s="4"/>
      <c r="P401" s="23"/>
      <c r="Q401" s="23" t="str">
        <f t="shared" si="1"/>
        <v/>
      </c>
      <c r="R401" s="4"/>
      <c r="S401" s="4" t="str">
        <f t="shared" si="2"/>
        <v/>
      </c>
    </row>
    <row r="402" ht="15.75" customHeight="1">
      <c r="N402" s="4"/>
      <c r="P402" s="23"/>
      <c r="Q402" s="23" t="str">
        <f t="shared" si="1"/>
        <v/>
      </c>
      <c r="R402" s="4"/>
      <c r="S402" s="4" t="str">
        <f t="shared" si="2"/>
        <v/>
      </c>
    </row>
    <row r="403" ht="15.75" customHeight="1">
      <c r="N403" s="4"/>
      <c r="P403" s="23"/>
      <c r="Q403" s="23" t="str">
        <f t="shared" si="1"/>
        <v/>
      </c>
      <c r="R403" s="4"/>
      <c r="S403" s="4" t="str">
        <f t="shared" si="2"/>
        <v/>
      </c>
    </row>
    <row r="404" ht="15.75" customHeight="1">
      <c r="N404" s="4"/>
      <c r="P404" s="23"/>
      <c r="Q404" s="23" t="str">
        <f t="shared" si="1"/>
        <v/>
      </c>
      <c r="R404" s="4"/>
      <c r="S404" s="4" t="str">
        <f t="shared" si="2"/>
        <v/>
      </c>
    </row>
    <row r="405" ht="15.75" customHeight="1">
      <c r="N405" s="4"/>
      <c r="P405" s="23"/>
      <c r="Q405" s="23" t="str">
        <f t="shared" si="1"/>
        <v/>
      </c>
      <c r="R405" s="4"/>
      <c r="S405" s="4" t="str">
        <f t="shared" si="2"/>
        <v/>
      </c>
    </row>
    <row r="406" ht="15.75" customHeight="1">
      <c r="N406" s="4"/>
      <c r="P406" s="23"/>
      <c r="Q406" s="23" t="str">
        <f t="shared" si="1"/>
        <v/>
      </c>
      <c r="R406" s="4"/>
      <c r="S406" s="4" t="str">
        <f t="shared" si="2"/>
        <v/>
      </c>
    </row>
    <row r="407" ht="15.75" customHeight="1">
      <c r="N407" s="4"/>
      <c r="P407" s="23"/>
      <c r="Q407" s="23" t="str">
        <f t="shared" si="1"/>
        <v/>
      </c>
      <c r="R407" s="4"/>
      <c r="S407" s="4" t="str">
        <f t="shared" si="2"/>
        <v/>
      </c>
    </row>
    <row r="408" ht="15.75" customHeight="1">
      <c r="N408" s="4"/>
      <c r="P408" s="23"/>
      <c r="Q408" s="23" t="str">
        <f t="shared" si="1"/>
        <v/>
      </c>
      <c r="R408" s="4"/>
      <c r="S408" s="4" t="str">
        <f t="shared" si="2"/>
        <v/>
      </c>
    </row>
    <row r="409" ht="15.75" customHeight="1">
      <c r="N409" s="4"/>
      <c r="P409" s="23"/>
      <c r="Q409" s="23" t="str">
        <f t="shared" si="1"/>
        <v/>
      </c>
      <c r="R409" s="4"/>
      <c r="S409" s="4" t="str">
        <f t="shared" si="2"/>
        <v/>
      </c>
    </row>
    <row r="410" ht="15.75" customHeight="1">
      <c r="N410" s="4"/>
      <c r="P410" s="23"/>
      <c r="Q410" s="23" t="str">
        <f t="shared" si="1"/>
        <v/>
      </c>
      <c r="R410" s="4"/>
      <c r="S410" s="4" t="str">
        <f t="shared" si="2"/>
        <v/>
      </c>
    </row>
    <row r="411" ht="15.75" customHeight="1">
      <c r="N411" s="4"/>
      <c r="P411" s="23"/>
      <c r="Q411" s="23" t="str">
        <f t="shared" si="1"/>
        <v/>
      </c>
      <c r="R411" s="4"/>
      <c r="S411" s="4" t="str">
        <f t="shared" si="2"/>
        <v/>
      </c>
    </row>
    <row r="412" ht="15.75" customHeight="1">
      <c r="N412" s="4"/>
      <c r="P412" s="23"/>
      <c r="Q412" s="23" t="str">
        <f t="shared" si="1"/>
        <v/>
      </c>
      <c r="R412" s="4"/>
      <c r="S412" s="4" t="str">
        <f t="shared" si="2"/>
        <v/>
      </c>
    </row>
    <row r="413" ht="15.75" customHeight="1">
      <c r="N413" s="4"/>
      <c r="P413" s="23"/>
      <c r="Q413" s="23" t="str">
        <f t="shared" si="1"/>
        <v/>
      </c>
      <c r="R413" s="4"/>
      <c r="S413" s="4" t="str">
        <f t="shared" si="2"/>
        <v/>
      </c>
    </row>
    <row r="414" ht="15.75" customHeight="1">
      <c r="N414" s="4"/>
      <c r="P414" s="23"/>
      <c r="Q414" s="23" t="str">
        <f t="shared" si="1"/>
        <v/>
      </c>
      <c r="R414" s="4"/>
      <c r="S414" s="4" t="str">
        <f t="shared" si="2"/>
        <v/>
      </c>
    </row>
    <row r="415" ht="15.75" customHeight="1">
      <c r="N415" s="4"/>
      <c r="P415" s="23"/>
      <c r="Q415" s="23" t="str">
        <f t="shared" si="1"/>
        <v/>
      </c>
      <c r="R415" s="4"/>
      <c r="S415" s="4" t="str">
        <f t="shared" si="2"/>
        <v/>
      </c>
    </row>
    <row r="416" ht="15.75" customHeight="1">
      <c r="N416" s="4"/>
      <c r="P416" s="23"/>
      <c r="Q416" s="23" t="str">
        <f t="shared" si="1"/>
        <v/>
      </c>
      <c r="R416" s="4"/>
      <c r="S416" s="4" t="str">
        <f t="shared" si="2"/>
        <v/>
      </c>
    </row>
    <row r="417" ht="15.75" customHeight="1">
      <c r="N417" s="4"/>
      <c r="P417" s="23"/>
      <c r="Q417" s="23" t="str">
        <f t="shared" si="1"/>
        <v/>
      </c>
      <c r="R417" s="4"/>
      <c r="S417" s="4" t="str">
        <f t="shared" si="2"/>
        <v/>
      </c>
    </row>
    <row r="418" ht="15.75" customHeight="1">
      <c r="N418" s="4"/>
      <c r="P418" s="23"/>
      <c r="Q418" s="23" t="str">
        <f t="shared" si="1"/>
        <v/>
      </c>
      <c r="R418" s="4"/>
      <c r="S418" s="4" t="str">
        <f t="shared" si="2"/>
        <v/>
      </c>
    </row>
    <row r="419" ht="15.75" customHeight="1">
      <c r="N419" s="4"/>
      <c r="P419" s="23"/>
      <c r="Q419" s="23" t="str">
        <f t="shared" si="1"/>
        <v/>
      </c>
      <c r="R419" s="4"/>
      <c r="S419" s="4" t="str">
        <f t="shared" si="2"/>
        <v/>
      </c>
    </row>
    <row r="420" ht="15.75" customHeight="1">
      <c r="N420" s="4"/>
      <c r="P420" s="23"/>
      <c r="Q420" s="23" t="str">
        <f t="shared" si="1"/>
        <v/>
      </c>
      <c r="R420" s="4"/>
      <c r="S420" s="4" t="str">
        <f t="shared" si="2"/>
        <v/>
      </c>
    </row>
    <row r="421" ht="15.75" customHeight="1">
      <c r="N421" s="4"/>
      <c r="P421" s="23"/>
      <c r="Q421" s="23" t="str">
        <f t="shared" si="1"/>
        <v/>
      </c>
      <c r="R421" s="4"/>
      <c r="S421" s="4" t="str">
        <f t="shared" si="2"/>
        <v/>
      </c>
    </row>
    <row r="422" ht="15.75" customHeight="1">
      <c r="N422" s="4"/>
      <c r="P422" s="23"/>
      <c r="Q422" s="23" t="str">
        <f t="shared" si="1"/>
        <v/>
      </c>
      <c r="R422" s="4"/>
      <c r="S422" s="4" t="str">
        <f t="shared" si="2"/>
        <v/>
      </c>
    </row>
    <row r="423" ht="15.75" customHeight="1">
      <c r="N423" s="4"/>
      <c r="P423" s="23"/>
      <c r="Q423" s="23" t="str">
        <f t="shared" si="1"/>
        <v/>
      </c>
      <c r="R423" s="4"/>
      <c r="S423" s="4" t="str">
        <f t="shared" si="2"/>
        <v/>
      </c>
    </row>
    <row r="424" ht="15.75" customHeight="1">
      <c r="N424" s="4"/>
      <c r="P424" s="23"/>
      <c r="Q424" s="23" t="str">
        <f t="shared" si="1"/>
        <v/>
      </c>
      <c r="R424" s="4"/>
      <c r="S424" s="4" t="str">
        <f t="shared" si="2"/>
        <v/>
      </c>
    </row>
    <row r="425" ht="15.75" customHeight="1">
      <c r="N425" s="4"/>
      <c r="P425" s="23"/>
      <c r="Q425" s="23" t="str">
        <f t="shared" si="1"/>
        <v/>
      </c>
      <c r="R425" s="4"/>
      <c r="S425" s="4" t="str">
        <f t="shared" si="2"/>
        <v/>
      </c>
    </row>
    <row r="426" ht="15.75" customHeight="1">
      <c r="N426" s="4"/>
      <c r="P426" s="23"/>
      <c r="Q426" s="23" t="str">
        <f t="shared" si="1"/>
        <v/>
      </c>
      <c r="R426" s="4"/>
      <c r="S426" s="4" t="str">
        <f t="shared" si="2"/>
        <v/>
      </c>
    </row>
    <row r="427" ht="15.75" customHeight="1">
      <c r="N427" s="4"/>
      <c r="P427" s="23"/>
      <c r="Q427" s="23" t="str">
        <f t="shared" si="1"/>
        <v/>
      </c>
      <c r="R427" s="4"/>
      <c r="S427" s="4" t="str">
        <f t="shared" si="2"/>
        <v/>
      </c>
    </row>
    <row r="428" ht="15.75" customHeight="1">
      <c r="N428" s="4"/>
      <c r="P428" s="23"/>
      <c r="Q428" s="23" t="str">
        <f t="shared" si="1"/>
        <v/>
      </c>
      <c r="R428" s="4"/>
      <c r="S428" s="4" t="str">
        <f t="shared" si="2"/>
        <v/>
      </c>
    </row>
    <row r="429" ht="15.75" customHeight="1">
      <c r="N429" s="4"/>
      <c r="P429" s="23"/>
      <c r="Q429" s="23" t="str">
        <f t="shared" si="1"/>
        <v/>
      </c>
      <c r="R429" s="4"/>
      <c r="S429" s="4" t="str">
        <f t="shared" si="2"/>
        <v/>
      </c>
    </row>
    <row r="430" ht="15.75" customHeight="1">
      <c r="N430" s="4"/>
      <c r="P430" s="23"/>
      <c r="Q430" s="23" t="str">
        <f t="shared" si="1"/>
        <v/>
      </c>
      <c r="R430" s="4"/>
      <c r="S430" s="4" t="str">
        <f t="shared" si="2"/>
        <v/>
      </c>
    </row>
    <row r="431" ht="15.75" customHeight="1">
      <c r="N431" s="4"/>
      <c r="P431" s="23"/>
      <c r="Q431" s="23" t="str">
        <f t="shared" si="1"/>
        <v/>
      </c>
      <c r="R431" s="4"/>
      <c r="S431" s="4" t="str">
        <f t="shared" si="2"/>
        <v/>
      </c>
    </row>
    <row r="432" ht="15.75" customHeight="1">
      <c r="N432" s="4"/>
      <c r="P432" s="23"/>
      <c r="Q432" s="23" t="str">
        <f t="shared" si="1"/>
        <v/>
      </c>
      <c r="R432" s="4"/>
      <c r="S432" s="4" t="str">
        <f t="shared" si="2"/>
        <v/>
      </c>
    </row>
    <row r="433" ht="15.75" customHeight="1">
      <c r="N433" s="4"/>
      <c r="P433" s="23"/>
      <c r="Q433" s="23" t="str">
        <f t="shared" si="1"/>
        <v/>
      </c>
      <c r="R433" s="4"/>
      <c r="S433" s="4" t="str">
        <f t="shared" si="2"/>
        <v/>
      </c>
    </row>
    <row r="434" ht="15.75" customHeight="1">
      <c r="N434" s="4"/>
      <c r="P434" s="23"/>
      <c r="Q434" s="23" t="str">
        <f t="shared" si="1"/>
        <v/>
      </c>
      <c r="R434" s="4"/>
      <c r="S434" s="4" t="str">
        <f t="shared" si="2"/>
        <v/>
      </c>
    </row>
    <row r="435" ht="15.75" customHeight="1">
      <c r="N435" s="4"/>
      <c r="P435" s="23"/>
      <c r="Q435" s="23" t="str">
        <f t="shared" si="1"/>
        <v/>
      </c>
      <c r="R435" s="4"/>
      <c r="S435" s="4" t="str">
        <f t="shared" si="2"/>
        <v/>
      </c>
    </row>
    <row r="436" ht="15.75" customHeight="1">
      <c r="N436" s="4"/>
      <c r="P436" s="23"/>
      <c r="Q436" s="23" t="str">
        <f t="shared" si="1"/>
        <v/>
      </c>
      <c r="R436" s="4"/>
      <c r="S436" s="4" t="str">
        <f t="shared" si="2"/>
        <v/>
      </c>
    </row>
    <row r="437" ht="15.75" customHeight="1">
      <c r="N437" s="4"/>
      <c r="P437" s="23"/>
      <c r="Q437" s="23" t="str">
        <f t="shared" si="1"/>
        <v/>
      </c>
      <c r="R437" s="4"/>
      <c r="S437" s="4" t="str">
        <f t="shared" si="2"/>
        <v/>
      </c>
    </row>
    <row r="438" ht="15.75" customHeight="1">
      <c r="N438" s="4"/>
      <c r="P438" s="23"/>
      <c r="Q438" s="23" t="str">
        <f t="shared" si="1"/>
        <v/>
      </c>
      <c r="R438" s="4"/>
      <c r="S438" s="4" t="str">
        <f t="shared" si="2"/>
        <v/>
      </c>
    </row>
    <row r="439" ht="15.75" customHeight="1">
      <c r="N439" s="4"/>
      <c r="P439" s="23"/>
      <c r="Q439" s="23" t="str">
        <f t="shared" si="1"/>
        <v/>
      </c>
      <c r="R439" s="4"/>
      <c r="S439" s="4" t="str">
        <f t="shared" si="2"/>
        <v/>
      </c>
    </row>
    <row r="440" ht="15.75" customHeight="1">
      <c r="N440" s="4"/>
      <c r="P440" s="23"/>
      <c r="Q440" s="23" t="str">
        <f t="shared" si="1"/>
        <v/>
      </c>
      <c r="R440" s="4"/>
      <c r="S440" s="4" t="str">
        <f t="shared" si="2"/>
        <v/>
      </c>
    </row>
    <row r="441" ht="15.75" customHeight="1">
      <c r="N441" s="4"/>
      <c r="P441" s="23"/>
      <c r="Q441" s="23" t="str">
        <f t="shared" si="1"/>
        <v/>
      </c>
      <c r="R441" s="4"/>
      <c r="S441" s="4" t="str">
        <f t="shared" si="2"/>
        <v/>
      </c>
    </row>
    <row r="442" ht="15.75" customHeight="1">
      <c r="N442" s="4"/>
      <c r="P442" s="23"/>
      <c r="Q442" s="23" t="str">
        <f t="shared" si="1"/>
        <v/>
      </c>
      <c r="R442" s="4"/>
      <c r="S442" s="4" t="str">
        <f t="shared" si="2"/>
        <v/>
      </c>
    </row>
    <row r="443" ht="15.75" customHeight="1">
      <c r="N443" s="4"/>
      <c r="P443" s="23"/>
      <c r="Q443" s="23" t="str">
        <f t="shared" si="1"/>
        <v/>
      </c>
      <c r="R443" s="4"/>
      <c r="S443" s="4" t="str">
        <f t="shared" si="2"/>
        <v/>
      </c>
    </row>
    <row r="444" ht="15.75" customHeight="1">
      <c r="N444" s="4"/>
      <c r="P444" s="23"/>
      <c r="Q444" s="23" t="str">
        <f t="shared" si="1"/>
        <v/>
      </c>
      <c r="R444" s="4"/>
      <c r="S444" s="4" t="str">
        <f t="shared" si="2"/>
        <v/>
      </c>
    </row>
    <row r="445" ht="15.75" customHeight="1">
      <c r="N445" s="4"/>
      <c r="P445" s="23"/>
      <c r="Q445" s="23" t="str">
        <f t="shared" si="1"/>
        <v/>
      </c>
      <c r="R445" s="4"/>
      <c r="S445" s="4" t="str">
        <f t="shared" si="2"/>
        <v/>
      </c>
    </row>
    <row r="446" ht="15.75" customHeight="1">
      <c r="N446" s="4"/>
      <c r="P446" s="23"/>
      <c r="Q446" s="23" t="str">
        <f t="shared" si="1"/>
        <v/>
      </c>
      <c r="R446" s="4"/>
      <c r="S446" s="4" t="str">
        <f t="shared" si="2"/>
        <v/>
      </c>
    </row>
    <row r="447" ht="15.75" customHeight="1">
      <c r="N447" s="4"/>
      <c r="P447" s="23"/>
      <c r="Q447" s="23" t="str">
        <f t="shared" si="1"/>
        <v/>
      </c>
      <c r="R447" s="4"/>
      <c r="S447" s="4" t="str">
        <f t="shared" si="2"/>
        <v/>
      </c>
    </row>
    <row r="448" ht="15.75" customHeight="1">
      <c r="N448" s="4"/>
      <c r="P448" s="23"/>
      <c r="Q448" s="23" t="str">
        <f t="shared" si="1"/>
        <v/>
      </c>
      <c r="R448" s="4"/>
      <c r="S448" s="4" t="str">
        <f t="shared" si="2"/>
        <v/>
      </c>
    </row>
    <row r="449" ht="15.75" customHeight="1">
      <c r="N449" s="4"/>
      <c r="P449" s="23"/>
      <c r="Q449" s="23" t="str">
        <f t="shared" si="1"/>
        <v/>
      </c>
      <c r="R449" s="4"/>
      <c r="S449" s="4" t="str">
        <f t="shared" si="2"/>
        <v/>
      </c>
    </row>
    <row r="450" ht="15.75" customHeight="1">
      <c r="N450" s="4"/>
      <c r="P450" s="23"/>
      <c r="Q450" s="23" t="str">
        <f t="shared" si="1"/>
        <v/>
      </c>
      <c r="R450" s="4"/>
      <c r="S450" s="4" t="str">
        <f t="shared" si="2"/>
        <v/>
      </c>
    </row>
    <row r="451" ht="15.75" customHeight="1">
      <c r="N451" s="4"/>
      <c r="P451" s="23"/>
      <c r="Q451" s="23" t="str">
        <f t="shared" si="1"/>
        <v/>
      </c>
      <c r="R451" s="4"/>
      <c r="S451" s="4" t="str">
        <f t="shared" si="2"/>
        <v/>
      </c>
    </row>
    <row r="452" ht="15.75" customHeight="1">
      <c r="N452" s="4"/>
      <c r="P452" s="23"/>
      <c r="Q452" s="23" t="str">
        <f t="shared" si="1"/>
        <v/>
      </c>
      <c r="R452" s="4"/>
      <c r="S452" s="4" t="str">
        <f t="shared" si="2"/>
        <v/>
      </c>
    </row>
    <row r="453" ht="15.75" customHeight="1">
      <c r="N453" s="4"/>
      <c r="P453" s="23"/>
      <c r="Q453" s="23" t="str">
        <f t="shared" si="1"/>
        <v/>
      </c>
      <c r="R453" s="4"/>
      <c r="S453" s="4" t="str">
        <f t="shared" si="2"/>
        <v/>
      </c>
    </row>
    <row r="454" ht="15.75" customHeight="1">
      <c r="N454" s="4"/>
      <c r="P454" s="23"/>
      <c r="Q454" s="23" t="str">
        <f t="shared" si="1"/>
        <v/>
      </c>
      <c r="R454" s="4"/>
      <c r="S454" s="4" t="str">
        <f t="shared" si="2"/>
        <v/>
      </c>
    </row>
    <row r="455" ht="15.75" customHeight="1">
      <c r="N455" s="4"/>
      <c r="P455" s="23"/>
      <c r="Q455" s="23" t="str">
        <f t="shared" si="1"/>
        <v/>
      </c>
      <c r="R455" s="4"/>
      <c r="S455" s="4" t="str">
        <f t="shared" si="2"/>
        <v/>
      </c>
    </row>
    <row r="456" ht="15.75" customHeight="1">
      <c r="N456" s="4"/>
      <c r="P456" s="23"/>
      <c r="Q456" s="23" t="str">
        <f t="shared" si="1"/>
        <v/>
      </c>
      <c r="R456" s="4"/>
      <c r="S456" s="4" t="str">
        <f t="shared" si="2"/>
        <v/>
      </c>
    </row>
    <row r="457" ht="15.75" customHeight="1">
      <c r="N457" s="4"/>
      <c r="P457" s="23"/>
      <c r="Q457" s="23" t="str">
        <f t="shared" si="1"/>
        <v/>
      </c>
      <c r="R457" s="4"/>
      <c r="S457" s="4" t="str">
        <f t="shared" si="2"/>
        <v/>
      </c>
    </row>
    <row r="458" ht="15.75" customHeight="1">
      <c r="N458" s="4"/>
      <c r="P458" s="23"/>
      <c r="Q458" s="23" t="str">
        <f t="shared" si="1"/>
        <v/>
      </c>
      <c r="R458" s="4"/>
      <c r="S458" s="4" t="str">
        <f t="shared" si="2"/>
        <v/>
      </c>
    </row>
    <row r="459" ht="15.75" customHeight="1">
      <c r="N459" s="4"/>
      <c r="P459" s="23"/>
      <c r="Q459" s="23" t="str">
        <f t="shared" si="1"/>
        <v/>
      </c>
      <c r="R459" s="4"/>
      <c r="S459" s="4" t="str">
        <f t="shared" si="2"/>
        <v/>
      </c>
    </row>
    <row r="460" ht="15.75" customHeight="1">
      <c r="N460" s="4"/>
      <c r="P460" s="23"/>
      <c r="Q460" s="23" t="str">
        <f t="shared" si="1"/>
        <v/>
      </c>
      <c r="R460" s="4"/>
      <c r="S460" s="4" t="str">
        <f t="shared" si="2"/>
        <v/>
      </c>
    </row>
    <row r="461" ht="15.75" customHeight="1">
      <c r="N461" s="4"/>
      <c r="P461" s="23"/>
      <c r="Q461" s="23" t="str">
        <f t="shared" si="1"/>
        <v/>
      </c>
      <c r="R461" s="4"/>
      <c r="S461" s="4" t="str">
        <f t="shared" si="2"/>
        <v/>
      </c>
    </row>
    <row r="462" ht="15.75" customHeight="1">
      <c r="N462" s="4"/>
      <c r="P462" s="23"/>
      <c r="Q462" s="23" t="str">
        <f t="shared" si="1"/>
        <v/>
      </c>
      <c r="R462" s="4"/>
      <c r="S462" s="4" t="str">
        <f t="shared" si="2"/>
        <v/>
      </c>
    </row>
    <row r="463" ht="15.75" customHeight="1">
      <c r="N463" s="4"/>
      <c r="P463" s="23"/>
      <c r="Q463" s="23" t="str">
        <f t="shared" si="1"/>
        <v/>
      </c>
      <c r="R463" s="4"/>
      <c r="S463" s="4" t="str">
        <f t="shared" si="2"/>
        <v/>
      </c>
    </row>
    <row r="464" ht="15.75" customHeight="1">
      <c r="N464" s="4"/>
      <c r="P464" s="23"/>
      <c r="Q464" s="23" t="str">
        <f t="shared" si="1"/>
        <v/>
      </c>
      <c r="R464" s="4"/>
      <c r="S464" s="4" t="str">
        <f t="shared" si="2"/>
        <v/>
      </c>
    </row>
    <row r="465" ht="15.75" customHeight="1">
      <c r="N465" s="4"/>
      <c r="P465" s="23"/>
      <c r="Q465" s="23" t="str">
        <f t="shared" si="1"/>
        <v/>
      </c>
      <c r="R465" s="4"/>
      <c r="S465" s="4" t="str">
        <f t="shared" si="2"/>
        <v/>
      </c>
    </row>
    <row r="466" ht="15.75" customHeight="1">
      <c r="N466" s="4"/>
      <c r="P466" s="23"/>
      <c r="Q466" s="23" t="str">
        <f t="shared" si="1"/>
        <v/>
      </c>
      <c r="R466" s="4"/>
      <c r="S466" s="4" t="str">
        <f t="shared" si="2"/>
        <v/>
      </c>
    </row>
    <row r="467" ht="15.75" customHeight="1">
      <c r="N467" s="4"/>
      <c r="P467" s="23"/>
      <c r="Q467" s="23" t="str">
        <f t="shared" si="1"/>
        <v/>
      </c>
      <c r="R467" s="4"/>
      <c r="S467" s="4" t="str">
        <f t="shared" si="2"/>
        <v/>
      </c>
    </row>
    <row r="468" ht="15.75" customHeight="1">
      <c r="N468" s="4"/>
      <c r="P468" s="23"/>
      <c r="Q468" s="23" t="str">
        <f t="shared" si="1"/>
        <v/>
      </c>
      <c r="R468" s="4"/>
      <c r="S468" s="4" t="str">
        <f t="shared" si="2"/>
        <v/>
      </c>
    </row>
    <row r="469" ht="15.75" customHeight="1">
      <c r="N469" s="4"/>
      <c r="P469" s="23"/>
      <c r="Q469" s="23" t="str">
        <f t="shared" si="1"/>
        <v/>
      </c>
      <c r="R469" s="4"/>
      <c r="S469" s="4" t="str">
        <f t="shared" si="2"/>
        <v/>
      </c>
    </row>
    <row r="470" ht="15.75" customHeight="1">
      <c r="N470" s="4"/>
      <c r="P470" s="23"/>
      <c r="Q470" s="23" t="str">
        <f t="shared" si="1"/>
        <v/>
      </c>
      <c r="R470" s="4"/>
      <c r="S470" s="4" t="str">
        <f t="shared" si="2"/>
        <v/>
      </c>
    </row>
    <row r="471" ht="15.75" customHeight="1">
      <c r="N471" s="4"/>
      <c r="P471" s="23"/>
      <c r="Q471" s="23" t="str">
        <f t="shared" si="1"/>
        <v/>
      </c>
      <c r="R471" s="4"/>
      <c r="S471" s="4" t="str">
        <f t="shared" si="2"/>
        <v/>
      </c>
    </row>
    <row r="472" ht="15.75" customHeight="1">
      <c r="N472" s="4"/>
      <c r="P472" s="23"/>
      <c r="Q472" s="23" t="str">
        <f t="shared" si="1"/>
        <v/>
      </c>
      <c r="R472" s="4"/>
      <c r="S472" s="4" t="str">
        <f t="shared" si="2"/>
        <v/>
      </c>
    </row>
    <row r="473" ht="15.75" customHeight="1">
      <c r="N473" s="4"/>
      <c r="P473" s="23"/>
      <c r="Q473" s="23" t="str">
        <f t="shared" si="1"/>
        <v/>
      </c>
      <c r="R473" s="4"/>
      <c r="S473" s="4" t="str">
        <f t="shared" si="2"/>
        <v/>
      </c>
    </row>
    <row r="474" ht="15.75" customHeight="1">
      <c r="N474" s="4"/>
      <c r="P474" s="23"/>
      <c r="Q474" s="23" t="str">
        <f t="shared" si="1"/>
        <v/>
      </c>
      <c r="R474" s="4"/>
      <c r="S474" s="4" t="str">
        <f t="shared" si="2"/>
        <v/>
      </c>
    </row>
    <row r="475" ht="15.75" customHeight="1">
      <c r="N475" s="4"/>
      <c r="P475" s="23"/>
      <c r="Q475" s="23" t="str">
        <f t="shared" si="1"/>
        <v/>
      </c>
      <c r="R475" s="4"/>
      <c r="S475" s="4" t="str">
        <f t="shared" si="2"/>
        <v/>
      </c>
    </row>
    <row r="476" ht="15.75" customHeight="1">
      <c r="N476" s="4"/>
      <c r="P476" s="23"/>
      <c r="Q476" s="23" t="str">
        <f t="shared" si="1"/>
        <v/>
      </c>
      <c r="R476" s="4"/>
      <c r="S476" s="4" t="str">
        <f t="shared" si="2"/>
        <v/>
      </c>
    </row>
    <row r="477" ht="15.75" customHeight="1">
      <c r="N477" s="4"/>
      <c r="P477" s="23"/>
      <c r="Q477" s="23" t="str">
        <f t="shared" si="1"/>
        <v/>
      </c>
      <c r="R477" s="4"/>
      <c r="S477" s="4" t="str">
        <f t="shared" si="2"/>
        <v/>
      </c>
    </row>
    <row r="478" ht="15.75" customHeight="1">
      <c r="N478" s="4"/>
      <c r="P478" s="23"/>
      <c r="Q478" s="23" t="str">
        <f t="shared" si="1"/>
        <v/>
      </c>
      <c r="R478" s="4"/>
      <c r="S478" s="4" t="str">
        <f t="shared" si="2"/>
        <v/>
      </c>
    </row>
    <row r="479" ht="15.75" customHeight="1">
      <c r="N479" s="4"/>
      <c r="P479" s="23"/>
      <c r="Q479" s="23" t="str">
        <f t="shared" si="1"/>
        <v/>
      </c>
      <c r="R479" s="4"/>
      <c r="S479" s="4" t="str">
        <f t="shared" si="2"/>
        <v/>
      </c>
    </row>
    <row r="480" ht="15.75" customHeight="1">
      <c r="N480" s="4"/>
      <c r="P480" s="23"/>
      <c r="Q480" s="23" t="str">
        <f t="shared" si="1"/>
        <v/>
      </c>
      <c r="R480" s="4"/>
      <c r="S480" s="4" t="str">
        <f t="shared" si="2"/>
        <v/>
      </c>
    </row>
    <row r="481" ht="15.75" customHeight="1">
      <c r="N481" s="4"/>
      <c r="P481" s="23"/>
      <c r="Q481" s="23" t="str">
        <f t="shared" si="1"/>
        <v/>
      </c>
      <c r="R481" s="4"/>
      <c r="S481" s="4" t="str">
        <f t="shared" si="2"/>
        <v/>
      </c>
    </row>
    <row r="482" ht="15.75" customHeight="1">
      <c r="N482" s="4"/>
      <c r="P482" s="23"/>
      <c r="Q482" s="23" t="str">
        <f t="shared" si="1"/>
        <v/>
      </c>
      <c r="R482" s="4"/>
      <c r="S482" s="4" t="str">
        <f t="shared" si="2"/>
        <v/>
      </c>
    </row>
    <row r="483" ht="15.75" customHeight="1">
      <c r="N483" s="4"/>
      <c r="P483" s="23"/>
      <c r="Q483" s="23" t="str">
        <f t="shared" si="1"/>
        <v/>
      </c>
      <c r="R483" s="4"/>
      <c r="S483" s="4" t="str">
        <f t="shared" si="2"/>
        <v/>
      </c>
    </row>
    <row r="484" ht="15.75" customHeight="1">
      <c r="N484" s="4"/>
      <c r="P484" s="23"/>
      <c r="Q484" s="23" t="str">
        <f t="shared" si="1"/>
        <v/>
      </c>
      <c r="R484" s="4"/>
      <c r="S484" s="4" t="str">
        <f t="shared" si="2"/>
        <v/>
      </c>
    </row>
    <row r="485" ht="15.75" customHeight="1">
      <c r="N485" s="4"/>
      <c r="P485" s="23"/>
      <c r="Q485" s="23" t="str">
        <f t="shared" si="1"/>
        <v/>
      </c>
      <c r="R485" s="4"/>
      <c r="S485" s="4" t="str">
        <f t="shared" si="2"/>
        <v/>
      </c>
    </row>
    <row r="486" ht="15.75" customHeight="1">
      <c r="N486" s="4"/>
      <c r="P486" s="23"/>
      <c r="Q486" s="23" t="str">
        <f t="shared" si="1"/>
        <v/>
      </c>
      <c r="R486" s="4"/>
      <c r="S486" s="4" t="str">
        <f t="shared" si="2"/>
        <v/>
      </c>
    </row>
    <row r="487" ht="15.75" customHeight="1">
      <c r="N487" s="4"/>
      <c r="P487" s="23"/>
      <c r="Q487" s="23" t="str">
        <f t="shared" si="1"/>
        <v/>
      </c>
      <c r="R487" s="4"/>
      <c r="S487" s="4" t="str">
        <f t="shared" si="2"/>
        <v/>
      </c>
    </row>
    <row r="488" ht="15.75" customHeight="1">
      <c r="N488" s="4"/>
      <c r="P488" s="23"/>
      <c r="Q488" s="23" t="str">
        <f t="shared" si="1"/>
        <v/>
      </c>
      <c r="R488" s="4"/>
      <c r="S488" s="4" t="str">
        <f t="shared" si="2"/>
        <v/>
      </c>
    </row>
    <row r="489" ht="15.75" customHeight="1">
      <c r="N489" s="4"/>
      <c r="P489" s="23"/>
      <c r="Q489" s="23" t="str">
        <f t="shared" si="1"/>
        <v/>
      </c>
      <c r="R489" s="4"/>
      <c r="S489" s="4" t="str">
        <f t="shared" si="2"/>
        <v/>
      </c>
    </row>
    <row r="490" ht="15.75" customHeight="1">
      <c r="N490" s="4"/>
      <c r="P490" s="23"/>
      <c r="Q490" s="23" t="str">
        <f t="shared" si="1"/>
        <v/>
      </c>
      <c r="R490" s="4"/>
      <c r="S490" s="4" t="str">
        <f t="shared" si="2"/>
        <v/>
      </c>
    </row>
    <row r="491" ht="15.75" customHeight="1">
      <c r="N491" s="4"/>
      <c r="P491" s="23"/>
      <c r="Q491" s="23" t="str">
        <f t="shared" si="1"/>
        <v/>
      </c>
      <c r="R491" s="4"/>
      <c r="S491" s="4" t="str">
        <f t="shared" si="2"/>
        <v/>
      </c>
    </row>
    <row r="492" ht="15.75" customHeight="1">
      <c r="N492" s="4"/>
      <c r="P492" s="23"/>
      <c r="Q492" s="23" t="str">
        <f t="shared" si="1"/>
        <v/>
      </c>
      <c r="R492" s="4"/>
      <c r="S492" s="4" t="str">
        <f t="shared" si="2"/>
        <v/>
      </c>
    </row>
    <row r="493" ht="15.75" customHeight="1">
      <c r="N493" s="4"/>
      <c r="P493" s="23"/>
      <c r="Q493" s="23" t="str">
        <f t="shared" si="1"/>
        <v/>
      </c>
      <c r="R493" s="4"/>
      <c r="S493" s="4" t="str">
        <f t="shared" si="2"/>
        <v/>
      </c>
    </row>
    <row r="494" ht="15.75" customHeight="1">
      <c r="N494" s="4"/>
      <c r="P494" s="23"/>
      <c r="Q494" s="23" t="str">
        <f t="shared" si="1"/>
        <v/>
      </c>
      <c r="R494" s="4"/>
      <c r="S494" s="4" t="str">
        <f t="shared" si="2"/>
        <v/>
      </c>
    </row>
    <row r="495" ht="15.75" customHeight="1">
      <c r="N495" s="4"/>
      <c r="P495" s="23"/>
      <c r="Q495" s="23" t="str">
        <f t="shared" si="1"/>
        <v/>
      </c>
      <c r="R495" s="4"/>
      <c r="S495" s="4" t="str">
        <f t="shared" si="2"/>
        <v/>
      </c>
    </row>
    <row r="496" ht="15.75" customHeight="1">
      <c r="N496" s="4"/>
      <c r="P496" s="23"/>
      <c r="Q496" s="23" t="str">
        <f t="shared" si="1"/>
        <v/>
      </c>
      <c r="R496" s="4"/>
      <c r="S496" s="4" t="str">
        <f t="shared" si="2"/>
        <v/>
      </c>
    </row>
    <row r="497" ht="15.75" customHeight="1">
      <c r="N497" s="4"/>
      <c r="P497" s="23"/>
      <c r="Q497" s="23" t="str">
        <f t="shared" si="1"/>
        <v/>
      </c>
      <c r="R497" s="4"/>
      <c r="S497" s="4" t="str">
        <f t="shared" si="2"/>
        <v/>
      </c>
    </row>
    <row r="498" ht="15.75" customHeight="1">
      <c r="N498" s="4"/>
      <c r="P498" s="23"/>
      <c r="Q498" s="23" t="str">
        <f t="shared" si="1"/>
        <v/>
      </c>
      <c r="R498" s="4"/>
      <c r="S498" s="4" t="str">
        <f t="shared" si="2"/>
        <v/>
      </c>
    </row>
    <row r="499" ht="15.75" customHeight="1">
      <c r="N499" s="4"/>
      <c r="P499" s="23"/>
      <c r="Q499" s="23" t="str">
        <f t="shared" si="1"/>
        <v/>
      </c>
      <c r="R499" s="4"/>
      <c r="S499" s="4" t="str">
        <f t="shared" si="2"/>
        <v/>
      </c>
    </row>
    <row r="500" ht="15.75" customHeight="1">
      <c r="N500" s="4"/>
      <c r="P500" s="23"/>
      <c r="Q500" s="23" t="str">
        <f t="shared" si="1"/>
        <v/>
      </c>
      <c r="R500" s="4"/>
      <c r="S500" s="4" t="str">
        <f t="shared" si="2"/>
        <v/>
      </c>
    </row>
    <row r="501" ht="15.75" customHeight="1">
      <c r="N501" s="4"/>
      <c r="P501" s="23"/>
      <c r="Q501" s="23" t="str">
        <f t="shared" si="1"/>
        <v/>
      </c>
      <c r="R501" s="4"/>
      <c r="S501" s="4" t="str">
        <f t="shared" si="2"/>
        <v/>
      </c>
    </row>
    <row r="502" ht="15.75" customHeight="1">
      <c r="N502" s="4"/>
      <c r="P502" s="23"/>
      <c r="Q502" s="23" t="str">
        <f t="shared" si="1"/>
        <v/>
      </c>
      <c r="R502" s="4"/>
      <c r="S502" s="4" t="str">
        <f t="shared" si="2"/>
        <v/>
      </c>
    </row>
    <row r="503" ht="15.75" customHeight="1">
      <c r="N503" s="4"/>
      <c r="P503" s="23"/>
      <c r="Q503" s="23" t="str">
        <f t="shared" si="1"/>
        <v/>
      </c>
      <c r="R503" s="4"/>
      <c r="S503" s="4" t="str">
        <f t="shared" si="2"/>
        <v/>
      </c>
    </row>
    <row r="504" ht="15.75" customHeight="1">
      <c r="N504" s="4"/>
      <c r="P504" s="23"/>
      <c r="Q504" s="23" t="str">
        <f t="shared" si="1"/>
        <v/>
      </c>
      <c r="R504" s="4"/>
      <c r="S504" s="4" t="str">
        <f t="shared" si="2"/>
        <v/>
      </c>
    </row>
    <row r="505" ht="15.75" customHeight="1">
      <c r="N505" s="4"/>
      <c r="P505" s="23"/>
      <c r="Q505" s="23" t="str">
        <f t="shared" si="1"/>
        <v/>
      </c>
      <c r="R505" s="4"/>
      <c r="S505" s="4" t="str">
        <f t="shared" si="2"/>
        <v/>
      </c>
    </row>
    <row r="506" ht="15.75" customHeight="1">
      <c r="N506" s="4"/>
      <c r="P506" s="23"/>
      <c r="Q506" s="23" t="str">
        <f t="shared" si="1"/>
        <v/>
      </c>
      <c r="R506" s="4"/>
      <c r="S506" s="4" t="str">
        <f t="shared" si="2"/>
        <v/>
      </c>
    </row>
    <row r="507" ht="15.75" customHeight="1">
      <c r="N507" s="4"/>
      <c r="P507" s="23"/>
      <c r="Q507" s="23" t="str">
        <f t="shared" si="1"/>
        <v/>
      </c>
      <c r="R507" s="4"/>
      <c r="S507" s="4" t="str">
        <f t="shared" si="2"/>
        <v/>
      </c>
    </row>
    <row r="508" ht="15.75" customHeight="1">
      <c r="N508" s="4"/>
      <c r="P508" s="23"/>
      <c r="Q508" s="23" t="str">
        <f t="shared" si="1"/>
        <v/>
      </c>
      <c r="R508" s="4"/>
      <c r="S508" s="4" t="str">
        <f t="shared" si="2"/>
        <v/>
      </c>
    </row>
    <row r="509" ht="15.75" customHeight="1">
      <c r="N509" s="4"/>
      <c r="P509" s="23"/>
      <c r="Q509" s="23" t="str">
        <f t="shared" si="1"/>
        <v/>
      </c>
      <c r="R509" s="4"/>
      <c r="S509" s="4" t="str">
        <f t="shared" si="2"/>
        <v/>
      </c>
    </row>
    <row r="510" ht="15.75" customHeight="1">
      <c r="N510" s="4"/>
      <c r="P510" s="23"/>
      <c r="Q510" s="23" t="str">
        <f t="shared" si="1"/>
        <v/>
      </c>
      <c r="R510" s="4"/>
      <c r="S510" s="4" t="str">
        <f t="shared" si="2"/>
        <v/>
      </c>
    </row>
    <row r="511" ht="15.75" customHeight="1">
      <c r="N511" s="4"/>
      <c r="P511" s="23"/>
      <c r="Q511" s="23" t="str">
        <f t="shared" si="1"/>
        <v/>
      </c>
      <c r="R511" s="4"/>
      <c r="S511" s="4" t="str">
        <f t="shared" si="2"/>
        <v/>
      </c>
    </row>
    <row r="512" ht="15.75" customHeight="1">
      <c r="N512" s="4"/>
      <c r="P512" s="23"/>
      <c r="Q512" s="23" t="str">
        <f t="shared" si="1"/>
        <v/>
      </c>
      <c r="R512" s="4"/>
      <c r="S512" s="4" t="str">
        <f t="shared" si="2"/>
        <v/>
      </c>
    </row>
    <row r="513" ht="15.75" customHeight="1">
      <c r="N513" s="4"/>
      <c r="P513" s="23"/>
      <c r="Q513" s="23" t="str">
        <f t="shared" si="1"/>
        <v/>
      </c>
      <c r="R513" s="4"/>
      <c r="S513" s="4" t="str">
        <f t="shared" si="2"/>
        <v/>
      </c>
    </row>
    <row r="514" ht="15.75" customHeight="1">
      <c r="N514" s="4"/>
      <c r="P514" s="23"/>
      <c r="Q514" s="23" t="str">
        <f t="shared" si="1"/>
        <v/>
      </c>
      <c r="R514" s="4"/>
      <c r="S514" s="4" t="str">
        <f t="shared" si="2"/>
        <v/>
      </c>
    </row>
    <row r="515" ht="15.75" customHeight="1">
      <c r="N515" s="4"/>
      <c r="P515" s="23"/>
      <c r="Q515" s="23" t="str">
        <f t="shared" si="1"/>
        <v/>
      </c>
      <c r="R515" s="4"/>
      <c r="S515" s="4" t="str">
        <f t="shared" si="2"/>
        <v/>
      </c>
    </row>
    <row r="516" ht="15.75" customHeight="1">
      <c r="N516" s="4"/>
      <c r="P516" s="23"/>
      <c r="Q516" s="23" t="str">
        <f t="shared" si="1"/>
        <v/>
      </c>
      <c r="R516" s="4"/>
      <c r="S516" s="4" t="str">
        <f t="shared" si="2"/>
        <v/>
      </c>
    </row>
    <row r="517" ht="15.75" customHeight="1">
      <c r="N517" s="4"/>
      <c r="P517" s="23"/>
      <c r="Q517" s="23" t="str">
        <f t="shared" si="1"/>
        <v/>
      </c>
      <c r="R517" s="4"/>
      <c r="S517" s="4" t="str">
        <f t="shared" si="2"/>
        <v/>
      </c>
    </row>
    <row r="518" ht="15.75" customHeight="1">
      <c r="N518" s="4"/>
      <c r="P518" s="23"/>
      <c r="Q518" s="23" t="str">
        <f t="shared" si="1"/>
        <v/>
      </c>
      <c r="R518" s="4"/>
      <c r="S518" s="4" t="str">
        <f t="shared" si="2"/>
        <v/>
      </c>
    </row>
    <row r="519" ht="15.75" customHeight="1">
      <c r="N519" s="4"/>
      <c r="P519" s="23"/>
      <c r="Q519" s="23" t="str">
        <f t="shared" si="1"/>
        <v/>
      </c>
      <c r="R519" s="4"/>
      <c r="S519" s="4" t="str">
        <f t="shared" si="2"/>
        <v/>
      </c>
    </row>
    <row r="520" ht="15.75" customHeight="1">
      <c r="N520" s="4"/>
      <c r="P520" s="23"/>
      <c r="Q520" s="23" t="str">
        <f t="shared" si="1"/>
        <v/>
      </c>
      <c r="R520" s="4"/>
      <c r="S520" s="4" t="str">
        <f t="shared" si="2"/>
        <v/>
      </c>
    </row>
    <row r="521" ht="15.75" customHeight="1">
      <c r="N521" s="4"/>
      <c r="P521" s="23"/>
      <c r="Q521" s="23" t="str">
        <f t="shared" si="1"/>
        <v/>
      </c>
      <c r="R521" s="4"/>
      <c r="S521" s="4" t="str">
        <f t="shared" si="2"/>
        <v/>
      </c>
    </row>
    <row r="522" ht="15.75" customHeight="1">
      <c r="N522" s="4"/>
      <c r="P522" s="23"/>
      <c r="Q522" s="23" t="str">
        <f t="shared" si="1"/>
        <v/>
      </c>
      <c r="R522" s="4"/>
      <c r="S522" s="4" t="str">
        <f t="shared" si="2"/>
        <v/>
      </c>
    </row>
    <row r="523" ht="15.75" customHeight="1">
      <c r="N523" s="4"/>
      <c r="P523" s="23"/>
      <c r="Q523" s="23" t="str">
        <f t="shared" si="1"/>
        <v/>
      </c>
      <c r="R523" s="4"/>
      <c r="S523" s="4" t="str">
        <f t="shared" si="2"/>
        <v/>
      </c>
    </row>
    <row r="524" ht="15.75" customHeight="1">
      <c r="N524" s="4"/>
      <c r="P524" s="23"/>
      <c r="Q524" s="23" t="str">
        <f t="shared" si="1"/>
        <v/>
      </c>
      <c r="R524" s="4"/>
      <c r="S524" s="4" t="str">
        <f t="shared" si="2"/>
        <v/>
      </c>
    </row>
    <row r="525" ht="15.75" customHeight="1">
      <c r="N525" s="4"/>
      <c r="P525" s="23"/>
      <c r="Q525" s="23" t="str">
        <f t="shared" si="1"/>
        <v/>
      </c>
      <c r="R525" s="4"/>
      <c r="S525" s="4" t="str">
        <f t="shared" si="2"/>
        <v/>
      </c>
    </row>
    <row r="526" ht="15.75" customHeight="1">
      <c r="N526" s="4"/>
      <c r="P526" s="23"/>
      <c r="Q526" s="23" t="str">
        <f t="shared" si="1"/>
        <v/>
      </c>
      <c r="R526" s="4"/>
      <c r="S526" s="4" t="str">
        <f t="shared" si="2"/>
        <v/>
      </c>
    </row>
    <row r="527" ht="15.75" customHeight="1">
      <c r="N527" s="4"/>
      <c r="P527" s="23"/>
      <c r="Q527" s="23" t="str">
        <f t="shared" si="1"/>
        <v/>
      </c>
      <c r="R527" s="4"/>
      <c r="S527" s="4" t="str">
        <f t="shared" si="2"/>
        <v/>
      </c>
    </row>
    <row r="528" ht="15.75" customHeight="1">
      <c r="N528" s="4"/>
      <c r="P528" s="23"/>
      <c r="Q528" s="23" t="str">
        <f t="shared" si="1"/>
        <v/>
      </c>
      <c r="R528" s="4"/>
      <c r="S528" s="4" t="str">
        <f t="shared" si="2"/>
        <v/>
      </c>
    </row>
    <row r="529" ht="15.75" customHeight="1">
      <c r="N529" s="4"/>
      <c r="P529" s="23"/>
      <c r="Q529" s="23" t="str">
        <f t="shared" si="1"/>
        <v/>
      </c>
      <c r="R529" s="4"/>
      <c r="S529" s="4" t="str">
        <f t="shared" si="2"/>
        <v/>
      </c>
    </row>
    <row r="530" ht="15.75" customHeight="1">
      <c r="N530" s="4"/>
      <c r="P530" s="23"/>
      <c r="Q530" s="23" t="str">
        <f t="shared" si="1"/>
        <v/>
      </c>
      <c r="R530" s="4"/>
      <c r="S530" s="4" t="str">
        <f t="shared" si="2"/>
        <v/>
      </c>
    </row>
    <row r="531" ht="15.75" customHeight="1">
      <c r="N531" s="4"/>
      <c r="P531" s="23"/>
      <c r="Q531" s="23" t="str">
        <f t="shared" si="1"/>
        <v/>
      </c>
      <c r="R531" s="4"/>
      <c r="S531" s="4" t="str">
        <f t="shared" si="2"/>
        <v/>
      </c>
    </row>
    <row r="532" ht="15.75" customHeight="1">
      <c r="N532" s="4"/>
      <c r="P532" s="23"/>
      <c r="Q532" s="23" t="str">
        <f t="shared" si="1"/>
        <v/>
      </c>
      <c r="R532" s="4"/>
      <c r="S532" s="4" t="str">
        <f t="shared" si="2"/>
        <v/>
      </c>
    </row>
    <row r="533" ht="15.75" customHeight="1">
      <c r="N533" s="4"/>
      <c r="P533" s="23"/>
      <c r="Q533" s="23" t="str">
        <f t="shared" si="1"/>
        <v/>
      </c>
      <c r="R533" s="4"/>
      <c r="S533" s="4" t="str">
        <f t="shared" si="2"/>
        <v/>
      </c>
    </row>
    <row r="534" ht="15.75" customHeight="1">
      <c r="N534" s="4"/>
      <c r="P534" s="23"/>
      <c r="Q534" s="23" t="str">
        <f t="shared" si="1"/>
        <v/>
      </c>
      <c r="R534" s="4"/>
      <c r="S534" s="4" t="str">
        <f t="shared" si="2"/>
        <v/>
      </c>
    </row>
    <row r="535" ht="15.75" customHeight="1">
      <c r="N535" s="4"/>
      <c r="P535" s="23"/>
      <c r="Q535" s="23" t="str">
        <f t="shared" si="1"/>
        <v/>
      </c>
      <c r="R535" s="4"/>
      <c r="S535" s="4" t="str">
        <f t="shared" si="2"/>
        <v/>
      </c>
    </row>
    <row r="536" ht="15.75" customHeight="1">
      <c r="N536" s="4"/>
      <c r="P536" s="23"/>
      <c r="Q536" s="23" t="str">
        <f t="shared" si="1"/>
        <v/>
      </c>
      <c r="R536" s="4"/>
      <c r="S536" s="4" t="str">
        <f t="shared" si="2"/>
        <v/>
      </c>
    </row>
    <row r="537" ht="15.75" customHeight="1">
      <c r="N537" s="4"/>
      <c r="P537" s="23"/>
      <c r="Q537" s="23" t="str">
        <f t="shared" si="1"/>
        <v/>
      </c>
      <c r="R537" s="4"/>
      <c r="S537" s="4" t="str">
        <f t="shared" si="2"/>
        <v/>
      </c>
    </row>
    <row r="538" ht="15.75" customHeight="1">
      <c r="N538" s="4"/>
      <c r="P538" s="23"/>
      <c r="Q538" s="23" t="str">
        <f t="shared" si="1"/>
        <v/>
      </c>
      <c r="R538" s="4"/>
      <c r="S538" s="4" t="str">
        <f t="shared" si="2"/>
        <v/>
      </c>
    </row>
    <row r="539" ht="15.75" customHeight="1">
      <c r="N539" s="4"/>
      <c r="P539" s="23"/>
      <c r="Q539" s="23" t="str">
        <f t="shared" si="1"/>
        <v/>
      </c>
      <c r="R539" s="4"/>
      <c r="S539" s="4" t="str">
        <f t="shared" si="2"/>
        <v/>
      </c>
    </row>
    <row r="540" ht="15.75" customHeight="1">
      <c r="N540" s="4"/>
      <c r="P540" s="23"/>
      <c r="Q540" s="23" t="str">
        <f t="shared" si="1"/>
        <v/>
      </c>
      <c r="R540" s="4"/>
      <c r="S540" s="4" t="str">
        <f t="shared" si="2"/>
        <v/>
      </c>
    </row>
    <row r="541" ht="15.75" customHeight="1">
      <c r="N541" s="4"/>
      <c r="P541" s="23"/>
      <c r="Q541" s="23" t="str">
        <f t="shared" si="1"/>
        <v/>
      </c>
      <c r="R541" s="4"/>
      <c r="S541" s="4" t="str">
        <f t="shared" si="2"/>
        <v/>
      </c>
    </row>
    <row r="542" ht="15.75" customHeight="1">
      <c r="N542" s="4"/>
      <c r="P542" s="23"/>
      <c r="Q542" s="23" t="str">
        <f t="shared" si="1"/>
        <v/>
      </c>
      <c r="R542" s="4"/>
      <c r="S542" s="4" t="str">
        <f t="shared" si="2"/>
        <v/>
      </c>
    </row>
    <row r="543" ht="15.75" customHeight="1">
      <c r="N543" s="4"/>
      <c r="P543" s="23"/>
      <c r="Q543" s="23" t="str">
        <f t="shared" si="1"/>
        <v/>
      </c>
      <c r="R543" s="4"/>
      <c r="S543" s="4" t="str">
        <f t="shared" si="2"/>
        <v/>
      </c>
    </row>
    <row r="544" ht="15.75" customHeight="1">
      <c r="N544" s="4"/>
      <c r="P544" s="23"/>
      <c r="Q544" s="23" t="str">
        <f t="shared" si="1"/>
        <v/>
      </c>
      <c r="R544" s="4"/>
      <c r="S544" s="4" t="str">
        <f t="shared" si="2"/>
        <v/>
      </c>
    </row>
    <row r="545" ht="15.75" customHeight="1">
      <c r="N545" s="4"/>
      <c r="P545" s="23"/>
      <c r="Q545" s="23" t="str">
        <f t="shared" si="1"/>
        <v/>
      </c>
      <c r="R545" s="4"/>
      <c r="S545" s="4" t="str">
        <f t="shared" si="2"/>
        <v/>
      </c>
    </row>
    <row r="546" ht="15.75" customHeight="1">
      <c r="N546" s="4"/>
      <c r="P546" s="23"/>
      <c r="Q546" s="23" t="str">
        <f t="shared" si="1"/>
        <v/>
      </c>
      <c r="R546" s="4"/>
      <c r="S546" s="4" t="str">
        <f t="shared" si="2"/>
        <v/>
      </c>
    </row>
    <row r="547" ht="15.75" customHeight="1">
      <c r="N547" s="4"/>
      <c r="P547" s="23"/>
      <c r="Q547" s="23" t="str">
        <f t="shared" si="1"/>
        <v/>
      </c>
      <c r="R547" s="4"/>
      <c r="S547" s="4" t="str">
        <f t="shared" si="2"/>
        <v/>
      </c>
    </row>
    <row r="548" ht="15.75" customHeight="1">
      <c r="N548" s="4"/>
      <c r="P548" s="23"/>
      <c r="Q548" s="23" t="str">
        <f t="shared" si="1"/>
        <v/>
      </c>
      <c r="R548" s="4"/>
      <c r="S548" s="4" t="str">
        <f t="shared" si="2"/>
        <v/>
      </c>
    </row>
    <row r="549" ht="15.75" customHeight="1">
      <c r="N549" s="4"/>
      <c r="P549" s="23"/>
      <c r="Q549" s="23" t="str">
        <f t="shared" si="1"/>
        <v/>
      </c>
      <c r="R549" s="4"/>
      <c r="S549" s="4" t="str">
        <f t="shared" si="2"/>
        <v/>
      </c>
    </row>
    <row r="550" ht="15.75" customHeight="1">
      <c r="N550" s="4"/>
      <c r="P550" s="23"/>
      <c r="Q550" s="23" t="str">
        <f t="shared" si="1"/>
        <v/>
      </c>
      <c r="R550" s="4"/>
      <c r="S550" s="4" t="str">
        <f t="shared" si="2"/>
        <v/>
      </c>
    </row>
    <row r="551" ht="15.75" customHeight="1">
      <c r="N551" s="4"/>
      <c r="P551" s="23"/>
      <c r="Q551" s="23" t="str">
        <f t="shared" si="1"/>
        <v/>
      </c>
      <c r="R551" s="4"/>
      <c r="S551" s="4" t="str">
        <f t="shared" si="2"/>
        <v/>
      </c>
    </row>
    <row r="552" ht="15.75" customHeight="1">
      <c r="N552" s="4"/>
      <c r="P552" s="23"/>
      <c r="Q552" s="23" t="str">
        <f t="shared" si="1"/>
        <v/>
      </c>
      <c r="R552" s="4"/>
      <c r="S552" s="4" t="str">
        <f t="shared" si="2"/>
        <v/>
      </c>
    </row>
    <row r="553" ht="15.75" customHeight="1">
      <c r="N553" s="4"/>
      <c r="P553" s="23"/>
      <c r="Q553" s="23" t="str">
        <f t="shared" si="1"/>
        <v/>
      </c>
      <c r="R553" s="4"/>
      <c r="S553" s="4" t="str">
        <f t="shared" si="2"/>
        <v/>
      </c>
    </row>
    <row r="554" ht="15.75" customHeight="1">
      <c r="N554" s="4"/>
      <c r="P554" s="23"/>
      <c r="Q554" s="23" t="str">
        <f t="shared" si="1"/>
        <v/>
      </c>
      <c r="R554" s="4"/>
      <c r="S554" s="4" t="str">
        <f t="shared" si="2"/>
        <v/>
      </c>
    </row>
    <row r="555" ht="15.75" customHeight="1">
      <c r="N555" s="4"/>
      <c r="P555" s="23"/>
      <c r="Q555" s="23" t="str">
        <f t="shared" si="1"/>
        <v/>
      </c>
      <c r="R555" s="4"/>
      <c r="S555" s="4" t="str">
        <f t="shared" si="2"/>
        <v/>
      </c>
    </row>
    <row r="556" ht="15.75" customHeight="1">
      <c r="N556" s="4"/>
      <c r="P556" s="23"/>
      <c r="Q556" s="23" t="str">
        <f t="shared" si="1"/>
        <v/>
      </c>
      <c r="R556" s="4"/>
      <c r="S556" s="4" t="str">
        <f t="shared" si="2"/>
        <v/>
      </c>
    </row>
    <row r="557" ht="15.75" customHeight="1">
      <c r="N557" s="4"/>
      <c r="P557" s="23"/>
      <c r="Q557" s="23" t="str">
        <f t="shared" si="1"/>
        <v/>
      </c>
      <c r="R557" s="4"/>
      <c r="S557" s="4" t="str">
        <f t="shared" si="2"/>
        <v/>
      </c>
    </row>
    <row r="558" ht="15.75" customHeight="1">
      <c r="N558" s="4"/>
      <c r="P558" s="23"/>
      <c r="Q558" s="23" t="str">
        <f t="shared" si="1"/>
        <v/>
      </c>
      <c r="R558" s="4"/>
      <c r="S558" s="4" t="str">
        <f t="shared" si="2"/>
        <v/>
      </c>
    </row>
    <row r="559" ht="15.75" customHeight="1">
      <c r="N559" s="4"/>
      <c r="P559" s="23"/>
      <c r="Q559" s="23" t="str">
        <f t="shared" si="1"/>
        <v/>
      </c>
      <c r="R559" s="4"/>
      <c r="S559" s="4" t="str">
        <f t="shared" si="2"/>
        <v/>
      </c>
    </row>
    <row r="560" ht="15.75" customHeight="1">
      <c r="N560" s="4"/>
      <c r="P560" s="23"/>
      <c r="Q560" s="23" t="str">
        <f t="shared" si="1"/>
        <v/>
      </c>
      <c r="R560" s="4"/>
      <c r="S560" s="4" t="str">
        <f t="shared" si="2"/>
        <v/>
      </c>
    </row>
    <row r="561" ht="15.75" customHeight="1">
      <c r="N561" s="4"/>
      <c r="P561" s="23"/>
      <c r="Q561" s="23" t="str">
        <f t="shared" si="1"/>
        <v/>
      </c>
      <c r="R561" s="4"/>
      <c r="S561" s="4" t="str">
        <f t="shared" si="2"/>
        <v/>
      </c>
    </row>
    <row r="562" ht="15.75" customHeight="1">
      <c r="N562" s="4"/>
      <c r="P562" s="23"/>
      <c r="Q562" s="23" t="str">
        <f t="shared" si="1"/>
        <v/>
      </c>
      <c r="R562" s="4"/>
      <c r="S562" s="4" t="str">
        <f t="shared" si="2"/>
        <v/>
      </c>
    </row>
    <row r="563" ht="15.75" customHeight="1">
      <c r="N563" s="4"/>
      <c r="P563" s="23"/>
      <c r="Q563" s="23" t="str">
        <f t="shared" si="1"/>
        <v/>
      </c>
      <c r="R563" s="4"/>
      <c r="S563" s="4" t="str">
        <f t="shared" si="2"/>
        <v/>
      </c>
    </row>
    <row r="564" ht="15.75" customHeight="1">
      <c r="N564" s="4"/>
      <c r="P564" s="23"/>
      <c r="Q564" s="23" t="str">
        <f t="shared" si="1"/>
        <v/>
      </c>
      <c r="R564" s="4"/>
      <c r="S564" s="4" t="str">
        <f t="shared" si="2"/>
        <v/>
      </c>
    </row>
    <row r="565" ht="15.75" customHeight="1">
      <c r="N565" s="4"/>
      <c r="P565" s="23"/>
      <c r="Q565" s="23" t="str">
        <f t="shared" si="1"/>
        <v/>
      </c>
      <c r="R565" s="4"/>
      <c r="S565" s="4" t="str">
        <f t="shared" si="2"/>
        <v/>
      </c>
    </row>
    <row r="566" ht="15.75" customHeight="1">
      <c r="N566" s="4"/>
      <c r="P566" s="23"/>
      <c r="Q566" s="23" t="str">
        <f t="shared" si="1"/>
        <v/>
      </c>
      <c r="R566" s="4"/>
      <c r="S566" s="4" t="str">
        <f t="shared" si="2"/>
        <v/>
      </c>
    </row>
    <row r="567" ht="15.75" customHeight="1">
      <c r="N567" s="4"/>
      <c r="P567" s="23"/>
      <c r="Q567" s="23" t="str">
        <f t="shared" si="1"/>
        <v/>
      </c>
      <c r="R567" s="4"/>
      <c r="S567" s="4" t="str">
        <f t="shared" si="2"/>
        <v/>
      </c>
    </row>
    <row r="568" ht="15.75" customHeight="1">
      <c r="N568" s="4"/>
      <c r="P568" s="23"/>
      <c r="Q568" s="23" t="str">
        <f t="shared" si="1"/>
        <v/>
      </c>
      <c r="R568" s="4"/>
      <c r="S568" s="4" t="str">
        <f t="shared" si="2"/>
        <v/>
      </c>
    </row>
    <row r="569" ht="15.75" customHeight="1">
      <c r="N569" s="4"/>
      <c r="P569" s="23"/>
      <c r="Q569" s="23" t="str">
        <f t="shared" si="1"/>
        <v/>
      </c>
      <c r="R569" s="4"/>
      <c r="S569" s="4" t="str">
        <f t="shared" si="2"/>
        <v/>
      </c>
    </row>
    <row r="570" ht="15.75" customHeight="1">
      <c r="N570" s="4"/>
      <c r="P570" s="23"/>
      <c r="Q570" s="23" t="str">
        <f t="shared" si="1"/>
        <v/>
      </c>
      <c r="R570" s="4"/>
      <c r="S570" s="4" t="str">
        <f t="shared" si="2"/>
        <v/>
      </c>
    </row>
    <row r="571" ht="15.75" customHeight="1">
      <c r="N571" s="4"/>
      <c r="P571" s="23"/>
      <c r="Q571" s="23" t="str">
        <f t="shared" si="1"/>
        <v/>
      </c>
      <c r="R571" s="4"/>
      <c r="S571" s="4" t="str">
        <f t="shared" si="2"/>
        <v/>
      </c>
    </row>
    <row r="572" ht="15.75" customHeight="1">
      <c r="N572" s="4"/>
      <c r="P572" s="23"/>
      <c r="Q572" s="23" t="str">
        <f t="shared" si="1"/>
        <v/>
      </c>
      <c r="R572" s="4"/>
      <c r="S572" s="4" t="str">
        <f t="shared" si="2"/>
        <v/>
      </c>
    </row>
    <row r="573" ht="15.75" customHeight="1">
      <c r="N573" s="4"/>
      <c r="P573" s="23"/>
      <c r="Q573" s="23" t="str">
        <f t="shared" si="1"/>
        <v/>
      </c>
      <c r="R573" s="4"/>
      <c r="S573" s="4" t="str">
        <f t="shared" si="2"/>
        <v/>
      </c>
    </row>
    <row r="574" ht="15.75" customHeight="1">
      <c r="N574" s="4"/>
      <c r="P574" s="23"/>
      <c r="Q574" s="23" t="str">
        <f t="shared" si="1"/>
        <v/>
      </c>
      <c r="R574" s="4"/>
      <c r="S574" s="4" t="str">
        <f t="shared" si="2"/>
        <v/>
      </c>
    </row>
    <row r="575" ht="15.75" customHeight="1">
      <c r="N575" s="4"/>
      <c r="P575" s="23"/>
      <c r="Q575" s="23" t="str">
        <f t="shared" si="1"/>
        <v/>
      </c>
      <c r="R575" s="4"/>
      <c r="S575" s="4" t="str">
        <f t="shared" si="2"/>
        <v/>
      </c>
    </row>
    <row r="576" ht="15.75" customHeight="1">
      <c r="N576" s="4"/>
      <c r="P576" s="23"/>
      <c r="Q576" s="23" t="str">
        <f t="shared" si="1"/>
        <v/>
      </c>
      <c r="R576" s="4"/>
      <c r="S576" s="4" t="str">
        <f t="shared" si="2"/>
        <v/>
      </c>
    </row>
    <row r="577" ht="15.75" customHeight="1">
      <c r="N577" s="4"/>
      <c r="P577" s="23"/>
      <c r="Q577" s="23" t="str">
        <f t="shared" si="1"/>
        <v/>
      </c>
      <c r="R577" s="4"/>
      <c r="S577" s="4" t="str">
        <f t="shared" si="2"/>
        <v/>
      </c>
    </row>
    <row r="578" ht="15.75" customHeight="1">
      <c r="N578" s="4"/>
      <c r="P578" s="23"/>
      <c r="Q578" s="23" t="str">
        <f t="shared" si="1"/>
        <v/>
      </c>
      <c r="R578" s="4"/>
      <c r="S578" s="4" t="str">
        <f t="shared" si="2"/>
        <v/>
      </c>
    </row>
    <row r="579" ht="15.75" customHeight="1">
      <c r="N579" s="4"/>
      <c r="P579" s="23"/>
      <c r="Q579" s="23" t="str">
        <f t="shared" si="1"/>
        <v/>
      </c>
      <c r="R579" s="4"/>
      <c r="S579" s="4" t="str">
        <f t="shared" si="2"/>
        <v/>
      </c>
    </row>
    <row r="580" ht="15.75" customHeight="1">
      <c r="N580" s="4"/>
      <c r="P580" s="23"/>
      <c r="Q580" s="23" t="str">
        <f t="shared" si="1"/>
        <v/>
      </c>
      <c r="R580" s="4"/>
      <c r="S580" s="4" t="str">
        <f t="shared" si="2"/>
        <v/>
      </c>
    </row>
    <row r="581" ht="15.75" customHeight="1">
      <c r="N581" s="4"/>
      <c r="P581" s="23"/>
      <c r="Q581" s="23" t="str">
        <f t="shared" si="1"/>
        <v/>
      </c>
      <c r="R581" s="4"/>
      <c r="S581" s="4" t="str">
        <f t="shared" si="2"/>
        <v/>
      </c>
    </row>
    <row r="582" ht="15.75" customHeight="1">
      <c r="N582" s="4"/>
      <c r="P582" s="23"/>
      <c r="Q582" s="23" t="str">
        <f t="shared" si="1"/>
        <v/>
      </c>
      <c r="R582" s="4"/>
      <c r="S582" s="4" t="str">
        <f t="shared" si="2"/>
        <v/>
      </c>
    </row>
    <row r="583" ht="15.75" customHeight="1">
      <c r="N583" s="4"/>
      <c r="P583" s="23"/>
      <c r="Q583" s="23" t="str">
        <f t="shared" si="1"/>
        <v/>
      </c>
      <c r="R583" s="4"/>
      <c r="S583" s="4" t="str">
        <f t="shared" si="2"/>
        <v/>
      </c>
    </row>
    <row r="584" ht="15.75" customHeight="1">
      <c r="N584" s="4"/>
      <c r="P584" s="23"/>
      <c r="Q584" s="23" t="str">
        <f t="shared" si="1"/>
        <v/>
      </c>
      <c r="R584" s="4"/>
      <c r="S584" s="4" t="str">
        <f t="shared" si="2"/>
        <v/>
      </c>
    </row>
    <row r="585" ht="15.75" customHeight="1">
      <c r="N585" s="4"/>
      <c r="P585" s="23"/>
      <c r="Q585" s="23" t="str">
        <f t="shared" si="1"/>
        <v/>
      </c>
      <c r="R585" s="4"/>
      <c r="S585" s="4" t="str">
        <f t="shared" si="2"/>
        <v/>
      </c>
    </row>
    <row r="586" ht="15.75" customHeight="1">
      <c r="N586" s="4"/>
      <c r="P586" s="23"/>
      <c r="Q586" s="23" t="str">
        <f t="shared" si="1"/>
        <v/>
      </c>
      <c r="R586" s="4"/>
      <c r="S586" s="4" t="str">
        <f t="shared" si="2"/>
        <v/>
      </c>
    </row>
    <row r="587" ht="15.75" customHeight="1">
      <c r="N587" s="4"/>
      <c r="P587" s="23"/>
      <c r="Q587" s="23" t="str">
        <f t="shared" si="1"/>
        <v/>
      </c>
      <c r="R587" s="4"/>
      <c r="S587" s="4" t="str">
        <f t="shared" si="2"/>
        <v/>
      </c>
    </row>
    <row r="588" ht="15.75" customHeight="1">
      <c r="N588" s="4"/>
      <c r="P588" s="23"/>
      <c r="Q588" s="23" t="str">
        <f t="shared" si="1"/>
        <v/>
      </c>
      <c r="R588" s="4"/>
      <c r="S588" s="4" t="str">
        <f t="shared" si="2"/>
        <v/>
      </c>
    </row>
    <row r="589" ht="15.75" customHeight="1">
      <c r="N589" s="4"/>
      <c r="P589" s="23"/>
      <c r="Q589" s="23" t="str">
        <f t="shared" si="1"/>
        <v/>
      </c>
      <c r="R589" s="4"/>
      <c r="S589" s="4" t="str">
        <f t="shared" si="2"/>
        <v/>
      </c>
    </row>
    <row r="590" ht="15.75" customHeight="1">
      <c r="N590" s="4"/>
      <c r="P590" s="23"/>
      <c r="Q590" s="23" t="str">
        <f t="shared" si="1"/>
        <v/>
      </c>
      <c r="R590" s="4"/>
      <c r="S590" s="4" t="str">
        <f t="shared" si="2"/>
        <v/>
      </c>
    </row>
    <row r="591" ht="15.75" customHeight="1">
      <c r="N591" s="4"/>
      <c r="P591" s="23"/>
      <c r="Q591" s="23" t="str">
        <f t="shared" si="1"/>
        <v/>
      </c>
      <c r="R591" s="4"/>
      <c r="S591" s="4" t="str">
        <f t="shared" si="2"/>
        <v/>
      </c>
    </row>
    <row r="592" ht="15.75" customHeight="1">
      <c r="N592" s="4"/>
      <c r="P592" s="23"/>
      <c r="Q592" s="23" t="str">
        <f t="shared" si="1"/>
        <v/>
      </c>
      <c r="R592" s="4"/>
      <c r="S592" s="4" t="str">
        <f t="shared" si="2"/>
        <v/>
      </c>
    </row>
    <row r="593" ht="15.75" customHeight="1">
      <c r="N593" s="4"/>
      <c r="P593" s="23"/>
      <c r="Q593" s="23" t="str">
        <f t="shared" si="1"/>
        <v/>
      </c>
      <c r="R593" s="4"/>
      <c r="S593" s="4" t="str">
        <f t="shared" si="2"/>
        <v/>
      </c>
    </row>
    <row r="594" ht="15.75" customHeight="1">
      <c r="N594" s="4"/>
      <c r="P594" s="23"/>
      <c r="Q594" s="23" t="str">
        <f t="shared" si="1"/>
        <v/>
      </c>
      <c r="R594" s="4"/>
      <c r="S594" s="4" t="str">
        <f t="shared" si="2"/>
        <v/>
      </c>
    </row>
    <row r="595" ht="15.75" customHeight="1">
      <c r="N595" s="4"/>
      <c r="P595" s="23"/>
      <c r="Q595" s="23" t="str">
        <f t="shared" si="1"/>
        <v/>
      </c>
      <c r="R595" s="4"/>
      <c r="S595" s="4" t="str">
        <f t="shared" si="2"/>
        <v/>
      </c>
    </row>
    <row r="596" ht="15.75" customHeight="1">
      <c r="N596" s="4"/>
      <c r="P596" s="23"/>
      <c r="Q596" s="23" t="str">
        <f t="shared" si="1"/>
        <v/>
      </c>
      <c r="R596" s="4"/>
      <c r="S596" s="4" t="str">
        <f t="shared" si="2"/>
        <v/>
      </c>
    </row>
    <row r="597" ht="15.75" customHeight="1">
      <c r="N597" s="4"/>
      <c r="P597" s="23"/>
      <c r="Q597" s="23" t="str">
        <f t="shared" si="1"/>
        <v/>
      </c>
      <c r="R597" s="4"/>
      <c r="S597" s="4" t="str">
        <f t="shared" si="2"/>
        <v/>
      </c>
    </row>
    <row r="598" ht="15.75" customHeight="1">
      <c r="N598" s="4"/>
      <c r="P598" s="23"/>
      <c r="Q598" s="23" t="str">
        <f t="shared" si="1"/>
        <v/>
      </c>
      <c r="R598" s="4"/>
      <c r="S598" s="4" t="str">
        <f t="shared" si="2"/>
        <v/>
      </c>
    </row>
    <row r="599" ht="15.75" customHeight="1">
      <c r="N599" s="4"/>
      <c r="P599" s="23"/>
      <c r="Q599" s="23" t="str">
        <f t="shared" si="1"/>
        <v/>
      </c>
      <c r="R599" s="4"/>
      <c r="S599" s="4" t="str">
        <f t="shared" si="2"/>
        <v/>
      </c>
    </row>
    <row r="600" ht="15.75" customHeight="1">
      <c r="N600" s="4"/>
      <c r="P600" s="23"/>
      <c r="Q600" s="23" t="str">
        <f t="shared" si="1"/>
        <v/>
      </c>
      <c r="R600" s="4"/>
      <c r="S600" s="4" t="str">
        <f t="shared" si="2"/>
        <v/>
      </c>
    </row>
    <row r="601" ht="15.75" customHeight="1">
      <c r="N601" s="4"/>
      <c r="P601" s="23"/>
      <c r="Q601" s="23" t="str">
        <f t="shared" si="1"/>
        <v/>
      </c>
      <c r="R601" s="4"/>
      <c r="S601" s="4" t="str">
        <f t="shared" si="2"/>
        <v/>
      </c>
    </row>
    <row r="602" ht="15.75" customHeight="1">
      <c r="N602" s="4"/>
      <c r="P602" s="23"/>
      <c r="Q602" s="23" t="str">
        <f t="shared" si="1"/>
        <v/>
      </c>
      <c r="R602" s="4"/>
      <c r="S602" s="4" t="str">
        <f t="shared" si="2"/>
        <v/>
      </c>
    </row>
    <row r="603" ht="15.75" customHeight="1">
      <c r="N603" s="4"/>
      <c r="P603" s="23"/>
      <c r="Q603" s="23" t="str">
        <f t="shared" si="1"/>
        <v/>
      </c>
      <c r="R603" s="4"/>
      <c r="S603" s="4" t="str">
        <f t="shared" si="2"/>
        <v/>
      </c>
    </row>
    <row r="604" ht="15.75" customHeight="1">
      <c r="N604" s="4"/>
      <c r="P604" s="23"/>
      <c r="Q604" s="23" t="str">
        <f t="shared" si="1"/>
        <v/>
      </c>
      <c r="R604" s="4"/>
      <c r="S604" s="4" t="str">
        <f t="shared" si="2"/>
        <v/>
      </c>
    </row>
    <row r="605" ht="15.75" customHeight="1">
      <c r="N605" s="4"/>
      <c r="P605" s="23"/>
      <c r="Q605" s="23" t="str">
        <f t="shared" si="1"/>
        <v/>
      </c>
      <c r="R605" s="4"/>
      <c r="S605" s="4" t="str">
        <f t="shared" si="2"/>
        <v/>
      </c>
    </row>
    <row r="606" ht="15.75" customHeight="1">
      <c r="N606" s="4"/>
      <c r="P606" s="23"/>
      <c r="Q606" s="23" t="str">
        <f t="shared" si="1"/>
        <v/>
      </c>
      <c r="R606" s="4"/>
      <c r="S606" s="4" t="str">
        <f t="shared" si="2"/>
        <v/>
      </c>
    </row>
    <row r="607" ht="15.75" customHeight="1">
      <c r="N607" s="4"/>
      <c r="P607" s="23"/>
      <c r="Q607" s="23" t="str">
        <f t="shared" si="1"/>
        <v/>
      </c>
      <c r="R607" s="4"/>
      <c r="S607" s="4" t="str">
        <f t="shared" si="2"/>
        <v/>
      </c>
    </row>
    <row r="608" ht="15.75" customHeight="1">
      <c r="N608" s="4"/>
      <c r="P608" s="23"/>
      <c r="Q608" s="23" t="str">
        <f t="shared" si="1"/>
        <v/>
      </c>
      <c r="R608" s="4"/>
      <c r="S608" s="4" t="str">
        <f t="shared" si="2"/>
        <v/>
      </c>
    </row>
    <row r="609" ht="15.75" customHeight="1">
      <c r="N609" s="4"/>
      <c r="P609" s="23"/>
      <c r="Q609" s="23" t="str">
        <f t="shared" si="1"/>
        <v/>
      </c>
      <c r="R609" s="4"/>
      <c r="S609" s="4" t="str">
        <f t="shared" si="2"/>
        <v/>
      </c>
    </row>
    <row r="610" ht="15.75" customHeight="1">
      <c r="N610" s="4"/>
      <c r="P610" s="23"/>
      <c r="Q610" s="23" t="str">
        <f t="shared" si="1"/>
        <v/>
      </c>
      <c r="R610" s="4"/>
      <c r="S610" s="4" t="str">
        <f t="shared" si="2"/>
        <v/>
      </c>
    </row>
    <row r="611" ht="15.75" customHeight="1">
      <c r="N611" s="4"/>
      <c r="P611" s="23"/>
      <c r="Q611" s="23" t="str">
        <f t="shared" si="1"/>
        <v/>
      </c>
      <c r="R611" s="4"/>
      <c r="S611" s="4" t="str">
        <f t="shared" si="2"/>
        <v/>
      </c>
    </row>
    <row r="612" ht="15.75" customHeight="1">
      <c r="N612" s="4"/>
      <c r="P612" s="23"/>
      <c r="Q612" s="23" t="str">
        <f t="shared" si="1"/>
        <v/>
      </c>
      <c r="R612" s="4"/>
      <c r="S612" s="4" t="str">
        <f t="shared" si="2"/>
        <v/>
      </c>
    </row>
    <row r="613" ht="15.75" customHeight="1">
      <c r="N613" s="4"/>
      <c r="P613" s="23"/>
      <c r="Q613" s="23" t="str">
        <f t="shared" si="1"/>
        <v/>
      </c>
      <c r="R613" s="4"/>
      <c r="S613" s="4" t="str">
        <f t="shared" si="2"/>
        <v/>
      </c>
    </row>
    <row r="614" ht="15.75" customHeight="1">
      <c r="N614" s="4"/>
      <c r="P614" s="23"/>
      <c r="Q614" s="23" t="str">
        <f t="shared" si="1"/>
        <v/>
      </c>
      <c r="R614" s="4"/>
      <c r="S614" s="4" t="str">
        <f t="shared" si="2"/>
        <v/>
      </c>
    </row>
    <row r="615" ht="15.75" customHeight="1">
      <c r="N615" s="4"/>
      <c r="P615" s="23"/>
      <c r="Q615" s="23" t="str">
        <f t="shared" si="1"/>
        <v/>
      </c>
      <c r="R615" s="4"/>
      <c r="S615" s="4" t="str">
        <f t="shared" si="2"/>
        <v/>
      </c>
    </row>
    <row r="616" ht="15.75" customHeight="1">
      <c r="N616" s="4"/>
      <c r="P616" s="23"/>
      <c r="Q616" s="23" t="str">
        <f t="shared" si="1"/>
        <v/>
      </c>
      <c r="R616" s="4"/>
      <c r="S616" s="4" t="str">
        <f t="shared" si="2"/>
        <v/>
      </c>
    </row>
    <row r="617" ht="15.75" customHeight="1">
      <c r="N617" s="4"/>
      <c r="P617" s="23"/>
      <c r="Q617" s="23" t="str">
        <f t="shared" si="1"/>
        <v/>
      </c>
      <c r="R617" s="4"/>
      <c r="S617" s="4" t="str">
        <f t="shared" si="2"/>
        <v/>
      </c>
    </row>
    <row r="618" ht="15.75" customHeight="1">
      <c r="N618" s="4"/>
      <c r="P618" s="23"/>
      <c r="Q618" s="23" t="str">
        <f t="shared" si="1"/>
        <v/>
      </c>
      <c r="R618" s="4"/>
      <c r="S618" s="4" t="str">
        <f t="shared" si="2"/>
        <v/>
      </c>
    </row>
    <row r="619" ht="15.75" customHeight="1">
      <c r="N619" s="4"/>
      <c r="P619" s="23"/>
      <c r="Q619" s="23" t="str">
        <f t="shared" si="1"/>
        <v/>
      </c>
      <c r="R619" s="4"/>
      <c r="S619" s="4" t="str">
        <f t="shared" si="2"/>
        <v/>
      </c>
    </row>
    <row r="620" ht="15.75" customHeight="1">
      <c r="N620" s="4"/>
      <c r="P620" s="23"/>
      <c r="Q620" s="23" t="str">
        <f t="shared" si="1"/>
        <v/>
      </c>
      <c r="R620" s="4"/>
      <c r="S620" s="4" t="str">
        <f t="shared" si="2"/>
        <v/>
      </c>
    </row>
    <row r="621" ht="15.75" customHeight="1">
      <c r="N621" s="4"/>
      <c r="P621" s="23"/>
      <c r="Q621" s="23" t="str">
        <f t="shared" si="1"/>
        <v/>
      </c>
      <c r="R621" s="4"/>
      <c r="S621" s="4" t="str">
        <f t="shared" si="2"/>
        <v/>
      </c>
    </row>
    <row r="622" ht="15.75" customHeight="1">
      <c r="N622" s="4"/>
      <c r="P622" s="23"/>
      <c r="Q622" s="23" t="str">
        <f t="shared" si="1"/>
        <v/>
      </c>
      <c r="R622" s="4"/>
      <c r="S622" s="4" t="str">
        <f t="shared" si="2"/>
        <v/>
      </c>
    </row>
    <row r="623" ht="15.75" customHeight="1">
      <c r="N623" s="4"/>
      <c r="P623" s="23"/>
      <c r="Q623" s="23" t="str">
        <f t="shared" si="1"/>
        <v/>
      </c>
      <c r="R623" s="4"/>
      <c r="S623" s="4" t="str">
        <f t="shared" si="2"/>
        <v/>
      </c>
    </row>
    <row r="624" ht="15.75" customHeight="1">
      <c r="N624" s="4"/>
      <c r="P624" s="23"/>
      <c r="Q624" s="23" t="str">
        <f t="shared" si="1"/>
        <v/>
      </c>
      <c r="R624" s="4"/>
      <c r="S624" s="4" t="str">
        <f t="shared" si="2"/>
        <v/>
      </c>
    </row>
    <row r="625" ht="15.75" customHeight="1">
      <c r="N625" s="4"/>
      <c r="P625" s="23"/>
      <c r="Q625" s="23" t="str">
        <f t="shared" si="1"/>
        <v/>
      </c>
      <c r="R625" s="4"/>
      <c r="S625" s="4" t="str">
        <f t="shared" si="2"/>
        <v/>
      </c>
    </row>
    <row r="626" ht="15.75" customHeight="1">
      <c r="N626" s="4"/>
      <c r="P626" s="23"/>
      <c r="Q626" s="23" t="str">
        <f t="shared" si="1"/>
        <v/>
      </c>
      <c r="R626" s="4"/>
      <c r="S626" s="4" t="str">
        <f t="shared" si="2"/>
        <v/>
      </c>
    </row>
    <row r="627" ht="15.75" customHeight="1">
      <c r="N627" s="4"/>
      <c r="P627" s="23"/>
      <c r="Q627" s="23" t="str">
        <f t="shared" si="1"/>
        <v/>
      </c>
      <c r="R627" s="4"/>
      <c r="S627" s="4" t="str">
        <f t="shared" si="2"/>
        <v/>
      </c>
    </row>
    <row r="628" ht="15.75" customHeight="1">
      <c r="N628" s="4"/>
      <c r="P628" s="23"/>
      <c r="Q628" s="23" t="str">
        <f t="shared" si="1"/>
        <v/>
      </c>
      <c r="R628" s="4"/>
      <c r="S628" s="4" t="str">
        <f t="shared" si="2"/>
        <v/>
      </c>
    </row>
    <row r="629" ht="15.75" customHeight="1">
      <c r="N629" s="4"/>
      <c r="P629" s="23"/>
      <c r="Q629" s="23" t="str">
        <f t="shared" si="1"/>
        <v/>
      </c>
      <c r="R629" s="4"/>
      <c r="S629" s="4" t="str">
        <f t="shared" si="2"/>
        <v/>
      </c>
    </row>
    <row r="630" ht="15.75" customHeight="1">
      <c r="N630" s="4"/>
      <c r="P630" s="23"/>
      <c r="Q630" s="23" t="str">
        <f t="shared" si="1"/>
        <v/>
      </c>
      <c r="R630" s="4"/>
      <c r="S630" s="4" t="str">
        <f t="shared" si="2"/>
        <v/>
      </c>
    </row>
    <row r="631" ht="15.75" customHeight="1">
      <c r="N631" s="4"/>
      <c r="P631" s="23"/>
      <c r="Q631" s="23" t="str">
        <f t="shared" si="1"/>
        <v/>
      </c>
      <c r="R631" s="4"/>
      <c r="S631" s="4" t="str">
        <f t="shared" si="2"/>
        <v/>
      </c>
    </row>
    <row r="632" ht="15.75" customHeight="1">
      <c r="N632" s="4"/>
      <c r="P632" s="23"/>
      <c r="Q632" s="23" t="str">
        <f t="shared" si="1"/>
        <v/>
      </c>
      <c r="R632" s="4"/>
      <c r="S632" s="4" t="str">
        <f t="shared" si="2"/>
        <v/>
      </c>
    </row>
    <row r="633" ht="15.75" customHeight="1">
      <c r="N633" s="4"/>
      <c r="P633" s="23"/>
      <c r="Q633" s="23" t="str">
        <f t="shared" si="1"/>
        <v/>
      </c>
      <c r="R633" s="4"/>
      <c r="S633" s="4" t="str">
        <f t="shared" si="2"/>
        <v/>
      </c>
    </row>
    <row r="634" ht="15.75" customHeight="1">
      <c r="N634" s="4"/>
      <c r="P634" s="23"/>
      <c r="Q634" s="23" t="str">
        <f t="shared" si="1"/>
        <v/>
      </c>
      <c r="R634" s="4"/>
      <c r="S634" s="4" t="str">
        <f t="shared" si="2"/>
        <v/>
      </c>
    </row>
    <row r="635" ht="15.75" customHeight="1">
      <c r="N635" s="4"/>
      <c r="P635" s="23"/>
      <c r="Q635" s="23" t="str">
        <f t="shared" si="1"/>
        <v/>
      </c>
      <c r="R635" s="4"/>
      <c r="S635" s="4" t="str">
        <f t="shared" si="2"/>
        <v/>
      </c>
    </row>
    <row r="636" ht="15.75" customHeight="1">
      <c r="N636" s="4"/>
      <c r="P636" s="23"/>
      <c r="Q636" s="23" t="str">
        <f t="shared" si="1"/>
        <v/>
      </c>
      <c r="R636" s="4"/>
      <c r="S636" s="4" t="str">
        <f t="shared" si="2"/>
        <v/>
      </c>
    </row>
    <row r="637" ht="15.75" customHeight="1">
      <c r="N637" s="4"/>
      <c r="P637" s="23"/>
      <c r="Q637" s="23" t="str">
        <f t="shared" si="1"/>
        <v/>
      </c>
      <c r="R637" s="4"/>
      <c r="S637" s="4" t="str">
        <f t="shared" si="2"/>
        <v/>
      </c>
    </row>
    <row r="638" ht="15.75" customHeight="1">
      <c r="N638" s="4"/>
      <c r="P638" s="23"/>
      <c r="Q638" s="23" t="str">
        <f t="shared" si="1"/>
        <v/>
      </c>
      <c r="R638" s="4"/>
      <c r="S638" s="4" t="str">
        <f t="shared" si="2"/>
        <v/>
      </c>
    </row>
    <row r="639" ht="15.75" customHeight="1">
      <c r="N639" s="4"/>
      <c r="P639" s="23"/>
      <c r="Q639" s="23" t="str">
        <f t="shared" si="1"/>
        <v/>
      </c>
      <c r="R639" s="4"/>
      <c r="S639" s="4" t="str">
        <f t="shared" si="2"/>
        <v/>
      </c>
    </row>
    <row r="640" ht="15.75" customHeight="1">
      <c r="N640" s="4"/>
      <c r="P640" s="23"/>
      <c r="Q640" s="23" t="str">
        <f t="shared" si="1"/>
        <v/>
      </c>
      <c r="R640" s="4"/>
      <c r="S640" s="4" t="str">
        <f t="shared" si="2"/>
        <v/>
      </c>
    </row>
    <row r="641" ht="15.75" customHeight="1">
      <c r="N641" s="4"/>
      <c r="P641" s="23"/>
      <c r="Q641" s="23" t="str">
        <f t="shared" si="1"/>
        <v/>
      </c>
      <c r="R641" s="4"/>
      <c r="S641" s="4" t="str">
        <f t="shared" si="2"/>
        <v/>
      </c>
    </row>
    <row r="642" ht="15.75" customHeight="1">
      <c r="N642" s="4"/>
      <c r="P642" s="23"/>
      <c r="Q642" s="23" t="str">
        <f t="shared" si="1"/>
        <v/>
      </c>
      <c r="R642" s="4"/>
      <c r="S642" s="4" t="str">
        <f t="shared" si="2"/>
        <v/>
      </c>
    </row>
    <row r="643" ht="15.75" customHeight="1">
      <c r="N643" s="4"/>
      <c r="P643" s="23"/>
      <c r="Q643" s="23" t="str">
        <f t="shared" si="1"/>
        <v/>
      </c>
      <c r="R643" s="4"/>
      <c r="S643" s="4" t="str">
        <f t="shared" si="2"/>
        <v/>
      </c>
    </row>
    <row r="644" ht="15.75" customHeight="1">
      <c r="N644" s="4"/>
      <c r="P644" s="23"/>
      <c r="Q644" s="23" t="str">
        <f t="shared" si="1"/>
        <v/>
      </c>
      <c r="R644" s="4"/>
      <c r="S644" s="4" t="str">
        <f t="shared" si="2"/>
        <v/>
      </c>
    </row>
    <row r="645" ht="15.75" customHeight="1">
      <c r="N645" s="4"/>
      <c r="P645" s="23"/>
      <c r="Q645" s="23" t="str">
        <f t="shared" si="1"/>
        <v/>
      </c>
      <c r="R645" s="4"/>
      <c r="S645" s="4" t="str">
        <f t="shared" si="2"/>
        <v/>
      </c>
    </row>
    <row r="646" ht="15.75" customHeight="1">
      <c r="N646" s="4"/>
      <c r="P646" s="23"/>
      <c r="Q646" s="23" t="str">
        <f t="shared" si="1"/>
        <v/>
      </c>
      <c r="R646" s="4"/>
      <c r="S646" s="4" t="str">
        <f t="shared" si="2"/>
        <v/>
      </c>
    </row>
    <row r="647" ht="15.75" customHeight="1">
      <c r="N647" s="4"/>
      <c r="P647" s="23"/>
      <c r="Q647" s="23" t="str">
        <f t="shared" si="1"/>
        <v/>
      </c>
      <c r="R647" s="4"/>
      <c r="S647" s="4" t="str">
        <f t="shared" si="2"/>
        <v/>
      </c>
    </row>
    <row r="648" ht="15.75" customHeight="1">
      <c r="N648" s="4"/>
      <c r="P648" s="23"/>
      <c r="Q648" s="23" t="str">
        <f t="shared" si="1"/>
        <v/>
      </c>
      <c r="R648" s="4"/>
      <c r="S648" s="4" t="str">
        <f t="shared" si="2"/>
        <v/>
      </c>
    </row>
    <row r="649" ht="15.75" customHeight="1">
      <c r="N649" s="4"/>
      <c r="P649" s="23"/>
      <c r="Q649" s="23" t="str">
        <f t="shared" si="1"/>
        <v/>
      </c>
      <c r="R649" s="4"/>
      <c r="S649" s="4" t="str">
        <f t="shared" si="2"/>
        <v/>
      </c>
    </row>
    <row r="650" ht="15.75" customHeight="1">
      <c r="N650" s="4"/>
      <c r="P650" s="23"/>
      <c r="Q650" s="23" t="str">
        <f t="shared" si="1"/>
        <v/>
      </c>
      <c r="R650" s="4"/>
      <c r="S650" s="4" t="str">
        <f t="shared" si="2"/>
        <v/>
      </c>
    </row>
    <row r="651" ht="15.75" customHeight="1">
      <c r="N651" s="4"/>
      <c r="P651" s="23"/>
      <c r="Q651" s="23" t="str">
        <f t="shared" si="1"/>
        <v/>
      </c>
      <c r="R651" s="4"/>
      <c r="S651" s="4" t="str">
        <f t="shared" si="2"/>
        <v/>
      </c>
    </row>
    <row r="652" ht="15.75" customHeight="1">
      <c r="N652" s="4"/>
      <c r="P652" s="23"/>
      <c r="Q652" s="23" t="str">
        <f t="shared" si="1"/>
        <v/>
      </c>
      <c r="R652" s="4"/>
      <c r="S652" s="4" t="str">
        <f t="shared" si="2"/>
        <v/>
      </c>
    </row>
    <row r="653" ht="15.75" customHeight="1">
      <c r="N653" s="4"/>
      <c r="P653" s="23"/>
      <c r="Q653" s="23" t="str">
        <f t="shared" si="1"/>
        <v/>
      </c>
      <c r="R653" s="4"/>
      <c r="S653" s="4" t="str">
        <f t="shared" si="2"/>
        <v/>
      </c>
    </row>
    <row r="654" ht="15.75" customHeight="1">
      <c r="N654" s="4"/>
      <c r="P654" s="23"/>
      <c r="Q654" s="23" t="str">
        <f t="shared" si="1"/>
        <v/>
      </c>
      <c r="R654" s="4"/>
      <c r="S654" s="4" t="str">
        <f t="shared" si="2"/>
        <v/>
      </c>
    </row>
    <row r="655" ht="15.75" customHeight="1">
      <c r="N655" s="4"/>
      <c r="P655" s="23"/>
      <c r="Q655" s="23" t="str">
        <f t="shared" si="1"/>
        <v/>
      </c>
      <c r="R655" s="4"/>
      <c r="S655" s="4" t="str">
        <f t="shared" si="2"/>
        <v/>
      </c>
    </row>
    <row r="656" ht="15.75" customHeight="1">
      <c r="N656" s="4"/>
      <c r="P656" s="23"/>
      <c r="Q656" s="23" t="str">
        <f t="shared" si="1"/>
        <v/>
      </c>
      <c r="R656" s="4"/>
      <c r="S656" s="4" t="str">
        <f t="shared" si="2"/>
        <v/>
      </c>
    </row>
    <row r="657" ht="15.75" customHeight="1">
      <c r="N657" s="4"/>
      <c r="P657" s="23"/>
      <c r="Q657" s="23" t="str">
        <f t="shared" si="1"/>
        <v/>
      </c>
      <c r="R657" s="4"/>
      <c r="S657" s="4" t="str">
        <f t="shared" si="2"/>
        <v/>
      </c>
    </row>
    <row r="658" ht="15.75" customHeight="1">
      <c r="N658" s="4"/>
      <c r="P658" s="23"/>
      <c r="Q658" s="23" t="str">
        <f t="shared" si="1"/>
        <v/>
      </c>
      <c r="R658" s="4"/>
      <c r="S658" s="4" t="str">
        <f t="shared" si="2"/>
        <v/>
      </c>
    </row>
    <row r="659" ht="15.75" customHeight="1">
      <c r="N659" s="4"/>
      <c r="P659" s="23"/>
      <c r="Q659" s="23" t="str">
        <f t="shared" si="1"/>
        <v/>
      </c>
      <c r="R659" s="4"/>
      <c r="S659" s="4" t="str">
        <f t="shared" si="2"/>
        <v/>
      </c>
    </row>
    <row r="660" ht="15.75" customHeight="1">
      <c r="N660" s="4"/>
      <c r="P660" s="23"/>
      <c r="Q660" s="23" t="str">
        <f t="shared" si="1"/>
        <v/>
      </c>
      <c r="R660" s="4"/>
      <c r="S660" s="4" t="str">
        <f t="shared" si="2"/>
        <v/>
      </c>
    </row>
    <row r="661" ht="15.75" customHeight="1">
      <c r="N661" s="4"/>
      <c r="P661" s="23"/>
      <c r="Q661" s="23" t="str">
        <f t="shared" si="1"/>
        <v/>
      </c>
      <c r="R661" s="4"/>
      <c r="S661" s="4" t="str">
        <f t="shared" si="2"/>
        <v/>
      </c>
    </row>
    <row r="662" ht="15.75" customHeight="1">
      <c r="N662" s="4"/>
      <c r="P662" s="23"/>
      <c r="Q662" s="23" t="str">
        <f t="shared" si="1"/>
        <v/>
      </c>
      <c r="R662" s="4"/>
      <c r="S662" s="4" t="str">
        <f t="shared" si="2"/>
        <v/>
      </c>
    </row>
    <row r="663" ht="15.75" customHeight="1">
      <c r="N663" s="4"/>
      <c r="P663" s="23"/>
      <c r="Q663" s="23" t="str">
        <f t="shared" si="1"/>
        <v/>
      </c>
      <c r="R663" s="4"/>
      <c r="S663" s="4" t="str">
        <f t="shared" si="2"/>
        <v/>
      </c>
    </row>
    <row r="664" ht="15.75" customHeight="1">
      <c r="N664" s="4"/>
      <c r="P664" s="23"/>
      <c r="Q664" s="23" t="str">
        <f t="shared" si="1"/>
        <v/>
      </c>
      <c r="R664" s="4"/>
      <c r="S664" s="4" t="str">
        <f t="shared" si="2"/>
        <v/>
      </c>
    </row>
    <row r="665" ht="15.75" customHeight="1">
      <c r="N665" s="4"/>
      <c r="P665" s="23"/>
      <c r="Q665" s="23" t="str">
        <f t="shared" si="1"/>
        <v/>
      </c>
      <c r="R665" s="4"/>
      <c r="S665" s="4" t="str">
        <f t="shared" si="2"/>
        <v/>
      </c>
    </row>
    <row r="666" ht="15.75" customHeight="1">
      <c r="N666" s="4"/>
      <c r="P666" s="23"/>
      <c r="Q666" s="23" t="str">
        <f t="shared" si="1"/>
        <v/>
      </c>
      <c r="R666" s="4"/>
      <c r="S666" s="4" t="str">
        <f t="shared" si="2"/>
        <v/>
      </c>
    </row>
    <row r="667" ht="15.75" customHeight="1">
      <c r="N667" s="4"/>
      <c r="P667" s="23"/>
      <c r="Q667" s="23" t="str">
        <f t="shared" si="1"/>
        <v/>
      </c>
      <c r="R667" s="4"/>
      <c r="S667" s="4" t="str">
        <f t="shared" si="2"/>
        <v/>
      </c>
    </row>
    <row r="668" ht="15.75" customHeight="1">
      <c r="N668" s="4"/>
      <c r="P668" s="23"/>
      <c r="Q668" s="23" t="str">
        <f t="shared" si="1"/>
        <v/>
      </c>
      <c r="R668" s="4"/>
      <c r="S668" s="4" t="str">
        <f t="shared" si="2"/>
        <v/>
      </c>
    </row>
    <row r="669" ht="15.75" customHeight="1">
      <c r="N669" s="4"/>
      <c r="P669" s="23"/>
      <c r="Q669" s="23" t="str">
        <f t="shared" si="1"/>
        <v/>
      </c>
      <c r="R669" s="4"/>
      <c r="S669" s="4" t="str">
        <f t="shared" si="2"/>
        <v/>
      </c>
    </row>
    <row r="670" ht="15.75" customHeight="1">
      <c r="N670" s="4"/>
      <c r="P670" s="23"/>
      <c r="Q670" s="23" t="str">
        <f t="shared" si="1"/>
        <v/>
      </c>
      <c r="R670" s="4"/>
      <c r="S670" s="4" t="str">
        <f t="shared" si="2"/>
        <v/>
      </c>
    </row>
    <row r="671" ht="15.75" customHeight="1">
      <c r="N671" s="4"/>
      <c r="P671" s="23"/>
      <c r="Q671" s="23" t="str">
        <f t="shared" si="1"/>
        <v/>
      </c>
      <c r="R671" s="4"/>
      <c r="S671" s="4" t="str">
        <f t="shared" si="2"/>
        <v/>
      </c>
    </row>
    <row r="672" ht="15.75" customHeight="1">
      <c r="N672" s="4"/>
      <c r="P672" s="23"/>
      <c r="Q672" s="23" t="str">
        <f t="shared" si="1"/>
        <v/>
      </c>
      <c r="R672" s="4"/>
      <c r="S672" s="4" t="str">
        <f t="shared" si="2"/>
        <v/>
      </c>
    </row>
    <row r="673" ht="15.75" customHeight="1">
      <c r="N673" s="4"/>
      <c r="P673" s="23"/>
      <c r="Q673" s="23" t="str">
        <f t="shared" si="1"/>
        <v/>
      </c>
      <c r="R673" s="4"/>
      <c r="S673" s="4" t="str">
        <f t="shared" si="2"/>
        <v/>
      </c>
    </row>
    <row r="674" ht="15.75" customHeight="1">
      <c r="N674" s="4"/>
      <c r="P674" s="23"/>
      <c r="Q674" s="23" t="str">
        <f t="shared" si="1"/>
        <v/>
      </c>
      <c r="R674" s="4"/>
      <c r="S674" s="4" t="str">
        <f t="shared" si="2"/>
        <v/>
      </c>
    </row>
    <row r="675" ht="15.75" customHeight="1">
      <c r="N675" s="4"/>
      <c r="P675" s="23"/>
      <c r="Q675" s="23" t="str">
        <f t="shared" si="1"/>
        <v/>
      </c>
      <c r="R675" s="4"/>
      <c r="S675" s="4" t="str">
        <f t="shared" si="2"/>
        <v/>
      </c>
    </row>
    <row r="676" ht="15.75" customHeight="1">
      <c r="N676" s="4"/>
      <c r="P676" s="23"/>
      <c r="Q676" s="23" t="str">
        <f t="shared" si="1"/>
        <v/>
      </c>
      <c r="R676" s="4"/>
      <c r="S676" s="4" t="str">
        <f t="shared" si="2"/>
        <v/>
      </c>
    </row>
    <row r="677" ht="15.75" customHeight="1">
      <c r="N677" s="4"/>
      <c r="P677" s="23"/>
      <c r="Q677" s="23" t="str">
        <f t="shared" si="1"/>
        <v/>
      </c>
      <c r="R677" s="4"/>
      <c r="S677" s="4" t="str">
        <f t="shared" si="2"/>
        <v/>
      </c>
    </row>
    <row r="678" ht="15.75" customHeight="1">
      <c r="N678" s="4"/>
      <c r="P678" s="23"/>
      <c r="Q678" s="23" t="str">
        <f t="shared" si="1"/>
        <v/>
      </c>
      <c r="R678" s="4"/>
      <c r="S678" s="4" t="str">
        <f t="shared" si="2"/>
        <v/>
      </c>
    </row>
    <row r="679" ht="15.75" customHeight="1">
      <c r="N679" s="4"/>
      <c r="P679" s="23"/>
      <c r="Q679" s="23" t="str">
        <f t="shared" si="1"/>
        <v/>
      </c>
      <c r="R679" s="4"/>
      <c r="S679" s="4" t="str">
        <f t="shared" si="2"/>
        <v/>
      </c>
    </row>
    <row r="680" ht="15.75" customHeight="1">
      <c r="N680" s="4"/>
      <c r="P680" s="23"/>
      <c r="Q680" s="23" t="str">
        <f t="shared" si="1"/>
        <v/>
      </c>
      <c r="R680" s="4"/>
      <c r="S680" s="4" t="str">
        <f t="shared" si="2"/>
        <v/>
      </c>
    </row>
    <row r="681" ht="15.75" customHeight="1">
      <c r="N681" s="4"/>
      <c r="P681" s="23"/>
      <c r="Q681" s="23" t="str">
        <f t="shared" si="1"/>
        <v/>
      </c>
      <c r="R681" s="4"/>
      <c r="S681" s="4" t="str">
        <f t="shared" si="2"/>
        <v/>
      </c>
    </row>
    <row r="682" ht="15.75" customHeight="1">
      <c r="N682" s="4"/>
      <c r="P682" s="23"/>
      <c r="Q682" s="23" t="str">
        <f t="shared" si="1"/>
        <v/>
      </c>
      <c r="R682" s="4"/>
      <c r="S682" s="4" t="str">
        <f t="shared" si="2"/>
        <v/>
      </c>
    </row>
    <row r="683" ht="15.75" customHeight="1">
      <c r="N683" s="4"/>
      <c r="P683" s="23"/>
      <c r="Q683" s="23" t="str">
        <f t="shared" si="1"/>
        <v/>
      </c>
      <c r="R683" s="4"/>
      <c r="S683" s="4" t="str">
        <f t="shared" si="2"/>
        <v/>
      </c>
    </row>
    <row r="684" ht="15.75" customHeight="1">
      <c r="N684" s="4"/>
      <c r="P684" s="23"/>
      <c r="Q684" s="23" t="str">
        <f t="shared" si="1"/>
        <v/>
      </c>
      <c r="R684" s="4"/>
      <c r="S684" s="4" t="str">
        <f t="shared" si="2"/>
        <v/>
      </c>
    </row>
    <row r="685" ht="15.75" customHeight="1">
      <c r="N685" s="4"/>
      <c r="P685" s="23"/>
      <c r="Q685" s="23" t="str">
        <f t="shared" si="1"/>
        <v/>
      </c>
      <c r="R685" s="4"/>
      <c r="S685" s="4" t="str">
        <f t="shared" si="2"/>
        <v/>
      </c>
    </row>
    <row r="686" ht="15.75" customHeight="1">
      <c r="N686" s="4"/>
      <c r="P686" s="23"/>
      <c r="Q686" s="23" t="str">
        <f t="shared" si="1"/>
        <v/>
      </c>
      <c r="R686" s="4"/>
      <c r="S686" s="4" t="str">
        <f t="shared" si="2"/>
        <v/>
      </c>
    </row>
    <row r="687" ht="15.75" customHeight="1">
      <c r="N687" s="4"/>
      <c r="P687" s="23"/>
      <c r="Q687" s="23" t="str">
        <f t="shared" si="1"/>
        <v/>
      </c>
      <c r="R687" s="4"/>
      <c r="S687" s="4" t="str">
        <f t="shared" si="2"/>
        <v/>
      </c>
    </row>
    <row r="688" ht="15.75" customHeight="1">
      <c r="N688" s="4"/>
      <c r="P688" s="23"/>
      <c r="Q688" s="23" t="str">
        <f t="shared" si="1"/>
        <v/>
      </c>
      <c r="R688" s="4"/>
      <c r="S688" s="4" t="str">
        <f t="shared" si="2"/>
        <v/>
      </c>
    </row>
    <row r="689" ht="15.75" customHeight="1">
      <c r="N689" s="4"/>
      <c r="P689" s="23"/>
      <c r="Q689" s="23" t="str">
        <f t="shared" si="1"/>
        <v/>
      </c>
      <c r="R689" s="4"/>
      <c r="S689" s="4" t="str">
        <f t="shared" si="2"/>
        <v/>
      </c>
    </row>
    <row r="690" ht="15.75" customHeight="1">
      <c r="N690" s="4"/>
      <c r="P690" s="23"/>
      <c r="Q690" s="23" t="str">
        <f t="shared" si="1"/>
        <v/>
      </c>
      <c r="R690" s="4"/>
      <c r="S690" s="4" t="str">
        <f t="shared" si="2"/>
        <v/>
      </c>
    </row>
    <row r="691" ht="15.75" customHeight="1">
      <c r="N691" s="4"/>
      <c r="P691" s="23"/>
      <c r="Q691" s="23" t="str">
        <f t="shared" si="1"/>
        <v/>
      </c>
      <c r="R691" s="4"/>
      <c r="S691" s="4" t="str">
        <f t="shared" si="2"/>
        <v/>
      </c>
    </row>
    <row r="692" ht="15.75" customHeight="1">
      <c r="N692" s="4"/>
      <c r="P692" s="23"/>
      <c r="Q692" s="23" t="str">
        <f t="shared" si="1"/>
        <v/>
      </c>
      <c r="R692" s="4"/>
      <c r="S692" s="4" t="str">
        <f t="shared" si="2"/>
        <v/>
      </c>
    </row>
    <row r="693" ht="15.75" customHeight="1">
      <c r="N693" s="4"/>
      <c r="P693" s="23"/>
      <c r="Q693" s="23" t="str">
        <f t="shared" si="1"/>
        <v/>
      </c>
      <c r="R693" s="4"/>
      <c r="S693" s="4" t="str">
        <f t="shared" si="2"/>
        <v/>
      </c>
    </row>
    <row r="694" ht="15.75" customHeight="1">
      <c r="N694" s="4"/>
      <c r="P694" s="23"/>
      <c r="Q694" s="23" t="str">
        <f t="shared" si="1"/>
        <v/>
      </c>
      <c r="R694" s="4"/>
      <c r="S694" s="4" t="str">
        <f t="shared" si="2"/>
        <v/>
      </c>
    </row>
    <row r="695" ht="15.75" customHeight="1">
      <c r="N695" s="4"/>
      <c r="P695" s="23"/>
      <c r="Q695" s="23" t="str">
        <f t="shared" si="1"/>
        <v/>
      </c>
      <c r="R695" s="4"/>
      <c r="S695" s="4" t="str">
        <f t="shared" si="2"/>
        <v/>
      </c>
    </row>
    <row r="696" ht="15.75" customHeight="1">
      <c r="N696" s="4"/>
      <c r="P696" s="23"/>
      <c r="Q696" s="23" t="str">
        <f t="shared" si="1"/>
        <v/>
      </c>
      <c r="R696" s="4"/>
      <c r="S696" s="4" t="str">
        <f t="shared" si="2"/>
        <v/>
      </c>
    </row>
    <row r="697" ht="15.75" customHeight="1">
      <c r="N697" s="4"/>
      <c r="P697" s="23"/>
      <c r="Q697" s="23" t="str">
        <f t="shared" si="1"/>
        <v/>
      </c>
      <c r="R697" s="4"/>
      <c r="S697" s="4" t="str">
        <f t="shared" si="2"/>
        <v/>
      </c>
    </row>
    <row r="698" ht="15.75" customHeight="1">
      <c r="N698" s="4"/>
      <c r="P698" s="23"/>
      <c r="Q698" s="23" t="str">
        <f t="shared" si="1"/>
        <v/>
      </c>
      <c r="R698" s="4"/>
      <c r="S698" s="4" t="str">
        <f t="shared" si="2"/>
        <v/>
      </c>
    </row>
    <row r="699" ht="15.75" customHeight="1">
      <c r="N699" s="4"/>
      <c r="P699" s="23"/>
      <c r="Q699" s="23" t="str">
        <f t="shared" si="1"/>
        <v/>
      </c>
      <c r="R699" s="4"/>
      <c r="S699" s="4" t="str">
        <f t="shared" si="2"/>
        <v/>
      </c>
    </row>
    <row r="700" ht="15.75" customHeight="1">
      <c r="N700" s="4"/>
      <c r="P700" s="23"/>
      <c r="Q700" s="23" t="str">
        <f t="shared" si="1"/>
        <v/>
      </c>
      <c r="R700" s="4"/>
      <c r="S700" s="4" t="str">
        <f t="shared" si="2"/>
        <v/>
      </c>
    </row>
    <row r="701" ht="15.75" customHeight="1">
      <c r="N701" s="4"/>
      <c r="P701" s="23"/>
      <c r="Q701" s="23" t="str">
        <f t="shared" si="1"/>
        <v/>
      </c>
      <c r="R701" s="4"/>
      <c r="S701" s="4" t="str">
        <f t="shared" si="2"/>
        <v/>
      </c>
    </row>
    <row r="702" ht="15.75" customHeight="1">
      <c r="N702" s="4"/>
      <c r="P702" s="23"/>
      <c r="Q702" s="23" t="str">
        <f t="shared" si="1"/>
        <v/>
      </c>
      <c r="R702" s="4"/>
      <c r="S702" s="4" t="str">
        <f t="shared" si="2"/>
        <v/>
      </c>
    </row>
    <row r="703" ht="15.75" customHeight="1">
      <c r="N703" s="4"/>
      <c r="P703" s="23"/>
      <c r="Q703" s="23" t="str">
        <f t="shared" si="1"/>
        <v/>
      </c>
      <c r="R703" s="4"/>
      <c r="S703" s="4" t="str">
        <f t="shared" si="2"/>
        <v/>
      </c>
    </row>
    <row r="704" ht="15.75" customHeight="1">
      <c r="N704" s="4"/>
      <c r="P704" s="23"/>
      <c r="Q704" s="23" t="str">
        <f t="shared" si="1"/>
        <v/>
      </c>
      <c r="R704" s="4"/>
      <c r="S704" s="4" t="str">
        <f t="shared" si="2"/>
        <v/>
      </c>
    </row>
    <row r="705" ht="15.75" customHeight="1">
      <c r="N705" s="4"/>
      <c r="P705" s="23"/>
      <c r="Q705" s="23" t="str">
        <f t="shared" si="1"/>
        <v/>
      </c>
      <c r="R705" s="4"/>
      <c r="S705" s="4" t="str">
        <f t="shared" si="2"/>
        <v/>
      </c>
    </row>
    <row r="706" ht="15.75" customHeight="1">
      <c r="N706" s="4"/>
      <c r="P706" s="23"/>
      <c r="Q706" s="23" t="str">
        <f t="shared" si="1"/>
        <v/>
      </c>
      <c r="R706" s="4"/>
      <c r="S706" s="4" t="str">
        <f t="shared" si="2"/>
        <v/>
      </c>
    </row>
    <row r="707" ht="15.75" customHeight="1">
      <c r="N707" s="4"/>
      <c r="P707" s="23"/>
      <c r="Q707" s="23" t="str">
        <f t="shared" si="1"/>
        <v/>
      </c>
      <c r="R707" s="4"/>
      <c r="S707" s="4" t="str">
        <f t="shared" si="2"/>
        <v/>
      </c>
    </row>
    <row r="708" ht="15.75" customHeight="1">
      <c r="N708" s="4"/>
      <c r="P708" s="23"/>
      <c r="Q708" s="23" t="str">
        <f t="shared" si="1"/>
        <v/>
      </c>
      <c r="R708" s="4"/>
      <c r="S708" s="4" t="str">
        <f t="shared" si="2"/>
        <v/>
      </c>
    </row>
    <row r="709" ht="15.75" customHeight="1">
      <c r="N709" s="4"/>
      <c r="P709" s="23"/>
      <c r="Q709" s="23" t="str">
        <f t="shared" si="1"/>
        <v/>
      </c>
      <c r="R709" s="4"/>
      <c r="S709" s="4" t="str">
        <f t="shared" si="2"/>
        <v/>
      </c>
    </row>
    <row r="710" ht="15.75" customHeight="1">
      <c r="N710" s="4"/>
      <c r="P710" s="23"/>
      <c r="Q710" s="23" t="str">
        <f t="shared" si="1"/>
        <v/>
      </c>
      <c r="R710" s="4"/>
      <c r="S710" s="4" t="str">
        <f t="shared" si="2"/>
        <v/>
      </c>
    </row>
    <row r="711" ht="15.75" customHeight="1">
      <c r="N711" s="4"/>
      <c r="P711" s="23"/>
      <c r="Q711" s="23" t="str">
        <f t="shared" si="1"/>
        <v/>
      </c>
      <c r="R711" s="4"/>
      <c r="S711" s="4" t="str">
        <f t="shared" si="2"/>
        <v/>
      </c>
    </row>
    <row r="712" ht="15.75" customHeight="1">
      <c r="N712" s="4"/>
      <c r="P712" s="23"/>
      <c r="Q712" s="23" t="str">
        <f t="shared" si="1"/>
        <v/>
      </c>
      <c r="R712" s="4"/>
      <c r="S712" s="4" t="str">
        <f t="shared" si="2"/>
        <v/>
      </c>
    </row>
    <row r="713" ht="15.75" customHeight="1">
      <c r="N713" s="4"/>
      <c r="P713" s="23"/>
      <c r="Q713" s="23" t="str">
        <f t="shared" si="1"/>
        <v/>
      </c>
      <c r="R713" s="4"/>
      <c r="S713" s="4" t="str">
        <f t="shared" si="2"/>
        <v/>
      </c>
    </row>
    <row r="714" ht="15.75" customHeight="1">
      <c r="N714" s="4"/>
      <c r="P714" s="23"/>
      <c r="Q714" s="23" t="str">
        <f t="shared" si="1"/>
        <v/>
      </c>
      <c r="R714" s="4"/>
      <c r="S714" s="4" t="str">
        <f t="shared" si="2"/>
        <v/>
      </c>
    </row>
    <row r="715" ht="15.75" customHeight="1">
      <c r="N715" s="4"/>
      <c r="P715" s="23"/>
      <c r="Q715" s="23" t="str">
        <f t="shared" si="1"/>
        <v/>
      </c>
      <c r="R715" s="4"/>
      <c r="S715" s="4" t="str">
        <f t="shared" si="2"/>
        <v/>
      </c>
    </row>
    <row r="716" ht="15.75" customHeight="1">
      <c r="N716" s="4"/>
      <c r="P716" s="23"/>
      <c r="Q716" s="23" t="str">
        <f t="shared" si="1"/>
        <v/>
      </c>
      <c r="R716" s="4"/>
      <c r="S716" s="4" t="str">
        <f t="shared" si="2"/>
        <v/>
      </c>
    </row>
    <row r="717" ht="15.75" customHeight="1">
      <c r="N717" s="4"/>
      <c r="P717" s="23"/>
      <c r="Q717" s="23" t="str">
        <f t="shared" si="1"/>
        <v/>
      </c>
      <c r="R717" s="4"/>
      <c r="S717" s="4" t="str">
        <f t="shared" si="2"/>
        <v/>
      </c>
    </row>
    <row r="718" ht="15.75" customHeight="1">
      <c r="N718" s="4"/>
      <c r="P718" s="23"/>
      <c r="Q718" s="23" t="str">
        <f t="shared" si="1"/>
        <v/>
      </c>
      <c r="R718" s="4"/>
      <c r="S718" s="4" t="str">
        <f t="shared" si="2"/>
        <v/>
      </c>
    </row>
    <row r="719" ht="15.75" customHeight="1">
      <c r="N719" s="4"/>
      <c r="P719" s="23"/>
      <c r="Q719" s="23" t="str">
        <f t="shared" si="1"/>
        <v/>
      </c>
      <c r="R719" s="4"/>
      <c r="S719" s="4" t="str">
        <f t="shared" si="2"/>
        <v/>
      </c>
    </row>
    <row r="720" ht="15.75" customHeight="1">
      <c r="N720" s="4"/>
      <c r="P720" s="23"/>
      <c r="Q720" s="23" t="str">
        <f t="shared" si="1"/>
        <v/>
      </c>
      <c r="R720" s="4"/>
      <c r="S720" s="4" t="str">
        <f t="shared" si="2"/>
        <v/>
      </c>
    </row>
    <row r="721" ht="15.75" customHeight="1">
      <c r="N721" s="4"/>
      <c r="P721" s="23"/>
      <c r="Q721" s="23" t="str">
        <f t="shared" si="1"/>
        <v/>
      </c>
      <c r="R721" s="4"/>
      <c r="S721" s="4" t="str">
        <f t="shared" si="2"/>
        <v/>
      </c>
    </row>
    <row r="722" ht="15.75" customHeight="1">
      <c r="N722" s="4"/>
      <c r="P722" s="23"/>
      <c r="Q722" s="23" t="str">
        <f t="shared" si="1"/>
        <v/>
      </c>
      <c r="R722" s="4"/>
      <c r="S722" s="4" t="str">
        <f t="shared" si="2"/>
        <v/>
      </c>
    </row>
    <row r="723" ht="15.75" customHeight="1">
      <c r="N723" s="4"/>
      <c r="P723" s="23"/>
      <c r="Q723" s="23" t="str">
        <f t="shared" si="1"/>
        <v/>
      </c>
      <c r="R723" s="4"/>
      <c r="S723" s="4" t="str">
        <f t="shared" si="2"/>
        <v/>
      </c>
    </row>
    <row r="724" ht="15.75" customHeight="1">
      <c r="N724" s="4"/>
      <c r="P724" s="23"/>
      <c r="Q724" s="23" t="str">
        <f t="shared" si="1"/>
        <v/>
      </c>
      <c r="R724" s="4"/>
      <c r="S724" s="4" t="str">
        <f t="shared" si="2"/>
        <v/>
      </c>
    </row>
    <row r="725" ht="15.75" customHeight="1">
      <c r="N725" s="4"/>
      <c r="P725" s="23"/>
      <c r="Q725" s="23" t="str">
        <f t="shared" si="1"/>
        <v/>
      </c>
      <c r="R725" s="4"/>
      <c r="S725" s="4" t="str">
        <f t="shared" si="2"/>
        <v/>
      </c>
    </row>
    <row r="726" ht="15.75" customHeight="1">
      <c r="N726" s="4"/>
      <c r="P726" s="23"/>
      <c r="Q726" s="23" t="str">
        <f t="shared" si="1"/>
        <v/>
      </c>
      <c r="R726" s="4"/>
      <c r="S726" s="4" t="str">
        <f t="shared" si="2"/>
        <v/>
      </c>
    </row>
    <row r="727" ht="15.75" customHeight="1">
      <c r="N727" s="4"/>
      <c r="P727" s="23"/>
      <c r="Q727" s="23" t="str">
        <f t="shared" si="1"/>
        <v/>
      </c>
      <c r="R727" s="4"/>
      <c r="S727" s="4" t="str">
        <f t="shared" si="2"/>
        <v/>
      </c>
    </row>
    <row r="728" ht="15.75" customHeight="1">
      <c r="N728" s="4"/>
      <c r="P728" s="23"/>
      <c r="Q728" s="23" t="str">
        <f t="shared" si="1"/>
        <v/>
      </c>
      <c r="R728" s="4"/>
      <c r="S728" s="4" t="str">
        <f t="shared" si="2"/>
        <v/>
      </c>
    </row>
    <row r="729" ht="15.75" customHeight="1">
      <c r="N729" s="4"/>
      <c r="P729" s="23"/>
      <c r="Q729" s="23" t="str">
        <f t="shared" si="1"/>
        <v/>
      </c>
      <c r="R729" s="4"/>
      <c r="S729" s="4" t="str">
        <f t="shared" si="2"/>
        <v/>
      </c>
    </row>
    <row r="730" ht="15.75" customHeight="1">
      <c r="N730" s="4"/>
      <c r="P730" s="23"/>
      <c r="Q730" s="23" t="str">
        <f t="shared" si="1"/>
        <v/>
      </c>
      <c r="R730" s="4"/>
      <c r="S730" s="4" t="str">
        <f t="shared" si="2"/>
        <v/>
      </c>
    </row>
    <row r="731" ht="15.75" customHeight="1">
      <c r="N731" s="4"/>
      <c r="P731" s="23"/>
      <c r="Q731" s="23" t="str">
        <f t="shared" si="1"/>
        <v/>
      </c>
      <c r="R731" s="4"/>
      <c r="S731" s="4" t="str">
        <f t="shared" si="2"/>
        <v/>
      </c>
    </row>
    <row r="732" ht="15.75" customHeight="1">
      <c r="N732" s="4"/>
      <c r="P732" s="23"/>
      <c r="Q732" s="23" t="str">
        <f t="shared" si="1"/>
        <v/>
      </c>
      <c r="R732" s="4"/>
      <c r="S732" s="4" t="str">
        <f t="shared" si="2"/>
        <v/>
      </c>
    </row>
    <row r="733" ht="15.75" customHeight="1">
      <c r="N733" s="4"/>
      <c r="P733" s="23"/>
      <c r="Q733" s="23" t="str">
        <f t="shared" si="1"/>
        <v/>
      </c>
      <c r="R733" s="4"/>
      <c r="S733" s="4" t="str">
        <f t="shared" si="2"/>
        <v/>
      </c>
    </row>
    <row r="734" ht="15.75" customHeight="1">
      <c r="N734" s="4"/>
      <c r="P734" s="23"/>
      <c r="Q734" s="23" t="str">
        <f t="shared" si="1"/>
        <v/>
      </c>
      <c r="R734" s="4"/>
      <c r="S734" s="4" t="str">
        <f t="shared" si="2"/>
        <v/>
      </c>
    </row>
    <row r="735" ht="15.75" customHeight="1">
      <c r="N735" s="4"/>
      <c r="P735" s="23"/>
      <c r="Q735" s="23" t="str">
        <f t="shared" si="1"/>
        <v/>
      </c>
      <c r="R735" s="4"/>
      <c r="S735" s="4" t="str">
        <f t="shared" si="2"/>
        <v/>
      </c>
    </row>
    <row r="736" ht="15.75" customHeight="1">
      <c r="N736" s="4"/>
      <c r="P736" s="23"/>
      <c r="Q736" s="23" t="str">
        <f t="shared" si="1"/>
        <v/>
      </c>
      <c r="R736" s="4"/>
      <c r="S736" s="4" t="str">
        <f t="shared" si="2"/>
        <v/>
      </c>
    </row>
    <row r="737" ht="15.75" customHeight="1">
      <c r="N737" s="4"/>
      <c r="P737" s="23"/>
      <c r="Q737" s="23" t="str">
        <f t="shared" si="1"/>
        <v/>
      </c>
      <c r="R737" s="4"/>
      <c r="S737" s="4" t="str">
        <f t="shared" si="2"/>
        <v/>
      </c>
    </row>
    <row r="738" ht="15.75" customHeight="1">
      <c r="N738" s="4"/>
      <c r="P738" s="23"/>
      <c r="Q738" s="23" t="str">
        <f t="shared" si="1"/>
        <v/>
      </c>
      <c r="R738" s="4"/>
      <c r="S738" s="4" t="str">
        <f t="shared" si="2"/>
        <v/>
      </c>
    </row>
    <row r="739" ht="15.75" customHeight="1">
      <c r="N739" s="4"/>
      <c r="P739" s="23"/>
      <c r="Q739" s="23" t="str">
        <f t="shared" si="1"/>
        <v/>
      </c>
      <c r="R739" s="4"/>
      <c r="S739" s="4" t="str">
        <f t="shared" si="2"/>
        <v/>
      </c>
    </row>
    <row r="740" ht="15.75" customHeight="1">
      <c r="N740" s="4"/>
      <c r="P740" s="23"/>
      <c r="Q740" s="23" t="str">
        <f t="shared" si="1"/>
        <v/>
      </c>
      <c r="R740" s="4"/>
      <c r="S740" s="4" t="str">
        <f t="shared" si="2"/>
        <v/>
      </c>
    </row>
    <row r="741" ht="15.75" customHeight="1">
      <c r="N741" s="4"/>
      <c r="P741" s="23"/>
      <c r="Q741" s="23" t="str">
        <f t="shared" si="1"/>
        <v/>
      </c>
      <c r="R741" s="4"/>
      <c r="S741" s="4" t="str">
        <f t="shared" si="2"/>
        <v/>
      </c>
    </row>
    <row r="742" ht="15.75" customHeight="1">
      <c r="N742" s="4"/>
      <c r="P742" s="23"/>
      <c r="Q742" s="23" t="str">
        <f t="shared" si="1"/>
        <v/>
      </c>
      <c r="R742" s="4"/>
      <c r="S742" s="4" t="str">
        <f t="shared" si="2"/>
        <v/>
      </c>
    </row>
    <row r="743" ht="15.75" customHeight="1">
      <c r="N743" s="4"/>
      <c r="P743" s="23"/>
      <c r="Q743" s="23" t="str">
        <f t="shared" si="1"/>
        <v/>
      </c>
      <c r="R743" s="4"/>
      <c r="S743" s="4" t="str">
        <f t="shared" si="2"/>
        <v/>
      </c>
    </row>
    <row r="744" ht="15.75" customHeight="1">
      <c r="N744" s="4"/>
      <c r="P744" s="23"/>
      <c r="Q744" s="23" t="str">
        <f t="shared" si="1"/>
        <v/>
      </c>
      <c r="R744" s="4"/>
      <c r="S744" s="4" t="str">
        <f t="shared" si="2"/>
        <v/>
      </c>
    </row>
    <row r="745" ht="15.75" customHeight="1">
      <c r="N745" s="4"/>
      <c r="P745" s="23"/>
      <c r="Q745" s="23" t="str">
        <f t="shared" si="1"/>
        <v/>
      </c>
      <c r="R745" s="4"/>
      <c r="S745" s="4" t="str">
        <f t="shared" si="2"/>
        <v/>
      </c>
    </row>
    <row r="746" ht="15.75" customHeight="1">
      <c r="N746" s="4"/>
      <c r="P746" s="23"/>
      <c r="Q746" s="23" t="str">
        <f t="shared" si="1"/>
        <v/>
      </c>
      <c r="R746" s="4"/>
      <c r="S746" s="4" t="str">
        <f t="shared" si="2"/>
        <v/>
      </c>
    </row>
    <row r="747" ht="15.75" customHeight="1">
      <c r="N747" s="4"/>
      <c r="P747" s="23"/>
      <c r="Q747" s="23" t="str">
        <f t="shared" si="1"/>
        <v/>
      </c>
      <c r="R747" s="4"/>
      <c r="S747" s="4" t="str">
        <f t="shared" si="2"/>
        <v/>
      </c>
    </row>
    <row r="748" ht="15.75" customHeight="1">
      <c r="N748" s="4"/>
      <c r="P748" s="23"/>
      <c r="Q748" s="23" t="str">
        <f t="shared" si="1"/>
        <v/>
      </c>
      <c r="R748" s="4"/>
      <c r="S748" s="4" t="str">
        <f t="shared" si="2"/>
        <v/>
      </c>
    </row>
    <row r="749" ht="15.75" customHeight="1">
      <c r="N749" s="4"/>
      <c r="P749" s="23"/>
      <c r="Q749" s="23" t="str">
        <f t="shared" si="1"/>
        <v/>
      </c>
      <c r="R749" s="4"/>
      <c r="S749" s="4" t="str">
        <f t="shared" si="2"/>
        <v/>
      </c>
    </row>
    <row r="750" ht="15.75" customHeight="1">
      <c r="N750" s="4"/>
      <c r="P750" s="23"/>
      <c r="Q750" s="23" t="str">
        <f t="shared" si="1"/>
        <v/>
      </c>
      <c r="R750" s="4"/>
      <c r="S750" s="4" t="str">
        <f t="shared" si="2"/>
        <v/>
      </c>
    </row>
    <row r="751" ht="15.75" customHeight="1">
      <c r="N751" s="4"/>
      <c r="P751" s="23"/>
      <c r="Q751" s="23" t="str">
        <f t="shared" si="1"/>
        <v/>
      </c>
      <c r="R751" s="4"/>
      <c r="S751" s="4" t="str">
        <f t="shared" si="2"/>
        <v/>
      </c>
    </row>
    <row r="752" ht="15.75" customHeight="1">
      <c r="N752" s="4"/>
      <c r="P752" s="23"/>
      <c r="Q752" s="23" t="str">
        <f t="shared" si="1"/>
        <v/>
      </c>
      <c r="R752" s="4"/>
      <c r="S752" s="4" t="str">
        <f t="shared" si="2"/>
        <v/>
      </c>
    </row>
    <row r="753" ht="15.75" customHeight="1">
      <c r="N753" s="4"/>
      <c r="P753" s="23"/>
      <c r="Q753" s="23" t="str">
        <f t="shared" si="1"/>
        <v/>
      </c>
      <c r="R753" s="4"/>
      <c r="S753" s="4" t="str">
        <f t="shared" si="2"/>
        <v/>
      </c>
    </row>
    <row r="754" ht="15.75" customHeight="1">
      <c r="N754" s="4"/>
      <c r="P754" s="23"/>
      <c r="Q754" s="23" t="str">
        <f t="shared" si="1"/>
        <v/>
      </c>
      <c r="R754" s="4"/>
      <c r="S754" s="4" t="str">
        <f t="shared" si="2"/>
        <v/>
      </c>
    </row>
    <row r="755" ht="15.75" customHeight="1">
      <c r="N755" s="4"/>
      <c r="P755" s="23"/>
      <c r="Q755" s="23" t="str">
        <f t="shared" si="1"/>
        <v/>
      </c>
      <c r="R755" s="4"/>
      <c r="S755" s="4" t="str">
        <f t="shared" si="2"/>
        <v/>
      </c>
    </row>
    <row r="756" ht="15.75" customHeight="1">
      <c r="N756" s="4"/>
      <c r="P756" s="23"/>
      <c r="Q756" s="23" t="str">
        <f t="shared" si="1"/>
        <v/>
      </c>
      <c r="R756" s="4"/>
      <c r="S756" s="4" t="str">
        <f t="shared" si="2"/>
        <v/>
      </c>
    </row>
    <row r="757" ht="15.75" customHeight="1">
      <c r="N757" s="4"/>
      <c r="P757" s="23"/>
      <c r="Q757" s="23" t="str">
        <f t="shared" si="1"/>
        <v/>
      </c>
      <c r="R757" s="4"/>
      <c r="S757" s="4" t="str">
        <f t="shared" si="2"/>
        <v/>
      </c>
    </row>
    <row r="758" ht="15.75" customHeight="1">
      <c r="N758" s="4"/>
      <c r="P758" s="23"/>
      <c r="Q758" s="23" t="str">
        <f t="shared" si="1"/>
        <v/>
      </c>
      <c r="R758" s="4"/>
      <c r="S758" s="4" t="str">
        <f t="shared" si="2"/>
        <v/>
      </c>
    </row>
    <row r="759" ht="15.75" customHeight="1">
      <c r="N759" s="4"/>
      <c r="P759" s="23"/>
      <c r="Q759" s="23" t="str">
        <f t="shared" si="1"/>
        <v/>
      </c>
      <c r="R759" s="4"/>
      <c r="S759" s="4" t="str">
        <f t="shared" si="2"/>
        <v/>
      </c>
    </row>
    <row r="760" ht="15.75" customHeight="1">
      <c r="N760" s="4"/>
      <c r="P760" s="23"/>
      <c r="Q760" s="23" t="str">
        <f t="shared" si="1"/>
        <v/>
      </c>
      <c r="R760" s="4"/>
      <c r="S760" s="4" t="str">
        <f t="shared" si="2"/>
        <v/>
      </c>
    </row>
    <row r="761" ht="15.75" customHeight="1">
      <c r="N761" s="4"/>
      <c r="P761" s="23"/>
      <c r="Q761" s="23" t="str">
        <f t="shared" si="1"/>
        <v/>
      </c>
      <c r="R761" s="4"/>
      <c r="S761" s="4" t="str">
        <f t="shared" si="2"/>
        <v/>
      </c>
    </row>
    <row r="762" ht="15.75" customHeight="1">
      <c r="N762" s="4"/>
      <c r="P762" s="23"/>
      <c r="Q762" s="23" t="str">
        <f t="shared" si="1"/>
        <v/>
      </c>
      <c r="R762" s="4"/>
      <c r="S762" s="4" t="str">
        <f t="shared" si="2"/>
        <v/>
      </c>
    </row>
    <row r="763" ht="15.75" customHeight="1">
      <c r="N763" s="4"/>
      <c r="P763" s="23"/>
      <c r="Q763" s="23" t="str">
        <f t="shared" si="1"/>
        <v/>
      </c>
      <c r="R763" s="4"/>
      <c r="S763" s="4" t="str">
        <f t="shared" si="2"/>
        <v/>
      </c>
    </row>
    <row r="764" ht="15.75" customHeight="1">
      <c r="N764" s="4"/>
      <c r="P764" s="23"/>
      <c r="Q764" s="23" t="str">
        <f t="shared" si="1"/>
        <v/>
      </c>
      <c r="R764" s="4"/>
      <c r="S764" s="4" t="str">
        <f t="shared" si="2"/>
        <v/>
      </c>
    </row>
    <row r="765" ht="15.75" customHeight="1">
      <c r="N765" s="4"/>
      <c r="P765" s="23"/>
      <c r="Q765" s="23" t="str">
        <f t="shared" si="1"/>
        <v/>
      </c>
      <c r="R765" s="4"/>
      <c r="S765" s="4" t="str">
        <f t="shared" si="2"/>
        <v/>
      </c>
    </row>
    <row r="766" ht="15.75" customHeight="1">
      <c r="N766" s="4"/>
      <c r="P766" s="23"/>
      <c r="Q766" s="23" t="str">
        <f t="shared" si="1"/>
        <v/>
      </c>
      <c r="R766" s="4"/>
      <c r="S766" s="4" t="str">
        <f t="shared" si="2"/>
        <v/>
      </c>
    </row>
    <row r="767" ht="15.75" customHeight="1">
      <c r="N767" s="4"/>
      <c r="P767" s="23"/>
      <c r="Q767" s="23" t="str">
        <f t="shared" si="1"/>
        <v/>
      </c>
      <c r="R767" s="4"/>
      <c r="S767" s="4" t="str">
        <f t="shared" si="2"/>
        <v/>
      </c>
    </row>
    <row r="768" ht="15.75" customHeight="1">
      <c r="N768" s="4"/>
      <c r="P768" s="23"/>
      <c r="Q768" s="23" t="str">
        <f t="shared" si="1"/>
        <v/>
      </c>
      <c r="R768" s="4"/>
      <c r="S768" s="4" t="str">
        <f t="shared" si="2"/>
        <v/>
      </c>
    </row>
    <row r="769" ht="15.75" customHeight="1">
      <c r="N769" s="4"/>
      <c r="P769" s="23"/>
      <c r="Q769" s="23" t="str">
        <f t="shared" si="1"/>
        <v/>
      </c>
      <c r="R769" s="4"/>
      <c r="S769" s="4" t="str">
        <f t="shared" si="2"/>
        <v/>
      </c>
    </row>
    <row r="770" ht="15.75" customHeight="1">
      <c r="N770" s="4"/>
      <c r="P770" s="23"/>
      <c r="Q770" s="23" t="str">
        <f t="shared" si="1"/>
        <v/>
      </c>
      <c r="R770" s="4"/>
      <c r="S770" s="4" t="str">
        <f t="shared" si="2"/>
        <v/>
      </c>
    </row>
    <row r="771" ht="15.75" customHeight="1">
      <c r="N771" s="4"/>
      <c r="P771" s="23"/>
      <c r="Q771" s="23" t="str">
        <f t="shared" si="1"/>
        <v/>
      </c>
      <c r="R771" s="4"/>
      <c r="S771" s="4" t="str">
        <f t="shared" si="2"/>
        <v/>
      </c>
    </row>
    <row r="772" ht="15.75" customHeight="1">
      <c r="N772" s="4"/>
      <c r="P772" s="23"/>
      <c r="Q772" s="23" t="str">
        <f t="shared" si="1"/>
        <v/>
      </c>
      <c r="R772" s="4"/>
      <c r="S772" s="4" t="str">
        <f t="shared" si="2"/>
        <v/>
      </c>
    </row>
    <row r="773" ht="15.75" customHeight="1">
      <c r="N773" s="4"/>
      <c r="P773" s="23"/>
      <c r="Q773" s="23" t="str">
        <f t="shared" si="1"/>
        <v/>
      </c>
      <c r="R773" s="4"/>
      <c r="S773" s="4" t="str">
        <f t="shared" si="2"/>
        <v/>
      </c>
    </row>
    <row r="774" ht="15.75" customHeight="1">
      <c r="N774" s="4"/>
      <c r="P774" s="23"/>
      <c r="Q774" s="23" t="str">
        <f t="shared" si="1"/>
        <v/>
      </c>
      <c r="R774" s="4"/>
      <c r="S774" s="4" t="str">
        <f t="shared" si="2"/>
        <v/>
      </c>
    </row>
    <row r="775" ht="15.75" customHeight="1">
      <c r="N775" s="4"/>
      <c r="P775" s="23"/>
      <c r="Q775" s="23" t="str">
        <f t="shared" si="1"/>
        <v/>
      </c>
      <c r="R775" s="4"/>
      <c r="S775" s="4" t="str">
        <f t="shared" si="2"/>
        <v/>
      </c>
    </row>
    <row r="776" ht="15.75" customHeight="1">
      <c r="N776" s="4"/>
      <c r="P776" s="23"/>
      <c r="Q776" s="23" t="str">
        <f t="shared" si="1"/>
        <v/>
      </c>
      <c r="R776" s="4"/>
      <c r="S776" s="4" t="str">
        <f t="shared" si="2"/>
        <v/>
      </c>
    </row>
    <row r="777" ht="15.75" customHeight="1">
      <c r="N777" s="4"/>
      <c r="P777" s="23"/>
      <c r="Q777" s="23" t="str">
        <f t="shared" si="1"/>
        <v/>
      </c>
      <c r="R777" s="4"/>
      <c r="S777" s="4" t="str">
        <f t="shared" si="2"/>
        <v/>
      </c>
    </row>
    <row r="778" ht="15.75" customHeight="1">
      <c r="N778" s="4"/>
      <c r="P778" s="23"/>
      <c r="Q778" s="23" t="str">
        <f t="shared" si="1"/>
        <v/>
      </c>
      <c r="R778" s="4"/>
      <c r="S778" s="4" t="str">
        <f t="shared" si="2"/>
        <v/>
      </c>
    </row>
    <row r="779" ht="15.75" customHeight="1">
      <c r="N779" s="4"/>
      <c r="P779" s="23"/>
      <c r="Q779" s="23" t="str">
        <f t="shared" si="1"/>
        <v/>
      </c>
      <c r="R779" s="4"/>
      <c r="S779" s="4" t="str">
        <f t="shared" si="2"/>
        <v/>
      </c>
    </row>
    <row r="780" ht="15.75" customHeight="1">
      <c r="N780" s="4"/>
      <c r="P780" s="23"/>
      <c r="Q780" s="23" t="str">
        <f t="shared" si="1"/>
        <v/>
      </c>
      <c r="R780" s="4"/>
      <c r="S780" s="4" t="str">
        <f t="shared" si="2"/>
        <v/>
      </c>
    </row>
    <row r="781" ht="15.75" customHeight="1">
      <c r="N781" s="4"/>
      <c r="P781" s="23"/>
      <c r="Q781" s="23" t="str">
        <f t="shared" si="1"/>
        <v/>
      </c>
      <c r="R781" s="4"/>
      <c r="S781" s="4" t="str">
        <f t="shared" si="2"/>
        <v/>
      </c>
    </row>
    <row r="782" ht="15.75" customHeight="1">
      <c r="N782" s="4"/>
      <c r="P782" s="23"/>
      <c r="Q782" s="23" t="str">
        <f t="shared" si="1"/>
        <v/>
      </c>
      <c r="R782" s="4"/>
      <c r="S782" s="4" t="str">
        <f t="shared" si="2"/>
        <v/>
      </c>
    </row>
    <row r="783" ht="15.75" customHeight="1">
      <c r="N783" s="4"/>
      <c r="P783" s="23"/>
      <c r="Q783" s="23" t="str">
        <f t="shared" si="1"/>
        <v/>
      </c>
      <c r="R783" s="4"/>
      <c r="S783" s="4" t="str">
        <f t="shared" si="2"/>
        <v/>
      </c>
    </row>
    <row r="784" ht="15.75" customHeight="1">
      <c r="N784" s="4"/>
      <c r="P784" s="23"/>
      <c r="Q784" s="23" t="str">
        <f t="shared" si="1"/>
        <v/>
      </c>
      <c r="R784" s="4"/>
      <c r="S784" s="4" t="str">
        <f t="shared" si="2"/>
        <v/>
      </c>
    </row>
    <row r="785" ht="15.75" customHeight="1">
      <c r="N785" s="4"/>
      <c r="P785" s="23"/>
      <c r="Q785" s="23" t="str">
        <f t="shared" si="1"/>
        <v/>
      </c>
      <c r="R785" s="4"/>
      <c r="S785" s="4" t="str">
        <f t="shared" si="2"/>
        <v/>
      </c>
    </row>
    <row r="786" ht="15.75" customHeight="1">
      <c r="N786" s="4"/>
      <c r="P786" s="23"/>
      <c r="Q786" s="23" t="str">
        <f t="shared" si="1"/>
        <v/>
      </c>
      <c r="R786" s="4"/>
      <c r="S786" s="4" t="str">
        <f t="shared" si="2"/>
        <v/>
      </c>
    </row>
    <row r="787" ht="15.75" customHeight="1">
      <c r="N787" s="4"/>
      <c r="P787" s="23"/>
      <c r="Q787" s="23" t="str">
        <f t="shared" si="1"/>
        <v/>
      </c>
      <c r="R787" s="4"/>
      <c r="S787" s="4" t="str">
        <f t="shared" si="2"/>
        <v/>
      </c>
    </row>
    <row r="788" ht="15.75" customHeight="1">
      <c r="N788" s="4"/>
      <c r="P788" s="23"/>
      <c r="Q788" s="23" t="str">
        <f t="shared" si="1"/>
        <v/>
      </c>
      <c r="R788" s="4"/>
      <c r="S788" s="4" t="str">
        <f t="shared" si="2"/>
        <v/>
      </c>
    </row>
    <row r="789" ht="15.75" customHeight="1">
      <c r="N789" s="4"/>
      <c r="P789" s="23"/>
      <c r="Q789" s="23" t="str">
        <f t="shared" si="1"/>
        <v/>
      </c>
      <c r="R789" s="4"/>
      <c r="S789" s="4" t="str">
        <f t="shared" si="2"/>
        <v/>
      </c>
    </row>
    <row r="790" ht="15.75" customHeight="1">
      <c r="N790" s="4"/>
      <c r="P790" s="23"/>
      <c r="Q790" s="23" t="str">
        <f t="shared" si="1"/>
        <v/>
      </c>
      <c r="R790" s="4"/>
      <c r="S790" s="4" t="str">
        <f t="shared" si="2"/>
        <v/>
      </c>
    </row>
    <row r="791" ht="15.75" customHeight="1">
      <c r="N791" s="4"/>
      <c r="P791" s="23"/>
      <c r="Q791" s="23" t="str">
        <f t="shared" si="1"/>
        <v/>
      </c>
      <c r="R791" s="4"/>
      <c r="S791" s="4" t="str">
        <f t="shared" si="2"/>
        <v/>
      </c>
    </row>
    <row r="792" ht="15.75" customHeight="1">
      <c r="N792" s="4"/>
      <c r="P792" s="23"/>
      <c r="Q792" s="23" t="str">
        <f t="shared" si="1"/>
        <v/>
      </c>
      <c r="R792" s="4"/>
      <c r="S792" s="4" t="str">
        <f t="shared" si="2"/>
        <v/>
      </c>
    </row>
    <row r="793" ht="15.75" customHeight="1">
      <c r="N793" s="4"/>
      <c r="P793" s="23"/>
      <c r="Q793" s="23" t="str">
        <f t="shared" si="1"/>
        <v/>
      </c>
      <c r="R793" s="4"/>
      <c r="S793" s="4" t="str">
        <f t="shared" si="2"/>
        <v/>
      </c>
    </row>
    <row r="794" ht="15.75" customHeight="1">
      <c r="N794" s="4"/>
      <c r="P794" s="23"/>
      <c r="Q794" s="23" t="str">
        <f t="shared" si="1"/>
        <v/>
      </c>
      <c r="R794" s="4"/>
      <c r="S794" s="4" t="str">
        <f t="shared" si="2"/>
        <v/>
      </c>
    </row>
    <row r="795" ht="15.75" customHeight="1">
      <c r="N795" s="4"/>
      <c r="P795" s="23"/>
      <c r="Q795" s="23" t="str">
        <f t="shared" si="1"/>
        <v/>
      </c>
      <c r="R795" s="4"/>
      <c r="S795" s="4" t="str">
        <f t="shared" si="2"/>
        <v/>
      </c>
    </row>
    <row r="796" ht="15.75" customHeight="1">
      <c r="N796" s="4"/>
      <c r="P796" s="23"/>
      <c r="Q796" s="23" t="str">
        <f t="shared" si="1"/>
        <v/>
      </c>
      <c r="R796" s="4"/>
      <c r="S796" s="4" t="str">
        <f t="shared" si="2"/>
        <v/>
      </c>
    </row>
    <row r="797" ht="15.75" customHeight="1">
      <c r="N797" s="4"/>
      <c r="P797" s="23"/>
      <c r="Q797" s="23" t="str">
        <f t="shared" si="1"/>
        <v/>
      </c>
      <c r="R797" s="4"/>
      <c r="S797" s="4" t="str">
        <f t="shared" si="2"/>
        <v/>
      </c>
    </row>
    <row r="798" ht="15.75" customHeight="1">
      <c r="N798" s="4"/>
      <c r="P798" s="23"/>
      <c r="Q798" s="23" t="str">
        <f t="shared" si="1"/>
        <v/>
      </c>
      <c r="R798" s="4"/>
      <c r="S798" s="4" t="str">
        <f t="shared" si="2"/>
        <v/>
      </c>
    </row>
    <row r="799" ht="15.75" customHeight="1">
      <c r="N799" s="4"/>
      <c r="P799" s="23"/>
      <c r="Q799" s="23" t="str">
        <f t="shared" si="1"/>
        <v/>
      </c>
      <c r="R799" s="4"/>
      <c r="S799" s="4" t="str">
        <f t="shared" si="2"/>
        <v/>
      </c>
    </row>
    <row r="800" ht="15.75" customHeight="1">
      <c r="N800" s="4"/>
      <c r="P800" s="23"/>
      <c r="Q800" s="23" t="str">
        <f t="shared" si="1"/>
        <v/>
      </c>
      <c r="R800" s="4"/>
      <c r="S800" s="4" t="str">
        <f t="shared" si="2"/>
        <v/>
      </c>
    </row>
    <row r="801" ht="15.75" customHeight="1">
      <c r="N801" s="4"/>
      <c r="P801" s="23"/>
      <c r="Q801" s="23" t="str">
        <f t="shared" si="1"/>
        <v/>
      </c>
      <c r="R801" s="4"/>
      <c r="S801" s="4" t="str">
        <f t="shared" si="2"/>
        <v/>
      </c>
    </row>
    <row r="802" ht="15.75" customHeight="1">
      <c r="N802" s="4"/>
      <c r="P802" s="23"/>
      <c r="Q802" s="23" t="str">
        <f t="shared" si="1"/>
        <v/>
      </c>
      <c r="R802" s="4"/>
      <c r="S802" s="4" t="str">
        <f t="shared" si="2"/>
        <v/>
      </c>
    </row>
    <row r="803" ht="15.75" customHeight="1">
      <c r="N803" s="4"/>
      <c r="P803" s="23"/>
      <c r="Q803" s="23" t="str">
        <f t="shared" si="1"/>
        <v/>
      </c>
      <c r="R803" s="4"/>
      <c r="S803" s="4" t="str">
        <f t="shared" si="2"/>
        <v/>
      </c>
    </row>
    <row r="804" ht="15.75" customHeight="1">
      <c r="N804" s="4"/>
      <c r="P804" s="23"/>
      <c r="Q804" s="23" t="str">
        <f t="shared" si="1"/>
        <v/>
      </c>
      <c r="R804" s="4"/>
      <c r="S804" s="4" t="str">
        <f t="shared" si="2"/>
        <v/>
      </c>
    </row>
    <row r="805" ht="15.75" customHeight="1">
      <c r="N805" s="4"/>
      <c r="P805" s="23"/>
      <c r="Q805" s="23" t="str">
        <f t="shared" si="1"/>
        <v/>
      </c>
      <c r="R805" s="4"/>
      <c r="S805" s="4" t="str">
        <f t="shared" si="2"/>
        <v/>
      </c>
    </row>
    <row r="806" ht="15.75" customHeight="1">
      <c r="N806" s="4"/>
      <c r="P806" s="23"/>
      <c r="Q806" s="23" t="str">
        <f t="shared" si="1"/>
        <v/>
      </c>
      <c r="R806" s="4"/>
      <c r="S806" s="4" t="str">
        <f t="shared" si="2"/>
        <v/>
      </c>
    </row>
    <row r="807" ht="15.75" customHeight="1">
      <c r="N807" s="4"/>
      <c r="P807" s="23"/>
      <c r="Q807" s="23" t="str">
        <f t="shared" si="1"/>
        <v/>
      </c>
      <c r="R807" s="4"/>
      <c r="S807" s="4" t="str">
        <f t="shared" si="2"/>
        <v/>
      </c>
    </row>
    <row r="808" ht="15.75" customHeight="1">
      <c r="N808" s="4"/>
      <c r="P808" s="23"/>
      <c r="Q808" s="23" t="str">
        <f t="shared" si="1"/>
        <v/>
      </c>
      <c r="R808" s="4"/>
      <c r="S808" s="4" t="str">
        <f t="shared" si="2"/>
        <v/>
      </c>
    </row>
    <row r="809" ht="15.75" customHeight="1">
      <c r="N809" s="4"/>
      <c r="P809" s="23"/>
      <c r="Q809" s="23" t="str">
        <f t="shared" si="1"/>
        <v/>
      </c>
      <c r="R809" s="4"/>
      <c r="S809" s="4" t="str">
        <f t="shared" si="2"/>
        <v/>
      </c>
    </row>
    <row r="810" ht="15.75" customHeight="1">
      <c r="N810" s="4"/>
      <c r="P810" s="23"/>
      <c r="Q810" s="23" t="str">
        <f t="shared" si="1"/>
        <v/>
      </c>
      <c r="R810" s="4"/>
      <c r="S810" s="4" t="str">
        <f t="shared" si="2"/>
        <v/>
      </c>
    </row>
    <row r="811" ht="15.75" customHeight="1">
      <c r="N811" s="4"/>
      <c r="P811" s="23"/>
      <c r="Q811" s="23" t="str">
        <f t="shared" si="1"/>
        <v/>
      </c>
      <c r="R811" s="4"/>
      <c r="S811" s="4" t="str">
        <f t="shared" si="2"/>
        <v/>
      </c>
    </row>
    <row r="812" ht="15.75" customHeight="1">
      <c r="N812" s="4"/>
      <c r="P812" s="23"/>
      <c r="Q812" s="23" t="str">
        <f t="shared" si="1"/>
        <v/>
      </c>
      <c r="R812" s="4"/>
      <c r="S812" s="4" t="str">
        <f t="shared" si="2"/>
        <v/>
      </c>
    </row>
    <row r="813" ht="15.75" customHeight="1">
      <c r="N813" s="4"/>
      <c r="P813" s="23"/>
      <c r="Q813" s="23" t="str">
        <f t="shared" si="1"/>
        <v/>
      </c>
      <c r="R813" s="4"/>
      <c r="S813" s="4" t="str">
        <f t="shared" si="2"/>
        <v/>
      </c>
    </row>
    <row r="814" ht="15.75" customHeight="1">
      <c r="N814" s="4"/>
      <c r="P814" s="23"/>
      <c r="Q814" s="23" t="str">
        <f t="shared" si="1"/>
        <v/>
      </c>
      <c r="R814" s="4"/>
      <c r="S814" s="4" t="str">
        <f t="shared" si="2"/>
        <v/>
      </c>
    </row>
    <row r="815" ht="15.75" customHeight="1">
      <c r="N815" s="4"/>
      <c r="P815" s="23"/>
      <c r="Q815" s="23" t="str">
        <f t="shared" si="1"/>
        <v/>
      </c>
      <c r="R815" s="4"/>
      <c r="S815" s="4" t="str">
        <f t="shared" si="2"/>
        <v/>
      </c>
    </row>
    <row r="816" ht="15.75" customHeight="1">
      <c r="N816" s="4"/>
      <c r="P816" s="23"/>
      <c r="Q816" s="23" t="str">
        <f t="shared" si="1"/>
        <v/>
      </c>
      <c r="R816" s="4"/>
      <c r="S816" s="4" t="str">
        <f t="shared" si="2"/>
        <v/>
      </c>
    </row>
    <row r="817" ht="15.75" customHeight="1">
      <c r="N817" s="4"/>
      <c r="P817" s="23"/>
      <c r="Q817" s="23" t="str">
        <f t="shared" si="1"/>
        <v/>
      </c>
      <c r="R817" s="4"/>
      <c r="S817" s="4" t="str">
        <f t="shared" si="2"/>
        <v/>
      </c>
    </row>
    <row r="818" ht="15.75" customHeight="1">
      <c r="N818" s="4"/>
      <c r="P818" s="23"/>
      <c r="Q818" s="23" t="str">
        <f t="shared" si="1"/>
        <v/>
      </c>
      <c r="R818" s="4"/>
      <c r="S818" s="4" t="str">
        <f t="shared" si="2"/>
        <v/>
      </c>
    </row>
    <row r="819" ht="15.75" customHeight="1">
      <c r="N819" s="4"/>
      <c r="P819" s="23"/>
      <c r="Q819" s="23" t="str">
        <f t="shared" si="1"/>
        <v/>
      </c>
      <c r="R819" s="4"/>
      <c r="S819" s="4" t="str">
        <f t="shared" si="2"/>
        <v/>
      </c>
    </row>
    <row r="820" ht="15.75" customHeight="1">
      <c r="N820" s="4"/>
      <c r="P820" s="23"/>
      <c r="Q820" s="23" t="str">
        <f t="shared" si="1"/>
        <v/>
      </c>
      <c r="R820" s="4"/>
      <c r="S820" s="4" t="str">
        <f t="shared" si="2"/>
        <v/>
      </c>
    </row>
    <row r="821" ht="15.75" customHeight="1">
      <c r="N821" s="4"/>
      <c r="P821" s="23"/>
      <c r="Q821" s="23" t="str">
        <f t="shared" si="1"/>
        <v/>
      </c>
      <c r="R821" s="4"/>
      <c r="S821" s="4" t="str">
        <f t="shared" si="2"/>
        <v/>
      </c>
    </row>
    <row r="822" ht="15.75" customHeight="1">
      <c r="N822" s="4"/>
      <c r="P822" s="23"/>
      <c r="Q822" s="23" t="str">
        <f t="shared" si="1"/>
        <v/>
      </c>
      <c r="R822" s="4"/>
      <c r="S822" s="4" t="str">
        <f t="shared" si="2"/>
        <v/>
      </c>
    </row>
    <row r="823" ht="15.75" customHeight="1">
      <c r="N823" s="4"/>
      <c r="P823" s="23"/>
      <c r="Q823" s="23" t="str">
        <f t="shared" si="1"/>
        <v/>
      </c>
      <c r="R823" s="4"/>
      <c r="S823" s="4" t="str">
        <f t="shared" si="2"/>
        <v/>
      </c>
    </row>
    <row r="824" ht="15.75" customHeight="1">
      <c r="N824" s="4"/>
      <c r="P824" s="23"/>
      <c r="Q824" s="23" t="str">
        <f t="shared" si="1"/>
        <v/>
      </c>
      <c r="R824" s="4"/>
      <c r="S824" s="4" t="str">
        <f t="shared" si="2"/>
        <v/>
      </c>
    </row>
    <row r="825" ht="15.75" customHeight="1">
      <c r="N825" s="4"/>
      <c r="P825" s="23"/>
      <c r="Q825" s="23" t="str">
        <f t="shared" si="1"/>
        <v/>
      </c>
      <c r="R825" s="4"/>
      <c r="S825" s="4" t="str">
        <f t="shared" si="2"/>
        <v/>
      </c>
    </row>
    <row r="826" ht="15.75" customHeight="1">
      <c r="N826" s="4"/>
      <c r="P826" s="23"/>
      <c r="Q826" s="23" t="str">
        <f t="shared" si="1"/>
        <v/>
      </c>
      <c r="R826" s="4"/>
      <c r="S826" s="4" t="str">
        <f t="shared" si="2"/>
        <v/>
      </c>
    </row>
    <row r="827" ht="15.75" customHeight="1">
      <c r="N827" s="4"/>
      <c r="P827" s="23"/>
      <c r="Q827" s="23" t="str">
        <f t="shared" si="1"/>
        <v/>
      </c>
      <c r="R827" s="4"/>
      <c r="S827" s="4" t="str">
        <f t="shared" si="2"/>
        <v/>
      </c>
    </row>
    <row r="828" ht="15.75" customHeight="1">
      <c r="N828" s="4"/>
      <c r="P828" s="23"/>
      <c r="Q828" s="23" t="str">
        <f t="shared" si="1"/>
        <v/>
      </c>
      <c r="R828" s="4"/>
      <c r="S828" s="4" t="str">
        <f t="shared" si="2"/>
        <v/>
      </c>
    </row>
    <row r="829" ht="15.75" customHeight="1">
      <c r="N829" s="4"/>
      <c r="P829" s="23"/>
      <c r="Q829" s="23" t="str">
        <f t="shared" si="1"/>
        <v/>
      </c>
      <c r="R829" s="4"/>
      <c r="S829" s="4" t="str">
        <f t="shared" si="2"/>
        <v/>
      </c>
    </row>
    <row r="830" ht="15.75" customHeight="1">
      <c r="N830" s="4"/>
      <c r="P830" s="23"/>
      <c r="Q830" s="23" t="str">
        <f t="shared" si="1"/>
        <v/>
      </c>
      <c r="R830" s="4"/>
      <c r="S830" s="4" t="str">
        <f t="shared" si="2"/>
        <v/>
      </c>
    </row>
    <row r="831" ht="15.75" customHeight="1">
      <c r="N831" s="4"/>
      <c r="P831" s="23"/>
      <c r="Q831" s="23" t="str">
        <f t="shared" si="1"/>
        <v/>
      </c>
      <c r="R831" s="4"/>
      <c r="S831" s="4" t="str">
        <f t="shared" si="2"/>
        <v/>
      </c>
    </row>
    <row r="832" ht="15.75" customHeight="1">
      <c r="N832" s="4"/>
      <c r="P832" s="23"/>
      <c r="Q832" s="23" t="str">
        <f t="shared" si="1"/>
        <v/>
      </c>
      <c r="R832" s="4"/>
      <c r="S832" s="4" t="str">
        <f t="shared" si="2"/>
        <v/>
      </c>
    </row>
    <row r="833" ht="15.75" customHeight="1">
      <c r="N833" s="4"/>
      <c r="P833" s="23"/>
      <c r="Q833" s="23" t="str">
        <f t="shared" si="1"/>
        <v/>
      </c>
      <c r="R833" s="4"/>
      <c r="S833" s="4" t="str">
        <f t="shared" si="2"/>
        <v/>
      </c>
    </row>
    <row r="834" ht="15.75" customHeight="1">
      <c r="N834" s="4"/>
      <c r="P834" s="23"/>
      <c r="Q834" s="23" t="str">
        <f t="shared" si="1"/>
        <v/>
      </c>
      <c r="R834" s="4"/>
      <c r="S834" s="4" t="str">
        <f t="shared" si="2"/>
        <v/>
      </c>
    </row>
    <row r="835" ht="15.75" customHeight="1">
      <c r="N835" s="4"/>
      <c r="P835" s="23"/>
      <c r="Q835" s="23" t="str">
        <f t="shared" si="1"/>
        <v/>
      </c>
      <c r="R835" s="4"/>
      <c r="S835" s="4" t="str">
        <f t="shared" si="2"/>
        <v/>
      </c>
    </row>
    <row r="836" ht="15.75" customHeight="1">
      <c r="N836" s="4"/>
      <c r="P836" s="23"/>
      <c r="Q836" s="23" t="str">
        <f t="shared" si="1"/>
        <v/>
      </c>
      <c r="R836" s="4"/>
      <c r="S836" s="4" t="str">
        <f t="shared" si="2"/>
        <v/>
      </c>
    </row>
    <row r="837" ht="15.75" customHeight="1">
      <c r="N837" s="4"/>
      <c r="P837" s="23"/>
      <c r="Q837" s="23" t="str">
        <f t="shared" si="1"/>
        <v/>
      </c>
      <c r="R837" s="4"/>
      <c r="S837" s="4" t="str">
        <f t="shared" si="2"/>
        <v/>
      </c>
    </row>
    <row r="838" ht="15.75" customHeight="1">
      <c r="N838" s="4"/>
      <c r="P838" s="23"/>
      <c r="Q838" s="23" t="str">
        <f t="shared" si="1"/>
        <v/>
      </c>
      <c r="R838" s="4"/>
      <c r="S838" s="4" t="str">
        <f t="shared" si="2"/>
        <v/>
      </c>
    </row>
    <row r="839" ht="15.75" customHeight="1">
      <c r="N839" s="4"/>
      <c r="P839" s="23"/>
      <c r="Q839" s="23" t="str">
        <f t="shared" si="1"/>
        <v/>
      </c>
      <c r="R839" s="4"/>
      <c r="S839" s="4" t="str">
        <f t="shared" si="2"/>
        <v/>
      </c>
    </row>
    <row r="840" ht="15.75" customHeight="1">
      <c r="N840" s="4"/>
      <c r="P840" s="23"/>
      <c r="Q840" s="23" t="str">
        <f t="shared" si="1"/>
        <v/>
      </c>
      <c r="R840" s="4"/>
      <c r="S840" s="4" t="str">
        <f t="shared" si="2"/>
        <v/>
      </c>
    </row>
    <row r="841" ht="15.75" customHeight="1">
      <c r="N841" s="4"/>
      <c r="P841" s="23"/>
      <c r="Q841" s="23" t="str">
        <f t="shared" si="1"/>
        <v/>
      </c>
      <c r="R841" s="4"/>
      <c r="S841" s="4" t="str">
        <f t="shared" si="2"/>
        <v/>
      </c>
    </row>
    <row r="842" ht="15.75" customHeight="1">
      <c r="N842" s="4"/>
      <c r="P842" s="23"/>
      <c r="Q842" s="23" t="str">
        <f t="shared" si="1"/>
        <v/>
      </c>
      <c r="R842" s="4"/>
      <c r="S842" s="4" t="str">
        <f t="shared" si="2"/>
        <v/>
      </c>
    </row>
    <row r="843" ht="15.75" customHeight="1">
      <c r="N843" s="4"/>
      <c r="P843" s="23"/>
      <c r="Q843" s="23" t="str">
        <f t="shared" si="1"/>
        <v/>
      </c>
      <c r="R843" s="4"/>
      <c r="S843" s="4" t="str">
        <f t="shared" si="2"/>
        <v/>
      </c>
    </row>
    <row r="844" ht="15.75" customHeight="1">
      <c r="N844" s="4"/>
      <c r="P844" s="23"/>
      <c r="Q844" s="23" t="str">
        <f t="shared" si="1"/>
        <v/>
      </c>
      <c r="R844" s="4"/>
      <c r="S844" s="4" t="str">
        <f t="shared" si="2"/>
        <v/>
      </c>
    </row>
    <row r="845" ht="15.75" customHeight="1">
      <c r="N845" s="4"/>
      <c r="P845" s="23"/>
      <c r="Q845" s="23" t="str">
        <f t="shared" si="1"/>
        <v/>
      </c>
      <c r="R845" s="4"/>
      <c r="S845" s="4" t="str">
        <f t="shared" si="2"/>
        <v/>
      </c>
    </row>
    <row r="846" ht="15.75" customHeight="1">
      <c r="N846" s="4"/>
      <c r="P846" s="23"/>
      <c r="Q846" s="23" t="str">
        <f t="shared" si="1"/>
        <v/>
      </c>
      <c r="R846" s="4"/>
      <c r="S846" s="4" t="str">
        <f t="shared" si="2"/>
        <v/>
      </c>
    </row>
    <row r="847" ht="15.75" customHeight="1">
      <c r="N847" s="4"/>
      <c r="P847" s="23"/>
      <c r="Q847" s="23" t="str">
        <f t="shared" si="1"/>
        <v/>
      </c>
      <c r="R847" s="4"/>
      <c r="S847" s="4" t="str">
        <f t="shared" si="2"/>
        <v/>
      </c>
    </row>
    <row r="848" ht="15.75" customHeight="1">
      <c r="N848" s="4"/>
      <c r="P848" s="23"/>
      <c r="Q848" s="23" t="str">
        <f t="shared" si="1"/>
        <v/>
      </c>
      <c r="R848" s="4"/>
      <c r="S848" s="4" t="str">
        <f t="shared" si="2"/>
        <v/>
      </c>
    </row>
    <row r="849" ht="15.75" customHeight="1">
      <c r="N849" s="4"/>
      <c r="P849" s="23"/>
      <c r="Q849" s="23" t="str">
        <f t="shared" si="1"/>
        <v/>
      </c>
      <c r="R849" s="4"/>
      <c r="S849" s="4" t="str">
        <f t="shared" si="2"/>
        <v/>
      </c>
    </row>
    <row r="850" ht="15.75" customHeight="1">
      <c r="N850" s="4"/>
      <c r="P850" s="23"/>
      <c r="Q850" s="23" t="str">
        <f t="shared" si="1"/>
        <v/>
      </c>
      <c r="R850" s="4"/>
      <c r="S850" s="4" t="str">
        <f t="shared" si="2"/>
        <v/>
      </c>
    </row>
    <row r="851" ht="15.75" customHeight="1">
      <c r="N851" s="4"/>
      <c r="P851" s="23"/>
      <c r="Q851" s="23" t="str">
        <f t="shared" si="1"/>
        <v/>
      </c>
      <c r="R851" s="4"/>
      <c r="S851" s="4" t="str">
        <f t="shared" si="2"/>
        <v/>
      </c>
    </row>
    <row r="852" ht="15.75" customHeight="1">
      <c r="N852" s="4"/>
      <c r="P852" s="23"/>
      <c r="Q852" s="23" t="str">
        <f t="shared" si="1"/>
        <v/>
      </c>
      <c r="R852" s="4"/>
      <c r="S852" s="4" t="str">
        <f t="shared" si="2"/>
        <v/>
      </c>
    </row>
    <row r="853" ht="15.75" customHeight="1">
      <c r="N853" s="4"/>
      <c r="P853" s="23"/>
      <c r="Q853" s="23" t="str">
        <f t="shared" si="1"/>
        <v/>
      </c>
      <c r="R853" s="4"/>
      <c r="S853" s="4" t="str">
        <f t="shared" si="2"/>
        <v/>
      </c>
    </row>
    <row r="854" ht="15.75" customHeight="1">
      <c r="N854" s="4"/>
      <c r="P854" s="23"/>
      <c r="Q854" s="23" t="str">
        <f t="shared" si="1"/>
        <v/>
      </c>
      <c r="R854" s="4"/>
      <c r="S854" s="4" t="str">
        <f t="shared" si="2"/>
        <v/>
      </c>
    </row>
    <row r="855" ht="15.75" customHeight="1">
      <c r="N855" s="4"/>
      <c r="P855" s="23"/>
      <c r="Q855" s="23" t="str">
        <f t="shared" si="1"/>
        <v/>
      </c>
      <c r="R855" s="4"/>
      <c r="S855" s="4" t="str">
        <f t="shared" si="2"/>
        <v/>
      </c>
    </row>
    <row r="856" ht="15.75" customHeight="1">
      <c r="N856" s="4"/>
      <c r="P856" s="23"/>
      <c r="Q856" s="23" t="str">
        <f t="shared" si="1"/>
        <v/>
      </c>
      <c r="R856" s="4"/>
      <c r="S856" s="4" t="str">
        <f t="shared" si="2"/>
        <v/>
      </c>
    </row>
    <row r="857" ht="15.75" customHeight="1">
      <c r="N857" s="4"/>
      <c r="P857" s="23"/>
      <c r="Q857" s="23" t="str">
        <f t="shared" si="1"/>
        <v/>
      </c>
      <c r="R857" s="4"/>
      <c r="S857" s="4" t="str">
        <f t="shared" si="2"/>
        <v/>
      </c>
    </row>
    <row r="858" ht="15.75" customHeight="1">
      <c r="N858" s="4"/>
      <c r="P858" s="23"/>
      <c r="Q858" s="23" t="str">
        <f t="shared" si="1"/>
        <v/>
      </c>
      <c r="R858" s="4"/>
      <c r="S858" s="4" t="str">
        <f t="shared" si="2"/>
        <v/>
      </c>
    </row>
    <row r="859" ht="15.75" customHeight="1">
      <c r="N859" s="4"/>
      <c r="P859" s="23"/>
      <c r="Q859" s="23" t="str">
        <f t="shared" si="1"/>
        <v/>
      </c>
      <c r="R859" s="4"/>
      <c r="S859" s="4" t="str">
        <f t="shared" si="2"/>
        <v/>
      </c>
    </row>
    <row r="860" ht="15.75" customHeight="1">
      <c r="N860" s="4"/>
      <c r="P860" s="23"/>
      <c r="Q860" s="23" t="str">
        <f t="shared" si="1"/>
        <v/>
      </c>
      <c r="R860" s="4"/>
      <c r="S860" s="4" t="str">
        <f t="shared" si="2"/>
        <v/>
      </c>
    </row>
    <row r="861" ht="15.75" customHeight="1">
      <c r="N861" s="4"/>
      <c r="P861" s="23"/>
      <c r="Q861" s="23" t="str">
        <f t="shared" si="1"/>
        <v/>
      </c>
      <c r="R861" s="4"/>
      <c r="S861" s="4" t="str">
        <f t="shared" si="2"/>
        <v/>
      </c>
    </row>
    <row r="862" ht="15.75" customHeight="1">
      <c r="N862" s="4"/>
      <c r="P862" s="23"/>
      <c r="Q862" s="23" t="str">
        <f t="shared" si="1"/>
        <v/>
      </c>
      <c r="R862" s="4"/>
      <c r="S862" s="4" t="str">
        <f t="shared" si="2"/>
        <v/>
      </c>
    </row>
    <row r="863" ht="15.75" customHeight="1">
      <c r="N863" s="4"/>
      <c r="P863" s="23"/>
      <c r="Q863" s="23" t="str">
        <f t="shared" si="1"/>
        <v/>
      </c>
      <c r="R863" s="4"/>
      <c r="S863" s="4" t="str">
        <f t="shared" si="2"/>
        <v/>
      </c>
    </row>
    <row r="864" ht="15.75" customHeight="1">
      <c r="N864" s="4"/>
      <c r="P864" s="23"/>
      <c r="Q864" s="23" t="str">
        <f t="shared" si="1"/>
        <v/>
      </c>
      <c r="R864" s="4"/>
      <c r="S864" s="4" t="str">
        <f t="shared" si="2"/>
        <v/>
      </c>
    </row>
    <row r="865" ht="15.75" customHeight="1">
      <c r="N865" s="4"/>
      <c r="P865" s="23"/>
      <c r="Q865" s="23" t="str">
        <f t="shared" si="1"/>
        <v/>
      </c>
      <c r="R865" s="4"/>
      <c r="S865" s="4" t="str">
        <f t="shared" si="2"/>
        <v/>
      </c>
    </row>
    <row r="866" ht="15.75" customHeight="1">
      <c r="N866" s="4"/>
      <c r="P866" s="23"/>
      <c r="Q866" s="23" t="str">
        <f t="shared" si="1"/>
        <v/>
      </c>
      <c r="R866" s="4"/>
      <c r="S866" s="4" t="str">
        <f t="shared" si="2"/>
        <v/>
      </c>
    </row>
    <row r="867" ht="15.75" customHeight="1">
      <c r="N867" s="4"/>
      <c r="P867" s="23"/>
      <c r="Q867" s="23" t="str">
        <f t="shared" si="1"/>
        <v/>
      </c>
      <c r="R867" s="4"/>
      <c r="S867" s="4" t="str">
        <f t="shared" si="2"/>
        <v/>
      </c>
    </row>
    <row r="868" ht="15.75" customHeight="1">
      <c r="N868" s="4"/>
      <c r="P868" s="23"/>
      <c r="Q868" s="23" t="str">
        <f t="shared" si="1"/>
        <v/>
      </c>
      <c r="R868" s="4"/>
      <c r="S868" s="4" t="str">
        <f t="shared" si="2"/>
        <v/>
      </c>
    </row>
    <row r="869" ht="15.75" customHeight="1">
      <c r="N869" s="4"/>
      <c r="P869" s="23"/>
      <c r="Q869" s="23" t="str">
        <f t="shared" si="1"/>
        <v/>
      </c>
      <c r="R869" s="4"/>
      <c r="S869" s="4" t="str">
        <f t="shared" si="2"/>
        <v/>
      </c>
    </row>
    <row r="870" ht="15.75" customHeight="1">
      <c r="N870" s="4"/>
      <c r="P870" s="23"/>
      <c r="Q870" s="23" t="str">
        <f t="shared" si="1"/>
        <v/>
      </c>
      <c r="R870" s="4"/>
      <c r="S870" s="4" t="str">
        <f t="shared" si="2"/>
        <v/>
      </c>
    </row>
    <row r="871" ht="15.75" customHeight="1">
      <c r="N871" s="4"/>
      <c r="P871" s="23"/>
      <c r="Q871" s="23" t="str">
        <f t="shared" si="1"/>
        <v/>
      </c>
      <c r="R871" s="4"/>
      <c r="S871" s="4" t="str">
        <f t="shared" si="2"/>
        <v/>
      </c>
    </row>
    <row r="872" ht="15.75" customHeight="1">
      <c r="N872" s="4"/>
      <c r="P872" s="23"/>
      <c r="Q872" s="23" t="str">
        <f t="shared" si="1"/>
        <v/>
      </c>
      <c r="R872" s="4"/>
      <c r="S872" s="4" t="str">
        <f t="shared" si="2"/>
        <v/>
      </c>
    </row>
    <row r="873" ht="15.75" customHeight="1">
      <c r="N873" s="4"/>
      <c r="P873" s="23"/>
      <c r="Q873" s="23" t="str">
        <f t="shared" si="1"/>
        <v/>
      </c>
      <c r="R873" s="4"/>
      <c r="S873" s="4" t="str">
        <f t="shared" si="2"/>
        <v/>
      </c>
    </row>
    <row r="874" ht="15.75" customHeight="1">
      <c r="N874" s="4"/>
      <c r="P874" s="23"/>
      <c r="Q874" s="23" t="str">
        <f t="shared" si="1"/>
        <v/>
      </c>
      <c r="R874" s="4"/>
      <c r="S874" s="4" t="str">
        <f t="shared" si="2"/>
        <v/>
      </c>
    </row>
    <row r="875" ht="15.75" customHeight="1">
      <c r="N875" s="4"/>
      <c r="P875" s="23"/>
      <c r="Q875" s="23" t="str">
        <f t="shared" si="1"/>
        <v/>
      </c>
      <c r="R875" s="4"/>
      <c r="S875" s="4" t="str">
        <f t="shared" si="2"/>
        <v/>
      </c>
    </row>
    <row r="876" ht="15.75" customHeight="1">
      <c r="N876" s="4"/>
      <c r="P876" s="23"/>
      <c r="Q876" s="23" t="str">
        <f t="shared" si="1"/>
        <v/>
      </c>
      <c r="R876" s="4"/>
      <c r="S876" s="4" t="str">
        <f t="shared" si="2"/>
        <v/>
      </c>
    </row>
    <row r="877" ht="15.75" customHeight="1">
      <c r="N877" s="4"/>
      <c r="P877" s="23"/>
      <c r="Q877" s="23" t="str">
        <f t="shared" si="1"/>
        <v/>
      </c>
      <c r="R877" s="4"/>
      <c r="S877" s="4" t="str">
        <f t="shared" si="2"/>
        <v/>
      </c>
    </row>
    <row r="878" ht="15.75" customHeight="1">
      <c r="N878" s="4"/>
      <c r="P878" s="23"/>
      <c r="Q878" s="23" t="str">
        <f t="shared" si="1"/>
        <v/>
      </c>
      <c r="R878" s="4"/>
      <c r="S878" s="4" t="str">
        <f t="shared" si="2"/>
        <v/>
      </c>
    </row>
    <row r="879" ht="15.75" customHeight="1">
      <c r="N879" s="4"/>
      <c r="P879" s="23"/>
      <c r="Q879" s="23" t="str">
        <f t="shared" si="1"/>
        <v/>
      </c>
      <c r="R879" s="4"/>
      <c r="S879" s="4" t="str">
        <f t="shared" si="2"/>
        <v/>
      </c>
    </row>
    <row r="880" ht="15.75" customHeight="1">
      <c r="N880" s="4"/>
      <c r="P880" s="23"/>
      <c r="Q880" s="23" t="str">
        <f t="shared" si="1"/>
        <v/>
      </c>
      <c r="R880" s="4"/>
      <c r="S880" s="4" t="str">
        <f t="shared" si="2"/>
        <v/>
      </c>
    </row>
    <row r="881" ht="15.75" customHeight="1">
      <c r="N881" s="4"/>
      <c r="P881" s="23"/>
      <c r="Q881" s="23" t="str">
        <f t="shared" si="1"/>
        <v/>
      </c>
      <c r="R881" s="4"/>
      <c r="S881" s="4" t="str">
        <f t="shared" si="2"/>
        <v/>
      </c>
    </row>
    <row r="882" ht="15.75" customHeight="1">
      <c r="N882" s="4"/>
      <c r="P882" s="23"/>
      <c r="Q882" s="23" t="str">
        <f t="shared" si="1"/>
        <v/>
      </c>
      <c r="R882" s="4"/>
      <c r="S882" s="4" t="str">
        <f t="shared" si="2"/>
        <v/>
      </c>
    </row>
    <row r="883" ht="15.75" customHeight="1">
      <c r="N883" s="4"/>
      <c r="P883" s="23"/>
      <c r="Q883" s="23" t="str">
        <f t="shared" si="1"/>
        <v/>
      </c>
      <c r="R883" s="4"/>
      <c r="S883" s="4" t="str">
        <f t="shared" si="2"/>
        <v/>
      </c>
    </row>
    <row r="884" ht="15.75" customHeight="1">
      <c r="N884" s="4"/>
      <c r="P884" s="23"/>
      <c r="Q884" s="23" t="str">
        <f t="shared" si="1"/>
        <v/>
      </c>
      <c r="R884" s="4"/>
      <c r="S884" s="4" t="str">
        <f t="shared" si="2"/>
        <v/>
      </c>
    </row>
    <row r="885" ht="15.75" customHeight="1">
      <c r="N885" s="4"/>
      <c r="P885" s="23"/>
      <c r="Q885" s="23" t="str">
        <f t="shared" si="1"/>
        <v/>
      </c>
      <c r="R885" s="4"/>
      <c r="S885" s="4" t="str">
        <f t="shared" si="2"/>
        <v/>
      </c>
    </row>
    <row r="886" ht="15.75" customHeight="1">
      <c r="N886" s="4"/>
      <c r="P886" s="23"/>
      <c r="Q886" s="23" t="str">
        <f t="shared" si="1"/>
        <v/>
      </c>
      <c r="R886" s="4"/>
      <c r="S886" s="4" t="str">
        <f t="shared" si="2"/>
        <v/>
      </c>
    </row>
    <row r="887" ht="15.75" customHeight="1">
      <c r="N887" s="4"/>
      <c r="P887" s="23"/>
      <c r="Q887" s="23" t="str">
        <f t="shared" si="1"/>
        <v/>
      </c>
      <c r="R887" s="4"/>
      <c r="S887" s="4" t="str">
        <f t="shared" si="2"/>
        <v/>
      </c>
    </row>
    <row r="888" ht="15.75" customHeight="1">
      <c r="N888" s="4"/>
      <c r="P888" s="23"/>
      <c r="Q888" s="23" t="str">
        <f t="shared" si="1"/>
        <v/>
      </c>
      <c r="R888" s="4"/>
      <c r="S888" s="4" t="str">
        <f t="shared" si="2"/>
        <v/>
      </c>
    </row>
    <row r="889" ht="15.75" customHeight="1">
      <c r="N889" s="4"/>
      <c r="P889" s="23"/>
      <c r="Q889" s="23" t="str">
        <f t="shared" si="1"/>
        <v/>
      </c>
      <c r="R889" s="4"/>
      <c r="S889" s="4" t="str">
        <f t="shared" si="2"/>
        <v/>
      </c>
    </row>
    <row r="890" ht="15.75" customHeight="1">
      <c r="N890" s="4"/>
      <c r="P890" s="23"/>
      <c r="Q890" s="23" t="str">
        <f t="shared" si="1"/>
        <v/>
      </c>
      <c r="R890" s="4"/>
      <c r="S890" s="4" t="str">
        <f t="shared" si="2"/>
        <v/>
      </c>
    </row>
    <row r="891" ht="15.75" customHeight="1">
      <c r="N891" s="4"/>
      <c r="P891" s="23"/>
      <c r="Q891" s="23" t="str">
        <f t="shared" si="1"/>
        <v/>
      </c>
      <c r="R891" s="4"/>
      <c r="S891" s="4" t="str">
        <f t="shared" si="2"/>
        <v/>
      </c>
    </row>
    <row r="892" ht="15.75" customHeight="1">
      <c r="N892" s="4"/>
      <c r="P892" s="23"/>
      <c r="Q892" s="23" t="str">
        <f t="shared" si="1"/>
        <v/>
      </c>
      <c r="R892" s="4"/>
      <c r="S892" s="4" t="str">
        <f t="shared" si="2"/>
        <v/>
      </c>
    </row>
    <row r="893" ht="15.75" customHeight="1">
      <c r="N893" s="4"/>
      <c r="P893" s="23"/>
      <c r="Q893" s="23" t="str">
        <f t="shared" si="1"/>
        <v/>
      </c>
      <c r="R893" s="4"/>
      <c r="S893" s="4" t="str">
        <f t="shared" si="2"/>
        <v/>
      </c>
    </row>
    <row r="894" ht="15.75" customHeight="1">
      <c r="N894" s="4"/>
      <c r="P894" s="23"/>
      <c r="Q894" s="23" t="str">
        <f t="shared" si="1"/>
        <v/>
      </c>
      <c r="R894" s="4"/>
      <c r="S894" s="4" t="str">
        <f t="shared" si="2"/>
        <v/>
      </c>
    </row>
    <row r="895" ht="15.75" customHeight="1">
      <c r="N895" s="4"/>
      <c r="P895" s="23"/>
      <c r="Q895" s="23" t="str">
        <f t="shared" si="1"/>
        <v/>
      </c>
      <c r="R895" s="4"/>
      <c r="S895" s="4" t="str">
        <f t="shared" si="2"/>
        <v/>
      </c>
    </row>
    <row r="896" ht="15.75" customHeight="1">
      <c r="N896" s="4"/>
      <c r="P896" s="23"/>
      <c r="Q896" s="23" t="str">
        <f t="shared" si="1"/>
        <v/>
      </c>
      <c r="R896" s="4"/>
      <c r="S896" s="4" t="str">
        <f t="shared" si="2"/>
        <v/>
      </c>
    </row>
    <row r="897" ht="15.75" customHeight="1">
      <c r="N897" s="4"/>
      <c r="P897" s="23"/>
      <c r="Q897" s="23" t="str">
        <f t="shared" si="1"/>
        <v/>
      </c>
      <c r="R897" s="4"/>
      <c r="S897" s="4" t="str">
        <f t="shared" si="2"/>
        <v/>
      </c>
    </row>
    <row r="898" ht="15.75" customHeight="1">
      <c r="N898" s="4"/>
      <c r="P898" s="23"/>
      <c r="Q898" s="23" t="str">
        <f t="shared" si="1"/>
        <v/>
      </c>
      <c r="R898" s="4"/>
      <c r="S898" s="4" t="str">
        <f t="shared" si="2"/>
        <v/>
      </c>
    </row>
    <row r="899" ht="15.75" customHeight="1">
      <c r="N899" s="4"/>
      <c r="P899" s="23"/>
      <c r="Q899" s="23" t="str">
        <f t="shared" si="1"/>
        <v/>
      </c>
      <c r="R899" s="4"/>
      <c r="S899" s="4" t="str">
        <f t="shared" si="2"/>
        <v/>
      </c>
    </row>
    <row r="900" ht="15.75" customHeight="1">
      <c r="N900" s="4"/>
      <c r="P900" s="23"/>
      <c r="Q900" s="23" t="str">
        <f t="shared" si="1"/>
        <v/>
      </c>
      <c r="R900" s="4"/>
      <c r="S900" s="4" t="str">
        <f t="shared" si="2"/>
        <v/>
      </c>
    </row>
    <row r="901" ht="15.75" customHeight="1">
      <c r="N901" s="4"/>
      <c r="P901" s="23"/>
      <c r="Q901" s="23" t="str">
        <f t="shared" si="1"/>
        <v/>
      </c>
      <c r="R901" s="4"/>
      <c r="S901" s="4" t="str">
        <f t="shared" si="2"/>
        <v/>
      </c>
    </row>
    <row r="902" ht="15.75" customHeight="1">
      <c r="N902" s="4"/>
      <c r="P902" s="23"/>
      <c r="Q902" s="23" t="str">
        <f t="shared" si="1"/>
        <v/>
      </c>
      <c r="R902" s="4"/>
      <c r="S902" s="4" t="str">
        <f t="shared" si="2"/>
        <v/>
      </c>
    </row>
    <row r="903" ht="15.75" customHeight="1">
      <c r="N903" s="4"/>
      <c r="P903" s="23"/>
      <c r="Q903" s="23" t="str">
        <f t="shared" si="1"/>
        <v/>
      </c>
      <c r="R903" s="4"/>
      <c r="S903" s="4" t="str">
        <f t="shared" si="2"/>
        <v/>
      </c>
    </row>
    <row r="904" ht="15.75" customHeight="1">
      <c r="N904" s="4"/>
      <c r="P904" s="23"/>
      <c r="Q904" s="23" t="str">
        <f t="shared" si="1"/>
        <v/>
      </c>
      <c r="R904" s="4"/>
      <c r="S904" s="4" t="str">
        <f t="shared" si="2"/>
        <v/>
      </c>
    </row>
    <row r="905" ht="15.75" customHeight="1">
      <c r="N905" s="4"/>
      <c r="P905" s="23"/>
      <c r="Q905" s="23" t="str">
        <f t="shared" si="1"/>
        <v/>
      </c>
      <c r="R905" s="4"/>
      <c r="S905" s="4" t="str">
        <f t="shared" si="2"/>
        <v/>
      </c>
    </row>
    <row r="906" ht="15.75" customHeight="1">
      <c r="N906" s="4"/>
      <c r="P906" s="23"/>
      <c r="Q906" s="23" t="str">
        <f t="shared" si="1"/>
        <v/>
      </c>
      <c r="R906" s="4"/>
      <c r="S906" s="4" t="str">
        <f t="shared" si="2"/>
        <v/>
      </c>
    </row>
    <row r="907" ht="15.75" customHeight="1">
      <c r="N907" s="4"/>
      <c r="P907" s="23"/>
      <c r="Q907" s="23" t="str">
        <f t="shared" si="1"/>
        <v/>
      </c>
      <c r="R907" s="4"/>
      <c r="S907" s="4" t="str">
        <f t="shared" si="2"/>
        <v/>
      </c>
    </row>
    <row r="908" ht="15.75" customHeight="1">
      <c r="N908" s="4"/>
      <c r="P908" s="23"/>
      <c r="Q908" s="23" t="str">
        <f t="shared" si="1"/>
        <v/>
      </c>
      <c r="R908" s="4"/>
      <c r="S908" s="4" t="str">
        <f t="shared" si="2"/>
        <v/>
      </c>
    </row>
    <row r="909" ht="15.75" customHeight="1">
      <c r="N909" s="4"/>
      <c r="P909" s="23"/>
      <c r="Q909" s="23" t="str">
        <f t="shared" si="1"/>
        <v/>
      </c>
      <c r="R909" s="4"/>
      <c r="S909" s="4" t="str">
        <f t="shared" si="2"/>
        <v/>
      </c>
    </row>
    <row r="910" ht="15.75" customHeight="1">
      <c r="N910" s="4"/>
      <c r="P910" s="23"/>
      <c r="Q910" s="23" t="str">
        <f t="shared" si="1"/>
        <v/>
      </c>
      <c r="R910" s="4"/>
      <c r="S910" s="4" t="str">
        <f t="shared" si="2"/>
        <v/>
      </c>
    </row>
    <row r="911" ht="15.75" customHeight="1">
      <c r="N911" s="4"/>
      <c r="P911" s="23"/>
      <c r="Q911" s="23" t="str">
        <f t="shared" si="1"/>
        <v/>
      </c>
      <c r="R911" s="4"/>
      <c r="S911" s="4" t="str">
        <f t="shared" si="2"/>
        <v/>
      </c>
    </row>
    <row r="912" ht="15.75" customHeight="1">
      <c r="N912" s="4"/>
      <c r="P912" s="23"/>
      <c r="Q912" s="23" t="str">
        <f t="shared" si="1"/>
        <v/>
      </c>
      <c r="R912" s="4"/>
      <c r="S912" s="4" t="str">
        <f t="shared" si="2"/>
        <v/>
      </c>
    </row>
    <row r="913" ht="15.75" customHeight="1">
      <c r="N913" s="4"/>
      <c r="P913" s="23"/>
      <c r="Q913" s="23" t="str">
        <f t="shared" si="1"/>
        <v/>
      </c>
      <c r="R913" s="4"/>
      <c r="S913" s="4" t="str">
        <f t="shared" si="2"/>
        <v/>
      </c>
    </row>
    <row r="914" ht="15.75" customHeight="1">
      <c r="N914" s="4"/>
      <c r="P914" s="23"/>
      <c r="Q914" s="23" t="str">
        <f t="shared" si="1"/>
        <v/>
      </c>
      <c r="R914" s="4"/>
      <c r="S914" s="4" t="str">
        <f t="shared" si="2"/>
        <v/>
      </c>
    </row>
    <row r="915" ht="15.75" customHeight="1">
      <c r="N915" s="4"/>
      <c r="P915" s="23"/>
      <c r="Q915" s="23" t="str">
        <f t="shared" si="1"/>
        <v/>
      </c>
      <c r="R915" s="4"/>
      <c r="S915" s="4" t="str">
        <f t="shared" si="2"/>
        <v/>
      </c>
    </row>
    <row r="916" ht="15.75" customHeight="1">
      <c r="N916" s="4"/>
      <c r="P916" s="23"/>
      <c r="Q916" s="23" t="str">
        <f t="shared" si="1"/>
        <v/>
      </c>
      <c r="R916" s="4"/>
      <c r="S916" s="4" t="str">
        <f t="shared" si="2"/>
        <v/>
      </c>
    </row>
    <row r="917" ht="15.75" customHeight="1">
      <c r="N917" s="4"/>
      <c r="P917" s="23"/>
      <c r="Q917" s="23" t="str">
        <f t="shared" si="1"/>
        <v/>
      </c>
      <c r="R917" s="4"/>
      <c r="S917" s="4" t="str">
        <f t="shared" si="2"/>
        <v/>
      </c>
    </row>
    <row r="918" ht="15.75" customHeight="1">
      <c r="N918" s="4"/>
      <c r="P918" s="23"/>
      <c r="Q918" s="23" t="str">
        <f t="shared" si="1"/>
        <v/>
      </c>
      <c r="R918" s="4"/>
      <c r="S918" s="4" t="str">
        <f t="shared" si="2"/>
        <v/>
      </c>
    </row>
    <row r="919" ht="15.75" customHeight="1">
      <c r="N919" s="4"/>
      <c r="P919" s="23"/>
      <c r="Q919" s="23" t="str">
        <f t="shared" si="1"/>
        <v/>
      </c>
      <c r="R919" s="4"/>
      <c r="S919" s="4" t="str">
        <f t="shared" si="2"/>
        <v/>
      </c>
    </row>
    <row r="920" ht="15.75" customHeight="1">
      <c r="N920" s="4"/>
      <c r="P920" s="23"/>
      <c r="Q920" s="23" t="str">
        <f t="shared" si="1"/>
        <v/>
      </c>
      <c r="R920" s="4"/>
      <c r="S920" s="4" t="str">
        <f t="shared" si="2"/>
        <v/>
      </c>
    </row>
    <row r="921" ht="15.75" customHeight="1">
      <c r="N921" s="4"/>
      <c r="P921" s="23"/>
      <c r="Q921" s="23" t="str">
        <f t="shared" si="1"/>
        <v/>
      </c>
      <c r="R921" s="4"/>
      <c r="S921" s="4" t="str">
        <f t="shared" si="2"/>
        <v/>
      </c>
    </row>
    <row r="922" ht="15.75" customHeight="1">
      <c r="N922" s="4"/>
      <c r="P922" s="23"/>
      <c r="Q922" s="23" t="str">
        <f t="shared" si="1"/>
        <v/>
      </c>
      <c r="R922" s="4"/>
      <c r="S922" s="4" t="str">
        <f t="shared" si="2"/>
        <v/>
      </c>
    </row>
    <row r="923" ht="15.75" customHeight="1">
      <c r="N923" s="4"/>
      <c r="P923" s="23"/>
      <c r="Q923" s="23" t="str">
        <f t="shared" si="1"/>
        <v/>
      </c>
      <c r="R923" s="4"/>
      <c r="S923" s="4" t="str">
        <f t="shared" si="2"/>
        <v/>
      </c>
    </row>
    <row r="924" ht="15.75" customHeight="1">
      <c r="N924" s="4"/>
      <c r="P924" s="23"/>
      <c r="Q924" s="23" t="str">
        <f t="shared" si="1"/>
        <v/>
      </c>
      <c r="R924" s="4"/>
      <c r="S924" s="4" t="str">
        <f t="shared" si="2"/>
        <v/>
      </c>
    </row>
    <row r="925" ht="15.75" customHeight="1">
      <c r="N925" s="4"/>
      <c r="P925" s="23"/>
      <c r="Q925" s="23" t="str">
        <f t="shared" si="1"/>
        <v/>
      </c>
      <c r="R925" s="4"/>
      <c r="S925" s="4" t="str">
        <f t="shared" si="2"/>
        <v/>
      </c>
    </row>
    <row r="926" ht="15.75" customHeight="1">
      <c r="N926" s="4"/>
      <c r="P926" s="23"/>
      <c r="Q926" s="23" t="str">
        <f t="shared" si="1"/>
        <v/>
      </c>
      <c r="R926" s="4"/>
      <c r="S926" s="4" t="str">
        <f t="shared" si="2"/>
        <v/>
      </c>
    </row>
    <row r="927" ht="15.75" customHeight="1">
      <c r="N927" s="4"/>
      <c r="P927" s="23"/>
      <c r="Q927" s="23" t="str">
        <f t="shared" si="1"/>
        <v/>
      </c>
      <c r="R927" s="4"/>
      <c r="S927" s="4" t="str">
        <f t="shared" si="2"/>
        <v/>
      </c>
    </row>
    <row r="928" ht="15.75" customHeight="1">
      <c r="N928" s="4"/>
      <c r="P928" s="23"/>
      <c r="Q928" s="23" t="str">
        <f t="shared" si="1"/>
        <v/>
      </c>
      <c r="R928" s="4"/>
      <c r="S928" s="4" t="str">
        <f t="shared" si="2"/>
        <v/>
      </c>
    </row>
    <row r="929" ht="15.75" customHeight="1">
      <c r="N929" s="4"/>
      <c r="P929" s="23"/>
      <c r="Q929" s="23" t="str">
        <f t="shared" si="1"/>
        <v/>
      </c>
      <c r="R929" s="4"/>
      <c r="S929" s="4" t="str">
        <f t="shared" si="2"/>
        <v/>
      </c>
    </row>
    <row r="930" ht="15.75" customHeight="1">
      <c r="N930" s="4"/>
      <c r="P930" s="23"/>
      <c r="Q930" s="23" t="str">
        <f t="shared" si="1"/>
        <v/>
      </c>
      <c r="R930" s="4"/>
      <c r="S930" s="4" t="str">
        <f t="shared" si="2"/>
        <v/>
      </c>
    </row>
    <row r="931" ht="15.75" customHeight="1">
      <c r="N931" s="4"/>
      <c r="P931" s="23"/>
      <c r="Q931" s="23" t="str">
        <f t="shared" si="1"/>
        <v/>
      </c>
      <c r="R931" s="4"/>
      <c r="S931" s="4" t="str">
        <f t="shared" si="2"/>
        <v/>
      </c>
    </row>
    <row r="932" ht="15.75" customHeight="1">
      <c r="N932" s="4"/>
      <c r="P932" s="23"/>
      <c r="Q932" s="23" t="str">
        <f t="shared" si="1"/>
        <v/>
      </c>
      <c r="R932" s="4"/>
      <c r="S932" s="4" t="str">
        <f t="shared" si="2"/>
        <v/>
      </c>
    </row>
    <row r="933" ht="15.75" customHeight="1">
      <c r="N933" s="4"/>
      <c r="P933" s="23"/>
      <c r="Q933" s="23" t="str">
        <f t="shared" si="1"/>
        <v/>
      </c>
      <c r="R933" s="4"/>
      <c r="S933" s="4" t="str">
        <f t="shared" si="2"/>
        <v/>
      </c>
    </row>
    <row r="934" ht="15.75" customHeight="1">
      <c r="N934" s="4"/>
      <c r="P934" s="23"/>
      <c r="Q934" s="23" t="str">
        <f t="shared" si="1"/>
        <v/>
      </c>
      <c r="R934" s="4"/>
      <c r="S934" s="4" t="str">
        <f t="shared" si="2"/>
        <v/>
      </c>
    </row>
    <row r="935" ht="15.75" customHeight="1">
      <c r="N935" s="4"/>
      <c r="P935" s="23"/>
      <c r="Q935" s="23" t="str">
        <f t="shared" si="1"/>
        <v/>
      </c>
      <c r="R935" s="4"/>
      <c r="S935" s="4" t="str">
        <f t="shared" si="2"/>
        <v/>
      </c>
    </row>
    <row r="936" ht="15.75" customHeight="1">
      <c r="N936" s="4"/>
      <c r="P936" s="23"/>
      <c r="Q936" s="23" t="str">
        <f t="shared" si="1"/>
        <v/>
      </c>
      <c r="R936" s="4"/>
      <c r="S936" s="4" t="str">
        <f t="shared" si="2"/>
        <v/>
      </c>
    </row>
    <row r="937" ht="15.75" customHeight="1">
      <c r="N937" s="4"/>
      <c r="P937" s="23"/>
      <c r="Q937" s="23" t="str">
        <f t="shared" si="1"/>
        <v/>
      </c>
      <c r="R937" s="4"/>
      <c r="S937" s="4" t="str">
        <f t="shared" si="2"/>
        <v/>
      </c>
    </row>
    <row r="938" ht="15.75" customHeight="1">
      <c r="N938" s="4"/>
      <c r="P938" s="23"/>
      <c r="Q938" s="23" t="str">
        <f t="shared" si="1"/>
        <v/>
      </c>
      <c r="R938" s="4"/>
      <c r="S938" s="4" t="str">
        <f t="shared" si="2"/>
        <v/>
      </c>
    </row>
    <row r="939" ht="15.75" customHeight="1">
      <c r="N939" s="4"/>
      <c r="P939" s="23"/>
      <c r="Q939" s="23" t="str">
        <f t="shared" si="1"/>
        <v/>
      </c>
      <c r="R939" s="4"/>
      <c r="S939" s="4" t="str">
        <f t="shared" si="2"/>
        <v/>
      </c>
    </row>
    <row r="940" ht="15.75" customHeight="1">
      <c r="N940" s="4"/>
      <c r="P940" s="23"/>
      <c r="Q940" s="23" t="str">
        <f t="shared" si="1"/>
        <v/>
      </c>
      <c r="R940" s="4"/>
      <c r="S940" s="4" t="str">
        <f t="shared" si="2"/>
        <v/>
      </c>
    </row>
    <row r="941" ht="15.75" customHeight="1">
      <c r="N941" s="4"/>
      <c r="P941" s="23"/>
      <c r="Q941" s="23" t="str">
        <f t="shared" si="1"/>
        <v/>
      </c>
      <c r="R941" s="4"/>
      <c r="S941" s="4" t="str">
        <f t="shared" si="2"/>
        <v/>
      </c>
    </row>
    <row r="942" ht="15.75" customHeight="1">
      <c r="N942" s="4"/>
      <c r="P942" s="23"/>
      <c r="Q942" s="23" t="str">
        <f t="shared" si="1"/>
        <v/>
      </c>
      <c r="R942" s="4"/>
      <c r="S942" s="4" t="str">
        <f t="shared" si="2"/>
        <v/>
      </c>
    </row>
    <row r="943" ht="15.75" customHeight="1">
      <c r="N943" s="4"/>
      <c r="P943" s="23"/>
      <c r="Q943" s="23" t="str">
        <f t="shared" si="1"/>
        <v/>
      </c>
      <c r="R943" s="4"/>
      <c r="S943" s="4" t="str">
        <f t="shared" si="2"/>
        <v/>
      </c>
    </row>
    <row r="944" ht="15.75" customHeight="1">
      <c r="N944" s="4"/>
      <c r="P944" s="23"/>
      <c r="Q944" s="23" t="str">
        <f t="shared" si="1"/>
        <v/>
      </c>
      <c r="R944" s="4"/>
      <c r="S944" s="4" t="str">
        <f t="shared" si="2"/>
        <v/>
      </c>
    </row>
    <row r="945" ht="15.75" customHeight="1">
      <c r="N945" s="4"/>
      <c r="P945" s="23"/>
      <c r="Q945" s="23" t="str">
        <f t="shared" si="1"/>
        <v/>
      </c>
      <c r="R945" s="4"/>
      <c r="S945" s="4" t="str">
        <f t="shared" si="2"/>
        <v/>
      </c>
    </row>
    <row r="946" ht="15.75" customHeight="1">
      <c r="N946" s="4"/>
      <c r="P946" s="23"/>
      <c r="Q946" s="23" t="str">
        <f t="shared" si="1"/>
        <v/>
      </c>
      <c r="R946" s="4"/>
      <c r="S946" s="4" t="str">
        <f t="shared" si="2"/>
        <v/>
      </c>
    </row>
    <row r="947" ht="15.75" customHeight="1">
      <c r="N947" s="4"/>
      <c r="P947" s="23"/>
      <c r="Q947" s="23" t="str">
        <f t="shared" si="1"/>
        <v/>
      </c>
      <c r="R947" s="4"/>
      <c r="S947" s="4" t="str">
        <f t="shared" si="2"/>
        <v/>
      </c>
    </row>
    <row r="948" ht="15.75" customHeight="1">
      <c r="N948" s="4"/>
      <c r="P948" s="23"/>
      <c r="Q948" s="23" t="str">
        <f t="shared" si="1"/>
        <v/>
      </c>
      <c r="R948" s="4"/>
      <c r="S948" s="4" t="str">
        <f t="shared" si="2"/>
        <v/>
      </c>
    </row>
    <row r="949" ht="15.75" customHeight="1">
      <c r="N949" s="4"/>
      <c r="P949" s="23"/>
      <c r="Q949" s="23" t="str">
        <f t="shared" si="1"/>
        <v/>
      </c>
      <c r="R949" s="4"/>
      <c r="S949" s="4" t="str">
        <f t="shared" si="2"/>
        <v/>
      </c>
    </row>
    <row r="950" ht="15.75" customHeight="1">
      <c r="N950" s="4"/>
      <c r="P950" s="23"/>
      <c r="Q950" s="23" t="str">
        <f t="shared" si="1"/>
        <v/>
      </c>
      <c r="R950" s="4"/>
      <c r="S950" s="4" t="str">
        <f t="shared" si="2"/>
        <v/>
      </c>
    </row>
    <row r="951" ht="15.75" customHeight="1">
      <c r="N951" s="4"/>
      <c r="P951" s="23"/>
      <c r="Q951" s="23" t="str">
        <f t="shared" si="1"/>
        <v/>
      </c>
      <c r="R951" s="4"/>
      <c r="S951" s="4" t="str">
        <f t="shared" si="2"/>
        <v/>
      </c>
    </row>
    <row r="952" ht="15.75" customHeight="1">
      <c r="N952" s="4"/>
      <c r="P952" s="23"/>
      <c r="Q952" s="23" t="str">
        <f t="shared" si="1"/>
        <v/>
      </c>
      <c r="R952" s="4"/>
      <c r="S952" s="4" t="str">
        <f t="shared" si="2"/>
        <v/>
      </c>
    </row>
    <row r="953" ht="15.75" customHeight="1">
      <c r="N953" s="4"/>
      <c r="P953" s="23"/>
      <c r="Q953" s="23" t="str">
        <f t="shared" si="1"/>
        <v/>
      </c>
      <c r="R953" s="4"/>
      <c r="S953" s="4" t="str">
        <f t="shared" si="2"/>
        <v/>
      </c>
    </row>
    <row r="954" ht="15.75" customHeight="1">
      <c r="N954" s="4"/>
      <c r="P954" s="23"/>
      <c r="Q954" s="23" t="str">
        <f t="shared" si="1"/>
        <v/>
      </c>
      <c r="R954" s="4"/>
      <c r="S954" s="4" t="str">
        <f t="shared" si="2"/>
        <v/>
      </c>
    </row>
    <row r="955" ht="15.75" customHeight="1">
      <c r="N955" s="4"/>
      <c r="P955" s="23"/>
      <c r="Q955" s="23" t="str">
        <f t="shared" si="1"/>
        <v/>
      </c>
      <c r="R955" s="4"/>
      <c r="S955" s="4" t="str">
        <f t="shared" si="2"/>
        <v/>
      </c>
    </row>
    <row r="956" ht="15.75" customHeight="1">
      <c r="N956" s="4"/>
      <c r="P956" s="23"/>
      <c r="Q956" s="23" t="str">
        <f t="shared" si="1"/>
        <v/>
      </c>
      <c r="R956" s="4"/>
      <c r="S956" s="4" t="str">
        <f t="shared" si="2"/>
        <v/>
      </c>
    </row>
    <row r="957" ht="15.75" customHeight="1">
      <c r="N957" s="4"/>
      <c r="P957" s="23"/>
      <c r="Q957" s="23" t="str">
        <f t="shared" si="1"/>
        <v/>
      </c>
      <c r="R957" s="4"/>
      <c r="S957" s="4" t="str">
        <f t="shared" si="2"/>
        <v/>
      </c>
    </row>
    <row r="958" ht="15.75" customHeight="1">
      <c r="N958" s="4"/>
      <c r="P958" s="23"/>
      <c r="Q958" s="23" t="str">
        <f t="shared" si="1"/>
        <v/>
      </c>
      <c r="R958" s="4"/>
      <c r="S958" s="4" t="str">
        <f t="shared" si="2"/>
        <v/>
      </c>
    </row>
    <row r="959" ht="15.75" customHeight="1">
      <c r="N959" s="4"/>
      <c r="P959" s="23"/>
      <c r="Q959" s="23" t="str">
        <f t="shared" si="1"/>
        <v/>
      </c>
      <c r="R959" s="4"/>
      <c r="S959" s="4" t="str">
        <f t="shared" si="2"/>
        <v/>
      </c>
    </row>
    <row r="960" ht="15.75" customHeight="1">
      <c r="N960" s="4"/>
      <c r="P960" s="23"/>
      <c r="Q960" s="23" t="str">
        <f t="shared" si="1"/>
        <v/>
      </c>
      <c r="R960" s="4"/>
      <c r="S960" s="4" t="str">
        <f t="shared" si="2"/>
        <v/>
      </c>
    </row>
    <row r="961" ht="15.75" customHeight="1">
      <c r="N961" s="4"/>
      <c r="P961" s="23"/>
      <c r="Q961" s="23" t="str">
        <f t="shared" si="1"/>
        <v/>
      </c>
      <c r="R961" s="4"/>
      <c r="S961" s="4" t="str">
        <f t="shared" si="2"/>
        <v/>
      </c>
    </row>
    <row r="962" ht="15.75" customHeight="1">
      <c r="N962" s="4"/>
      <c r="P962" s="23"/>
      <c r="Q962" s="23" t="str">
        <f t="shared" si="1"/>
        <v/>
      </c>
      <c r="R962" s="4"/>
      <c r="S962" s="4" t="str">
        <f t="shared" si="2"/>
        <v/>
      </c>
    </row>
    <row r="963" ht="15.75" customHeight="1">
      <c r="N963" s="4"/>
      <c r="P963" s="23"/>
      <c r="Q963" s="23" t="str">
        <f t="shared" si="1"/>
        <v/>
      </c>
      <c r="R963" s="4"/>
      <c r="S963" s="4" t="str">
        <f t="shared" si="2"/>
        <v/>
      </c>
    </row>
    <row r="964" ht="15.75" customHeight="1">
      <c r="N964" s="4"/>
      <c r="P964" s="23"/>
      <c r="Q964" s="23" t="str">
        <f t="shared" si="1"/>
        <v/>
      </c>
      <c r="R964" s="4"/>
      <c r="S964" s="4" t="str">
        <f t="shared" si="2"/>
        <v/>
      </c>
    </row>
    <row r="965" ht="15.75" customHeight="1">
      <c r="N965" s="4"/>
      <c r="P965" s="23"/>
      <c r="Q965" s="23" t="str">
        <f t="shared" si="1"/>
        <v/>
      </c>
      <c r="R965" s="4"/>
      <c r="S965" s="4" t="str">
        <f t="shared" si="2"/>
        <v/>
      </c>
    </row>
    <row r="966" ht="15.75" customHeight="1">
      <c r="N966" s="4"/>
      <c r="P966" s="23"/>
      <c r="Q966" s="23" t="str">
        <f t="shared" si="1"/>
        <v/>
      </c>
      <c r="R966" s="4"/>
      <c r="S966" s="4" t="str">
        <f t="shared" si="2"/>
        <v/>
      </c>
    </row>
    <row r="967" ht="15.75" customHeight="1">
      <c r="N967" s="4"/>
      <c r="P967" s="23"/>
      <c r="Q967" s="23" t="str">
        <f t="shared" si="1"/>
        <v/>
      </c>
      <c r="R967" s="4"/>
      <c r="S967" s="4" t="str">
        <f t="shared" si="2"/>
        <v/>
      </c>
    </row>
    <row r="968" ht="15.75" customHeight="1">
      <c r="N968" s="4"/>
      <c r="P968" s="23"/>
      <c r="Q968" s="23" t="str">
        <f t="shared" si="1"/>
        <v/>
      </c>
      <c r="R968" s="4"/>
      <c r="S968" s="4" t="str">
        <f t="shared" si="2"/>
        <v/>
      </c>
    </row>
    <row r="969" ht="15.75" customHeight="1">
      <c r="N969" s="4"/>
      <c r="P969" s="23"/>
      <c r="Q969" s="23" t="str">
        <f t="shared" si="1"/>
        <v/>
      </c>
      <c r="R969" s="4"/>
      <c r="S969" s="4" t="str">
        <f t="shared" si="2"/>
        <v/>
      </c>
    </row>
    <row r="970" ht="15.75" customHeight="1">
      <c r="N970" s="4"/>
      <c r="P970" s="23"/>
      <c r="Q970" s="23" t="str">
        <f t="shared" si="1"/>
        <v/>
      </c>
      <c r="R970" s="4"/>
      <c r="S970" s="4" t="str">
        <f t="shared" si="2"/>
        <v/>
      </c>
    </row>
    <row r="971" ht="15.75" customHeight="1">
      <c r="N971" s="4"/>
      <c r="P971" s="23"/>
      <c r="Q971" s="23" t="str">
        <f t="shared" si="1"/>
        <v/>
      </c>
      <c r="R971" s="4"/>
      <c r="S971" s="4" t="str">
        <f t="shared" si="2"/>
        <v/>
      </c>
    </row>
    <row r="972" ht="15.75" customHeight="1">
      <c r="N972" s="4"/>
      <c r="P972" s="23"/>
      <c r="Q972" s="23" t="str">
        <f t="shared" si="1"/>
        <v/>
      </c>
      <c r="R972" s="4"/>
      <c r="S972" s="4" t="str">
        <f t="shared" si="2"/>
        <v/>
      </c>
    </row>
    <row r="973" ht="15.75" customHeight="1">
      <c r="N973" s="4"/>
      <c r="P973" s="23"/>
      <c r="Q973" s="23" t="str">
        <f t="shared" si="1"/>
        <v/>
      </c>
      <c r="R973" s="4"/>
      <c r="S973" s="4" t="str">
        <f t="shared" si="2"/>
        <v/>
      </c>
    </row>
    <row r="974" ht="15.75" customHeight="1">
      <c r="N974" s="4"/>
      <c r="P974" s="23"/>
      <c r="Q974" s="23" t="str">
        <f t="shared" si="1"/>
        <v/>
      </c>
      <c r="R974" s="4"/>
      <c r="S974" s="4" t="str">
        <f t="shared" si="2"/>
        <v/>
      </c>
    </row>
    <row r="975" ht="15.75" customHeight="1">
      <c r="N975" s="4"/>
      <c r="P975" s="23"/>
      <c r="Q975" s="23" t="str">
        <f t="shared" si="1"/>
        <v/>
      </c>
      <c r="R975" s="4"/>
      <c r="S975" s="4" t="str">
        <f t="shared" si="2"/>
        <v/>
      </c>
    </row>
    <row r="976" ht="15.75" customHeight="1">
      <c r="N976" s="4"/>
      <c r="P976" s="23"/>
      <c r="Q976" s="23" t="str">
        <f t="shared" si="1"/>
        <v/>
      </c>
      <c r="R976" s="4"/>
      <c r="S976" s="4" t="str">
        <f t="shared" si="2"/>
        <v/>
      </c>
    </row>
    <row r="977" ht="15.75" customHeight="1">
      <c r="N977" s="4"/>
      <c r="P977" s="23"/>
      <c r="Q977" s="23" t="str">
        <f t="shared" si="1"/>
        <v/>
      </c>
      <c r="R977" s="4"/>
      <c r="S977" s="4" t="str">
        <f t="shared" si="2"/>
        <v/>
      </c>
    </row>
    <row r="978" ht="15.75" customHeight="1">
      <c r="N978" s="4"/>
      <c r="P978" s="23"/>
      <c r="Q978" s="23" t="str">
        <f t="shared" si="1"/>
        <v/>
      </c>
      <c r="R978" s="4"/>
      <c r="S978" s="4" t="str">
        <f t="shared" si="2"/>
        <v/>
      </c>
    </row>
    <row r="979" ht="15.75" customHeight="1">
      <c r="N979" s="4"/>
      <c r="P979" s="23"/>
      <c r="Q979" s="23" t="str">
        <f t="shared" si="1"/>
        <v/>
      </c>
      <c r="R979" s="4"/>
      <c r="S979" s="4" t="str">
        <f t="shared" si="2"/>
        <v/>
      </c>
    </row>
    <row r="980" ht="15.75" customHeight="1">
      <c r="N980" s="4"/>
      <c r="P980" s="23"/>
      <c r="Q980" s="23" t="str">
        <f t="shared" si="1"/>
        <v/>
      </c>
      <c r="R980" s="4"/>
      <c r="S980" s="4" t="str">
        <f t="shared" si="2"/>
        <v/>
      </c>
    </row>
    <row r="981" ht="15.75" customHeight="1">
      <c r="N981" s="4"/>
      <c r="P981" s="23"/>
      <c r="Q981" s="23" t="str">
        <f t="shared" si="1"/>
        <v/>
      </c>
      <c r="R981" s="4"/>
      <c r="S981" s="4" t="str">
        <f t="shared" si="2"/>
        <v/>
      </c>
    </row>
    <row r="982" ht="15.75" customHeight="1">
      <c r="N982" s="4"/>
      <c r="P982" s="23"/>
      <c r="Q982" s="23" t="str">
        <f t="shared" si="1"/>
        <v/>
      </c>
      <c r="R982" s="4"/>
      <c r="S982" s="4" t="str">
        <f t="shared" si="2"/>
        <v/>
      </c>
    </row>
    <row r="983" ht="15.75" customHeight="1">
      <c r="N983" s="4"/>
      <c r="P983" s="23"/>
      <c r="Q983" s="23" t="str">
        <f t="shared" si="1"/>
        <v/>
      </c>
      <c r="R983" s="4"/>
      <c r="S983" s="4" t="str">
        <f t="shared" si="2"/>
        <v/>
      </c>
    </row>
    <row r="984" ht="15.75" customHeight="1">
      <c r="N984" s="4"/>
      <c r="P984" s="23"/>
      <c r="Q984" s="23" t="str">
        <f t="shared" si="1"/>
        <v/>
      </c>
      <c r="R984" s="4"/>
      <c r="S984" s="4" t="str">
        <f t="shared" si="2"/>
        <v/>
      </c>
    </row>
    <row r="985" ht="15.75" customHeight="1">
      <c r="N985" s="4"/>
      <c r="P985" s="23"/>
      <c r="Q985" s="23" t="str">
        <f t="shared" si="1"/>
        <v/>
      </c>
      <c r="R985" s="4"/>
      <c r="S985" s="4" t="str">
        <f t="shared" si="2"/>
        <v/>
      </c>
    </row>
    <row r="986" ht="15.75" customHeight="1">
      <c r="N986" s="4"/>
      <c r="P986" s="23"/>
      <c r="Q986" s="23" t="str">
        <f t="shared" si="1"/>
        <v/>
      </c>
      <c r="R986" s="4"/>
      <c r="S986" s="4" t="str">
        <f t="shared" si="2"/>
        <v/>
      </c>
    </row>
    <row r="987" ht="15.75" customHeight="1">
      <c r="N987" s="4"/>
      <c r="P987" s="23"/>
      <c r="Q987" s="23" t="str">
        <f t="shared" si="1"/>
        <v/>
      </c>
      <c r="R987" s="4"/>
      <c r="S987" s="4" t="str">
        <f t="shared" si="2"/>
        <v/>
      </c>
    </row>
    <row r="988" ht="15.75" customHeight="1">
      <c r="N988" s="4"/>
      <c r="P988" s="23"/>
      <c r="Q988" s="23" t="str">
        <f t="shared" si="1"/>
        <v/>
      </c>
      <c r="R988" s="4"/>
      <c r="S988" s="4" t="str">
        <f t="shared" si="2"/>
        <v/>
      </c>
    </row>
    <row r="989" ht="15.75" customHeight="1">
      <c r="N989" s="4"/>
      <c r="P989" s="23"/>
      <c r="Q989" s="23" t="str">
        <f t="shared" si="1"/>
        <v/>
      </c>
      <c r="R989" s="4"/>
      <c r="S989" s="4" t="str">
        <f t="shared" si="2"/>
        <v/>
      </c>
    </row>
    <row r="990" ht="15.75" customHeight="1">
      <c r="N990" s="4"/>
      <c r="P990" s="23"/>
      <c r="Q990" s="23" t="str">
        <f t="shared" si="1"/>
        <v/>
      </c>
      <c r="R990" s="4"/>
      <c r="S990" s="4" t="str">
        <f t="shared" si="2"/>
        <v/>
      </c>
    </row>
    <row r="991" ht="15.75" customHeight="1">
      <c r="N991" s="4"/>
      <c r="P991" s="23"/>
      <c r="Q991" s="23" t="str">
        <f t="shared" si="1"/>
        <v/>
      </c>
      <c r="R991" s="4"/>
      <c r="S991" s="4" t="str">
        <f t="shared" si="2"/>
        <v/>
      </c>
    </row>
    <row r="992" ht="15.75" customHeight="1">
      <c r="N992" s="4"/>
      <c r="P992" s="23"/>
      <c r="Q992" s="23" t="str">
        <f t="shared" si="1"/>
        <v/>
      </c>
      <c r="R992" s="4"/>
      <c r="S992" s="4" t="str">
        <f t="shared" si="2"/>
        <v/>
      </c>
    </row>
    <row r="993" ht="15.75" customHeight="1">
      <c r="N993" s="4"/>
      <c r="P993" s="23"/>
      <c r="Q993" s="23" t="str">
        <f t="shared" si="1"/>
        <v/>
      </c>
      <c r="R993" s="4"/>
      <c r="S993" s="4" t="str">
        <f t="shared" si="2"/>
        <v/>
      </c>
    </row>
    <row r="994" ht="15.75" customHeight="1">
      <c r="N994" s="4"/>
      <c r="P994" s="23"/>
      <c r="Q994" s="23" t="str">
        <f t="shared" si="1"/>
        <v/>
      </c>
      <c r="R994" s="4"/>
      <c r="S994" s="4" t="str">
        <f t="shared" si="2"/>
        <v/>
      </c>
    </row>
    <row r="995" ht="15.75" customHeight="1">
      <c r="N995" s="4"/>
      <c r="P995" s="23"/>
      <c r="Q995" s="23" t="str">
        <f t="shared" si="1"/>
        <v/>
      </c>
      <c r="R995" s="4"/>
      <c r="S995" s="4" t="str">
        <f t="shared" si="2"/>
        <v/>
      </c>
    </row>
    <row r="996" ht="15.75" customHeight="1">
      <c r="N996" s="4"/>
      <c r="P996" s="23"/>
      <c r="Q996" s="23" t="str">
        <f t="shared" si="1"/>
        <v/>
      </c>
      <c r="R996" s="4"/>
      <c r="S996" s="4" t="str">
        <f t="shared" si="2"/>
        <v/>
      </c>
    </row>
    <row r="997" ht="15.75" customHeight="1">
      <c r="N997" s="4"/>
      <c r="P997" s="23"/>
      <c r="Q997" s="23" t="str">
        <f t="shared" si="1"/>
        <v/>
      </c>
      <c r="R997" s="4"/>
      <c r="S997" s="4" t="str">
        <f t="shared" si="2"/>
        <v/>
      </c>
    </row>
    <row r="998" ht="15.75" customHeight="1">
      <c r="N998" s="4"/>
      <c r="P998" s="23"/>
      <c r="Q998" s="23" t="str">
        <f t="shared" si="1"/>
        <v/>
      </c>
      <c r="R998" s="4"/>
      <c r="S998" s="4" t="str">
        <f t="shared" si="2"/>
        <v/>
      </c>
    </row>
    <row r="999" ht="15.75" customHeight="1">
      <c r="N999" s="4"/>
      <c r="P999" s="23"/>
      <c r="Q999" s="23" t="str">
        <f t="shared" si="1"/>
        <v/>
      </c>
      <c r="R999" s="4"/>
      <c r="S999" s="4" t="str">
        <f t="shared" si="2"/>
        <v/>
      </c>
    </row>
    <row r="1000" ht="15.75" customHeight="1">
      <c r="N1000" s="4"/>
      <c r="P1000" s="23"/>
      <c r="Q1000" s="23" t="str">
        <f t="shared" si="1"/>
        <v/>
      </c>
      <c r="R1000" s="4"/>
      <c r="S1000" s="4" t="str">
        <f t="shared" si="2"/>
        <v/>
      </c>
    </row>
  </sheetData>
  <conditionalFormatting sqref="F2:F1000">
    <cfRule type="cellIs" dxfId="8" priority="1" stopIfTrue="1" operator="lessThan">
      <formula>0</formula>
    </cfRule>
  </conditionalFormatting>
  <conditionalFormatting sqref="A2:Z1000">
    <cfRule type="expression" dxfId="9" priority="2">
      <formula>$N2="照合済"</formula>
    </cfRule>
  </conditionalFormatting>
  <conditionalFormatting sqref="A2:Z1000">
    <cfRule type="expression" dxfId="10" priority="3">
      <formula>$N2="要確認"</formula>
    </cfRule>
  </conditionalFormatting>
  <conditionalFormatting sqref="R2:R1000">
    <cfRule type="cellIs" dxfId="11" priority="4" stopIfTrue="1" operator="equal">
      <formula>"入金済"</formula>
    </cfRule>
  </conditionalFormatting>
  <conditionalFormatting sqref="R2:R1000">
    <cfRule type="cellIs" dxfId="12" priority="5" stopIfTrue="1" operator="equal">
      <formula>"一部入金"</formula>
    </cfRule>
  </conditionalFormatting>
  <conditionalFormatting sqref="R2:R1000">
    <cfRule type="cellIs" dxfId="13" priority="6" stopIfTrue="1" operator="equal">
      <formula>"要確認"</formula>
    </cfRule>
  </conditionalFormatting>
  <conditionalFormatting sqref="S2:S1000">
    <cfRule type="cellIs" dxfId="14" priority="7" stopIfTrue="1" operator="equal">
      <formula>"期限間近"</formula>
    </cfRule>
  </conditionalFormatting>
  <conditionalFormatting sqref="S2:S1000">
    <cfRule type="cellIs" dxfId="15" priority="8" stopIfTrue="1" operator="equal">
      <formula>"期限超過"</formula>
    </cfRule>
  </conditionalFormatting>
  <dataValidations>
    <dataValidation type="list" allowBlank="1" showInputMessage="1" showErrorMessage="1" prompt="入金状況を選択してください" sqref="R2:R1000">
      <formula1>"未入金,一部入金,入金済,要確認,保留"</formula1>
    </dataValidation>
    <dataValidation type="list" allowBlank="1" sqref="N2:N1000">
      <formula1>"未照合,照合済,要確認"</formula1>
    </dataValidation>
  </dataValidations>
  <hyperlinks>
    <hyperlink r:id="rId1" ref="I2"/>
    <hyperlink r:id="rId2" ref="I3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ySplit="1.0" topLeftCell="I2" activePane="bottomRight" state="frozen"/>
      <selection activeCell="I1" sqref="I1" pane="topRight"/>
      <selection activeCell="A2" sqref="A2" pane="bottomLeft"/>
      <selection activeCell="I2" sqref="I2" pane="bottomRight"/>
    </sheetView>
  </sheetViews>
  <sheetFormatPr customHeight="1" defaultColWidth="12.63" defaultRowHeight="15.0"/>
  <cols>
    <col customWidth="1" min="1" max="1" width="13.25"/>
    <col customWidth="1" min="2" max="2" width="23.75"/>
    <col customWidth="1" hidden="1" min="3" max="4" width="13.25"/>
    <col customWidth="1" min="5" max="8" width="13.25"/>
    <col customWidth="1" min="12" max="13" width="13.25"/>
  </cols>
  <sheetData>
    <row r="1" ht="15.75" customHeight="1">
      <c r="A1" s="29" t="s">
        <v>128</v>
      </c>
      <c r="B1" s="29" t="s">
        <v>129</v>
      </c>
      <c r="C1" s="29" t="s">
        <v>131</v>
      </c>
      <c r="D1" s="29" t="s">
        <v>132</v>
      </c>
      <c r="E1" s="29" t="s">
        <v>133</v>
      </c>
      <c r="F1" s="29" t="s">
        <v>122</v>
      </c>
      <c r="G1" s="30" t="s">
        <v>150</v>
      </c>
      <c r="H1" s="29" t="s">
        <v>71</v>
      </c>
      <c r="I1" s="29" t="s">
        <v>68</v>
      </c>
      <c r="J1" s="29" t="s">
        <v>70</v>
      </c>
      <c r="K1" s="29" t="s">
        <v>69</v>
      </c>
      <c r="L1" s="29" t="s">
        <v>134</v>
      </c>
      <c r="M1" s="29" t="s">
        <v>135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ht="15.75" customHeight="1">
      <c r="A2" s="31">
        <v>46116.0</v>
      </c>
      <c r="B2" s="32" t="s">
        <v>151</v>
      </c>
      <c r="C2" s="33">
        <v>0.0</v>
      </c>
      <c r="D2" s="34">
        <v>0.0</v>
      </c>
      <c r="E2" s="33">
        <v>10000.0</v>
      </c>
      <c r="F2" s="32" t="s">
        <v>47</v>
      </c>
      <c r="G2" s="35" t="s">
        <v>152</v>
      </c>
      <c r="H2" s="36">
        <f>IFERROR(__xludf.DUMMYFUNCTION("IF(ISDATE(A2), IF(DAY(A2)&lt;15, DATE(YEAR(A2), MONTH(A2), 1), DATE(YEAR(A2), MONTH(A2)+1, 1)), """")"),46113.0)</f>
        <v>46113</v>
      </c>
      <c r="I2" s="37" t="s">
        <v>79</v>
      </c>
      <c r="J2" s="38"/>
      <c r="K2" s="38"/>
      <c r="L2" s="38" t="s">
        <v>153</v>
      </c>
      <c r="M2" s="39" t="s">
        <v>154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ht="15.75" customHeight="1">
      <c r="A3" s="31">
        <v>46118.0</v>
      </c>
      <c r="B3" s="32" t="s">
        <v>155</v>
      </c>
      <c r="C3" s="33">
        <v>0.0</v>
      </c>
      <c r="D3" s="34">
        <v>0.0</v>
      </c>
      <c r="E3" s="33">
        <v>273226.0</v>
      </c>
      <c r="F3" s="32" t="s">
        <v>47</v>
      </c>
      <c r="G3" s="35" t="s">
        <v>152</v>
      </c>
      <c r="H3" s="36">
        <f>IFERROR(__xludf.DUMMYFUNCTION("IF(ISDATE(A3), IF(DAY(A3)&lt;15, DATE(YEAR(A3), MONTH(A3), 1), DATE(YEAR(A3), MONTH(A3)+1, 1)), """")"),46113.0)</f>
        <v>46113</v>
      </c>
      <c r="I3" s="38" t="s">
        <v>156</v>
      </c>
      <c r="J3" s="40" t="s">
        <v>157</v>
      </c>
      <c r="K3" s="38" t="s">
        <v>158</v>
      </c>
      <c r="L3" s="38" t="s">
        <v>159</v>
      </c>
      <c r="M3" s="39" t="s">
        <v>160</v>
      </c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ht="15.75" customHeight="1">
      <c r="A4" s="31">
        <v>46118.0</v>
      </c>
      <c r="B4" s="38" t="s">
        <v>161</v>
      </c>
      <c r="C4" s="33">
        <v>0.0</v>
      </c>
      <c r="D4" s="33">
        <v>0.0</v>
      </c>
      <c r="E4" s="33">
        <v>268985.0</v>
      </c>
      <c r="F4" s="32" t="s">
        <v>47</v>
      </c>
      <c r="G4" s="35" t="s">
        <v>162</v>
      </c>
      <c r="H4" s="36">
        <f>IFERROR(__xludf.DUMMYFUNCTION("IF(ISDATE(A4), IF(DAY(A4)&lt;15, DATE(YEAR(A4), MONTH(A4), 1), DATE(YEAR(A4), MONTH(A4)+1, 1)), """")"),46113.0)</f>
        <v>46113</v>
      </c>
      <c r="I4" s="38" t="s">
        <v>156</v>
      </c>
      <c r="J4" s="40" t="s">
        <v>163</v>
      </c>
      <c r="K4" s="38" t="s">
        <v>164</v>
      </c>
      <c r="L4" s="38" t="s">
        <v>165</v>
      </c>
      <c r="M4" s="39" t="s">
        <v>166</v>
      </c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ht="15.75" customHeight="1">
      <c r="A5" s="31">
        <v>46124.0</v>
      </c>
      <c r="B5" s="32" t="s">
        <v>167</v>
      </c>
      <c r="C5" s="33">
        <v>0.0</v>
      </c>
      <c r="D5" s="34">
        <v>0.0</v>
      </c>
      <c r="E5" s="33">
        <v>32780.0</v>
      </c>
      <c r="F5" s="32" t="s">
        <v>47</v>
      </c>
      <c r="G5" s="35" t="s">
        <v>162</v>
      </c>
      <c r="H5" s="36">
        <f>IFERROR(__xludf.DUMMYFUNCTION("IF(ISDATE(A5), IF(DAY(A5)&lt;15, DATE(YEAR(A5), MONTH(A5), 1), DATE(YEAR(A5), MONTH(A5)+1, 1)), """")"),46113.0)</f>
        <v>46113</v>
      </c>
      <c r="I5" s="38" t="s">
        <v>156</v>
      </c>
      <c r="J5" s="38" t="s">
        <v>168</v>
      </c>
      <c r="K5" s="38" t="s">
        <v>169</v>
      </c>
      <c r="L5" s="38" t="s">
        <v>170</v>
      </c>
      <c r="M5" s="39" t="s">
        <v>171</v>
      </c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ht="15.75" customHeight="1">
      <c r="A6" s="41">
        <v>46128.0</v>
      </c>
      <c r="B6" s="42" t="s">
        <v>172</v>
      </c>
      <c r="C6" s="43">
        <v>0.0</v>
      </c>
      <c r="D6" s="44">
        <v>0.0</v>
      </c>
      <c r="E6" s="45">
        <v>78210.0</v>
      </c>
      <c r="F6" s="42" t="s">
        <v>47</v>
      </c>
      <c r="G6" s="46" t="s">
        <v>173</v>
      </c>
      <c r="H6" s="47">
        <f>IFERROR(__xludf.DUMMYFUNCTION("IF(ISDATE(A6), IF(DAY(A6)&lt;15, DATE(YEAR(A6), MONTH(A6), 1), DATE(YEAR(A6), MONTH(A6)+1, 1)), """")"),46143.0)</f>
        <v>46143</v>
      </c>
      <c r="I6" s="48" t="s">
        <v>156</v>
      </c>
      <c r="J6" s="48" t="s">
        <v>174</v>
      </c>
      <c r="K6" s="48" t="s">
        <v>175</v>
      </c>
      <c r="L6" s="48" t="s">
        <v>176</v>
      </c>
      <c r="M6" s="49" t="s">
        <v>177</v>
      </c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</row>
    <row r="7" ht="15.75" customHeight="1">
      <c r="A7" s="41">
        <v>46131.0</v>
      </c>
      <c r="B7" s="42" t="s">
        <v>178</v>
      </c>
      <c r="C7" s="43">
        <v>0.0</v>
      </c>
      <c r="D7" s="44">
        <v>0.0</v>
      </c>
      <c r="E7" s="45">
        <v>55000.0</v>
      </c>
      <c r="F7" s="42" t="s">
        <v>47</v>
      </c>
      <c r="G7" s="46" t="s">
        <v>173</v>
      </c>
      <c r="H7" s="47">
        <f>IFERROR(__xludf.DUMMYFUNCTION("IF(ISDATE(A7), IF(DAY(A7)&lt;15, DATE(YEAR(A7), MONTH(A7), 1), DATE(YEAR(A7), MONTH(A7)+1, 1)), """")"),46143.0)</f>
        <v>46143</v>
      </c>
      <c r="I7" s="48" t="s">
        <v>156</v>
      </c>
      <c r="J7" s="48" t="s">
        <v>179</v>
      </c>
      <c r="K7" s="48" t="s">
        <v>180</v>
      </c>
      <c r="L7" s="48" t="s">
        <v>181</v>
      </c>
      <c r="M7" s="49" t="s">
        <v>182</v>
      </c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</row>
    <row r="8" ht="15.75" customHeight="1">
      <c r="A8" s="41">
        <v>46135.0</v>
      </c>
      <c r="B8" s="42" t="s">
        <v>183</v>
      </c>
      <c r="C8" s="45">
        <v>0.0</v>
      </c>
      <c r="D8" s="42">
        <v>0.0</v>
      </c>
      <c r="E8" s="45">
        <v>29040.0</v>
      </c>
      <c r="F8" s="42" t="s">
        <v>47</v>
      </c>
      <c r="G8" s="46" t="s">
        <v>152</v>
      </c>
      <c r="H8" s="47">
        <f>IFERROR(__xludf.DUMMYFUNCTION("IF(ISDATE(A8), IF(DAY(A8)&lt;15, DATE(YEAR(A8), MONTH(A8), 1), DATE(YEAR(A8), MONTH(A8)+1, 1)), """")"),46143.0)</f>
        <v>46143</v>
      </c>
      <c r="I8" s="48" t="s">
        <v>156</v>
      </c>
      <c r="J8" s="50" t="s">
        <v>184</v>
      </c>
      <c r="K8" s="48" t="s">
        <v>185</v>
      </c>
      <c r="L8" s="48" t="s">
        <v>186</v>
      </c>
      <c r="M8" s="49" t="s">
        <v>187</v>
      </c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</row>
    <row r="9" ht="15.75" customHeight="1">
      <c r="A9" s="51"/>
      <c r="B9" s="42"/>
      <c r="C9" s="45"/>
      <c r="D9" s="52"/>
      <c r="E9" s="45"/>
      <c r="F9" s="42"/>
      <c r="G9" s="53"/>
      <c r="H9" s="47"/>
      <c r="I9" s="48"/>
      <c r="J9" s="50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</row>
    <row r="10" ht="15.75" customHeight="1">
      <c r="A10" s="51"/>
      <c r="B10" s="52"/>
      <c r="C10" s="45"/>
      <c r="D10" s="52"/>
      <c r="E10" s="45"/>
      <c r="F10" s="42"/>
      <c r="G10" s="53"/>
      <c r="H10" s="47"/>
      <c r="I10" s="48"/>
      <c r="J10" s="50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</row>
    <row r="11" ht="15.75" customHeight="1">
      <c r="A11" s="51"/>
      <c r="B11" s="52"/>
      <c r="C11" s="45"/>
      <c r="D11" s="52"/>
      <c r="E11" s="45"/>
      <c r="F11" s="42"/>
      <c r="G11" s="53"/>
      <c r="H11" s="47"/>
      <c r="I11" s="48"/>
      <c r="J11" s="50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</row>
    <row r="12" ht="15.75" customHeight="1">
      <c r="A12" s="51"/>
      <c r="B12" s="52"/>
      <c r="C12" s="45"/>
      <c r="D12" s="52"/>
      <c r="E12" s="45"/>
      <c r="F12" s="42"/>
      <c r="G12" s="53"/>
      <c r="H12" s="47"/>
      <c r="I12" s="48"/>
      <c r="J12" s="50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</row>
    <row r="13" ht="15.75" customHeight="1">
      <c r="A13" s="51"/>
      <c r="B13" s="52"/>
      <c r="C13" s="45"/>
      <c r="D13" s="52"/>
      <c r="E13" s="45"/>
      <c r="F13" s="42"/>
      <c r="G13" s="53"/>
      <c r="H13" s="47"/>
      <c r="I13" s="48"/>
      <c r="J13" s="50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</row>
    <row r="14" ht="15.75" customHeight="1">
      <c r="A14" s="51"/>
      <c r="B14" s="52"/>
      <c r="C14" s="45"/>
      <c r="D14" s="52"/>
      <c r="E14" s="45"/>
      <c r="F14" s="42"/>
      <c r="G14" s="53"/>
      <c r="H14" s="47"/>
      <c r="I14" s="48"/>
      <c r="J14" s="50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</row>
    <row r="15" ht="15.75" customHeight="1">
      <c r="A15" s="51"/>
      <c r="B15" s="52"/>
      <c r="C15" s="45"/>
      <c r="D15" s="52"/>
      <c r="E15" s="45"/>
      <c r="F15" s="42"/>
      <c r="G15" s="53"/>
      <c r="H15" s="47"/>
      <c r="I15" s="48"/>
      <c r="J15" s="50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</row>
    <row r="16" ht="15.75" customHeight="1">
      <c r="A16" s="51"/>
      <c r="B16" s="42"/>
      <c r="C16" s="45"/>
      <c r="D16" s="52"/>
      <c r="E16" s="45"/>
      <c r="F16" s="42"/>
      <c r="G16" s="53"/>
      <c r="H16" s="47"/>
      <c r="I16" s="48"/>
      <c r="J16" s="50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</row>
    <row r="17" ht="15.75" customHeight="1">
      <c r="A17" s="51"/>
      <c r="B17" s="42"/>
      <c r="C17" s="45"/>
      <c r="D17" s="52"/>
      <c r="E17" s="45"/>
      <c r="F17" s="42"/>
      <c r="G17" s="53"/>
      <c r="H17" s="47"/>
      <c r="I17" s="48"/>
      <c r="J17" s="50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</row>
    <row r="18" ht="15.75" customHeight="1">
      <c r="A18" s="51"/>
      <c r="B18" s="52"/>
      <c r="C18" s="45"/>
      <c r="D18" s="52"/>
      <c r="E18" s="45"/>
      <c r="F18" s="42"/>
      <c r="G18" s="53"/>
      <c r="H18" s="47"/>
      <c r="I18" s="48"/>
      <c r="J18" s="50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</row>
    <row r="19" ht="15.75" customHeight="1">
      <c r="A19" s="51"/>
      <c r="B19" s="52"/>
      <c r="C19" s="45"/>
      <c r="D19" s="52"/>
      <c r="E19" s="45"/>
      <c r="F19" s="42"/>
      <c r="G19" s="53"/>
      <c r="H19" s="47"/>
      <c r="I19" s="48"/>
      <c r="J19" s="50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</row>
    <row r="20" ht="15.75" customHeight="1">
      <c r="A20" s="51"/>
      <c r="B20" s="52"/>
      <c r="C20" s="45"/>
      <c r="D20" s="52"/>
      <c r="E20" s="45"/>
      <c r="F20" s="42"/>
      <c r="G20" s="53"/>
      <c r="H20" s="47"/>
      <c r="I20" s="48"/>
      <c r="J20" s="50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</row>
    <row r="21" ht="15.75" customHeight="1">
      <c r="A21" s="51"/>
      <c r="B21" s="52"/>
      <c r="C21" s="45"/>
      <c r="D21" s="52"/>
      <c r="E21" s="45"/>
      <c r="F21" s="42"/>
      <c r="G21" s="53"/>
      <c r="H21" s="47"/>
      <c r="I21" s="48"/>
      <c r="J21" s="50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</row>
    <row r="22" ht="15.75" customHeight="1">
      <c r="A22" s="51"/>
      <c r="B22" s="52"/>
      <c r="C22" s="45"/>
      <c r="D22" s="52"/>
      <c r="E22" s="45"/>
      <c r="F22" s="42"/>
      <c r="G22" s="53"/>
      <c r="H22" s="47"/>
      <c r="I22" s="48"/>
      <c r="J22" s="50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</row>
    <row r="23" ht="15.75" customHeight="1">
      <c r="A23" s="51"/>
      <c r="B23" s="52"/>
      <c r="C23" s="45"/>
      <c r="D23" s="52"/>
      <c r="E23" s="45"/>
      <c r="F23" s="42"/>
      <c r="G23" s="53"/>
      <c r="H23" s="47"/>
      <c r="I23" s="48"/>
      <c r="J23" s="50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</row>
    <row r="24" ht="15.75" customHeight="1">
      <c r="A24" s="51"/>
      <c r="B24" s="52"/>
      <c r="C24" s="45"/>
      <c r="D24" s="52"/>
      <c r="E24" s="45"/>
      <c r="F24" s="42"/>
      <c r="G24" s="53"/>
      <c r="H24" s="47"/>
      <c r="I24" s="48"/>
      <c r="J24" s="50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</row>
    <row r="25" ht="15.75" customHeight="1">
      <c r="A25" s="51"/>
      <c r="B25" s="52"/>
      <c r="C25" s="45"/>
      <c r="D25" s="52"/>
      <c r="E25" s="45"/>
      <c r="F25" s="42"/>
      <c r="G25" s="53"/>
      <c r="H25" s="47"/>
      <c r="I25" s="48"/>
      <c r="J25" s="50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ht="15.75" customHeight="1">
      <c r="A26" s="51"/>
      <c r="B26" s="52"/>
      <c r="C26" s="45"/>
      <c r="D26" s="52"/>
      <c r="E26" s="45"/>
      <c r="F26" s="42"/>
      <c r="G26" s="53"/>
      <c r="H26" s="47"/>
      <c r="I26" s="48"/>
      <c r="J26" s="50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ht="15.75" customHeight="1">
      <c r="A27" s="51"/>
      <c r="B27" s="52"/>
      <c r="C27" s="45"/>
      <c r="D27" s="52"/>
      <c r="E27" s="45"/>
      <c r="F27" s="42"/>
      <c r="G27" s="53"/>
      <c r="H27" s="47"/>
      <c r="I27" s="48"/>
      <c r="J27" s="50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ht="15.75" customHeight="1">
      <c r="A28" s="51"/>
      <c r="B28" s="42"/>
      <c r="C28" s="45"/>
      <c r="D28" s="52"/>
      <c r="E28" s="45"/>
      <c r="F28" s="42"/>
      <c r="G28" s="53"/>
      <c r="H28" s="47"/>
      <c r="I28" s="48"/>
      <c r="J28" s="50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ht="15.75" customHeight="1">
      <c r="A29" s="51"/>
      <c r="B29" s="42"/>
      <c r="C29" s="45"/>
      <c r="D29" s="52"/>
      <c r="E29" s="45"/>
      <c r="F29" s="42"/>
      <c r="G29" s="53"/>
      <c r="H29" s="47"/>
      <c r="I29" s="48"/>
      <c r="J29" s="50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ht="15.75" customHeight="1">
      <c r="A30" s="51"/>
      <c r="B30" s="42"/>
      <c r="C30" s="45"/>
      <c r="D30" s="52"/>
      <c r="E30" s="45"/>
      <c r="F30" s="42"/>
      <c r="G30" s="53"/>
      <c r="H30" s="47"/>
      <c r="I30" s="48"/>
      <c r="J30" s="50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ht="15.75" customHeight="1">
      <c r="A31" s="51"/>
      <c r="B31" s="42"/>
      <c r="C31" s="45"/>
      <c r="D31" s="52"/>
      <c r="E31" s="45"/>
      <c r="F31" s="42"/>
      <c r="G31" s="53"/>
      <c r="H31" s="47"/>
      <c r="I31" s="48"/>
      <c r="J31" s="50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ht="15.75" customHeight="1">
      <c r="A32" s="51"/>
      <c r="B32" s="42"/>
      <c r="C32" s="45"/>
      <c r="D32" s="52"/>
      <c r="E32" s="45"/>
      <c r="F32" s="42"/>
      <c r="G32" s="53"/>
      <c r="H32" s="47"/>
      <c r="I32" s="48"/>
      <c r="J32" s="50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ht="15.75" customHeight="1">
      <c r="A33" s="51"/>
      <c r="B33" s="42"/>
      <c r="C33" s="45"/>
      <c r="D33" s="52"/>
      <c r="E33" s="45"/>
      <c r="F33" s="42"/>
      <c r="G33" s="53"/>
      <c r="H33" s="47"/>
      <c r="I33" s="48"/>
      <c r="J33" s="50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ht="15.75" customHeight="1">
      <c r="A34" s="51"/>
      <c r="B34" s="42"/>
      <c r="C34" s="45"/>
      <c r="D34" s="52"/>
      <c r="E34" s="45"/>
      <c r="F34" s="42"/>
      <c r="G34" s="53"/>
      <c r="H34" s="47"/>
      <c r="I34" s="48"/>
      <c r="J34" s="50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ht="15.75" customHeight="1">
      <c r="A35" s="51"/>
      <c r="B35" s="42"/>
      <c r="C35" s="45"/>
      <c r="D35" s="52"/>
      <c r="E35" s="45"/>
      <c r="F35" s="42"/>
      <c r="G35" s="53"/>
      <c r="H35" s="47"/>
      <c r="I35" s="48"/>
      <c r="J35" s="50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ht="15.75" customHeight="1">
      <c r="A36" s="51"/>
      <c r="B36" s="42"/>
      <c r="C36" s="45"/>
      <c r="D36" s="52"/>
      <c r="E36" s="45"/>
      <c r="F36" s="42"/>
      <c r="G36" s="53"/>
      <c r="H36" s="47"/>
      <c r="I36" s="48"/>
      <c r="J36" s="50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ht="15.75" customHeight="1">
      <c r="A37" s="51"/>
      <c r="B37" s="42"/>
      <c r="C37" s="45"/>
      <c r="D37" s="52"/>
      <c r="E37" s="45"/>
      <c r="F37" s="42"/>
      <c r="G37" s="53"/>
      <c r="H37" s="47"/>
      <c r="I37" s="48"/>
      <c r="J37" s="50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ht="15.75" customHeight="1">
      <c r="A38" s="51"/>
      <c r="B38" s="42"/>
      <c r="C38" s="45"/>
      <c r="D38" s="52"/>
      <c r="E38" s="45"/>
      <c r="F38" s="42"/>
      <c r="G38" s="53"/>
      <c r="H38" s="47"/>
      <c r="I38" s="48"/>
      <c r="J38" s="50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ht="15.75" customHeight="1">
      <c r="A39" s="51"/>
      <c r="B39" s="42"/>
      <c r="C39" s="45"/>
      <c r="D39" s="42"/>
      <c r="E39" s="45"/>
      <c r="F39" s="42"/>
      <c r="G39" s="53"/>
      <c r="H39" s="47"/>
      <c r="I39" s="48"/>
      <c r="J39" s="50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ht="15.75" customHeight="1">
      <c r="A40" s="51"/>
      <c r="B40" s="42"/>
      <c r="C40" s="45"/>
      <c r="D40" s="42"/>
      <c r="E40" s="45"/>
      <c r="F40" s="42"/>
      <c r="G40" s="53"/>
      <c r="H40" s="47"/>
      <c r="I40" s="48"/>
      <c r="J40" s="50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r="41" ht="15.75" customHeight="1">
      <c r="A41" s="51"/>
      <c r="B41" s="42"/>
      <c r="C41" s="45"/>
      <c r="D41" s="42"/>
      <c r="E41" s="45"/>
      <c r="F41" s="42"/>
      <c r="G41" s="53"/>
      <c r="H41" s="47"/>
      <c r="I41" s="48"/>
      <c r="J41" s="50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</row>
    <row r="42" ht="15.75" customHeight="1">
      <c r="A42" s="51"/>
      <c r="B42" s="42"/>
      <c r="C42" s="45"/>
      <c r="D42" s="42"/>
      <c r="E42" s="45"/>
      <c r="F42" s="42"/>
      <c r="G42" s="53"/>
      <c r="H42" s="47"/>
      <c r="I42" s="48"/>
      <c r="J42" s="50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</row>
    <row r="43" ht="15.75" customHeight="1">
      <c r="A43" s="51"/>
      <c r="B43" s="52"/>
      <c r="C43" s="45"/>
      <c r="D43" s="52"/>
      <c r="E43" s="45"/>
      <c r="F43" s="42"/>
      <c r="G43" s="53"/>
      <c r="H43" s="47"/>
      <c r="I43" s="48"/>
      <c r="J43" s="50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</row>
    <row r="44" ht="15.75" customHeight="1">
      <c r="A44" s="51"/>
      <c r="B44" s="52"/>
      <c r="C44" s="45"/>
      <c r="D44" s="52"/>
      <c r="E44" s="45"/>
      <c r="F44" s="42"/>
      <c r="G44" s="53"/>
      <c r="H44" s="47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</row>
    <row r="45" ht="15.75" customHeight="1">
      <c r="A45" s="54"/>
      <c r="B45" s="48"/>
      <c r="C45" s="55"/>
      <c r="D45" s="48"/>
      <c r="E45" s="56"/>
      <c r="F45" s="48"/>
      <c r="G45" s="57"/>
      <c r="H45" s="5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</row>
    <row r="46" ht="15.75" customHeight="1">
      <c r="A46" s="54"/>
      <c r="B46" s="48"/>
      <c r="C46" s="55"/>
      <c r="D46" s="48"/>
      <c r="E46" s="56"/>
      <c r="F46" s="48"/>
      <c r="G46" s="57"/>
      <c r="H46" s="5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</row>
    <row r="47" ht="15.75" customHeight="1">
      <c r="A47" s="54"/>
      <c r="B47" s="48"/>
      <c r="C47" s="55"/>
      <c r="D47" s="48"/>
      <c r="E47" s="56"/>
      <c r="F47" s="48"/>
      <c r="G47" s="57"/>
      <c r="H47" s="5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</row>
    <row r="48" ht="15.75" customHeight="1">
      <c r="A48" s="54"/>
      <c r="B48" s="48"/>
      <c r="C48" s="55"/>
      <c r="D48" s="48"/>
      <c r="E48" s="56"/>
      <c r="F48" s="48"/>
      <c r="G48" s="57"/>
      <c r="H48" s="5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</row>
    <row r="49" ht="15.75" customHeight="1">
      <c r="A49" s="54"/>
      <c r="B49" s="48"/>
      <c r="C49" s="55"/>
      <c r="D49" s="48"/>
      <c r="E49" s="56"/>
      <c r="F49" s="48"/>
      <c r="G49" s="57"/>
      <c r="H49" s="5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</row>
    <row r="50" ht="15.75" customHeight="1">
      <c r="A50" s="54"/>
      <c r="B50" s="48"/>
      <c r="C50" s="55"/>
      <c r="D50" s="48"/>
      <c r="E50" s="56"/>
      <c r="F50" s="48"/>
      <c r="G50" s="57"/>
      <c r="H50" s="5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</row>
    <row r="51" ht="15.75" customHeight="1">
      <c r="A51" s="54"/>
      <c r="B51" s="48"/>
      <c r="C51" s="55"/>
      <c r="D51" s="48"/>
      <c r="E51" s="56"/>
      <c r="F51" s="48"/>
      <c r="G51" s="57"/>
      <c r="H51" s="5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</row>
    <row r="52" ht="15.75" customHeight="1">
      <c r="A52" s="54"/>
      <c r="B52" s="48"/>
      <c r="C52" s="55"/>
      <c r="D52" s="48"/>
      <c r="E52" s="56"/>
      <c r="F52" s="48"/>
      <c r="G52" s="57"/>
      <c r="H52" s="5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</row>
    <row r="53" ht="15.75" customHeight="1">
      <c r="A53" s="54"/>
      <c r="B53" s="48"/>
      <c r="C53" s="55"/>
      <c r="D53" s="48"/>
      <c r="E53" s="56"/>
      <c r="F53" s="48"/>
      <c r="G53" s="57"/>
      <c r="H53" s="5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</row>
    <row r="54" ht="15.75" customHeight="1">
      <c r="A54" s="54"/>
      <c r="B54" s="48"/>
      <c r="C54" s="55"/>
      <c r="D54" s="48"/>
      <c r="E54" s="56"/>
      <c r="F54" s="48"/>
      <c r="G54" s="57"/>
      <c r="H54" s="5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</row>
    <row r="55" ht="15.75" customHeight="1">
      <c r="A55" s="54"/>
      <c r="B55" s="48"/>
      <c r="C55" s="55"/>
      <c r="D55" s="48"/>
      <c r="E55" s="56"/>
      <c r="F55" s="48"/>
      <c r="G55" s="57"/>
      <c r="H55" s="5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</row>
    <row r="56" ht="15.75" customHeight="1">
      <c r="A56" s="54"/>
      <c r="B56" s="48"/>
      <c r="C56" s="55"/>
      <c r="D56" s="48"/>
      <c r="E56" s="56"/>
      <c r="F56" s="48"/>
      <c r="G56" s="57"/>
      <c r="H56" s="5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</row>
    <row r="57" ht="15.75" customHeight="1">
      <c r="A57" s="54"/>
      <c r="B57" s="48"/>
      <c r="C57" s="55"/>
      <c r="D57" s="48"/>
      <c r="E57" s="56"/>
      <c r="F57" s="48"/>
      <c r="G57" s="57"/>
      <c r="H57" s="5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</row>
    <row r="58" ht="15.75" customHeight="1">
      <c r="A58" s="54"/>
      <c r="B58" s="48"/>
      <c r="C58" s="55"/>
      <c r="D58" s="48"/>
      <c r="E58" s="56"/>
      <c r="F58" s="48"/>
      <c r="G58" s="57"/>
      <c r="H58" s="5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</row>
    <row r="59" ht="15.75" customHeight="1">
      <c r="A59" s="54"/>
      <c r="B59" s="48"/>
      <c r="C59" s="55"/>
      <c r="D59" s="48"/>
      <c r="E59" s="56"/>
      <c r="F59" s="48"/>
      <c r="G59" s="57"/>
      <c r="H59" s="5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</row>
    <row r="60" ht="15.75" customHeight="1">
      <c r="A60" s="54"/>
      <c r="B60" s="48"/>
      <c r="C60" s="55"/>
      <c r="D60" s="48"/>
      <c r="E60" s="56"/>
      <c r="F60" s="48"/>
      <c r="G60" s="57"/>
      <c r="H60" s="5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</row>
    <row r="61" ht="15.75" customHeight="1">
      <c r="A61" s="54"/>
      <c r="B61" s="48"/>
      <c r="C61" s="55"/>
      <c r="D61" s="48"/>
      <c r="E61" s="56"/>
      <c r="F61" s="48"/>
      <c r="G61" s="57"/>
      <c r="H61" s="5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</row>
    <row r="62" ht="15.75" customHeight="1">
      <c r="A62" s="54"/>
      <c r="B62" s="48"/>
      <c r="C62" s="55"/>
      <c r="D62" s="48"/>
      <c r="E62" s="56"/>
      <c r="F62" s="48"/>
      <c r="G62" s="57"/>
      <c r="H62" s="5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</row>
    <row r="63" ht="15.75" customHeight="1">
      <c r="A63" s="54"/>
      <c r="B63" s="48"/>
      <c r="C63" s="55"/>
      <c r="D63" s="48"/>
      <c r="E63" s="56"/>
      <c r="F63" s="48"/>
      <c r="G63" s="57"/>
      <c r="H63" s="5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</row>
    <row r="64" ht="15.75" customHeight="1">
      <c r="A64" s="54"/>
      <c r="B64" s="48"/>
      <c r="C64" s="55"/>
      <c r="D64" s="48"/>
      <c r="E64" s="56"/>
      <c r="F64" s="48"/>
      <c r="G64" s="57"/>
      <c r="H64" s="5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</row>
    <row r="65" ht="15.75" customHeight="1">
      <c r="A65" s="54"/>
      <c r="B65" s="48"/>
      <c r="C65" s="55"/>
      <c r="D65" s="48"/>
      <c r="E65" s="56"/>
      <c r="F65" s="48"/>
      <c r="G65" s="57"/>
      <c r="H65" s="5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</row>
    <row r="66" ht="15.75" customHeight="1">
      <c r="A66" s="54"/>
      <c r="B66" s="48"/>
      <c r="C66" s="55"/>
      <c r="D66" s="48"/>
      <c r="E66" s="56"/>
      <c r="F66" s="48"/>
      <c r="G66" s="57"/>
      <c r="H66" s="5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ht="15.75" customHeight="1">
      <c r="A67" s="54"/>
      <c r="B67" s="48"/>
      <c r="C67" s="55"/>
      <c r="D67" s="48"/>
      <c r="E67" s="56"/>
      <c r="F67" s="48"/>
      <c r="G67" s="57"/>
      <c r="H67" s="5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ht="15.75" customHeight="1">
      <c r="A68" s="54"/>
      <c r="B68" s="48"/>
      <c r="C68" s="55"/>
      <c r="D68" s="48"/>
      <c r="E68" s="56"/>
      <c r="F68" s="48"/>
      <c r="G68" s="57"/>
      <c r="H68" s="5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</row>
    <row r="69" ht="15.75" customHeight="1">
      <c r="A69" s="54"/>
      <c r="B69" s="48"/>
      <c r="C69" s="55"/>
      <c r="D69" s="48"/>
      <c r="E69" s="56"/>
      <c r="F69" s="48"/>
      <c r="G69" s="57"/>
      <c r="H69" s="5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</row>
    <row r="70" ht="15.75" customHeight="1">
      <c r="A70" s="54"/>
      <c r="B70" s="48"/>
      <c r="C70" s="55"/>
      <c r="D70" s="48"/>
      <c r="E70" s="56"/>
      <c r="F70" s="48"/>
      <c r="G70" s="57"/>
      <c r="H70" s="5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</row>
    <row r="71" ht="15.75" customHeight="1">
      <c r="A71" s="54"/>
      <c r="B71" s="48"/>
      <c r="C71" s="55"/>
      <c r="D71" s="48"/>
      <c r="E71" s="56"/>
      <c r="F71" s="48"/>
      <c r="G71" s="57"/>
      <c r="H71" s="5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</row>
    <row r="72" ht="15.75" customHeight="1">
      <c r="A72" s="54"/>
      <c r="B72" s="48"/>
      <c r="C72" s="55"/>
      <c r="D72" s="48"/>
      <c r="E72" s="56"/>
      <c r="F72" s="48"/>
      <c r="G72" s="57"/>
      <c r="H72" s="5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</row>
    <row r="73" ht="15.75" customHeight="1">
      <c r="A73" s="54"/>
      <c r="B73" s="48"/>
      <c r="C73" s="55"/>
      <c r="D73" s="48"/>
      <c r="E73" s="56"/>
      <c r="F73" s="48"/>
      <c r="G73" s="57"/>
      <c r="H73" s="5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</row>
    <row r="74" ht="15.75" customHeight="1">
      <c r="A74" s="54"/>
      <c r="B74" s="48"/>
      <c r="C74" s="55"/>
      <c r="D74" s="48"/>
      <c r="E74" s="56"/>
      <c r="F74" s="48"/>
      <c r="G74" s="57"/>
      <c r="H74" s="5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</row>
    <row r="75" ht="15.75" customHeight="1">
      <c r="A75" s="54"/>
      <c r="B75" s="48"/>
      <c r="C75" s="55"/>
      <c r="D75" s="48"/>
      <c r="E75" s="56"/>
      <c r="F75" s="48"/>
      <c r="G75" s="57"/>
      <c r="H75" s="5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</row>
    <row r="76" ht="15.75" customHeight="1">
      <c r="A76" s="54"/>
      <c r="B76" s="48"/>
      <c r="C76" s="55"/>
      <c r="D76" s="48"/>
      <c r="E76" s="56"/>
      <c r="F76" s="48"/>
      <c r="G76" s="57"/>
      <c r="H76" s="5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</row>
    <row r="77" ht="15.75" customHeight="1">
      <c r="A77" s="54"/>
      <c r="B77" s="48"/>
      <c r="C77" s="55"/>
      <c r="D77" s="48"/>
      <c r="E77" s="56"/>
      <c r="F77" s="48"/>
      <c r="G77" s="57"/>
      <c r="H77" s="5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</row>
    <row r="78" ht="15.75" customHeight="1">
      <c r="A78" s="54"/>
      <c r="B78" s="48"/>
      <c r="C78" s="55"/>
      <c r="D78" s="48"/>
      <c r="E78" s="56"/>
      <c r="F78" s="48"/>
      <c r="G78" s="57"/>
      <c r="H78" s="5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</row>
    <row r="79" ht="15.75" customHeight="1">
      <c r="A79" s="54"/>
      <c r="B79" s="48"/>
      <c r="C79" s="55"/>
      <c r="D79" s="48"/>
      <c r="E79" s="56"/>
      <c r="F79" s="48"/>
      <c r="G79" s="57"/>
      <c r="H79" s="5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ht="15.75" customHeight="1">
      <c r="A80" s="54"/>
      <c r="B80" s="48"/>
      <c r="C80" s="55"/>
      <c r="D80" s="48"/>
      <c r="E80" s="56"/>
      <c r="F80" s="48"/>
      <c r="G80" s="57"/>
      <c r="H80" s="5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</row>
    <row r="81" ht="15.75" customHeight="1">
      <c r="A81" s="54"/>
      <c r="B81" s="48"/>
      <c r="C81" s="55"/>
      <c r="D81" s="48"/>
      <c r="E81" s="56"/>
      <c r="F81" s="48"/>
      <c r="G81" s="57"/>
      <c r="H81" s="5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</row>
    <row r="82" ht="15.75" customHeight="1">
      <c r="A82" s="54"/>
      <c r="B82" s="48"/>
      <c r="C82" s="55"/>
      <c r="D82" s="48"/>
      <c r="E82" s="56"/>
      <c r="F82" s="48"/>
      <c r="G82" s="57"/>
      <c r="H82" s="5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</row>
    <row r="83" ht="15.75" customHeight="1">
      <c r="A83" s="54"/>
      <c r="B83" s="48"/>
      <c r="C83" s="48"/>
      <c r="D83" s="48"/>
      <c r="E83" s="56"/>
      <c r="F83" s="48"/>
      <c r="G83" s="57"/>
      <c r="H83" s="5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</row>
    <row r="84" ht="15.75" customHeight="1">
      <c r="A84" s="54"/>
      <c r="B84" s="48"/>
      <c r="C84" s="55"/>
      <c r="D84" s="48"/>
      <c r="E84" s="56"/>
      <c r="F84" s="48"/>
      <c r="G84" s="57"/>
      <c r="H84" s="5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</row>
    <row r="85" ht="15.75" customHeight="1">
      <c r="A85" s="54"/>
      <c r="B85" s="48"/>
      <c r="C85" s="55"/>
      <c r="D85" s="48"/>
      <c r="E85" s="56"/>
      <c r="F85" s="48"/>
      <c r="G85" s="57"/>
      <c r="H85" s="5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</row>
    <row r="86" ht="15.75" customHeight="1">
      <c r="A86" s="59"/>
      <c r="B86" s="48"/>
      <c r="C86" s="55"/>
      <c r="D86" s="48"/>
      <c r="E86" s="48"/>
      <c r="F86" s="48"/>
      <c r="G86" s="57"/>
      <c r="H86" s="5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ht="15.75" customHeight="1">
      <c r="A87" s="59"/>
      <c r="B87" s="48"/>
      <c r="C87" s="55"/>
      <c r="D87" s="48"/>
      <c r="E87" s="48"/>
      <c r="F87" s="48"/>
      <c r="G87" s="57"/>
      <c r="H87" s="5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</row>
    <row r="88" ht="15.75" customHeight="1">
      <c r="A88" s="59"/>
      <c r="B88" s="48"/>
      <c r="C88" s="55"/>
      <c r="D88" s="48"/>
      <c r="E88" s="48"/>
      <c r="F88" s="48"/>
      <c r="G88" s="57"/>
      <c r="H88" s="5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r="89" ht="15.75" customHeight="1">
      <c r="A89" s="59"/>
      <c r="B89" s="48"/>
      <c r="C89" s="55"/>
      <c r="D89" s="48"/>
      <c r="E89" s="48"/>
      <c r="F89" s="48"/>
      <c r="G89" s="57"/>
      <c r="H89" s="5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</row>
    <row r="90" ht="15.75" customHeight="1">
      <c r="A90" s="59"/>
      <c r="B90" s="48"/>
      <c r="C90" s="55"/>
      <c r="D90" s="48"/>
      <c r="E90" s="48"/>
      <c r="F90" s="48"/>
      <c r="G90" s="57"/>
      <c r="H90" s="5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</row>
    <row r="91" ht="15.75" customHeight="1">
      <c r="A91" s="59"/>
      <c r="B91" s="48"/>
      <c r="C91" s="55"/>
      <c r="D91" s="48"/>
      <c r="E91" s="48"/>
      <c r="F91" s="48"/>
      <c r="G91" s="57"/>
      <c r="H91" s="5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</row>
    <row r="92" ht="15.75" customHeight="1">
      <c r="A92" s="59"/>
      <c r="B92" s="48"/>
      <c r="C92" s="55"/>
      <c r="D92" s="48"/>
      <c r="E92" s="48"/>
      <c r="F92" s="48"/>
      <c r="G92" s="57"/>
      <c r="H92" s="5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</row>
    <row r="93" ht="15.75" customHeight="1">
      <c r="A93" s="59"/>
      <c r="B93" s="48"/>
      <c r="C93" s="55"/>
      <c r="D93" s="48"/>
      <c r="E93" s="48"/>
      <c r="F93" s="48"/>
      <c r="G93" s="57"/>
      <c r="H93" s="5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</row>
    <row r="94" ht="15.75" customHeight="1">
      <c r="A94" s="59"/>
      <c r="B94" s="48"/>
      <c r="C94" s="55"/>
      <c r="D94" s="48"/>
      <c r="E94" s="48"/>
      <c r="F94" s="48"/>
      <c r="G94" s="57"/>
      <c r="H94" s="5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</row>
    <row r="95" ht="15.75" customHeight="1">
      <c r="A95" s="59"/>
      <c r="B95" s="48"/>
      <c r="C95" s="55"/>
      <c r="D95" s="48"/>
      <c r="E95" s="48"/>
      <c r="F95" s="48"/>
      <c r="G95" s="57"/>
      <c r="H95" s="5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</row>
    <row r="96" ht="15.75" customHeight="1">
      <c r="A96" s="59"/>
      <c r="B96" s="48"/>
      <c r="C96" s="55"/>
      <c r="D96" s="48"/>
      <c r="E96" s="48"/>
      <c r="F96" s="48"/>
      <c r="G96" s="57"/>
      <c r="H96" s="5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</row>
    <row r="97" ht="15.75" customHeight="1">
      <c r="A97" s="59"/>
      <c r="B97" s="48"/>
      <c r="C97" s="55"/>
      <c r="D97" s="48"/>
      <c r="E97" s="48"/>
      <c r="F97" s="48"/>
      <c r="G97" s="57"/>
      <c r="H97" s="5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</row>
    <row r="98" ht="15.75" customHeight="1">
      <c r="A98" s="59"/>
      <c r="B98" s="48"/>
      <c r="C98" s="55"/>
      <c r="D98" s="48"/>
      <c r="E98" s="48"/>
      <c r="F98" s="48"/>
      <c r="G98" s="57"/>
      <c r="H98" s="5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</row>
    <row r="99" ht="15.75" customHeight="1">
      <c r="A99" s="59"/>
      <c r="B99" s="48"/>
      <c r="C99" s="55"/>
      <c r="D99" s="48"/>
      <c r="E99" s="48"/>
      <c r="F99" s="48"/>
      <c r="G99" s="57"/>
      <c r="H99" s="5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</row>
    <row r="100" ht="15.75" customHeight="1">
      <c r="A100" s="59"/>
      <c r="B100" s="48"/>
      <c r="C100" s="55"/>
      <c r="D100" s="48"/>
      <c r="E100" s="48"/>
      <c r="F100" s="48"/>
      <c r="G100" s="57"/>
      <c r="H100" s="5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</row>
    <row r="101" ht="15.75" customHeight="1">
      <c r="A101" s="59"/>
      <c r="B101" s="48"/>
      <c r="C101" s="55"/>
      <c r="D101" s="48"/>
      <c r="E101" s="48"/>
      <c r="F101" s="48"/>
      <c r="G101" s="57"/>
      <c r="H101" s="5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</row>
    <row r="102" ht="15.75" customHeight="1">
      <c r="A102" s="59"/>
      <c r="B102" s="48"/>
      <c r="C102" s="55"/>
      <c r="D102" s="48"/>
      <c r="E102" s="48"/>
      <c r="F102" s="48"/>
      <c r="G102" s="57"/>
      <c r="H102" s="5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</row>
    <row r="103" ht="15.75" customHeight="1">
      <c r="A103" s="59"/>
      <c r="B103" s="48"/>
      <c r="C103" s="55"/>
      <c r="D103" s="48"/>
      <c r="E103" s="48"/>
      <c r="F103" s="48"/>
      <c r="G103" s="57"/>
      <c r="H103" s="5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</row>
    <row r="104" ht="15.75" customHeight="1">
      <c r="A104" s="59"/>
      <c r="B104" s="48"/>
      <c r="C104" s="55"/>
      <c r="D104" s="48"/>
      <c r="E104" s="48"/>
      <c r="F104" s="48"/>
      <c r="G104" s="57"/>
      <c r="H104" s="5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</row>
    <row r="105" ht="15.75" customHeight="1">
      <c r="A105" s="59"/>
      <c r="B105" s="48"/>
      <c r="C105" s="55"/>
      <c r="D105" s="48"/>
      <c r="E105" s="48"/>
      <c r="F105" s="48"/>
      <c r="G105" s="57"/>
      <c r="H105" s="5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</row>
    <row r="106" ht="15.75" customHeight="1">
      <c r="A106" s="59"/>
      <c r="B106" s="48"/>
      <c r="C106" s="55"/>
      <c r="D106" s="48"/>
      <c r="E106" s="48"/>
      <c r="F106" s="48"/>
      <c r="G106" s="57"/>
      <c r="H106" s="5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</row>
    <row r="107" ht="15.75" customHeight="1">
      <c r="A107" s="59"/>
      <c r="B107" s="48"/>
      <c r="C107" s="55"/>
      <c r="D107" s="48"/>
      <c r="E107" s="48"/>
      <c r="F107" s="48"/>
      <c r="G107" s="57"/>
      <c r="H107" s="5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</row>
    <row r="108" ht="15.75" customHeight="1">
      <c r="A108" s="59"/>
      <c r="B108" s="48"/>
      <c r="C108" s="55"/>
      <c r="D108" s="48"/>
      <c r="E108" s="48"/>
      <c r="F108" s="48"/>
      <c r="G108" s="57"/>
      <c r="H108" s="5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</row>
    <row r="109" ht="15.75" customHeight="1">
      <c r="A109" s="59"/>
      <c r="B109" s="48"/>
      <c r="C109" s="55"/>
      <c r="D109" s="48"/>
      <c r="E109" s="48"/>
      <c r="F109" s="48"/>
      <c r="G109" s="57"/>
      <c r="H109" s="5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</row>
    <row r="110" ht="15.75" customHeight="1">
      <c r="A110" s="59"/>
      <c r="B110" s="48"/>
      <c r="C110" s="55"/>
      <c r="D110" s="48"/>
      <c r="E110" s="48"/>
      <c r="F110" s="48"/>
      <c r="G110" s="57"/>
      <c r="H110" s="5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</row>
    <row r="111" ht="15.75" customHeight="1">
      <c r="A111" s="59"/>
      <c r="B111" s="48"/>
      <c r="C111" s="55"/>
      <c r="D111" s="48"/>
      <c r="E111" s="48"/>
      <c r="F111" s="48"/>
      <c r="G111" s="57"/>
      <c r="H111" s="5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</row>
    <row r="112" ht="15.75" customHeight="1">
      <c r="A112" s="59"/>
      <c r="B112" s="48"/>
      <c r="C112" s="55"/>
      <c r="D112" s="48"/>
      <c r="E112" s="48"/>
      <c r="F112" s="48"/>
      <c r="G112" s="57"/>
      <c r="H112" s="5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</row>
    <row r="113" ht="15.75" customHeight="1">
      <c r="A113" s="59"/>
      <c r="B113" s="48"/>
      <c r="C113" s="55"/>
      <c r="D113" s="48"/>
      <c r="E113" s="48"/>
      <c r="F113" s="48"/>
      <c r="G113" s="57"/>
      <c r="H113" s="5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</row>
    <row r="114" ht="15.75" customHeight="1">
      <c r="A114" s="59"/>
      <c r="B114" s="48"/>
      <c r="C114" s="55"/>
      <c r="D114" s="48"/>
      <c r="E114" s="48"/>
      <c r="F114" s="48"/>
      <c r="G114" s="57"/>
      <c r="H114" s="5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</row>
    <row r="115" ht="15.75" customHeight="1">
      <c r="A115" s="59"/>
      <c r="B115" s="48"/>
      <c r="C115" s="55"/>
      <c r="D115" s="48"/>
      <c r="E115" s="48"/>
      <c r="F115" s="48"/>
      <c r="G115" s="57"/>
      <c r="H115" s="5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</row>
    <row r="116" ht="15.75" customHeight="1">
      <c r="A116" s="59"/>
      <c r="B116" s="48"/>
      <c r="C116" s="55"/>
      <c r="D116" s="48"/>
      <c r="E116" s="48"/>
      <c r="F116" s="48"/>
      <c r="G116" s="57"/>
      <c r="H116" s="5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</row>
    <row r="117" ht="15.75" customHeight="1">
      <c r="A117" s="59"/>
      <c r="B117" s="48"/>
      <c r="C117" s="55"/>
      <c r="D117" s="48"/>
      <c r="E117" s="48"/>
      <c r="F117" s="48"/>
      <c r="G117" s="57"/>
      <c r="H117" s="5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</row>
    <row r="118" ht="15.75" customHeight="1">
      <c r="A118" s="59"/>
      <c r="B118" s="48"/>
      <c r="C118" s="55"/>
      <c r="D118" s="48"/>
      <c r="E118" s="48"/>
      <c r="F118" s="48"/>
      <c r="G118" s="57"/>
      <c r="H118" s="5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</row>
    <row r="119" ht="15.75" customHeight="1">
      <c r="A119" s="59"/>
      <c r="B119" s="48"/>
      <c r="C119" s="55"/>
      <c r="D119" s="48"/>
      <c r="E119" s="48"/>
      <c r="F119" s="48"/>
      <c r="G119" s="57"/>
      <c r="H119" s="5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</row>
    <row r="120" ht="15.75" customHeight="1">
      <c r="A120" s="59"/>
      <c r="B120" s="48"/>
      <c r="C120" s="55"/>
      <c r="D120" s="48"/>
      <c r="E120" s="48"/>
      <c r="F120" s="48"/>
      <c r="G120" s="57"/>
      <c r="H120" s="5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</row>
    <row r="121" ht="15.75" customHeight="1">
      <c r="A121" s="59"/>
      <c r="B121" s="48"/>
      <c r="C121" s="55"/>
      <c r="D121" s="48"/>
      <c r="E121" s="48"/>
      <c r="F121" s="48"/>
      <c r="G121" s="57"/>
      <c r="H121" s="5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</row>
    <row r="122" ht="15.75" customHeight="1">
      <c r="A122" s="59"/>
      <c r="B122" s="48"/>
      <c r="C122" s="55"/>
      <c r="D122" s="48"/>
      <c r="E122" s="48"/>
      <c r="F122" s="48"/>
      <c r="G122" s="57"/>
      <c r="H122" s="5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</row>
    <row r="123" ht="15.75" customHeight="1">
      <c r="A123" s="59"/>
      <c r="B123" s="48"/>
      <c r="C123" s="55"/>
      <c r="D123" s="48"/>
      <c r="E123" s="48"/>
      <c r="F123" s="48"/>
      <c r="G123" s="57"/>
      <c r="H123" s="5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</row>
    <row r="124" ht="15.75" customHeight="1">
      <c r="A124" s="59"/>
      <c r="B124" s="48"/>
      <c r="C124" s="55"/>
      <c r="D124" s="48"/>
      <c r="E124" s="48"/>
      <c r="F124" s="48"/>
      <c r="G124" s="57"/>
      <c r="H124" s="5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</row>
    <row r="125" ht="15.75" customHeight="1">
      <c r="A125" s="59"/>
      <c r="B125" s="48"/>
      <c r="C125" s="55"/>
      <c r="D125" s="48"/>
      <c r="E125" s="48"/>
      <c r="F125" s="48"/>
      <c r="G125" s="57"/>
      <c r="H125" s="5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</row>
    <row r="126" ht="15.75" customHeight="1">
      <c r="A126" s="59"/>
      <c r="B126" s="48"/>
      <c r="C126" s="55"/>
      <c r="D126" s="48"/>
      <c r="E126" s="48"/>
      <c r="F126" s="48"/>
      <c r="G126" s="57"/>
      <c r="H126" s="5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</row>
    <row r="127" ht="15.75" customHeight="1">
      <c r="A127" s="59"/>
      <c r="B127" s="48"/>
      <c r="C127" s="55"/>
      <c r="D127" s="48"/>
      <c r="E127" s="48"/>
      <c r="F127" s="48"/>
      <c r="G127" s="57"/>
      <c r="H127" s="5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</row>
    <row r="128" ht="15.75" customHeight="1">
      <c r="A128" s="59"/>
      <c r="B128" s="48"/>
      <c r="C128" s="55"/>
      <c r="D128" s="48"/>
      <c r="E128" s="48"/>
      <c r="F128" s="48"/>
      <c r="G128" s="57"/>
      <c r="H128" s="5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</row>
    <row r="129" ht="15.75" customHeight="1">
      <c r="A129" s="59"/>
      <c r="B129" s="48"/>
      <c r="C129" s="55"/>
      <c r="D129" s="48"/>
      <c r="E129" s="48"/>
      <c r="F129" s="48"/>
      <c r="G129" s="57"/>
      <c r="H129" s="5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</row>
    <row r="130" ht="15.75" customHeight="1">
      <c r="A130" s="59"/>
      <c r="B130" s="48"/>
      <c r="C130" s="55"/>
      <c r="D130" s="48"/>
      <c r="E130" s="48"/>
      <c r="F130" s="48"/>
      <c r="G130" s="57"/>
      <c r="H130" s="5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</row>
    <row r="131" ht="15.75" customHeight="1">
      <c r="A131" s="59"/>
      <c r="B131" s="48"/>
      <c r="C131" s="55"/>
      <c r="D131" s="48"/>
      <c r="E131" s="48"/>
      <c r="F131" s="48"/>
      <c r="G131" s="57"/>
      <c r="H131" s="5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</row>
    <row r="132" ht="15.75" customHeight="1">
      <c r="A132" s="59"/>
      <c r="B132" s="48"/>
      <c r="C132" s="55"/>
      <c r="D132" s="48"/>
      <c r="E132" s="48"/>
      <c r="F132" s="48"/>
      <c r="G132" s="57"/>
      <c r="H132" s="5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</row>
    <row r="133" ht="15.75" customHeight="1">
      <c r="A133" s="59"/>
      <c r="B133" s="48"/>
      <c r="C133" s="55"/>
      <c r="D133" s="48"/>
      <c r="E133" s="48"/>
      <c r="F133" s="48"/>
      <c r="G133" s="57"/>
      <c r="H133" s="5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</row>
    <row r="134" ht="15.75" customHeight="1">
      <c r="A134" s="59"/>
      <c r="B134" s="48"/>
      <c r="C134" s="55"/>
      <c r="D134" s="48"/>
      <c r="E134" s="48"/>
      <c r="F134" s="48"/>
      <c r="G134" s="57"/>
      <c r="H134" s="5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</row>
    <row r="135" ht="15.75" customHeight="1">
      <c r="A135" s="59"/>
      <c r="B135" s="48"/>
      <c r="C135" s="55"/>
      <c r="D135" s="48"/>
      <c r="E135" s="48"/>
      <c r="F135" s="48"/>
      <c r="G135" s="57"/>
      <c r="H135" s="5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</row>
    <row r="136" ht="15.75" customHeight="1">
      <c r="A136" s="59"/>
      <c r="B136" s="48"/>
      <c r="C136" s="55"/>
      <c r="D136" s="48"/>
      <c r="E136" s="48"/>
      <c r="F136" s="48"/>
      <c r="G136" s="57"/>
      <c r="H136" s="5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</row>
    <row r="137" ht="15.75" customHeight="1">
      <c r="A137" s="59"/>
      <c r="B137" s="48"/>
      <c r="C137" s="55"/>
      <c r="D137" s="48"/>
      <c r="E137" s="48"/>
      <c r="F137" s="48"/>
      <c r="G137" s="57"/>
      <c r="H137" s="5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</row>
    <row r="138" ht="15.75" customHeight="1">
      <c r="A138" s="59"/>
      <c r="B138" s="48"/>
      <c r="C138" s="55"/>
      <c r="D138" s="48"/>
      <c r="E138" s="48"/>
      <c r="F138" s="48"/>
      <c r="G138" s="57"/>
      <c r="H138" s="5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</row>
    <row r="139" ht="15.75" customHeight="1">
      <c r="A139" s="59"/>
      <c r="B139" s="48"/>
      <c r="C139" s="55"/>
      <c r="D139" s="48"/>
      <c r="E139" s="48"/>
      <c r="F139" s="48"/>
      <c r="G139" s="57"/>
      <c r="H139" s="5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</row>
    <row r="140" ht="15.75" customHeight="1">
      <c r="A140" s="59"/>
      <c r="B140" s="48"/>
      <c r="C140" s="55"/>
      <c r="D140" s="48"/>
      <c r="E140" s="48"/>
      <c r="F140" s="48"/>
      <c r="G140" s="57"/>
      <c r="H140" s="5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</row>
    <row r="141" ht="15.75" customHeight="1">
      <c r="A141" s="59"/>
      <c r="B141" s="48"/>
      <c r="C141" s="55"/>
      <c r="D141" s="48"/>
      <c r="E141" s="48"/>
      <c r="F141" s="48"/>
      <c r="G141" s="57"/>
      <c r="H141" s="5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</row>
    <row r="142" ht="15.75" customHeight="1">
      <c r="A142" s="59"/>
      <c r="B142" s="48"/>
      <c r="C142" s="55"/>
      <c r="D142" s="48"/>
      <c r="E142" s="48"/>
      <c r="F142" s="48"/>
      <c r="G142" s="57"/>
      <c r="H142" s="5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</row>
    <row r="143" ht="15.75" customHeight="1">
      <c r="A143" s="59"/>
      <c r="B143" s="48"/>
      <c r="C143" s="55"/>
      <c r="D143" s="48"/>
      <c r="E143" s="48"/>
      <c r="F143" s="48"/>
      <c r="G143" s="57"/>
      <c r="H143" s="5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</row>
    <row r="144" ht="15.75" customHeight="1">
      <c r="A144" s="59"/>
      <c r="B144" s="48"/>
      <c r="C144" s="55"/>
      <c r="D144" s="48"/>
      <c r="E144" s="48"/>
      <c r="F144" s="48"/>
      <c r="G144" s="57"/>
      <c r="H144" s="5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</row>
    <row r="145" ht="15.75" customHeight="1">
      <c r="A145" s="59"/>
      <c r="B145" s="48"/>
      <c r="C145" s="55"/>
      <c r="D145" s="48"/>
      <c r="E145" s="48"/>
      <c r="F145" s="48"/>
      <c r="G145" s="57"/>
      <c r="H145" s="5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</row>
    <row r="146" ht="15.75" customHeight="1">
      <c r="A146" s="59"/>
      <c r="B146" s="48"/>
      <c r="C146" s="55"/>
      <c r="D146" s="48"/>
      <c r="E146" s="48"/>
      <c r="F146" s="48"/>
      <c r="G146" s="57"/>
      <c r="H146" s="5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</row>
    <row r="147" ht="15.75" customHeight="1">
      <c r="A147" s="48"/>
      <c r="B147" s="48"/>
      <c r="C147" s="48"/>
      <c r="D147" s="48"/>
      <c r="E147" s="48"/>
      <c r="F147" s="48"/>
      <c r="G147" s="60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</row>
    <row r="148" ht="15.75" customHeight="1">
      <c r="A148" s="48"/>
      <c r="B148" s="48"/>
      <c r="C148" s="48"/>
      <c r="D148" s="48"/>
      <c r="E148" s="48"/>
      <c r="F148" s="48"/>
      <c r="G148" s="60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</row>
    <row r="149" ht="15.75" customHeight="1">
      <c r="A149" s="48"/>
      <c r="B149" s="48"/>
      <c r="C149" s="48"/>
      <c r="D149" s="48"/>
      <c r="E149" s="48"/>
      <c r="F149" s="48"/>
      <c r="G149" s="60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</row>
    <row r="150" ht="15.75" customHeight="1">
      <c r="A150" s="48"/>
      <c r="B150" s="48"/>
      <c r="C150" s="48"/>
      <c r="D150" s="48"/>
      <c r="E150" s="48"/>
      <c r="F150" s="48"/>
      <c r="G150" s="60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</row>
    <row r="151" ht="15.75" customHeight="1">
      <c r="A151" s="48"/>
      <c r="B151" s="48"/>
      <c r="C151" s="48"/>
      <c r="D151" s="48"/>
      <c r="E151" s="48"/>
      <c r="F151" s="48"/>
      <c r="G151" s="60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</row>
    <row r="152" ht="15.75" customHeight="1">
      <c r="A152" s="48"/>
      <c r="B152" s="48"/>
      <c r="C152" s="48"/>
      <c r="D152" s="48"/>
      <c r="E152" s="48"/>
      <c r="F152" s="48"/>
      <c r="G152" s="60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</row>
    <row r="153" ht="15.75" customHeight="1">
      <c r="A153" s="48"/>
      <c r="B153" s="48"/>
      <c r="C153" s="48"/>
      <c r="D153" s="48"/>
      <c r="E153" s="48"/>
      <c r="F153" s="48"/>
      <c r="G153" s="60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</row>
    <row r="154" ht="15.75" customHeight="1">
      <c r="A154" s="48"/>
      <c r="B154" s="48"/>
      <c r="C154" s="48"/>
      <c r="D154" s="48"/>
      <c r="E154" s="48"/>
      <c r="F154" s="48"/>
      <c r="G154" s="60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</row>
    <row r="155" ht="15.75" customHeight="1">
      <c r="A155" s="48"/>
      <c r="B155" s="48"/>
      <c r="C155" s="48"/>
      <c r="D155" s="48"/>
      <c r="E155" s="48"/>
      <c r="F155" s="48"/>
      <c r="G155" s="60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</row>
    <row r="156" ht="15.75" customHeight="1">
      <c r="A156" s="48"/>
      <c r="B156" s="48"/>
      <c r="C156" s="48"/>
      <c r="D156" s="48"/>
      <c r="E156" s="48"/>
      <c r="F156" s="48"/>
      <c r="G156" s="60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</row>
    <row r="157" ht="15.75" customHeight="1">
      <c r="A157" s="48"/>
      <c r="B157" s="48"/>
      <c r="C157" s="48"/>
      <c r="D157" s="48"/>
      <c r="E157" s="48"/>
      <c r="F157" s="48"/>
      <c r="G157" s="60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</row>
    <row r="158" ht="15.75" customHeight="1">
      <c r="A158" s="48"/>
      <c r="B158" s="48"/>
      <c r="C158" s="48"/>
      <c r="D158" s="48"/>
      <c r="E158" s="48"/>
      <c r="F158" s="48"/>
      <c r="G158" s="60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</row>
    <row r="159" ht="15.75" customHeight="1">
      <c r="A159" s="48"/>
      <c r="B159" s="48"/>
      <c r="C159" s="48"/>
      <c r="D159" s="48"/>
      <c r="E159" s="48"/>
      <c r="F159" s="48"/>
      <c r="G159" s="60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</row>
    <row r="160" ht="15.75" customHeight="1">
      <c r="A160" s="48"/>
      <c r="B160" s="48"/>
      <c r="C160" s="48"/>
      <c r="D160" s="48"/>
      <c r="E160" s="48"/>
      <c r="F160" s="48"/>
      <c r="G160" s="60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</row>
    <row r="161" ht="15.75" customHeight="1">
      <c r="A161" s="48"/>
      <c r="B161" s="48"/>
      <c r="C161" s="48"/>
      <c r="D161" s="48"/>
      <c r="E161" s="48"/>
      <c r="F161" s="48"/>
      <c r="G161" s="60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</row>
    <row r="162" ht="15.75" customHeight="1">
      <c r="A162" s="48"/>
      <c r="B162" s="48"/>
      <c r="C162" s="48"/>
      <c r="D162" s="48"/>
      <c r="E162" s="48"/>
      <c r="F162" s="48"/>
      <c r="G162" s="60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</row>
    <row r="163" ht="15.75" customHeight="1">
      <c r="A163" s="48"/>
      <c r="B163" s="48"/>
      <c r="C163" s="48"/>
      <c r="D163" s="48"/>
      <c r="E163" s="48"/>
      <c r="F163" s="48"/>
      <c r="G163" s="60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</row>
    <row r="164" ht="15.75" customHeight="1">
      <c r="A164" s="48"/>
      <c r="B164" s="48"/>
      <c r="C164" s="48"/>
      <c r="D164" s="48"/>
      <c r="E164" s="48"/>
      <c r="F164" s="48"/>
      <c r="G164" s="60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</row>
    <row r="165" ht="15.75" customHeight="1">
      <c r="A165" s="48"/>
      <c r="B165" s="48"/>
      <c r="C165" s="48"/>
      <c r="D165" s="48"/>
      <c r="E165" s="48"/>
      <c r="F165" s="48"/>
      <c r="G165" s="60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</row>
    <row r="166" ht="15.75" customHeight="1">
      <c r="A166" s="48"/>
      <c r="B166" s="48"/>
      <c r="C166" s="48"/>
      <c r="D166" s="48"/>
      <c r="E166" s="48"/>
      <c r="F166" s="48"/>
      <c r="G166" s="60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</row>
    <row r="167" ht="15.75" customHeight="1">
      <c r="A167" s="48"/>
      <c r="B167" s="48"/>
      <c r="C167" s="48"/>
      <c r="D167" s="48"/>
      <c r="E167" s="48"/>
      <c r="F167" s="48"/>
      <c r="G167" s="60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</row>
    <row r="168" ht="15.75" customHeight="1">
      <c r="A168" s="48"/>
      <c r="B168" s="48"/>
      <c r="C168" s="48"/>
      <c r="D168" s="48"/>
      <c r="E168" s="48"/>
      <c r="F168" s="48"/>
      <c r="G168" s="60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</row>
    <row r="169" ht="15.75" customHeight="1">
      <c r="A169" s="48"/>
      <c r="B169" s="48"/>
      <c r="C169" s="48"/>
      <c r="D169" s="48"/>
      <c r="E169" s="48"/>
      <c r="F169" s="48"/>
      <c r="G169" s="60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</row>
    <row r="170" ht="15.75" customHeight="1">
      <c r="A170" s="48"/>
      <c r="B170" s="48"/>
      <c r="C170" s="48"/>
      <c r="D170" s="48"/>
      <c r="E170" s="48"/>
      <c r="F170" s="48"/>
      <c r="G170" s="60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</row>
    <row r="171" ht="15.75" customHeight="1">
      <c r="A171" s="48"/>
      <c r="B171" s="48"/>
      <c r="C171" s="48"/>
      <c r="D171" s="48"/>
      <c r="E171" s="48"/>
      <c r="F171" s="48"/>
      <c r="G171" s="60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</row>
    <row r="172" ht="15.75" customHeight="1">
      <c r="A172" s="48"/>
      <c r="B172" s="48"/>
      <c r="C172" s="48"/>
      <c r="D172" s="48"/>
      <c r="E172" s="48"/>
      <c r="F172" s="48"/>
      <c r="G172" s="60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</row>
    <row r="173" ht="15.75" customHeight="1">
      <c r="A173" s="48"/>
      <c r="B173" s="48"/>
      <c r="C173" s="48"/>
      <c r="D173" s="48"/>
      <c r="E173" s="48"/>
      <c r="F173" s="48"/>
      <c r="G173" s="60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</row>
    <row r="174" ht="15.75" customHeight="1">
      <c r="A174" s="48"/>
      <c r="B174" s="48"/>
      <c r="C174" s="48"/>
      <c r="D174" s="48"/>
      <c r="E174" s="48"/>
      <c r="F174" s="48"/>
      <c r="G174" s="60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</row>
    <row r="175" ht="15.75" customHeight="1">
      <c r="A175" s="48"/>
      <c r="B175" s="48"/>
      <c r="C175" s="48"/>
      <c r="D175" s="48"/>
      <c r="E175" s="48"/>
      <c r="F175" s="48"/>
      <c r="G175" s="60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</row>
    <row r="176" ht="15.75" customHeight="1">
      <c r="A176" s="48"/>
      <c r="B176" s="48"/>
      <c r="C176" s="48"/>
      <c r="D176" s="48"/>
      <c r="E176" s="48"/>
      <c r="F176" s="48"/>
      <c r="G176" s="60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</row>
    <row r="177" ht="15.75" customHeight="1">
      <c r="A177" s="48"/>
      <c r="B177" s="48"/>
      <c r="C177" s="48"/>
      <c r="D177" s="48"/>
      <c r="E177" s="48"/>
      <c r="F177" s="48"/>
      <c r="G177" s="60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</row>
    <row r="178" ht="15.75" customHeight="1">
      <c r="A178" s="48"/>
      <c r="B178" s="48"/>
      <c r="C178" s="48"/>
      <c r="D178" s="48"/>
      <c r="E178" s="48"/>
      <c r="F178" s="48"/>
      <c r="G178" s="60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</row>
    <row r="179" ht="15.75" customHeight="1">
      <c r="A179" s="48"/>
      <c r="B179" s="48"/>
      <c r="C179" s="48"/>
      <c r="D179" s="48"/>
      <c r="E179" s="48"/>
      <c r="F179" s="48"/>
      <c r="G179" s="60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</row>
    <row r="180" ht="15.75" customHeight="1">
      <c r="A180" s="48"/>
      <c r="B180" s="48"/>
      <c r="C180" s="48"/>
      <c r="D180" s="48"/>
      <c r="E180" s="48"/>
      <c r="F180" s="48"/>
      <c r="G180" s="60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</row>
    <row r="181" ht="15.75" customHeight="1">
      <c r="A181" s="48"/>
      <c r="B181" s="48"/>
      <c r="C181" s="48"/>
      <c r="D181" s="48"/>
      <c r="E181" s="48"/>
      <c r="F181" s="48"/>
      <c r="G181" s="60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</row>
    <row r="182" ht="15.75" customHeight="1">
      <c r="A182" s="48"/>
      <c r="B182" s="48"/>
      <c r="C182" s="48"/>
      <c r="D182" s="48"/>
      <c r="E182" s="48"/>
      <c r="F182" s="48"/>
      <c r="G182" s="60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</row>
    <row r="183" ht="15.75" customHeight="1">
      <c r="A183" s="48"/>
      <c r="B183" s="48"/>
      <c r="C183" s="48"/>
      <c r="D183" s="48"/>
      <c r="E183" s="48"/>
      <c r="F183" s="48"/>
      <c r="G183" s="60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</row>
    <row r="184" ht="15.75" customHeight="1">
      <c r="A184" s="48"/>
      <c r="B184" s="48"/>
      <c r="C184" s="48"/>
      <c r="D184" s="48"/>
      <c r="E184" s="48"/>
      <c r="F184" s="48"/>
      <c r="G184" s="60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</row>
    <row r="185" ht="15.75" customHeight="1">
      <c r="A185" s="48"/>
      <c r="B185" s="48"/>
      <c r="C185" s="48"/>
      <c r="D185" s="48"/>
      <c r="E185" s="48"/>
      <c r="F185" s="48"/>
      <c r="G185" s="60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</row>
    <row r="186" ht="15.75" customHeight="1">
      <c r="A186" s="48"/>
      <c r="B186" s="48"/>
      <c r="C186" s="48"/>
      <c r="D186" s="48"/>
      <c r="E186" s="48"/>
      <c r="F186" s="48"/>
      <c r="G186" s="60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</row>
    <row r="187" ht="15.75" customHeight="1">
      <c r="A187" s="48"/>
      <c r="B187" s="48"/>
      <c r="C187" s="48"/>
      <c r="D187" s="48"/>
      <c r="E187" s="48"/>
      <c r="F187" s="48"/>
      <c r="G187" s="60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</row>
    <row r="188" ht="15.75" customHeight="1">
      <c r="A188" s="48"/>
      <c r="B188" s="48"/>
      <c r="C188" s="48"/>
      <c r="D188" s="48"/>
      <c r="E188" s="48"/>
      <c r="F188" s="48"/>
      <c r="G188" s="60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r="189" ht="15.75" customHeight="1">
      <c r="A189" s="48"/>
      <c r="B189" s="48"/>
      <c r="C189" s="48"/>
      <c r="D189" s="48"/>
      <c r="E189" s="48"/>
      <c r="F189" s="48"/>
      <c r="G189" s="60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</row>
    <row r="190" ht="15.75" customHeight="1">
      <c r="A190" s="48"/>
      <c r="B190" s="48"/>
      <c r="C190" s="48"/>
      <c r="D190" s="48"/>
      <c r="E190" s="48"/>
      <c r="F190" s="48"/>
      <c r="G190" s="60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</row>
    <row r="191" ht="15.75" customHeight="1">
      <c r="A191" s="48"/>
      <c r="B191" s="48"/>
      <c r="C191" s="48"/>
      <c r="D191" s="48"/>
      <c r="E191" s="48"/>
      <c r="F191" s="48"/>
      <c r="G191" s="60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</row>
    <row r="192" ht="15.75" customHeight="1">
      <c r="A192" s="48"/>
      <c r="B192" s="48"/>
      <c r="C192" s="48"/>
      <c r="D192" s="48"/>
      <c r="E192" s="48"/>
      <c r="F192" s="48"/>
      <c r="G192" s="60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</row>
    <row r="193" ht="15.75" customHeight="1">
      <c r="A193" s="48"/>
      <c r="B193" s="48"/>
      <c r="C193" s="48"/>
      <c r="D193" s="48"/>
      <c r="E193" s="48"/>
      <c r="F193" s="48"/>
      <c r="G193" s="60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</row>
    <row r="194" ht="15.75" customHeight="1">
      <c r="A194" s="48"/>
      <c r="B194" s="48"/>
      <c r="C194" s="48"/>
      <c r="D194" s="48"/>
      <c r="E194" s="48"/>
      <c r="F194" s="48"/>
      <c r="G194" s="60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</row>
    <row r="195" ht="15.75" customHeight="1">
      <c r="A195" s="48"/>
      <c r="B195" s="48"/>
      <c r="C195" s="48"/>
      <c r="D195" s="48"/>
      <c r="E195" s="48"/>
      <c r="F195" s="48"/>
      <c r="G195" s="60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</row>
    <row r="196" ht="15.75" customHeight="1">
      <c r="A196" s="48"/>
      <c r="B196" s="48"/>
      <c r="C196" s="48"/>
      <c r="D196" s="48"/>
      <c r="E196" s="48"/>
      <c r="F196" s="48"/>
      <c r="G196" s="60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</row>
    <row r="197" ht="15.75" customHeight="1">
      <c r="A197" s="48"/>
      <c r="B197" s="48"/>
      <c r="C197" s="48"/>
      <c r="D197" s="48"/>
      <c r="E197" s="48"/>
      <c r="F197" s="48"/>
      <c r="G197" s="60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</row>
    <row r="198" ht="15.75" customHeight="1">
      <c r="A198" s="48"/>
      <c r="B198" s="48"/>
      <c r="C198" s="48"/>
      <c r="D198" s="48"/>
      <c r="E198" s="48"/>
      <c r="F198" s="48"/>
      <c r="G198" s="60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</row>
    <row r="199" ht="15.75" customHeight="1">
      <c r="A199" s="48"/>
      <c r="B199" s="48"/>
      <c r="C199" s="48"/>
      <c r="D199" s="48"/>
      <c r="E199" s="48"/>
      <c r="F199" s="48"/>
      <c r="G199" s="60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</row>
    <row r="200" ht="15.75" customHeight="1">
      <c r="A200" s="48"/>
      <c r="B200" s="48"/>
      <c r="C200" s="48"/>
      <c r="D200" s="48"/>
      <c r="E200" s="48"/>
      <c r="F200" s="48"/>
      <c r="G200" s="60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</row>
    <row r="201" ht="15.75" customHeight="1">
      <c r="A201" s="48"/>
      <c r="B201" s="48"/>
      <c r="C201" s="48"/>
      <c r="D201" s="48"/>
      <c r="E201" s="48"/>
      <c r="F201" s="48"/>
      <c r="G201" s="60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</row>
    <row r="202" ht="15.75" customHeight="1">
      <c r="A202" s="48"/>
      <c r="B202" s="48"/>
      <c r="C202" s="48"/>
      <c r="D202" s="48"/>
      <c r="E202" s="48"/>
      <c r="F202" s="48"/>
      <c r="G202" s="60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</row>
    <row r="203" ht="15.75" customHeight="1">
      <c r="A203" s="48"/>
      <c r="B203" s="48"/>
      <c r="C203" s="48"/>
      <c r="D203" s="48"/>
      <c r="E203" s="48"/>
      <c r="F203" s="48"/>
      <c r="G203" s="60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</row>
    <row r="204" ht="15.75" customHeight="1">
      <c r="A204" s="48"/>
      <c r="B204" s="48"/>
      <c r="C204" s="48"/>
      <c r="D204" s="48"/>
      <c r="E204" s="48"/>
      <c r="F204" s="48"/>
      <c r="G204" s="60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</row>
    <row r="205" ht="15.75" customHeight="1">
      <c r="A205" s="48"/>
      <c r="B205" s="48"/>
      <c r="C205" s="48"/>
      <c r="D205" s="48"/>
      <c r="E205" s="48"/>
      <c r="F205" s="48"/>
      <c r="G205" s="60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</row>
    <row r="206" ht="15.75" customHeight="1">
      <c r="A206" s="48"/>
      <c r="B206" s="48"/>
      <c r="C206" s="48"/>
      <c r="D206" s="48"/>
      <c r="E206" s="48"/>
      <c r="F206" s="48"/>
      <c r="G206" s="60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</row>
    <row r="207" ht="15.75" customHeight="1">
      <c r="A207" s="48"/>
      <c r="B207" s="48"/>
      <c r="C207" s="48"/>
      <c r="D207" s="48"/>
      <c r="E207" s="48"/>
      <c r="F207" s="48"/>
      <c r="G207" s="60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</row>
    <row r="208" ht="15.75" customHeight="1">
      <c r="A208" s="48"/>
      <c r="B208" s="48"/>
      <c r="C208" s="48"/>
      <c r="D208" s="48"/>
      <c r="E208" s="48"/>
      <c r="F208" s="48"/>
      <c r="G208" s="60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</row>
    <row r="209" ht="15.75" customHeight="1">
      <c r="A209" s="48"/>
      <c r="B209" s="48"/>
      <c r="C209" s="48"/>
      <c r="D209" s="48"/>
      <c r="E209" s="48"/>
      <c r="F209" s="48"/>
      <c r="G209" s="60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</row>
    <row r="210" ht="15.75" customHeight="1">
      <c r="A210" s="48"/>
      <c r="B210" s="48"/>
      <c r="C210" s="48"/>
      <c r="D210" s="48"/>
      <c r="E210" s="48"/>
      <c r="F210" s="48"/>
      <c r="G210" s="60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</row>
    <row r="211" ht="15.75" customHeight="1">
      <c r="A211" s="48"/>
      <c r="B211" s="48"/>
      <c r="C211" s="48"/>
      <c r="D211" s="48"/>
      <c r="E211" s="48"/>
      <c r="F211" s="48"/>
      <c r="G211" s="60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</row>
    <row r="212" ht="15.75" customHeight="1">
      <c r="A212" s="48"/>
      <c r="B212" s="48"/>
      <c r="C212" s="48"/>
      <c r="D212" s="48"/>
      <c r="E212" s="48"/>
      <c r="F212" s="48"/>
      <c r="G212" s="60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</row>
    <row r="213" ht="15.75" customHeight="1">
      <c r="A213" s="48"/>
      <c r="B213" s="48"/>
      <c r="C213" s="48"/>
      <c r="D213" s="48"/>
      <c r="E213" s="48"/>
      <c r="F213" s="48"/>
      <c r="G213" s="60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</row>
    <row r="214" ht="15.75" customHeight="1">
      <c r="A214" s="48"/>
      <c r="B214" s="48"/>
      <c r="C214" s="48"/>
      <c r="D214" s="48"/>
      <c r="E214" s="48"/>
      <c r="F214" s="48"/>
      <c r="G214" s="60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</row>
    <row r="215" ht="15.75" customHeight="1">
      <c r="A215" s="48"/>
      <c r="B215" s="48"/>
      <c r="C215" s="48"/>
      <c r="D215" s="48"/>
      <c r="E215" s="48"/>
      <c r="F215" s="48"/>
      <c r="G215" s="60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</row>
    <row r="216" ht="15.75" customHeight="1">
      <c r="A216" s="48"/>
      <c r="B216" s="48"/>
      <c r="C216" s="48"/>
      <c r="D216" s="48"/>
      <c r="E216" s="48"/>
      <c r="F216" s="48"/>
      <c r="G216" s="60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</row>
    <row r="217" ht="15.75" customHeight="1">
      <c r="A217" s="48"/>
      <c r="B217" s="48"/>
      <c r="C217" s="48"/>
      <c r="D217" s="48"/>
      <c r="E217" s="48"/>
      <c r="F217" s="48"/>
      <c r="G217" s="60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</row>
    <row r="218" ht="15.75" customHeight="1">
      <c r="A218" s="48"/>
      <c r="B218" s="48"/>
      <c r="C218" s="48"/>
      <c r="D218" s="48"/>
      <c r="E218" s="48"/>
      <c r="F218" s="48"/>
      <c r="G218" s="60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</row>
    <row r="219" ht="15.75" customHeight="1">
      <c r="A219" s="48"/>
      <c r="B219" s="48"/>
      <c r="C219" s="48"/>
      <c r="D219" s="48"/>
      <c r="E219" s="48"/>
      <c r="F219" s="48"/>
      <c r="G219" s="60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</row>
    <row r="220" ht="15.75" customHeight="1">
      <c r="A220" s="48"/>
      <c r="B220" s="48"/>
      <c r="C220" s="48"/>
      <c r="D220" s="48"/>
      <c r="E220" s="48"/>
      <c r="F220" s="48"/>
      <c r="G220" s="60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</row>
    <row r="221" ht="15.75" customHeight="1">
      <c r="I221" s="61"/>
    </row>
    <row r="222" ht="15.75" customHeight="1">
      <c r="I222" s="61"/>
    </row>
    <row r="223" ht="15.75" customHeight="1">
      <c r="I223" s="61"/>
    </row>
    <row r="224" ht="15.75" customHeight="1">
      <c r="I224" s="61"/>
    </row>
    <row r="225" ht="15.75" customHeight="1">
      <c r="I225" s="61"/>
    </row>
    <row r="226" ht="15.75" customHeight="1">
      <c r="I226" s="61"/>
    </row>
    <row r="227" ht="15.75" customHeight="1">
      <c r="I227" s="61"/>
    </row>
    <row r="228" ht="15.75" customHeight="1">
      <c r="I228" s="61"/>
    </row>
    <row r="229" ht="15.75" customHeight="1">
      <c r="I229" s="61"/>
    </row>
    <row r="230" ht="15.75" customHeight="1">
      <c r="I230" s="61"/>
    </row>
    <row r="231" ht="15.75" customHeight="1">
      <c r="I231" s="61"/>
    </row>
    <row r="232" ht="15.75" customHeight="1">
      <c r="I232" s="61"/>
    </row>
    <row r="233" ht="15.75" customHeight="1">
      <c r="I233" s="61"/>
    </row>
    <row r="234" ht="15.75" customHeight="1">
      <c r="I234" s="61"/>
    </row>
    <row r="235" ht="15.75" customHeight="1">
      <c r="I235" s="61"/>
    </row>
    <row r="236" ht="15.75" customHeight="1">
      <c r="I236" s="61"/>
    </row>
    <row r="237" ht="15.75" customHeight="1">
      <c r="I237" s="61"/>
    </row>
    <row r="238" ht="15.75" customHeight="1">
      <c r="I238" s="61"/>
    </row>
    <row r="239" ht="15.75" customHeight="1">
      <c r="I239" s="61"/>
    </row>
    <row r="240" ht="15.75" customHeight="1">
      <c r="I240" s="61"/>
    </row>
    <row r="241" ht="15.75" customHeight="1">
      <c r="I241" s="61"/>
    </row>
    <row r="242" ht="15.75" customHeight="1">
      <c r="I242" s="61"/>
    </row>
    <row r="243" ht="15.75" customHeight="1">
      <c r="I243" s="61"/>
    </row>
    <row r="244" ht="15.75" customHeight="1">
      <c r="I244" s="61"/>
    </row>
    <row r="245" ht="15.75" customHeight="1">
      <c r="I245" s="61"/>
    </row>
    <row r="246" ht="15.75" customHeight="1">
      <c r="I246" s="61"/>
    </row>
    <row r="247" ht="15.75" customHeight="1">
      <c r="I247" s="61"/>
    </row>
    <row r="248" ht="15.75" customHeight="1">
      <c r="I248" s="61"/>
    </row>
    <row r="249" ht="15.75" customHeight="1">
      <c r="I249" s="61"/>
    </row>
    <row r="250" ht="15.75" customHeight="1">
      <c r="I250" s="61"/>
    </row>
    <row r="251" ht="15.75" customHeight="1">
      <c r="I251" s="61"/>
    </row>
    <row r="252" ht="15.75" customHeight="1">
      <c r="I252" s="61"/>
    </row>
    <row r="253" ht="15.75" customHeight="1">
      <c r="I253" s="61"/>
    </row>
    <row r="254" ht="15.75" customHeight="1">
      <c r="I254" s="61"/>
    </row>
    <row r="255" ht="15.75" customHeight="1">
      <c r="I255" s="61"/>
    </row>
    <row r="256" ht="15.75" customHeight="1">
      <c r="I256" s="61"/>
    </row>
    <row r="257" ht="15.75" customHeight="1">
      <c r="I257" s="61"/>
    </row>
    <row r="258" ht="15.75" customHeight="1">
      <c r="I258" s="61"/>
    </row>
    <row r="259" ht="15.75" customHeight="1">
      <c r="I259" s="61"/>
    </row>
    <row r="260" ht="15.75" customHeight="1">
      <c r="I260" s="61"/>
    </row>
    <row r="261" ht="15.75" customHeight="1">
      <c r="I261" s="61"/>
    </row>
    <row r="262" ht="15.75" customHeight="1">
      <c r="I262" s="61"/>
    </row>
    <row r="263" ht="15.75" customHeight="1">
      <c r="I263" s="61"/>
    </row>
    <row r="264" ht="15.75" customHeight="1">
      <c r="I264" s="61"/>
    </row>
    <row r="265" ht="15.75" customHeight="1">
      <c r="I265" s="61"/>
    </row>
    <row r="266" ht="15.75" customHeight="1">
      <c r="I266" s="61"/>
    </row>
    <row r="267" ht="15.75" customHeight="1">
      <c r="I267" s="61"/>
    </row>
    <row r="268" ht="15.75" customHeight="1">
      <c r="I268" s="61"/>
    </row>
    <row r="269" ht="15.75" customHeight="1">
      <c r="I269" s="61"/>
    </row>
    <row r="270" ht="15.75" customHeight="1">
      <c r="I270" s="61"/>
    </row>
    <row r="271" ht="15.75" customHeight="1">
      <c r="I271" s="61"/>
    </row>
    <row r="272" ht="15.75" customHeight="1">
      <c r="I272" s="61"/>
    </row>
    <row r="273" ht="15.75" customHeight="1">
      <c r="I273" s="61"/>
    </row>
    <row r="274" ht="15.75" customHeight="1">
      <c r="I274" s="61"/>
    </row>
    <row r="275" ht="15.75" customHeight="1">
      <c r="I275" s="61"/>
    </row>
    <row r="276" ht="15.75" customHeight="1">
      <c r="I276" s="61"/>
    </row>
    <row r="277" ht="15.75" customHeight="1">
      <c r="I277" s="61"/>
    </row>
    <row r="278" ht="15.75" customHeight="1">
      <c r="I278" s="61"/>
    </row>
    <row r="279" ht="15.75" customHeight="1">
      <c r="I279" s="61"/>
    </row>
    <row r="280" ht="15.75" customHeight="1">
      <c r="I280" s="61"/>
    </row>
    <row r="281" ht="15.75" customHeight="1">
      <c r="I281" s="61"/>
    </row>
    <row r="282" ht="15.75" customHeight="1">
      <c r="I282" s="61"/>
    </row>
    <row r="283" ht="15.75" customHeight="1">
      <c r="I283" s="61"/>
    </row>
    <row r="284" ht="15.75" customHeight="1">
      <c r="I284" s="61"/>
    </row>
    <row r="285" ht="15.75" customHeight="1">
      <c r="I285" s="61"/>
    </row>
    <row r="286" ht="15.75" customHeight="1">
      <c r="I286" s="61"/>
    </row>
    <row r="287" ht="15.75" customHeight="1">
      <c r="I287" s="61"/>
    </row>
    <row r="288" ht="15.75" customHeight="1">
      <c r="I288" s="61"/>
    </row>
    <row r="289" ht="15.75" customHeight="1">
      <c r="I289" s="61"/>
    </row>
    <row r="290" ht="15.75" customHeight="1">
      <c r="I290" s="61"/>
    </row>
    <row r="291" ht="15.75" customHeight="1">
      <c r="I291" s="61"/>
    </row>
    <row r="292" ht="15.75" customHeight="1">
      <c r="I292" s="61"/>
    </row>
    <row r="293" ht="15.75" customHeight="1">
      <c r="I293" s="61"/>
    </row>
    <row r="294" ht="15.75" customHeight="1">
      <c r="I294" s="61"/>
    </row>
    <row r="295" ht="15.75" customHeight="1">
      <c r="I295" s="61"/>
    </row>
    <row r="296" ht="15.75" customHeight="1">
      <c r="I296" s="61"/>
    </row>
    <row r="297" ht="15.75" customHeight="1">
      <c r="I297" s="61"/>
    </row>
    <row r="298" ht="15.75" customHeight="1">
      <c r="I298" s="61"/>
    </row>
    <row r="299" ht="15.75" customHeight="1">
      <c r="I299" s="61"/>
    </row>
    <row r="300" ht="15.75" customHeight="1">
      <c r="I300" s="61"/>
    </row>
    <row r="301" ht="15.75" customHeight="1">
      <c r="I301" s="61"/>
    </row>
    <row r="302" ht="15.75" customHeight="1">
      <c r="I302" s="61"/>
    </row>
    <row r="303" ht="15.75" customHeight="1">
      <c r="I303" s="61"/>
    </row>
    <row r="304" ht="15.75" customHeight="1">
      <c r="I304" s="61"/>
    </row>
    <row r="305" ht="15.75" customHeight="1">
      <c r="I305" s="61"/>
    </row>
    <row r="306" ht="15.75" customHeight="1">
      <c r="I306" s="61"/>
    </row>
    <row r="307" ht="15.75" customHeight="1">
      <c r="I307" s="61"/>
    </row>
    <row r="308" ht="15.75" customHeight="1">
      <c r="I308" s="61"/>
    </row>
    <row r="309" ht="15.75" customHeight="1">
      <c r="I309" s="61"/>
    </row>
    <row r="310" ht="15.75" customHeight="1">
      <c r="I310" s="61"/>
    </row>
    <row r="311" ht="15.75" customHeight="1">
      <c r="I311" s="61"/>
    </row>
    <row r="312" ht="15.75" customHeight="1">
      <c r="I312" s="61"/>
    </row>
    <row r="313" ht="15.75" customHeight="1">
      <c r="I313" s="61"/>
    </row>
    <row r="314" ht="15.75" customHeight="1">
      <c r="I314" s="61"/>
    </row>
    <row r="315" ht="15.75" customHeight="1">
      <c r="I315" s="61"/>
    </row>
    <row r="316" ht="15.75" customHeight="1">
      <c r="I316" s="61"/>
    </row>
    <row r="317" ht="15.75" customHeight="1">
      <c r="I317" s="61"/>
    </row>
    <row r="318" ht="15.75" customHeight="1">
      <c r="I318" s="61"/>
    </row>
    <row r="319" ht="15.75" customHeight="1">
      <c r="I319" s="61"/>
    </row>
    <row r="320" ht="15.75" customHeight="1">
      <c r="I320" s="61"/>
    </row>
    <row r="321" ht="15.75" customHeight="1">
      <c r="I321" s="61"/>
    </row>
    <row r="322" ht="15.75" customHeight="1">
      <c r="I322" s="61"/>
    </row>
    <row r="323" ht="15.75" customHeight="1">
      <c r="I323" s="61"/>
    </row>
    <row r="324" ht="15.75" customHeight="1">
      <c r="I324" s="61"/>
    </row>
    <row r="325" ht="15.75" customHeight="1">
      <c r="I325" s="61"/>
    </row>
    <row r="326" ht="15.75" customHeight="1">
      <c r="I326" s="61"/>
    </row>
    <row r="327" ht="15.75" customHeight="1">
      <c r="I327" s="61"/>
    </row>
    <row r="328" ht="15.75" customHeight="1">
      <c r="I328" s="61"/>
    </row>
    <row r="329" ht="15.75" customHeight="1">
      <c r="I329" s="61"/>
    </row>
    <row r="330" ht="15.75" customHeight="1">
      <c r="I330" s="61"/>
    </row>
    <row r="331" ht="15.75" customHeight="1">
      <c r="I331" s="61"/>
    </row>
    <row r="332" ht="15.75" customHeight="1">
      <c r="I332" s="61"/>
    </row>
    <row r="333" ht="15.75" customHeight="1">
      <c r="I333" s="61"/>
    </row>
    <row r="334" ht="15.75" customHeight="1">
      <c r="I334" s="61"/>
    </row>
    <row r="335" ht="15.75" customHeight="1">
      <c r="I335" s="61"/>
    </row>
    <row r="336" ht="15.75" customHeight="1">
      <c r="I336" s="61"/>
    </row>
    <row r="337" ht="15.75" customHeight="1">
      <c r="I337" s="61"/>
    </row>
    <row r="338" ht="15.75" customHeight="1">
      <c r="I338" s="61"/>
    </row>
    <row r="339" ht="15.75" customHeight="1">
      <c r="I339" s="61"/>
    </row>
    <row r="340" ht="15.75" customHeight="1">
      <c r="I340" s="61"/>
    </row>
    <row r="341" ht="15.75" customHeight="1">
      <c r="I341" s="61"/>
    </row>
    <row r="342" ht="15.75" customHeight="1">
      <c r="I342" s="61"/>
    </row>
    <row r="343" ht="15.75" customHeight="1">
      <c r="I343" s="61"/>
    </row>
    <row r="344" ht="15.75" customHeight="1">
      <c r="I344" s="61"/>
    </row>
    <row r="345" ht="15.75" customHeight="1">
      <c r="I345" s="61"/>
    </row>
    <row r="346" ht="15.75" customHeight="1">
      <c r="I346" s="61"/>
    </row>
    <row r="347" ht="15.75" customHeight="1">
      <c r="I347" s="61"/>
    </row>
    <row r="348" ht="15.75" customHeight="1">
      <c r="I348" s="61"/>
    </row>
    <row r="349" ht="15.75" customHeight="1">
      <c r="I349" s="61"/>
    </row>
    <row r="350" ht="15.75" customHeight="1">
      <c r="I350" s="61"/>
    </row>
    <row r="351" ht="15.75" customHeight="1">
      <c r="I351" s="61"/>
    </row>
    <row r="352" ht="15.75" customHeight="1">
      <c r="I352" s="61"/>
    </row>
    <row r="353" ht="15.75" customHeight="1">
      <c r="I353" s="61"/>
    </row>
    <row r="354" ht="15.75" customHeight="1">
      <c r="I354" s="61"/>
    </row>
    <row r="355" ht="15.75" customHeight="1">
      <c r="I355" s="61"/>
    </row>
    <row r="356" ht="15.75" customHeight="1">
      <c r="I356" s="61"/>
    </row>
    <row r="357" ht="15.75" customHeight="1">
      <c r="I357" s="61"/>
    </row>
    <row r="358" ht="15.75" customHeight="1">
      <c r="I358" s="61"/>
    </row>
    <row r="359" ht="15.75" customHeight="1">
      <c r="I359" s="61"/>
    </row>
    <row r="360" ht="15.75" customHeight="1">
      <c r="I360" s="61"/>
    </row>
    <row r="361" ht="15.75" customHeight="1">
      <c r="I361" s="61"/>
    </row>
    <row r="362" ht="15.75" customHeight="1">
      <c r="I362" s="61"/>
    </row>
    <row r="363" ht="15.75" customHeight="1">
      <c r="I363" s="61"/>
    </row>
    <row r="364" ht="15.75" customHeight="1">
      <c r="I364" s="61"/>
    </row>
    <row r="365" ht="15.75" customHeight="1">
      <c r="I365" s="61"/>
    </row>
    <row r="366" ht="15.75" customHeight="1">
      <c r="I366" s="61"/>
    </row>
    <row r="367" ht="15.75" customHeight="1">
      <c r="I367" s="61"/>
    </row>
    <row r="368" ht="15.75" customHeight="1">
      <c r="I368" s="61"/>
    </row>
    <row r="369" ht="15.75" customHeight="1">
      <c r="I369" s="61"/>
    </row>
    <row r="370" ht="15.75" customHeight="1">
      <c r="I370" s="61"/>
    </row>
    <row r="371" ht="15.75" customHeight="1">
      <c r="I371" s="61"/>
    </row>
    <row r="372" ht="15.75" customHeight="1">
      <c r="I372" s="61"/>
    </row>
    <row r="373" ht="15.75" customHeight="1">
      <c r="I373" s="61"/>
    </row>
    <row r="374" ht="15.75" customHeight="1">
      <c r="I374" s="61"/>
    </row>
    <row r="375" ht="15.75" customHeight="1">
      <c r="I375" s="61"/>
    </row>
    <row r="376" ht="15.75" customHeight="1">
      <c r="I376" s="61"/>
    </row>
    <row r="377" ht="15.75" customHeight="1">
      <c r="I377" s="61"/>
    </row>
    <row r="378" ht="15.75" customHeight="1">
      <c r="I378" s="61"/>
    </row>
    <row r="379" ht="15.75" customHeight="1">
      <c r="I379" s="61"/>
    </row>
    <row r="380" ht="15.75" customHeight="1">
      <c r="I380" s="61"/>
    </row>
    <row r="381" ht="15.75" customHeight="1">
      <c r="I381" s="61"/>
    </row>
    <row r="382" ht="15.75" customHeight="1">
      <c r="I382" s="61"/>
    </row>
    <row r="383" ht="15.75" customHeight="1">
      <c r="I383" s="61"/>
    </row>
    <row r="384" ht="15.75" customHeight="1">
      <c r="I384" s="61"/>
    </row>
    <row r="385" ht="15.75" customHeight="1">
      <c r="I385" s="61"/>
    </row>
    <row r="386" ht="15.75" customHeight="1">
      <c r="I386" s="61"/>
    </row>
    <row r="387" ht="15.75" customHeight="1">
      <c r="I387" s="61"/>
    </row>
    <row r="388" ht="15.75" customHeight="1">
      <c r="I388" s="61"/>
    </row>
    <row r="389" ht="15.75" customHeight="1">
      <c r="I389" s="61"/>
    </row>
    <row r="390" ht="15.75" customHeight="1">
      <c r="I390" s="61"/>
    </row>
    <row r="391" ht="15.75" customHeight="1">
      <c r="I391" s="61"/>
    </row>
    <row r="392" ht="15.75" customHeight="1">
      <c r="I392" s="61"/>
    </row>
    <row r="393" ht="15.75" customHeight="1">
      <c r="I393" s="61"/>
    </row>
    <row r="394" ht="15.75" customHeight="1">
      <c r="I394" s="61"/>
    </row>
    <row r="395" ht="15.75" customHeight="1">
      <c r="I395" s="61"/>
    </row>
    <row r="396" ht="15.75" customHeight="1">
      <c r="I396" s="61"/>
    </row>
    <row r="397" ht="15.75" customHeight="1">
      <c r="I397" s="61"/>
    </row>
    <row r="398" ht="15.75" customHeight="1">
      <c r="I398" s="61"/>
    </row>
    <row r="399" ht="15.75" customHeight="1">
      <c r="I399" s="61"/>
    </row>
    <row r="400" ht="15.75" customHeight="1">
      <c r="I400" s="61"/>
    </row>
    <row r="401" ht="15.75" customHeight="1">
      <c r="I401" s="61"/>
    </row>
    <row r="402" ht="15.75" customHeight="1">
      <c r="I402" s="61"/>
    </row>
    <row r="403" ht="15.75" customHeight="1">
      <c r="I403" s="61"/>
    </row>
    <row r="404" ht="15.75" customHeight="1">
      <c r="I404" s="61"/>
    </row>
    <row r="405" ht="15.75" customHeight="1">
      <c r="I405" s="61"/>
    </row>
    <row r="406" ht="15.75" customHeight="1">
      <c r="I406" s="61"/>
    </row>
    <row r="407" ht="15.75" customHeight="1">
      <c r="I407" s="61"/>
    </row>
    <row r="408" ht="15.75" customHeight="1">
      <c r="I408" s="61"/>
    </row>
    <row r="409" ht="15.75" customHeight="1">
      <c r="I409" s="61"/>
    </row>
    <row r="410" ht="15.75" customHeight="1">
      <c r="I410" s="61"/>
    </row>
    <row r="411" ht="15.75" customHeight="1">
      <c r="I411" s="61"/>
    </row>
    <row r="412" ht="15.75" customHeight="1">
      <c r="I412" s="61"/>
    </row>
    <row r="413" ht="15.75" customHeight="1">
      <c r="I413" s="61"/>
    </row>
    <row r="414" ht="15.75" customHeight="1">
      <c r="I414" s="61"/>
    </row>
    <row r="415" ht="15.75" customHeight="1">
      <c r="I415" s="61"/>
    </row>
    <row r="416" ht="15.75" customHeight="1">
      <c r="I416" s="61"/>
    </row>
    <row r="417" ht="15.75" customHeight="1">
      <c r="I417" s="61"/>
    </row>
    <row r="418" ht="15.75" customHeight="1">
      <c r="I418" s="61"/>
    </row>
    <row r="419" ht="15.75" customHeight="1">
      <c r="I419" s="61"/>
    </row>
    <row r="420" ht="15.75" customHeight="1">
      <c r="I420" s="61"/>
    </row>
    <row r="421" ht="15.75" customHeight="1">
      <c r="I421" s="61"/>
    </row>
    <row r="422" ht="15.75" customHeight="1">
      <c r="I422" s="61"/>
    </row>
    <row r="423" ht="15.75" customHeight="1">
      <c r="I423" s="61"/>
    </row>
    <row r="424" ht="15.75" customHeight="1">
      <c r="I424" s="61"/>
    </row>
    <row r="425" ht="15.75" customHeight="1">
      <c r="I425" s="61"/>
    </row>
    <row r="426" ht="15.75" customHeight="1">
      <c r="I426" s="61"/>
    </row>
    <row r="427" ht="15.75" customHeight="1">
      <c r="I427" s="61"/>
    </row>
    <row r="428" ht="15.75" customHeight="1">
      <c r="I428" s="61"/>
    </row>
    <row r="429" ht="15.75" customHeight="1">
      <c r="I429" s="61"/>
    </row>
    <row r="430" ht="15.75" customHeight="1">
      <c r="I430" s="61"/>
    </row>
    <row r="431" ht="15.75" customHeight="1">
      <c r="I431" s="61"/>
    </row>
    <row r="432" ht="15.75" customHeight="1">
      <c r="I432" s="61"/>
    </row>
    <row r="433" ht="15.75" customHeight="1">
      <c r="I433" s="61"/>
    </row>
    <row r="434" ht="15.75" customHeight="1">
      <c r="I434" s="61"/>
    </row>
    <row r="435" ht="15.75" customHeight="1">
      <c r="I435" s="61"/>
    </row>
    <row r="436" ht="15.75" customHeight="1">
      <c r="I436" s="61"/>
    </row>
    <row r="437" ht="15.75" customHeight="1">
      <c r="I437" s="61"/>
    </row>
    <row r="438" ht="15.75" customHeight="1">
      <c r="I438" s="61"/>
    </row>
    <row r="439" ht="15.75" customHeight="1">
      <c r="I439" s="61"/>
    </row>
    <row r="440" ht="15.75" customHeight="1">
      <c r="I440" s="61"/>
    </row>
    <row r="441" ht="15.75" customHeight="1">
      <c r="I441" s="61"/>
    </row>
    <row r="442" ht="15.75" customHeight="1">
      <c r="I442" s="61"/>
    </row>
    <row r="443" ht="15.75" customHeight="1">
      <c r="I443" s="61"/>
    </row>
    <row r="444" ht="15.75" customHeight="1">
      <c r="I444" s="61"/>
    </row>
    <row r="445" ht="15.75" customHeight="1">
      <c r="I445" s="61"/>
    </row>
    <row r="446" ht="15.75" customHeight="1">
      <c r="I446" s="61"/>
    </row>
    <row r="447" ht="15.75" customHeight="1">
      <c r="I447" s="61"/>
    </row>
    <row r="448" ht="15.75" customHeight="1">
      <c r="I448" s="61"/>
    </row>
    <row r="449" ht="15.75" customHeight="1">
      <c r="I449" s="61"/>
    </row>
    <row r="450" ht="15.75" customHeight="1">
      <c r="I450" s="61"/>
    </row>
    <row r="451" ht="15.75" customHeight="1">
      <c r="I451" s="61"/>
    </row>
    <row r="452" ht="15.75" customHeight="1">
      <c r="I452" s="61"/>
    </row>
    <row r="453" ht="15.75" customHeight="1">
      <c r="I453" s="61"/>
    </row>
    <row r="454" ht="15.75" customHeight="1">
      <c r="I454" s="61"/>
    </row>
    <row r="455" ht="15.75" customHeight="1">
      <c r="I455" s="61"/>
    </row>
    <row r="456" ht="15.75" customHeight="1">
      <c r="I456" s="61"/>
    </row>
    <row r="457" ht="15.75" customHeight="1">
      <c r="I457" s="61"/>
    </row>
    <row r="458" ht="15.75" customHeight="1">
      <c r="I458" s="61"/>
    </row>
    <row r="459" ht="15.75" customHeight="1">
      <c r="I459" s="61"/>
    </row>
    <row r="460" ht="15.75" customHeight="1">
      <c r="I460" s="61"/>
    </row>
    <row r="461" ht="15.75" customHeight="1">
      <c r="I461" s="61"/>
    </row>
    <row r="462" ht="15.75" customHeight="1">
      <c r="I462" s="61"/>
    </row>
    <row r="463" ht="15.75" customHeight="1">
      <c r="I463" s="61"/>
    </row>
    <row r="464" ht="15.75" customHeight="1">
      <c r="I464" s="61"/>
    </row>
    <row r="465" ht="15.75" customHeight="1">
      <c r="I465" s="61"/>
    </row>
    <row r="466" ht="15.75" customHeight="1">
      <c r="I466" s="61"/>
    </row>
    <row r="467" ht="15.75" customHeight="1">
      <c r="I467" s="61"/>
    </row>
    <row r="468" ht="15.75" customHeight="1">
      <c r="I468" s="61"/>
    </row>
    <row r="469" ht="15.75" customHeight="1">
      <c r="I469" s="61"/>
    </row>
    <row r="470" ht="15.75" customHeight="1">
      <c r="I470" s="61"/>
    </row>
    <row r="471" ht="15.75" customHeight="1">
      <c r="I471" s="61"/>
    </row>
    <row r="472" ht="15.75" customHeight="1">
      <c r="I472" s="61"/>
    </row>
    <row r="473" ht="15.75" customHeight="1">
      <c r="I473" s="61"/>
    </row>
    <row r="474" ht="15.75" customHeight="1">
      <c r="I474" s="61"/>
    </row>
    <row r="475" ht="15.75" customHeight="1">
      <c r="I475" s="61"/>
    </row>
    <row r="476" ht="15.75" customHeight="1">
      <c r="I476" s="61"/>
    </row>
    <row r="477" ht="15.75" customHeight="1">
      <c r="I477" s="61"/>
    </row>
    <row r="478" ht="15.75" customHeight="1">
      <c r="I478" s="61"/>
    </row>
    <row r="479" ht="15.75" customHeight="1">
      <c r="I479" s="61"/>
    </row>
    <row r="480" ht="15.75" customHeight="1">
      <c r="I480" s="61"/>
    </row>
    <row r="481" ht="15.75" customHeight="1">
      <c r="I481" s="61"/>
    </row>
    <row r="482" ht="15.75" customHeight="1">
      <c r="I482" s="61"/>
    </row>
    <row r="483" ht="15.75" customHeight="1">
      <c r="I483" s="61"/>
    </row>
    <row r="484" ht="15.75" customHeight="1">
      <c r="I484" s="61"/>
    </row>
    <row r="485" ht="15.75" customHeight="1">
      <c r="I485" s="61"/>
    </row>
    <row r="486" ht="15.75" customHeight="1">
      <c r="I486" s="61"/>
    </row>
    <row r="487" ht="15.75" customHeight="1">
      <c r="I487" s="61"/>
    </row>
    <row r="488" ht="15.75" customHeight="1">
      <c r="I488" s="61"/>
    </row>
    <row r="489" ht="15.75" customHeight="1">
      <c r="I489" s="61"/>
    </row>
    <row r="490" ht="15.75" customHeight="1">
      <c r="I490" s="61"/>
    </row>
    <row r="491" ht="15.75" customHeight="1">
      <c r="I491" s="61"/>
    </row>
    <row r="492" ht="15.75" customHeight="1">
      <c r="I492" s="61"/>
    </row>
    <row r="493" ht="15.75" customHeight="1">
      <c r="I493" s="61"/>
    </row>
    <row r="494" ht="15.75" customHeight="1">
      <c r="I494" s="61"/>
    </row>
    <row r="495" ht="15.75" customHeight="1">
      <c r="I495" s="61"/>
    </row>
    <row r="496" ht="15.75" customHeight="1">
      <c r="I496" s="61"/>
    </row>
    <row r="497" ht="15.75" customHeight="1">
      <c r="I497" s="61"/>
    </row>
    <row r="498" ht="15.75" customHeight="1">
      <c r="I498" s="61"/>
    </row>
    <row r="499" ht="15.75" customHeight="1">
      <c r="I499" s="61"/>
    </row>
    <row r="500" ht="15.75" customHeight="1">
      <c r="I500" s="61"/>
    </row>
    <row r="501" ht="15.75" customHeight="1">
      <c r="I501" s="61"/>
    </row>
    <row r="502" ht="15.75" customHeight="1">
      <c r="I502" s="61"/>
    </row>
    <row r="503" ht="15.75" customHeight="1">
      <c r="I503" s="61"/>
    </row>
    <row r="504" ht="15.75" customHeight="1">
      <c r="I504" s="61"/>
    </row>
    <row r="505" ht="15.75" customHeight="1">
      <c r="I505" s="61"/>
    </row>
    <row r="506" ht="15.75" customHeight="1">
      <c r="I506" s="61"/>
    </row>
    <row r="507" ht="15.75" customHeight="1">
      <c r="I507" s="61"/>
    </row>
    <row r="508" ht="15.75" customHeight="1">
      <c r="I508" s="61"/>
    </row>
    <row r="509" ht="15.75" customHeight="1">
      <c r="I509" s="61"/>
    </row>
    <row r="510" ht="15.75" customHeight="1">
      <c r="I510" s="61"/>
    </row>
    <row r="511" ht="15.75" customHeight="1">
      <c r="I511" s="61"/>
    </row>
    <row r="512" ht="15.75" customHeight="1">
      <c r="I512" s="61"/>
    </row>
    <row r="513" ht="15.75" customHeight="1">
      <c r="I513" s="61"/>
    </row>
    <row r="514" ht="15.75" customHeight="1">
      <c r="I514" s="61"/>
    </row>
    <row r="515" ht="15.75" customHeight="1">
      <c r="I515" s="61"/>
    </row>
    <row r="516" ht="15.75" customHeight="1">
      <c r="I516" s="61"/>
    </row>
    <row r="517" ht="15.75" customHeight="1">
      <c r="I517" s="61"/>
    </row>
    <row r="518" ht="15.75" customHeight="1">
      <c r="I518" s="61"/>
    </row>
    <row r="519" ht="15.75" customHeight="1">
      <c r="I519" s="61"/>
    </row>
    <row r="520" ht="15.75" customHeight="1">
      <c r="I520" s="61"/>
    </row>
    <row r="521" ht="15.75" customHeight="1">
      <c r="I521" s="61"/>
    </row>
    <row r="522" ht="15.75" customHeight="1">
      <c r="I522" s="61"/>
    </row>
    <row r="523" ht="15.75" customHeight="1">
      <c r="I523" s="61"/>
    </row>
    <row r="524" ht="15.75" customHeight="1">
      <c r="I524" s="61"/>
    </row>
    <row r="525" ht="15.75" customHeight="1">
      <c r="I525" s="61"/>
    </row>
    <row r="526" ht="15.75" customHeight="1">
      <c r="I526" s="61"/>
    </row>
    <row r="527" ht="15.75" customHeight="1">
      <c r="I527" s="61"/>
    </row>
    <row r="528" ht="15.75" customHeight="1">
      <c r="I528" s="61"/>
    </row>
    <row r="529" ht="15.75" customHeight="1">
      <c r="I529" s="61"/>
    </row>
    <row r="530" ht="15.75" customHeight="1">
      <c r="I530" s="61"/>
    </row>
    <row r="531" ht="15.75" customHeight="1">
      <c r="I531" s="61"/>
    </row>
    <row r="532" ht="15.75" customHeight="1">
      <c r="I532" s="61"/>
    </row>
    <row r="533" ht="15.75" customHeight="1">
      <c r="I533" s="61"/>
    </row>
    <row r="534" ht="15.75" customHeight="1">
      <c r="I534" s="61"/>
    </row>
    <row r="535" ht="15.75" customHeight="1">
      <c r="I535" s="61"/>
    </row>
    <row r="536" ht="15.75" customHeight="1">
      <c r="I536" s="61"/>
    </row>
    <row r="537" ht="15.75" customHeight="1">
      <c r="I537" s="61"/>
    </row>
    <row r="538" ht="15.75" customHeight="1">
      <c r="I538" s="61"/>
    </row>
    <row r="539" ht="15.75" customHeight="1">
      <c r="I539" s="61"/>
    </row>
    <row r="540" ht="15.75" customHeight="1">
      <c r="I540" s="61"/>
    </row>
    <row r="541" ht="15.75" customHeight="1">
      <c r="I541" s="61"/>
    </row>
    <row r="542" ht="15.75" customHeight="1">
      <c r="I542" s="61"/>
    </row>
    <row r="543" ht="15.75" customHeight="1">
      <c r="I543" s="61"/>
    </row>
    <row r="544" ht="15.75" customHeight="1">
      <c r="I544" s="61"/>
    </row>
    <row r="545" ht="15.75" customHeight="1">
      <c r="I545" s="61"/>
    </row>
    <row r="546" ht="15.75" customHeight="1">
      <c r="I546" s="61"/>
    </row>
    <row r="547" ht="15.75" customHeight="1">
      <c r="I547" s="61"/>
    </row>
    <row r="548" ht="15.75" customHeight="1">
      <c r="I548" s="61"/>
    </row>
    <row r="549" ht="15.75" customHeight="1">
      <c r="I549" s="61"/>
    </row>
    <row r="550" ht="15.75" customHeight="1">
      <c r="I550" s="61"/>
    </row>
    <row r="551" ht="15.75" customHeight="1">
      <c r="I551" s="61"/>
    </row>
    <row r="552" ht="15.75" customHeight="1">
      <c r="I552" s="61"/>
    </row>
    <row r="553" ht="15.75" customHeight="1">
      <c r="I553" s="61"/>
    </row>
    <row r="554" ht="15.75" customHeight="1">
      <c r="I554" s="61"/>
    </row>
    <row r="555" ht="15.75" customHeight="1">
      <c r="I555" s="61"/>
    </row>
    <row r="556" ht="15.75" customHeight="1">
      <c r="I556" s="61"/>
    </row>
    <row r="557" ht="15.75" customHeight="1">
      <c r="I557" s="61"/>
    </row>
    <row r="558" ht="15.75" customHeight="1">
      <c r="I558" s="61"/>
    </row>
    <row r="559" ht="15.75" customHeight="1">
      <c r="I559" s="61"/>
    </row>
    <row r="560" ht="15.75" customHeight="1">
      <c r="I560" s="61"/>
    </row>
    <row r="561" ht="15.75" customHeight="1">
      <c r="I561" s="61"/>
    </row>
    <row r="562" ht="15.75" customHeight="1">
      <c r="I562" s="61"/>
    </row>
    <row r="563" ht="15.75" customHeight="1">
      <c r="I563" s="61"/>
    </row>
    <row r="564" ht="15.75" customHeight="1">
      <c r="I564" s="61"/>
    </row>
    <row r="565" ht="15.75" customHeight="1">
      <c r="I565" s="61"/>
    </row>
    <row r="566" ht="15.75" customHeight="1">
      <c r="I566" s="61"/>
    </row>
    <row r="567" ht="15.75" customHeight="1">
      <c r="I567" s="61"/>
    </row>
    <row r="568" ht="15.75" customHeight="1">
      <c r="I568" s="61"/>
    </row>
    <row r="569" ht="15.75" customHeight="1">
      <c r="I569" s="61"/>
    </row>
    <row r="570" ht="15.75" customHeight="1">
      <c r="I570" s="61"/>
    </row>
    <row r="571" ht="15.75" customHeight="1">
      <c r="I571" s="61"/>
    </row>
    <row r="572" ht="15.75" customHeight="1">
      <c r="I572" s="61"/>
    </row>
    <row r="573" ht="15.75" customHeight="1">
      <c r="I573" s="61"/>
    </row>
    <row r="574" ht="15.75" customHeight="1">
      <c r="I574" s="61"/>
    </row>
    <row r="575" ht="15.75" customHeight="1">
      <c r="I575" s="61"/>
    </row>
    <row r="576" ht="15.75" customHeight="1">
      <c r="I576" s="61"/>
    </row>
    <row r="577" ht="15.75" customHeight="1">
      <c r="I577" s="61"/>
    </row>
    <row r="578" ht="15.75" customHeight="1">
      <c r="I578" s="61"/>
    </row>
    <row r="579" ht="15.75" customHeight="1">
      <c r="I579" s="61"/>
    </row>
    <row r="580" ht="15.75" customHeight="1">
      <c r="I580" s="61"/>
    </row>
    <row r="581" ht="15.75" customHeight="1">
      <c r="I581" s="61"/>
    </row>
    <row r="582" ht="15.75" customHeight="1">
      <c r="I582" s="61"/>
    </row>
    <row r="583" ht="15.75" customHeight="1">
      <c r="I583" s="61"/>
    </row>
    <row r="584" ht="15.75" customHeight="1">
      <c r="I584" s="61"/>
    </row>
    <row r="585" ht="15.75" customHeight="1">
      <c r="I585" s="61"/>
    </row>
    <row r="586" ht="15.75" customHeight="1">
      <c r="I586" s="61"/>
    </row>
    <row r="587" ht="15.75" customHeight="1">
      <c r="I587" s="61"/>
    </row>
    <row r="588" ht="15.75" customHeight="1">
      <c r="I588" s="61"/>
    </row>
    <row r="589" ht="15.75" customHeight="1">
      <c r="I589" s="61"/>
    </row>
    <row r="590" ht="15.75" customHeight="1">
      <c r="I590" s="61"/>
    </row>
    <row r="591" ht="15.75" customHeight="1">
      <c r="I591" s="61"/>
    </row>
    <row r="592" ht="15.75" customHeight="1">
      <c r="I592" s="61"/>
    </row>
    <row r="593" ht="15.75" customHeight="1">
      <c r="I593" s="61"/>
    </row>
    <row r="594" ht="15.75" customHeight="1">
      <c r="I594" s="61"/>
    </row>
    <row r="595" ht="15.75" customHeight="1">
      <c r="I595" s="61"/>
    </row>
    <row r="596" ht="15.75" customHeight="1">
      <c r="I596" s="61"/>
    </row>
    <row r="597" ht="15.75" customHeight="1">
      <c r="I597" s="61"/>
    </row>
    <row r="598" ht="15.75" customHeight="1">
      <c r="I598" s="61"/>
    </row>
    <row r="599" ht="15.75" customHeight="1">
      <c r="I599" s="61"/>
    </row>
    <row r="600" ht="15.75" customHeight="1">
      <c r="I600" s="61"/>
    </row>
    <row r="601" ht="15.75" customHeight="1">
      <c r="I601" s="61"/>
    </row>
    <row r="602" ht="15.75" customHeight="1">
      <c r="I602" s="61"/>
    </row>
    <row r="603" ht="15.75" customHeight="1">
      <c r="I603" s="61"/>
    </row>
    <row r="604" ht="15.75" customHeight="1">
      <c r="I604" s="61"/>
    </row>
    <row r="605" ht="15.75" customHeight="1">
      <c r="I605" s="61"/>
    </row>
    <row r="606" ht="15.75" customHeight="1">
      <c r="I606" s="61"/>
    </row>
    <row r="607" ht="15.75" customHeight="1">
      <c r="I607" s="61"/>
    </row>
    <row r="608" ht="15.75" customHeight="1">
      <c r="I608" s="61"/>
    </row>
    <row r="609" ht="15.75" customHeight="1">
      <c r="I609" s="61"/>
    </row>
    <row r="610" ht="15.75" customHeight="1">
      <c r="I610" s="61"/>
    </row>
    <row r="611" ht="15.75" customHeight="1">
      <c r="I611" s="61"/>
    </row>
    <row r="612" ht="15.75" customHeight="1">
      <c r="I612" s="61"/>
    </row>
    <row r="613" ht="15.75" customHeight="1">
      <c r="I613" s="61"/>
    </row>
    <row r="614" ht="15.75" customHeight="1">
      <c r="I614" s="61"/>
    </row>
    <row r="615" ht="15.75" customHeight="1">
      <c r="I615" s="61"/>
    </row>
    <row r="616" ht="15.75" customHeight="1">
      <c r="I616" s="61"/>
    </row>
    <row r="617" ht="15.75" customHeight="1">
      <c r="I617" s="61"/>
    </row>
    <row r="618" ht="15.75" customHeight="1">
      <c r="I618" s="61"/>
    </row>
    <row r="619" ht="15.75" customHeight="1">
      <c r="I619" s="61"/>
    </row>
    <row r="620" ht="15.75" customHeight="1">
      <c r="I620" s="61"/>
    </row>
    <row r="621" ht="15.75" customHeight="1">
      <c r="I621" s="61"/>
    </row>
    <row r="622" ht="15.75" customHeight="1">
      <c r="I622" s="61"/>
    </row>
    <row r="623" ht="15.75" customHeight="1">
      <c r="I623" s="61"/>
    </row>
    <row r="624" ht="15.75" customHeight="1">
      <c r="I624" s="61"/>
    </row>
    <row r="625" ht="15.75" customHeight="1">
      <c r="I625" s="61"/>
    </row>
    <row r="626" ht="15.75" customHeight="1">
      <c r="I626" s="61"/>
    </row>
    <row r="627" ht="15.75" customHeight="1">
      <c r="I627" s="61"/>
    </row>
    <row r="628" ht="15.75" customHeight="1">
      <c r="I628" s="61"/>
    </row>
    <row r="629" ht="15.75" customHeight="1">
      <c r="I629" s="61"/>
    </row>
    <row r="630" ht="15.75" customHeight="1">
      <c r="I630" s="61"/>
    </row>
    <row r="631" ht="15.75" customHeight="1">
      <c r="I631" s="61"/>
    </row>
    <row r="632" ht="15.75" customHeight="1">
      <c r="I632" s="61"/>
    </row>
    <row r="633" ht="15.75" customHeight="1">
      <c r="I633" s="61"/>
    </row>
    <row r="634" ht="15.75" customHeight="1">
      <c r="I634" s="61"/>
    </row>
    <row r="635" ht="15.75" customHeight="1">
      <c r="I635" s="61"/>
    </row>
    <row r="636" ht="15.75" customHeight="1">
      <c r="I636" s="61"/>
    </row>
    <row r="637" ht="15.75" customHeight="1">
      <c r="I637" s="61"/>
    </row>
    <row r="638" ht="15.75" customHeight="1">
      <c r="I638" s="61"/>
    </row>
    <row r="639" ht="15.75" customHeight="1">
      <c r="I639" s="61"/>
    </row>
    <row r="640" ht="15.75" customHeight="1">
      <c r="I640" s="61"/>
    </row>
    <row r="641" ht="15.75" customHeight="1">
      <c r="I641" s="61"/>
    </row>
    <row r="642" ht="15.75" customHeight="1">
      <c r="I642" s="61"/>
    </row>
    <row r="643" ht="15.75" customHeight="1">
      <c r="I643" s="61"/>
    </row>
    <row r="644" ht="15.75" customHeight="1">
      <c r="I644" s="61"/>
    </row>
    <row r="645" ht="15.75" customHeight="1">
      <c r="I645" s="61"/>
    </row>
    <row r="646" ht="15.75" customHeight="1">
      <c r="I646" s="61"/>
    </row>
    <row r="647" ht="15.75" customHeight="1">
      <c r="I647" s="61"/>
    </row>
    <row r="648" ht="15.75" customHeight="1">
      <c r="I648" s="61"/>
    </row>
    <row r="649" ht="15.75" customHeight="1">
      <c r="I649" s="61"/>
    </row>
    <row r="650" ht="15.75" customHeight="1">
      <c r="I650" s="61"/>
    </row>
    <row r="651" ht="15.75" customHeight="1">
      <c r="I651" s="61"/>
    </row>
    <row r="652" ht="15.75" customHeight="1">
      <c r="I652" s="61"/>
    </row>
    <row r="653" ht="15.75" customHeight="1">
      <c r="I653" s="61"/>
    </row>
    <row r="654" ht="15.75" customHeight="1">
      <c r="I654" s="61"/>
    </row>
    <row r="655" ht="15.75" customHeight="1">
      <c r="I655" s="61"/>
    </row>
    <row r="656" ht="15.75" customHeight="1">
      <c r="I656" s="61"/>
    </row>
    <row r="657" ht="15.75" customHeight="1">
      <c r="I657" s="61"/>
    </row>
    <row r="658" ht="15.75" customHeight="1">
      <c r="I658" s="61"/>
    </row>
    <row r="659" ht="15.75" customHeight="1">
      <c r="I659" s="61"/>
    </row>
    <row r="660" ht="15.75" customHeight="1">
      <c r="I660" s="61"/>
    </row>
    <row r="661" ht="15.75" customHeight="1">
      <c r="I661" s="61"/>
    </row>
    <row r="662" ht="15.75" customHeight="1">
      <c r="I662" s="61"/>
    </row>
    <row r="663" ht="15.75" customHeight="1">
      <c r="I663" s="61"/>
    </row>
    <row r="664" ht="15.75" customHeight="1">
      <c r="I664" s="61"/>
    </row>
    <row r="665" ht="15.75" customHeight="1">
      <c r="I665" s="61"/>
    </row>
    <row r="666" ht="15.75" customHeight="1">
      <c r="I666" s="61"/>
    </row>
    <row r="667" ht="15.75" customHeight="1">
      <c r="I667" s="61"/>
    </row>
    <row r="668" ht="15.75" customHeight="1">
      <c r="I668" s="61"/>
    </row>
    <row r="669" ht="15.75" customHeight="1">
      <c r="I669" s="61"/>
    </row>
    <row r="670" ht="15.75" customHeight="1">
      <c r="I670" s="61"/>
    </row>
    <row r="671" ht="15.75" customHeight="1">
      <c r="I671" s="61"/>
    </row>
    <row r="672" ht="15.75" customHeight="1">
      <c r="I672" s="61"/>
    </row>
    <row r="673" ht="15.75" customHeight="1">
      <c r="I673" s="61"/>
    </row>
    <row r="674" ht="15.75" customHeight="1">
      <c r="I674" s="61"/>
    </row>
    <row r="675" ht="15.75" customHeight="1">
      <c r="I675" s="61"/>
    </row>
    <row r="676" ht="15.75" customHeight="1">
      <c r="I676" s="61"/>
    </row>
    <row r="677" ht="15.75" customHeight="1">
      <c r="I677" s="61"/>
    </row>
    <row r="678" ht="15.75" customHeight="1">
      <c r="I678" s="61"/>
    </row>
    <row r="679" ht="15.75" customHeight="1">
      <c r="I679" s="61"/>
    </row>
    <row r="680" ht="15.75" customHeight="1">
      <c r="I680" s="61"/>
    </row>
    <row r="681" ht="15.75" customHeight="1">
      <c r="I681" s="61"/>
    </row>
    <row r="682" ht="15.75" customHeight="1">
      <c r="I682" s="61"/>
    </row>
    <row r="683" ht="15.75" customHeight="1">
      <c r="I683" s="61"/>
    </row>
    <row r="684" ht="15.75" customHeight="1">
      <c r="I684" s="61"/>
    </row>
    <row r="685" ht="15.75" customHeight="1">
      <c r="I685" s="61"/>
    </row>
    <row r="686" ht="15.75" customHeight="1">
      <c r="I686" s="61"/>
    </row>
    <row r="687" ht="15.75" customHeight="1">
      <c r="I687" s="61"/>
    </row>
    <row r="688" ht="15.75" customHeight="1">
      <c r="I688" s="61"/>
    </row>
    <row r="689" ht="15.75" customHeight="1">
      <c r="I689" s="61"/>
    </row>
    <row r="690" ht="15.75" customHeight="1">
      <c r="I690" s="61"/>
    </row>
    <row r="691" ht="15.75" customHeight="1">
      <c r="I691" s="61"/>
    </row>
    <row r="692" ht="15.75" customHeight="1">
      <c r="I692" s="61"/>
    </row>
    <row r="693" ht="15.75" customHeight="1">
      <c r="I693" s="61"/>
    </row>
    <row r="694" ht="15.75" customHeight="1">
      <c r="I694" s="61"/>
    </row>
    <row r="695" ht="15.75" customHeight="1">
      <c r="I695" s="61"/>
    </row>
    <row r="696" ht="15.75" customHeight="1">
      <c r="I696" s="61"/>
    </row>
    <row r="697" ht="15.75" customHeight="1">
      <c r="I697" s="61"/>
    </row>
    <row r="698" ht="15.75" customHeight="1">
      <c r="I698" s="61"/>
    </row>
    <row r="699" ht="15.75" customHeight="1">
      <c r="I699" s="61"/>
    </row>
    <row r="700" ht="15.75" customHeight="1">
      <c r="I700" s="61"/>
    </row>
    <row r="701" ht="15.75" customHeight="1">
      <c r="I701" s="61"/>
    </row>
    <row r="702" ht="15.75" customHeight="1">
      <c r="I702" s="61"/>
    </row>
    <row r="703" ht="15.75" customHeight="1">
      <c r="I703" s="61"/>
    </row>
    <row r="704" ht="15.75" customHeight="1">
      <c r="I704" s="61"/>
    </row>
    <row r="705" ht="15.75" customHeight="1">
      <c r="I705" s="61"/>
    </row>
    <row r="706" ht="15.75" customHeight="1">
      <c r="I706" s="61"/>
    </row>
    <row r="707" ht="15.75" customHeight="1">
      <c r="I707" s="61"/>
    </row>
    <row r="708" ht="15.75" customHeight="1">
      <c r="I708" s="61"/>
    </row>
    <row r="709" ht="15.75" customHeight="1">
      <c r="I709" s="61"/>
    </row>
    <row r="710" ht="15.75" customHeight="1">
      <c r="I710" s="61"/>
    </row>
    <row r="711" ht="15.75" customHeight="1">
      <c r="I711" s="61"/>
    </row>
    <row r="712" ht="15.75" customHeight="1">
      <c r="I712" s="61"/>
    </row>
    <row r="713" ht="15.75" customHeight="1">
      <c r="I713" s="61"/>
    </row>
    <row r="714" ht="15.75" customHeight="1">
      <c r="I714" s="61"/>
    </row>
    <row r="715" ht="15.75" customHeight="1">
      <c r="I715" s="61"/>
    </row>
    <row r="716" ht="15.75" customHeight="1">
      <c r="I716" s="61"/>
    </row>
    <row r="717" ht="15.75" customHeight="1">
      <c r="I717" s="61"/>
    </row>
    <row r="718" ht="15.75" customHeight="1">
      <c r="I718" s="61"/>
    </row>
    <row r="719" ht="15.75" customHeight="1">
      <c r="I719" s="61"/>
    </row>
    <row r="720" ht="15.75" customHeight="1">
      <c r="I720" s="61"/>
    </row>
    <row r="721" ht="15.75" customHeight="1">
      <c r="I721" s="61"/>
    </row>
    <row r="722" ht="15.75" customHeight="1">
      <c r="I722" s="61"/>
    </row>
    <row r="723" ht="15.75" customHeight="1">
      <c r="I723" s="61"/>
    </row>
    <row r="724" ht="15.75" customHeight="1">
      <c r="I724" s="61"/>
    </row>
    <row r="725" ht="15.75" customHeight="1">
      <c r="I725" s="61"/>
    </row>
    <row r="726" ht="15.75" customHeight="1">
      <c r="I726" s="61"/>
    </row>
    <row r="727" ht="15.75" customHeight="1">
      <c r="I727" s="61"/>
    </row>
    <row r="728" ht="15.75" customHeight="1">
      <c r="I728" s="61"/>
    </row>
    <row r="729" ht="15.75" customHeight="1">
      <c r="I729" s="61"/>
    </row>
    <row r="730" ht="15.75" customHeight="1">
      <c r="I730" s="61"/>
    </row>
    <row r="731" ht="15.75" customHeight="1">
      <c r="I731" s="61"/>
    </row>
    <row r="732" ht="15.75" customHeight="1">
      <c r="I732" s="61"/>
    </row>
    <row r="733" ht="15.75" customHeight="1">
      <c r="I733" s="61"/>
    </row>
    <row r="734" ht="15.75" customHeight="1">
      <c r="I734" s="61"/>
    </row>
    <row r="735" ht="15.75" customHeight="1">
      <c r="I735" s="61"/>
    </row>
    <row r="736" ht="15.75" customHeight="1">
      <c r="I736" s="61"/>
    </row>
    <row r="737" ht="15.75" customHeight="1">
      <c r="I737" s="61"/>
    </row>
    <row r="738" ht="15.75" customHeight="1">
      <c r="I738" s="61"/>
    </row>
    <row r="739" ht="15.75" customHeight="1">
      <c r="I739" s="61"/>
    </row>
    <row r="740" ht="15.75" customHeight="1">
      <c r="I740" s="61"/>
    </row>
    <row r="741" ht="15.75" customHeight="1">
      <c r="I741" s="61"/>
    </row>
    <row r="742" ht="15.75" customHeight="1">
      <c r="I742" s="61"/>
    </row>
    <row r="743" ht="15.75" customHeight="1">
      <c r="I743" s="61"/>
    </row>
    <row r="744" ht="15.75" customHeight="1">
      <c r="I744" s="61"/>
    </row>
    <row r="745" ht="15.75" customHeight="1">
      <c r="I745" s="61"/>
    </row>
    <row r="746" ht="15.75" customHeight="1">
      <c r="I746" s="61"/>
    </row>
    <row r="747" ht="15.75" customHeight="1">
      <c r="I747" s="61"/>
    </row>
    <row r="748" ht="15.75" customHeight="1">
      <c r="I748" s="61"/>
    </row>
    <row r="749" ht="15.75" customHeight="1">
      <c r="I749" s="61"/>
    </row>
    <row r="750" ht="15.75" customHeight="1">
      <c r="I750" s="61"/>
    </row>
    <row r="751" ht="15.75" customHeight="1">
      <c r="I751" s="61"/>
    </row>
    <row r="752" ht="15.75" customHeight="1">
      <c r="I752" s="61"/>
    </row>
    <row r="753" ht="15.75" customHeight="1">
      <c r="I753" s="61"/>
    </row>
    <row r="754" ht="15.75" customHeight="1">
      <c r="I754" s="61"/>
    </row>
    <row r="755" ht="15.75" customHeight="1">
      <c r="I755" s="61"/>
    </row>
    <row r="756" ht="15.75" customHeight="1">
      <c r="I756" s="61"/>
    </row>
    <row r="757" ht="15.75" customHeight="1">
      <c r="I757" s="61"/>
    </row>
    <row r="758" ht="15.75" customHeight="1">
      <c r="I758" s="61"/>
    </row>
    <row r="759" ht="15.75" customHeight="1">
      <c r="I759" s="61"/>
    </row>
    <row r="760" ht="15.75" customHeight="1">
      <c r="I760" s="61"/>
    </row>
    <row r="761" ht="15.75" customHeight="1">
      <c r="I761" s="61"/>
    </row>
    <row r="762" ht="15.75" customHeight="1">
      <c r="I762" s="61"/>
    </row>
    <row r="763" ht="15.75" customHeight="1">
      <c r="I763" s="61"/>
    </row>
    <row r="764" ht="15.75" customHeight="1">
      <c r="I764" s="61"/>
    </row>
    <row r="765" ht="15.75" customHeight="1">
      <c r="I765" s="61"/>
    </row>
    <row r="766" ht="15.75" customHeight="1">
      <c r="I766" s="61"/>
    </row>
    <row r="767" ht="15.75" customHeight="1">
      <c r="I767" s="61"/>
    </row>
    <row r="768" ht="15.75" customHeight="1">
      <c r="I768" s="61"/>
    </row>
    <row r="769" ht="15.75" customHeight="1">
      <c r="I769" s="61"/>
    </row>
    <row r="770" ht="15.75" customHeight="1">
      <c r="I770" s="61"/>
    </row>
    <row r="771" ht="15.75" customHeight="1">
      <c r="I771" s="61"/>
    </row>
    <row r="772" ht="15.75" customHeight="1">
      <c r="I772" s="61"/>
    </row>
    <row r="773" ht="15.75" customHeight="1">
      <c r="I773" s="61"/>
    </row>
    <row r="774" ht="15.75" customHeight="1">
      <c r="I774" s="61"/>
    </row>
    <row r="775" ht="15.75" customHeight="1">
      <c r="I775" s="61"/>
    </row>
    <row r="776" ht="15.75" customHeight="1">
      <c r="I776" s="61"/>
    </row>
    <row r="777" ht="15.75" customHeight="1">
      <c r="I777" s="61"/>
    </row>
    <row r="778" ht="15.75" customHeight="1">
      <c r="I778" s="61"/>
    </row>
    <row r="779" ht="15.75" customHeight="1">
      <c r="I779" s="61"/>
    </row>
    <row r="780" ht="15.75" customHeight="1">
      <c r="I780" s="61"/>
    </row>
    <row r="781" ht="15.75" customHeight="1">
      <c r="I781" s="61"/>
    </row>
    <row r="782" ht="15.75" customHeight="1">
      <c r="I782" s="61"/>
    </row>
    <row r="783" ht="15.75" customHeight="1">
      <c r="I783" s="61"/>
    </row>
    <row r="784" ht="15.75" customHeight="1">
      <c r="I784" s="61"/>
    </row>
    <row r="785" ht="15.75" customHeight="1">
      <c r="I785" s="61"/>
    </row>
    <row r="786" ht="15.75" customHeight="1">
      <c r="I786" s="61"/>
    </row>
    <row r="787" ht="15.75" customHeight="1">
      <c r="I787" s="61"/>
    </row>
    <row r="788" ht="15.75" customHeight="1">
      <c r="I788" s="61"/>
    </row>
    <row r="789" ht="15.75" customHeight="1">
      <c r="I789" s="61"/>
    </row>
    <row r="790" ht="15.75" customHeight="1">
      <c r="I790" s="61"/>
    </row>
    <row r="791" ht="15.75" customHeight="1">
      <c r="I791" s="61"/>
    </row>
    <row r="792" ht="15.75" customHeight="1">
      <c r="I792" s="61"/>
    </row>
    <row r="793" ht="15.75" customHeight="1">
      <c r="I793" s="61"/>
    </row>
    <row r="794" ht="15.75" customHeight="1">
      <c r="I794" s="61"/>
    </row>
    <row r="795" ht="15.75" customHeight="1">
      <c r="I795" s="61"/>
    </row>
    <row r="796" ht="15.75" customHeight="1">
      <c r="I796" s="61"/>
    </row>
    <row r="797" ht="15.75" customHeight="1">
      <c r="I797" s="61"/>
    </row>
    <row r="798" ht="15.75" customHeight="1">
      <c r="I798" s="61"/>
    </row>
    <row r="799" ht="15.75" customHeight="1">
      <c r="I799" s="61"/>
    </row>
    <row r="800" ht="15.75" customHeight="1">
      <c r="I800" s="61"/>
    </row>
    <row r="801" ht="15.75" customHeight="1">
      <c r="I801" s="61"/>
    </row>
    <row r="802" ht="15.75" customHeight="1">
      <c r="I802" s="61"/>
    </row>
    <row r="803" ht="15.75" customHeight="1">
      <c r="I803" s="61"/>
    </row>
    <row r="804" ht="15.75" customHeight="1">
      <c r="I804" s="61"/>
    </row>
    <row r="805" ht="15.75" customHeight="1">
      <c r="I805" s="61"/>
    </row>
    <row r="806" ht="15.75" customHeight="1">
      <c r="I806" s="61"/>
    </row>
    <row r="807" ht="15.75" customHeight="1">
      <c r="I807" s="61"/>
    </row>
    <row r="808" ht="15.75" customHeight="1">
      <c r="I808" s="61"/>
    </row>
    <row r="809" ht="15.75" customHeight="1">
      <c r="I809" s="61"/>
    </row>
    <row r="810" ht="15.75" customHeight="1">
      <c r="I810" s="61"/>
    </row>
    <row r="811" ht="15.75" customHeight="1">
      <c r="I811" s="61"/>
    </row>
    <row r="812" ht="15.75" customHeight="1">
      <c r="I812" s="61"/>
    </row>
    <row r="813" ht="15.75" customHeight="1">
      <c r="I813" s="61"/>
    </row>
    <row r="814" ht="15.75" customHeight="1">
      <c r="I814" s="61"/>
    </row>
    <row r="815" ht="15.75" customHeight="1">
      <c r="I815" s="61"/>
    </row>
    <row r="816" ht="15.75" customHeight="1">
      <c r="I816" s="61"/>
    </row>
    <row r="817" ht="15.75" customHeight="1">
      <c r="I817" s="61"/>
    </row>
    <row r="818" ht="15.75" customHeight="1">
      <c r="I818" s="61"/>
    </row>
    <row r="819" ht="15.75" customHeight="1">
      <c r="I819" s="61"/>
    </row>
    <row r="820" ht="15.75" customHeight="1">
      <c r="I820" s="61"/>
    </row>
    <row r="821" ht="15.75" customHeight="1">
      <c r="I821" s="61"/>
    </row>
    <row r="822" ht="15.75" customHeight="1">
      <c r="I822" s="61"/>
    </row>
    <row r="823" ht="15.75" customHeight="1">
      <c r="I823" s="61"/>
    </row>
    <row r="824" ht="15.75" customHeight="1">
      <c r="I824" s="61"/>
    </row>
    <row r="825" ht="15.75" customHeight="1">
      <c r="I825" s="61"/>
    </row>
    <row r="826" ht="15.75" customHeight="1">
      <c r="I826" s="61"/>
    </row>
    <row r="827" ht="15.75" customHeight="1">
      <c r="I827" s="61"/>
    </row>
    <row r="828" ht="15.75" customHeight="1">
      <c r="I828" s="61"/>
    </row>
    <row r="829" ht="15.75" customHeight="1">
      <c r="I829" s="61"/>
    </row>
    <row r="830" ht="15.75" customHeight="1">
      <c r="I830" s="61"/>
    </row>
    <row r="831" ht="15.75" customHeight="1">
      <c r="I831" s="61"/>
    </row>
    <row r="832" ht="15.75" customHeight="1">
      <c r="I832" s="61"/>
    </row>
    <row r="833" ht="15.75" customHeight="1">
      <c r="I833" s="61"/>
    </row>
    <row r="834" ht="15.75" customHeight="1">
      <c r="I834" s="61"/>
    </row>
    <row r="835" ht="15.75" customHeight="1">
      <c r="I835" s="61"/>
    </row>
    <row r="836" ht="15.75" customHeight="1">
      <c r="I836" s="61"/>
    </row>
    <row r="837" ht="15.75" customHeight="1">
      <c r="I837" s="61"/>
    </row>
    <row r="838" ht="15.75" customHeight="1">
      <c r="I838" s="61"/>
    </row>
    <row r="839" ht="15.75" customHeight="1">
      <c r="I839" s="61"/>
    </row>
    <row r="840" ht="15.75" customHeight="1">
      <c r="I840" s="61"/>
    </row>
    <row r="841" ht="15.75" customHeight="1">
      <c r="I841" s="61"/>
    </row>
    <row r="842" ht="15.75" customHeight="1">
      <c r="I842" s="61"/>
    </row>
    <row r="843" ht="15.75" customHeight="1">
      <c r="I843" s="61"/>
    </row>
    <row r="844" ht="15.75" customHeight="1">
      <c r="I844" s="61"/>
    </row>
    <row r="845" ht="15.75" customHeight="1">
      <c r="I845" s="61"/>
    </row>
    <row r="846" ht="15.75" customHeight="1">
      <c r="I846" s="61"/>
    </row>
    <row r="847" ht="15.75" customHeight="1">
      <c r="I847" s="61"/>
    </row>
    <row r="848" ht="15.75" customHeight="1">
      <c r="I848" s="61"/>
    </row>
    <row r="849" ht="15.75" customHeight="1">
      <c r="I849" s="61"/>
    </row>
    <row r="850" ht="15.75" customHeight="1">
      <c r="I850" s="61"/>
    </row>
    <row r="851" ht="15.75" customHeight="1">
      <c r="I851" s="61"/>
    </row>
    <row r="852" ht="15.75" customHeight="1">
      <c r="I852" s="61"/>
    </row>
    <row r="853" ht="15.75" customHeight="1">
      <c r="I853" s="61"/>
    </row>
    <row r="854" ht="15.75" customHeight="1">
      <c r="I854" s="61"/>
    </row>
    <row r="855" ht="15.75" customHeight="1">
      <c r="I855" s="61"/>
    </row>
    <row r="856" ht="15.75" customHeight="1">
      <c r="I856" s="61"/>
    </row>
    <row r="857" ht="15.75" customHeight="1">
      <c r="I857" s="61"/>
    </row>
    <row r="858" ht="15.75" customHeight="1">
      <c r="I858" s="61"/>
    </row>
    <row r="859" ht="15.75" customHeight="1">
      <c r="I859" s="61"/>
    </row>
    <row r="860" ht="15.75" customHeight="1">
      <c r="I860" s="61"/>
    </row>
    <row r="861" ht="15.75" customHeight="1">
      <c r="I861" s="61"/>
    </row>
    <row r="862" ht="15.75" customHeight="1">
      <c r="I862" s="61"/>
    </row>
    <row r="863" ht="15.75" customHeight="1">
      <c r="I863" s="61"/>
    </row>
    <row r="864" ht="15.75" customHeight="1">
      <c r="I864" s="61"/>
    </row>
    <row r="865" ht="15.75" customHeight="1">
      <c r="I865" s="61"/>
    </row>
    <row r="866" ht="15.75" customHeight="1">
      <c r="I866" s="61"/>
    </row>
    <row r="867" ht="15.75" customHeight="1">
      <c r="I867" s="61"/>
    </row>
    <row r="868" ht="15.75" customHeight="1">
      <c r="I868" s="61"/>
    </row>
    <row r="869" ht="15.75" customHeight="1">
      <c r="I869" s="61"/>
    </row>
    <row r="870" ht="15.75" customHeight="1">
      <c r="I870" s="61"/>
    </row>
    <row r="871" ht="15.75" customHeight="1">
      <c r="I871" s="61"/>
    </row>
    <row r="872" ht="15.75" customHeight="1">
      <c r="I872" s="61"/>
    </row>
    <row r="873" ht="15.75" customHeight="1">
      <c r="I873" s="61"/>
    </row>
    <row r="874" ht="15.75" customHeight="1">
      <c r="I874" s="61"/>
    </row>
    <row r="875" ht="15.75" customHeight="1">
      <c r="I875" s="61"/>
    </row>
    <row r="876" ht="15.75" customHeight="1">
      <c r="I876" s="61"/>
    </row>
    <row r="877" ht="15.75" customHeight="1">
      <c r="I877" s="61"/>
    </row>
    <row r="878" ht="15.75" customHeight="1">
      <c r="I878" s="61"/>
    </row>
    <row r="879" ht="15.75" customHeight="1">
      <c r="I879" s="61"/>
    </row>
    <row r="880" ht="15.75" customHeight="1">
      <c r="I880" s="61"/>
    </row>
    <row r="881" ht="15.75" customHeight="1">
      <c r="I881" s="61"/>
    </row>
    <row r="882" ht="15.75" customHeight="1">
      <c r="I882" s="61"/>
    </row>
    <row r="883" ht="15.75" customHeight="1">
      <c r="I883" s="61"/>
    </row>
    <row r="884" ht="15.75" customHeight="1">
      <c r="I884" s="61"/>
    </row>
    <row r="885" ht="15.75" customHeight="1">
      <c r="I885" s="61"/>
    </row>
    <row r="886" ht="15.75" customHeight="1">
      <c r="I886" s="61"/>
    </row>
    <row r="887" ht="15.75" customHeight="1">
      <c r="I887" s="61"/>
    </row>
    <row r="888" ht="15.75" customHeight="1">
      <c r="I888" s="61"/>
    </row>
    <row r="889" ht="15.75" customHeight="1">
      <c r="I889" s="61"/>
    </row>
    <row r="890" ht="15.75" customHeight="1">
      <c r="I890" s="61"/>
    </row>
    <row r="891" ht="15.75" customHeight="1">
      <c r="I891" s="61"/>
    </row>
    <row r="892" ht="15.75" customHeight="1">
      <c r="I892" s="61"/>
    </row>
    <row r="893" ht="15.75" customHeight="1">
      <c r="I893" s="61"/>
    </row>
    <row r="894" ht="15.75" customHeight="1">
      <c r="I894" s="61"/>
    </row>
    <row r="895" ht="15.75" customHeight="1">
      <c r="I895" s="61"/>
    </row>
    <row r="896" ht="15.75" customHeight="1">
      <c r="I896" s="61"/>
    </row>
    <row r="897" ht="15.75" customHeight="1">
      <c r="I897" s="61"/>
    </row>
    <row r="898" ht="15.75" customHeight="1">
      <c r="I898" s="61"/>
    </row>
    <row r="899" ht="15.75" customHeight="1">
      <c r="I899" s="61"/>
    </row>
    <row r="900" ht="15.75" customHeight="1">
      <c r="I900" s="61"/>
    </row>
    <row r="901" ht="15.75" customHeight="1">
      <c r="I901" s="61"/>
    </row>
    <row r="902" ht="15.75" customHeight="1">
      <c r="I902" s="61"/>
    </row>
    <row r="903" ht="15.75" customHeight="1">
      <c r="I903" s="61"/>
    </row>
    <row r="904" ht="15.75" customHeight="1">
      <c r="I904" s="61"/>
    </row>
    <row r="905" ht="15.75" customHeight="1">
      <c r="I905" s="61"/>
    </row>
    <row r="906" ht="15.75" customHeight="1">
      <c r="I906" s="61"/>
    </row>
    <row r="907" ht="15.75" customHeight="1">
      <c r="I907" s="61"/>
    </row>
    <row r="908" ht="15.75" customHeight="1">
      <c r="I908" s="61"/>
    </row>
    <row r="909" ht="15.75" customHeight="1">
      <c r="I909" s="61"/>
    </row>
    <row r="910" ht="15.75" customHeight="1">
      <c r="I910" s="61"/>
    </row>
    <row r="911" ht="15.75" customHeight="1">
      <c r="I911" s="61"/>
    </row>
    <row r="912" ht="15.75" customHeight="1">
      <c r="I912" s="61"/>
    </row>
    <row r="913" ht="15.75" customHeight="1">
      <c r="I913" s="61"/>
    </row>
    <row r="914" ht="15.75" customHeight="1">
      <c r="I914" s="61"/>
    </row>
    <row r="915" ht="15.75" customHeight="1">
      <c r="I915" s="61"/>
    </row>
    <row r="916" ht="15.75" customHeight="1">
      <c r="I916" s="61"/>
    </row>
    <row r="917" ht="15.75" customHeight="1">
      <c r="I917" s="61"/>
    </row>
    <row r="918" ht="15.75" customHeight="1">
      <c r="I918" s="61"/>
    </row>
    <row r="919" ht="15.75" customHeight="1">
      <c r="I919" s="61"/>
    </row>
    <row r="920" ht="15.75" customHeight="1">
      <c r="I920" s="61"/>
    </row>
    <row r="921" ht="15.75" customHeight="1">
      <c r="I921" s="61"/>
    </row>
    <row r="922" ht="15.75" customHeight="1">
      <c r="I922" s="61"/>
    </row>
    <row r="923" ht="15.75" customHeight="1">
      <c r="I923" s="61"/>
    </row>
    <row r="924" ht="15.75" customHeight="1">
      <c r="I924" s="61"/>
    </row>
    <row r="925" ht="15.75" customHeight="1">
      <c r="I925" s="61"/>
    </row>
    <row r="926" ht="15.75" customHeight="1">
      <c r="I926" s="61"/>
    </row>
    <row r="927" ht="15.75" customHeight="1">
      <c r="I927" s="61"/>
    </row>
    <row r="928" ht="15.75" customHeight="1">
      <c r="I928" s="61"/>
    </row>
    <row r="929" ht="15.75" customHeight="1">
      <c r="I929" s="61"/>
    </row>
    <row r="930" ht="15.75" customHeight="1">
      <c r="I930" s="61"/>
    </row>
    <row r="931" ht="15.75" customHeight="1">
      <c r="I931" s="61"/>
    </row>
    <row r="932" ht="15.75" customHeight="1">
      <c r="I932" s="61"/>
    </row>
    <row r="933" ht="15.75" customHeight="1">
      <c r="I933" s="61"/>
    </row>
    <row r="934" ht="15.75" customHeight="1">
      <c r="I934" s="61"/>
    </row>
    <row r="935" ht="15.75" customHeight="1">
      <c r="I935" s="61"/>
    </row>
    <row r="936" ht="15.75" customHeight="1">
      <c r="I936" s="61"/>
    </row>
    <row r="937" ht="15.75" customHeight="1">
      <c r="I937" s="61"/>
    </row>
    <row r="938" ht="15.75" customHeight="1">
      <c r="I938" s="61"/>
    </row>
    <row r="939" ht="15.75" customHeight="1">
      <c r="I939" s="61"/>
    </row>
    <row r="940" ht="15.75" customHeight="1">
      <c r="I940" s="61"/>
    </row>
    <row r="941" ht="15.75" customHeight="1">
      <c r="I941" s="61"/>
    </row>
    <row r="942" ht="15.75" customHeight="1">
      <c r="I942" s="61"/>
    </row>
    <row r="943" ht="15.75" customHeight="1">
      <c r="I943" s="61"/>
    </row>
    <row r="944" ht="15.75" customHeight="1">
      <c r="I944" s="61"/>
    </row>
    <row r="945" ht="15.75" customHeight="1">
      <c r="I945" s="61"/>
    </row>
    <row r="946" ht="15.75" customHeight="1">
      <c r="I946" s="61"/>
    </row>
    <row r="947" ht="15.75" customHeight="1">
      <c r="I947" s="61"/>
    </row>
    <row r="948" ht="15.75" customHeight="1">
      <c r="I948" s="61"/>
    </row>
    <row r="949" ht="15.75" customHeight="1">
      <c r="I949" s="61"/>
    </row>
    <row r="950" ht="15.75" customHeight="1">
      <c r="I950" s="61"/>
    </row>
    <row r="951" ht="15.75" customHeight="1">
      <c r="I951" s="61"/>
    </row>
    <row r="952" ht="15.75" customHeight="1">
      <c r="I952" s="61"/>
    </row>
    <row r="953" ht="15.75" customHeight="1">
      <c r="I953" s="61"/>
    </row>
    <row r="954" ht="15.75" customHeight="1">
      <c r="I954" s="61"/>
    </row>
    <row r="955" ht="15.75" customHeight="1">
      <c r="I955" s="61"/>
    </row>
    <row r="956" ht="15.75" customHeight="1">
      <c r="I956" s="61"/>
    </row>
    <row r="957" ht="15.75" customHeight="1">
      <c r="I957" s="61"/>
    </row>
    <row r="958" ht="15.75" customHeight="1">
      <c r="I958" s="61"/>
    </row>
    <row r="959" ht="15.75" customHeight="1">
      <c r="I959" s="61"/>
    </row>
    <row r="960" ht="15.75" customHeight="1">
      <c r="I960" s="61"/>
    </row>
    <row r="961" ht="15.75" customHeight="1">
      <c r="I961" s="61"/>
    </row>
    <row r="962" ht="15.75" customHeight="1">
      <c r="I962" s="61"/>
    </row>
    <row r="963" ht="15.75" customHeight="1">
      <c r="I963" s="61"/>
    </row>
    <row r="964" ht="15.75" customHeight="1">
      <c r="I964" s="61"/>
    </row>
    <row r="965" ht="15.75" customHeight="1">
      <c r="I965" s="61"/>
    </row>
    <row r="966" ht="15.75" customHeight="1">
      <c r="I966" s="61"/>
    </row>
    <row r="967" ht="15.75" customHeight="1">
      <c r="I967" s="61"/>
    </row>
    <row r="968" ht="15.75" customHeight="1">
      <c r="I968" s="61"/>
    </row>
    <row r="969" ht="15.75" customHeight="1">
      <c r="I969" s="61"/>
    </row>
    <row r="970" ht="15.75" customHeight="1">
      <c r="I970" s="61"/>
    </row>
    <row r="971" ht="15.75" customHeight="1">
      <c r="I971" s="61"/>
    </row>
    <row r="972" ht="15.75" customHeight="1">
      <c r="I972" s="61"/>
    </row>
    <row r="973" ht="15.75" customHeight="1">
      <c r="I973" s="61"/>
    </row>
    <row r="974" ht="15.75" customHeight="1">
      <c r="I974" s="61"/>
    </row>
    <row r="975" ht="15.75" customHeight="1">
      <c r="I975" s="61"/>
    </row>
    <row r="976" ht="15.75" customHeight="1">
      <c r="I976" s="61"/>
    </row>
    <row r="977" ht="15.75" customHeight="1">
      <c r="I977" s="61"/>
    </row>
    <row r="978" ht="15.75" customHeight="1">
      <c r="I978" s="61"/>
    </row>
    <row r="979" ht="15.75" customHeight="1">
      <c r="I979" s="61"/>
    </row>
    <row r="980" ht="15.75" customHeight="1">
      <c r="I980" s="61"/>
    </row>
    <row r="981" ht="15.75" customHeight="1">
      <c r="I981" s="61"/>
    </row>
    <row r="982" ht="15.75" customHeight="1">
      <c r="I982" s="61"/>
    </row>
    <row r="983" ht="15.75" customHeight="1">
      <c r="I983" s="61"/>
    </row>
    <row r="984" ht="15.75" customHeight="1">
      <c r="I984" s="61"/>
    </row>
    <row r="985" ht="15.75" customHeight="1">
      <c r="I985" s="61"/>
    </row>
    <row r="986" ht="15.75" customHeight="1">
      <c r="I986" s="61"/>
    </row>
    <row r="987" ht="15.75" customHeight="1">
      <c r="I987" s="61"/>
    </row>
    <row r="988" ht="15.75" customHeight="1">
      <c r="I988" s="61"/>
    </row>
    <row r="989" ht="15.75" customHeight="1">
      <c r="I989" s="61"/>
    </row>
    <row r="990" ht="15.75" customHeight="1">
      <c r="I990" s="61"/>
    </row>
    <row r="991" ht="15.75" customHeight="1">
      <c r="I991" s="61"/>
    </row>
    <row r="992" ht="15.75" customHeight="1">
      <c r="I992" s="61"/>
    </row>
    <row r="993" ht="15.75" customHeight="1">
      <c r="I993" s="61"/>
    </row>
    <row r="994" ht="15.75" customHeight="1">
      <c r="I994" s="61"/>
    </row>
    <row r="995" ht="15.75" customHeight="1">
      <c r="I995" s="61"/>
    </row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M1000">
    <cfRule type="expression" dxfId="9" priority="1">
      <formula>AND($I2&lt;&gt;"", $I2="自動消込")</formula>
    </cfRule>
  </conditionalFormatting>
  <conditionalFormatting sqref="A2:X1000">
    <cfRule type="expression" dxfId="10" priority="2">
      <formula>AND($I2&lt;&gt;"", $I2="要確認")</formula>
    </cfRule>
  </conditionalFormatting>
  <dataValidations>
    <dataValidation type="custom" allowBlank="1" showDropDown="1" sqref="I2:I995">
      <formula1>OR($I2="未照合",$I2="自動消込",$I2="要確認",)</formula1>
    </dataValidation>
  </dataValidations>
  <hyperlinks>
    <hyperlink r:id="rId2" ref="M2"/>
    <hyperlink r:id="rId3" ref="M3"/>
    <hyperlink r:id="rId4" ref="M4"/>
    <hyperlink r:id="rId5" ref="M5"/>
    <hyperlink r:id="rId6" ref="M6"/>
    <hyperlink r:id="rId7" ref="M7"/>
    <hyperlink r:id="rId8" ref="M8"/>
  </hyperlinks>
  <drawing r:id="rId9"/>
  <legacy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5" width="12.63"/>
    <col customWidth="1" min="6" max="6" width="36.0"/>
    <col customWidth="1" min="7" max="7" width="34.38"/>
    <col customWidth="1" min="9" max="9" width="31.13"/>
  </cols>
  <sheetData>
    <row r="1" ht="15.75" customHeight="1">
      <c r="A1" s="62" t="s">
        <v>188</v>
      </c>
      <c r="B1" s="62" t="s">
        <v>134</v>
      </c>
      <c r="C1" s="62" t="s">
        <v>135</v>
      </c>
      <c r="D1" s="62" t="s">
        <v>189</v>
      </c>
      <c r="E1" s="62" t="s">
        <v>190</v>
      </c>
      <c r="F1" s="62" t="s">
        <v>191</v>
      </c>
      <c r="G1" s="62" t="s">
        <v>192</v>
      </c>
      <c r="H1" s="62" t="s">
        <v>193</v>
      </c>
      <c r="I1" s="62" t="s">
        <v>194</v>
      </c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</row>
    <row r="2" ht="15.75" customHeight="1">
      <c r="A2" s="63">
        <v>46133.34644675926</v>
      </c>
      <c r="B2" s="38"/>
      <c r="C2" s="38"/>
      <c r="D2" s="38" t="s">
        <v>195</v>
      </c>
      <c r="E2" s="38" t="s">
        <v>117</v>
      </c>
      <c r="F2" s="38" t="s">
        <v>196</v>
      </c>
      <c r="G2" s="38" t="s">
        <v>197</v>
      </c>
      <c r="H2" s="38"/>
      <c r="I2" s="38" t="s">
        <v>198</v>
      </c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</row>
    <row r="3" ht="15.75" customHeight="1">
      <c r="A3" s="63">
        <v>46133.57084490741</v>
      </c>
      <c r="B3" s="38"/>
      <c r="C3" s="38"/>
      <c r="D3" s="38" t="s">
        <v>199</v>
      </c>
      <c r="E3" s="38" t="s">
        <v>63</v>
      </c>
      <c r="F3" s="38" t="s">
        <v>200</v>
      </c>
      <c r="G3" s="38" t="s">
        <v>201</v>
      </c>
      <c r="H3" s="38"/>
      <c r="I3" s="38" t="s">
        <v>198</v>
      </c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t="15.75" customHeight="1">
      <c r="A4" s="63">
        <v>46133.57084490741</v>
      </c>
      <c r="B4" s="38"/>
      <c r="C4" s="38"/>
      <c r="D4" s="38" t="s">
        <v>199</v>
      </c>
      <c r="E4" s="38" t="s">
        <v>63</v>
      </c>
      <c r="F4" s="38" t="s">
        <v>202</v>
      </c>
      <c r="G4" s="38" t="s">
        <v>203</v>
      </c>
      <c r="H4" s="38"/>
      <c r="I4" s="38" t="s">
        <v>198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</row>
    <row r="5" ht="15.75" customHeight="1">
      <c r="A5" s="63">
        <v>46133.57096064815</v>
      </c>
      <c r="B5" s="38"/>
      <c r="C5" s="38"/>
      <c r="D5" s="38" t="s">
        <v>199</v>
      </c>
      <c r="E5" s="38" t="s">
        <v>63</v>
      </c>
      <c r="F5" s="38" t="s">
        <v>204</v>
      </c>
      <c r="G5" s="38" t="s">
        <v>205</v>
      </c>
      <c r="H5" s="38"/>
      <c r="I5" s="38" t="s">
        <v>198</v>
      </c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 ht="15.75" customHeight="1">
      <c r="A6" s="63">
        <v>46134.35570601852</v>
      </c>
      <c r="B6" s="38" t="s">
        <v>206</v>
      </c>
      <c r="C6" s="38"/>
      <c r="D6" s="38" t="s">
        <v>199</v>
      </c>
      <c r="E6" s="38" t="s">
        <v>63</v>
      </c>
      <c r="F6" s="38" t="s">
        <v>207</v>
      </c>
      <c r="G6" s="38" t="s">
        <v>208</v>
      </c>
      <c r="H6" s="38"/>
      <c r="I6" s="38" t="s">
        <v>198</v>
      </c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 ht="15.75" customHeight="1">
      <c r="A7" s="63">
        <v>46137.371458333335</v>
      </c>
      <c r="B7" s="38" t="s">
        <v>209</v>
      </c>
      <c r="C7" s="38"/>
      <c r="D7" s="38" t="s">
        <v>199</v>
      </c>
      <c r="E7" s="38" t="s">
        <v>63</v>
      </c>
      <c r="F7" s="38" t="s">
        <v>210</v>
      </c>
      <c r="G7" s="38" t="s">
        <v>211</v>
      </c>
      <c r="H7" s="38"/>
      <c r="I7" s="38" t="s">
        <v>198</v>
      </c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 ht="15.75" customHeight="1">
      <c r="A8" s="63">
        <v>46137.371458333335</v>
      </c>
      <c r="B8" s="38" t="s">
        <v>209</v>
      </c>
      <c r="C8" s="38"/>
      <c r="D8" s="38" t="s">
        <v>199</v>
      </c>
      <c r="E8" s="38" t="s">
        <v>64</v>
      </c>
      <c r="F8" s="38" t="s">
        <v>212</v>
      </c>
      <c r="G8" s="38" t="s">
        <v>213</v>
      </c>
      <c r="H8" s="38"/>
      <c r="I8" s="38" t="s">
        <v>198</v>
      </c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 ht="15.75" customHeight="1">
      <c r="A9" s="63">
        <v>46137.371458333335</v>
      </c>
      <c r="B9" s="38" t="s">
        <v>209</v>
      </c>
      <c r="C9" s="38"/>
      <c r="D9" s="38" t="s">
        <v>199</v>
      </c>
      <c r="E9" s="38" t="s">
        <v>63</v>
      </c>
      <c r="F9" s="38" t="s">
        <v>214</v>
      </c>
      <c r="G9" s="38" t="s">
        <v>215</v>
      </c>
      <c r="H9" s="38"/>
      <c r="I9" s="38" t="s">
        <v>198</v>
      </c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 ht="15.75" customHeight="1">
      <c r="A10" s="63">
        <v>46137.371458333335</v>
      </c>
      <c r="B10" s="38" t="s">
        <v>209</v>
      </c>
      <c r="C10" s="38"/>
      <c r="D10" s="38" t="s">
        <v>199</v>
      </c>
      <c r="E10" s="38" t="s">
        <v>63</v>
      </c>
      <c r="F10" s="38" t="s">
        <v>216</v>
      </c>
      <c r="G10" s="38" t="s">
        <v>217</v>
      </c>
      <c r="H10" s="38"/>
      <c r="I10" s="38" t="s">
        <v>198</v>
      </c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 ht="15.75" customHeight="1">
      <c r="A11" s="63">
        <v>46137.371458333335</v>
      </c>
      <c r="B11" s="38" t="s">
        <v>209</v>
      </c>
      <c r="C11" s="38"/>
      <c r="D11" s="38" t="s">
        <v>199</v>
      </c>
      <c r="E11" s="38" t="s">
        <v>63</v>
      </c>
      <c r="F11" s="38" t="s">
        <v>218</v>
      </c>
      <c r="G11" s="38" t="s">
        <v>219</v>
      </c>
      <c r="H11" s="38"/>
      <c r="I11" s="38" t="s">
        <v>198</v>
      </c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 ht="15.75" customHeight="1">
      <c r="A12" s="63">
        <v>46137.371458333335</v>
      </c>
      <c r="B12" s="38" t="s">
        <v>209</v>
      </c>
      <c r="C12" s="38"/>
      <c r="D12" s="38" t="s">
        <v>199</v>
      </c>
      <c r="E12" s="38" t="s">
        <v>64</v>
      </c>
      <c r="F12" s="38" t="s">
        <v>220</v>
      </c>
      <c r="G12" s="38" t="s">
        <v>221</v>
      </c>
      <c r="H12" s="38"/>
      <c r="I12" s="38" t="s">
        <v>198</v>
      </c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 ht="15.75" customHeight="1">
      <c r="A13" s="64">
        <v>46137.409895833334</v>
      </c>
      <c r="B13" s="38" t="s">
        <v>209</v>
      </c>
      <c r="C13" s="38"/>
      <c r="D13" s="38" t="s">
        <v>199</v>
      </c>
      <c r="E13" s="38" t="s">
        <v>64</v>
      </c>
      <c r="F13" s="38" t="s">
        <v>222</v>
      </c>
      <c r="G13" s="38" t="s">
        <v>223</v>
      </c>
      <c r="H13" s="38"/>
      <c r="I13" s="38" t="s">
        <v>198</v>
      </c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</row>
    <row r="14" ht="15.75" customHeight="1">
      <c r="A14" s="64">
        <v>46137.409895833334</v>
      </c>
      <c r="B14" s="38" t="s">
        <v>209</v>
      </c>
      <c r="C14" s="38"/>
      <c r="D14" s="38" t="s">
        <v>199</v>
      </c>
      <c r="E14" s="38" t="s">
        <v>63</v>
      </c>
      <c r="F14" s="38" t="s">
        <v>224</v>
      </c>
      <c r="G14" s="38" t="s">
        <v>225</v>
      </c>
      <c r="H14" s="38"/>
      <c r="I14" s="38" t="s">
        <v>198</v>
      </c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</row>
    <row r="15" ht="15.75" customHeight="1">
      <c r="A15" s="64">
        <v>46137.409895833334</v>
      </c>
      <c r="B15" s="38" t="s">
        <v>209</v>
      </c>
      <c r="C15" s="38"/>
      <c r="D15" s="38" t="s">
        <v>199</v>
      </c>
      <c r="E15" s="38" t="s">
        <v>63</v>
      </c>
      <c r="F15" s="38" t="s">
        <v>226</v>
      </c>
      <c r="G15" s="38" t="s">
        <v>227</v>
      </c>
      <c r="H15" s="38"/>
      <c r="I15" s="38" t="s">
        <v>198</v>
      </c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</row>
    <row r="16" ht="15.75" customHeight="1">
      <c r="A16" s="64">
        <v>46137.409895833334</v>
      </c>
      <c r="B16" s="38" t="s">
        <v>209</v>
      </c>
      <c r="C16" s="38"/>
      <c r="D16" s="38" t="s">
        <v>199</v>
      </c>
      <c r="E16" s="38" t="s">
        <v>63</v>
      </c>
      <c r="F16" s="38" t="s">
        <v>228</v>
      </c>
      <c r="G16" s="38" t="s">
        <v>229</v>
      </c>
      <c r="H16" s="38"/>
      <c r="I16" s="38" t="s">
        <v>198</v>
      </c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</row>
    <row r="17" ht="15.75" customHeight="1">
      <c r="A17" s="64">
        <v>46137.409895833334</v>
      </c>
      <c r="B17" s="38" t="s">
        <v>209</v>
      </c>
      <c r="C17" s="38"/>
      <c r="D17" s="38" t="s">
        <v>199</v>
      </c>
      <c r="E17" s="38" t="s">
        <v>63</v>
      </c>
      <c r="F17" s="38" t="s">
        <v>230</v>
      </c>
      <c r="G17" s="38" t="s">
        <v>231</v>
      </c>
      <c r="H17" s="38"/>
      <c r="I17" s="38" t="s">
        <v>198</v>
      </c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</row>
    <row r="18" ht="15.75" customHeight="1">
      <c r="A18" s="64">
        <v>46137.409895833334</v>
      </c>
      <c r="B18" s="38" t="s">
        <v>209</v>
      </c>
      <c r="C18" s="38"/>
      <c r="D18" s="38" t="s">
        <v>199</v>
      </c>
      <c r="E18" s="38" t="s">
        <v>63</v>
      </c>
      <c r="F18" s="38" t="s">
        <v>232</v>
      </c>
      <c r="G18" s="38" t="s">
        <v>233</v>
      </c>
      <c r="H18" s="38"/>
      <c r="I18" s="38" t="s">
        <v>198</v>
      </c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</row>
    <row r="19" ht="15.75" customHeight="1">
      <c r="A19" s="64">
        <v>46137.409895833334</v>
      </c>
      <c r="B19" s="38" t="s">
        <v>209</v>
      </c>
      <c r="C19" s="38"/>
      <c r="D19" s="38" t="s">
        <v>199</v>
      </c>
      <c r="E19" s="38" t="s">
        <v>64</v>
      </c>
      <c r="F19" s="38" t="s">
        <v>234</v>
      </c>
      <c r="G19" s="38" t="s">
        <v>235</v>
      </c>
      <c r="H19" s="38"/>
      <c r="I19" s="38" t="s">
        <v>198</v>
      </c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</row>
    <row r="20" ht="15.75" customHeight="1">
      <c r="A20" s="64">
        <v>46137.409895833334</v>
      </c>
      <c r="B20" s="38" t="s">
        <v>209</v>
      </c>
      <c r="C20" s="38"/>
      <c r="D20" s="38" t="s">
        <v>199</v>
      </c>
      <c r="E20" s="38" t="s">
        <v>64</v>
      </c>
      <c r="F20" s="38" t="s">
        <v>236</v>
      </c>
      <c r="G20" s="38" t="s">
        <v>237</v>
      </c>
      <c r="H20" s="38"/>
      <c r="I20" s="38" t="s">
        <v>198</v>
      </c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</row>
    <row r="21" ht="15.75" customHeight="1">
      <c r="A21" s="64">
        <v>46137.409895833334</v>
      </c>
      <c r="B21" s="38" t="s">
        <v>209</v>
      </c>
      <c r="C21" s="38"/>
      <c r="D21" s="38" t="s">
        <v>199</v>
      </c>
      <c r="E21" s="38" t="s">
        <v>63</v>
      </c>
      <c r="F21" s="38" t="s">
        <v>238</v>
      </c>
      <c r="G21" s="38" t="s">
        <v>239</v>
      </c>
      <c r="H21" s="38"/>
      <c r="I21" s="38" t="s">
        <v>198</v>
      </c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</row>
    <row r="22" ht="15.75" customHeight="1">
      <c r="A22" s="64">
        <v>46137.409895833334</v>
      </c>
      <c r="B22" s="38" t="s">
        <v>209</v>
      </c>
      <c r="C22" s="38"/>
      <c r="D22" s="38" t="s">
        <v>199</v>
      </c>
      <c r="E22" s="38" t="s">
        <v>63</v>
      </c>
      <c r="F22" s="38" t="s">
        <v>240</v>
      </c>
      <c r="G22" s="38" t="s">
        <v>241</v>
      </c>
      <c r="H22" s="38"/>
      <c r="I22" s="38" t="s">
        <v>198</v>
      </c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</row>
    <row r="23" ht="15.75" customHeight="1">
      <c r="A23" s="64">
        <v>46137.409895833334</v>
      </c>
      <c r="B23" s="38" t="s">
        <v>209</v>
      </c>
      <c r="C23" s="38"/>
      <c r="D23" s="38" t="s">
        <v>199</v>
      </c>
      <c r="E23" s="38" t="s">
        <v>63</v>
      </c>
      <c r="F23" s="38" t="s">
        <v>242</v>
      </c>
      <c r="G23" s="38" t="s">
        <v>243</v>
      </c>
      <c r="H23" s="38"/>
      <c r="I23" s="38" t="s">
        <v>198</v>
      </c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</row>
    <row r="24" ht="15.75" customHeight="1">
      <c r="A24" s="64">
        <v>46137.409895833334</v>
      </c>
      <c r="B24" s="38" t="s">
        <v>209</v>
      </c>
      <c r="C24" s="38"/>
      <c r="D24" s="38" t="s">
        <v>199</v>
      </c>
      <c r="E24" s="38" t="s">
        <v>64</v>
      </c>
      <c r="F24" s="38" t="s">
        <v>244</v>
      </c>
      <c r="G24" s="38" t="s">
        <v>245</v>
      </c>
      <c r="H24" s="38"/>
      <c r="I24" s="38" t="s">
        <v>198</v>
      </c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</row>
    <row r="25" ht="15.75" customHeight="1">
      <c r="A25" s="64">
        <v>46137.409895833334</v>
      </c>
      <c r="B25" s="38" t="s">
        <v>209</v>
      </c>
      <c r="C25" s="38"/>
      <c r="D25" s="38" t="s">
        <v>199</v>
      </c>
      <c r="E25" s="38" t="s">
        <v>64</v>
      </c>
      <c r="F25" s="38" t="s">
        <v>246</v>
      </c>
      <c r="G25" s="38" t="s">
        <v>247</v>
      </c>
      <c r="H25" s="38"/>
      <c r="I25" s="38" t="s">
        <v>198</v>
      </c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</row>
    <row r="26" ht="15.75" customHeight="1">
      <c r="A26" s="64">
        <v>46137.409895833334</v>
      </c>
      <c r="B26" s="38" t="s">
        <v>209</v>
      </c>
      <c r="C26" s="38"/>
      <c r="D26" s="38" t="s">
        <v>199</v>
      </c>
      <c r="E26" s="38" t="s">
        <v>64</v>
      </c>
      <c r="F26" s="38" t="s">
        <v>248</v>
      </c>
      <c r="G26" s="38" t="s">
        <v>249</v>
      </c>
      <c r="H26" s="38"/>
      <c r="I26" s="38" t="s">
        <v>198</v>
      </c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</row>
    <row r="27" ht="15.75" customHeight="1">
      <c r="A27" s="64">
        <v>46137.409895833334</v>
      </c>
      <c r="B27" s="38" t="s">
        <v>209</v>
      </c>
      <c r="C27" s="38"/>
      <c r="D27" s="38" t="s">
        <v>199</v>
      </c>
      <c r="E27" s="38" t="s">
        <v>64</v>
      </c>
      <c r="F27" s="38" t="s">
        <v>250</v>
      </c>
      <c r="G27" s="38" t="s">
        <v>251</v>
      </c>
      <c r="H27" s="38"/>
      <c r="I27" s="38" t="s">
        <v>198</v>
      </c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</row>
    <row r="28" ht="15.75" customHeight="1">
      <c r="A28" s="65">
        <v>46137.409895833334</v>
      </c>
      <c r="B28" s="38" t="s">
        <v>209</v>
      </c>
      <c r="C28" s="38"/>
      <c r="D28" s="38" t="s">
        <v>199</v>
      </c>
      <c r="E28" s="38" t="s">
        <v>63</v>
      </c>
      <c r="F28" s="38" t="s">
        <v>252</v>
      </c>
      <c r="G28" s="38" t="s">
        <v>253</v>
      </c>
      <c r="H28" s="38"/>
      <c r="I28" s="38" t="s">
        <v>198</v>
      </c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</row>
    <row r="29" ht="15.75" customHeight="1">
      <c r="A29" s="65">
        <v>46137.409895833334</v>
      </c>
      <c r="B29" s="38" t="s">
        <v>209</v>
      </c>
      <c r="C29" s="38"/>
      <c r="D29" s="38" t="s">
        <v>199</v>
      </c>
      <c r="E29" s="38" t="s">
        <v>64</v>
      </c>
      <c r="F29" s="38" t="s">
        <v>254</v>
      </c>
      <c r="G29" s="38" t="s">
        <v>255</v>
      </c>
      <c r="H29" s="38"/>
      <c r="I29" s="38" t="s">
        <v>198</v>
      </c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</row>
    <row r="30" ht="15.75" customHeight="1">
      <c r="A30" s="65">
        <v>46137.409895833334</v>
      </c>
      <c r="B30" s="38" t="s">
        <v>209</v>
      </c>
      <c r="C30" s="38"/>
      <c r="D30" s="38" t="s">
        <v>199</v>
      </c>
      <c r="E30" s="38" t="s">
        <v>64</v>
      </c>
      <c r="F30" s="38" t="s">
        <v>256</v>
      </c>
      <c r="G30" s="38" t="s">
        <v>257</v>
      </c>
      <c r="H30" s="38"/>
      <c r="I30" s="38" t="s">
        <v>198</v>
      </c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</row>
    <row r="31" ht="15.75" customHeight="1">
      <c r="A31" s="65">
        <v>46137.409895833334</v>
      </c>
      <c r="B31" s="38" t="s">
        <v>209</v>
      </c>
      <c r="C31" s="38"/>
      <c r="D31" s="38" t="s">
        <v>199</v>
      </c>
      <c r="E31" s="38" t="s">
        <v>64</v>
      </c>
      <c r="F31" s="38" t="s">
        <v>258</v>
      </c>
      <c r="G31" s="38" t="s">
        <v>259</v>
      </c>
      <c r="H31" s="38"/>
      <c r="I31" s="38" t="s">
        <v>198</v>
      </c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</row>
    <row r="32" ht="15.75" customHeight="1">
      <c r="A32" s="65">
        <v>46137.409895833334</v>
      </c>
      <c r="B32" s="38" t="s">
        <v>209</v>
      </c>
      <c r="C32" s="38"/>
      <c r="D32" s="38" t="s">
        <v>199</v>
      </c>
      <c r="E32" s="38" t="s">
        <v>64</v>
      </c>
      <c r="F32" s="38" t="s">
        <v>260</v>
      </c>
      <c r="G32" s="38" t="s">
        <v>261</v>
      </c>
      <c r="H32" s="38"/>
      <c r="I32" s="38" t="s">
        <v>198</v>
      </c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</row>
    <row r="33" ht="15.75" customHeight="1">
      <c r="A33" s="65">
        <v>46137.409895833334</v>
      </c>
      <c r="B33" s="38" t="s">
        <v>209</v>
      </c>
      <c r="C33" s="38"/>
      <c r="D33" s="38" t="s">
        <v>199</v>
      </c>
      <c r="E33" s="38" t="s">
        <v>64</v>
      </c>
      <c r="F33" s="38" t="s">
        <v>262</v>
      </c>
      <c r="G33" s="38" t="s">
        <v>263</v>
      </c>
      <c r="H33" s="38"/>
      <c r="I33" s="38" t="s">
        <v>198</v>
      </c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</row>
    <row r="34" ht="15.75" customHeight="1">
      <c r="A34" s="64">
        <v>46140.70925706018</v>
      </c>
      <c r="B34" s="38" t="s">
        <v>264</v>
      </c>
      <c r="C34" s="66" t="s">
        <v>265</v>
      </c>
      <c r="D34" s="38" t="s">
        <v>199</v>
      </c>
      <c r="E34" s="38" t="s">
        <v>63</v>
      </c>
      <c r="F34" s="38" t="s">
        <v>266</v>
      </c>
      <c r="G34" s="38"/>
      <c r="H34" s="38"/>
      <c r="I34" s="38" t="s">
        <v>198</v>
      </c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</row>
    <row r="35" ht="15.75" customHeight="1">
      <c r="A35" s="64">
        <v>46140.70925706018</v>
      </c>
      <c r="B35" s="38" t="s">
        <v>264</v>
      </c>
      <c r="C35" s="66" t="s">
        <v>265</v>
      </c>
      <c r="D35" s="38" t="s">
        <v>199</v>
      </c>
      <c r="E35" s="38" t="s">
        <v>63</v>
      </c>
      <c r="F35" s="38" t="s">
        <v>267</v>
      </c>
      <c r="G35" s="38"/>
      <c r="H35" s="38"/>
      <c r="I35" s="38" t="s">
        <v>198</v>
      </c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</row>
    <row r="36" ht="15.75" customHeight="1">
      <c r="A36" s="64">
        <v>46140.709294768516</v>
      </c>
      <c r="B36" s="38" t="s">
        <v>268</v>
      </c>
      <c r="C36" s="66" t="s">
        <v>269</v>
      </c>
      <c r="D36" s="38" t="s">
        <v>199</v>
      </c>
      <c r="E36" s="38" t="s">
        <v>64</v>
      </c>
      <c r="F36" s="38" t="s">
        <v>270</v>
      </c>
      <c r="G36" s="38"/>
      <c r="H36" s="38"/>
      <c r="I36" s="38" t="s">
        <v>198</v>
      </c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</row>
    <row r="37" ht="15.75" customHeight="1">
      <c r="A37" s="64">
        <v>46140.709294768516</v>
      </c>
      <c r="B37" s="38" t="s">
        <v>268</v>
      </c>
      <c r="C37" s="66" t="s">
        <v>269</v>
      </c>
      <c r="D37" s="38" t="s">
        <v>199</v>
      </c>
      <c r="E37" s="38" t="s">
        <v>63</v>
      </c>
      <c r="F37" s="38" t="s">
        <v>271</v>
      </c>
      <c r="G37" s="38"/>
      <c r="H37" s="38"/>
      <c r="I37" s="38" t="s">
        <v>198</v>
      </c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</row>
    <row r="38" ht="15.75" customHeight="1">
      <c r="A38" s="64">
        <v>46140.709294768516</v>
      </c>
      <c r="B38" s="38" t="s">
        <v>268</v>
      </c>
      <c r="C38" s="66" t="s">
        <v>269</v>
      </c>
      <c r="D38" s="38" t="s">
        <v>199</v>
      </c>
      <c r="E38" s="38" t="s">
        <v>63</v>
      </c>
      <c r="F38" s="38" t="s">
        <v>272</v>
      </c>
      <c r="G38" s="38"/>
      <c r="H38" s="38"/>
      <c r="I38" s="38" t="s">
        <v>198</v>
      </c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</row>
    <row r="39" ht="15.75" customHeight="1">
      <c r="A39" s="64">
        <v>46140.709294768516</v>
      </c>
      <c r="B39" s="38" t="s">
        <v>268</v>
      </c>
      <c r="C39" s="66" t="s">
        <v>269</v>
      </c>
      <c r="D39" s="38" t="s">
        <v>199</v>
      </c>
      <c r="E39" s="38" t="s">
        <v>63</v>
      </c>
      <c r="F39" s="38" t="s">
        <v>273</v>
      </c>
      <c r="G39" s="38"/>
      <c r="H39" s="38"/>
      <c r="I39" s="38" t="s">
        <v>198</v>
      </c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</row>
    <row r="40" ht="15.75" customHeight="1">
      <c r="A40" s="64">
        <v>46140.70934108796</v>
      </c>
      <c r="B40" s="38" t="s">
        <v>274</v>
      </c>
      <c r="C40" s="66" t="s">
        <v>275</v>
      </c>
      <c r="D40" s="38" t="s">
        <v>199</v>
      </c>
      <c r="E40" s="38" t="s">
        <v>129</v>
      </c>
      <c r="F40" s="38" t="s">
        <v>276</v>
      </c>
      <c r="G40" s="38"/>
      <c r="H40" s="38"/>
      <c r="I40" s="38" t="s">
        <v>198</v>
      </c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</row>
    <row r="41" ht="15.75" customHeight="1">
      <c r="A41" s="64">
        <v>46140.709398680556</v>
      </c>
      <c r="B41" s="38" t="s">
        <v>277</v>
      </c>
      <c r="C41" s="66" t="s">
        <v>278</v>
      </c>
      <c r="D41" s="38" t="s">
        <v>199</v>
      </c>
      <c r="E41" s="38" t="s">
        <v>63</v>
      </c>
      <c r="F41" s="38" t="s">
        <v>279</v>
      </c>
      <c r="G41" s="38"/>
      <c r="H41" s="38"/>
      <c r="I41" s="38" t="s">
        <v>198</v>
      </c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</row>
    <row r="42" ht="15.75" customHeight="1">
      <c r="A42" s="64">
        <v>46140.71371509259</v>
      </c>
      <c r="B42" s="38" t="s">
        <v>280</v>
      </c>
      <c r="C42" s="66" t="s">
        <v>281</v>
      </c>
      <c r="D42" s="38" t="s">
        <v>199</v>
      </c>
      <c r="E42" s="38" t="s">
        <v>63</v>
      </c>
      <c r="F42" s="38" t="s">
        <v>282</v>
      </c>
      <c r="G42" s="38"/>
      <c r="H42" s="38"/>
      <c r="I42" s="38" t="s">
        <v>198</v>
      </c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</row>
    <row r="43" ht="15.75" customHeight="1">
      <c r="A43" s="64">
        <v>46140.71371509259</v>
      </c>
      <c r="B43" s="38" t="s">
        <v>280</v>
      </c>
      <c r="C43" s="66" t="s">
        <v>281</v>
      </c>
      <c r="D43" s="38" t="s">
        <v>199</v>
      </c>
      <c r="E43" s="38" t="s">
        <v>63</v>
      </c>
      <c r="F43" s="38" t="s">
        <v>283</v>
      </c>
      <c r="G43" s="38"/>
      <c r="H43" s="38"/>
      <c r="I43" s="38" t="s">
        <v>198</v>
      </c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ht="15.75" customHeight="1">
      <c r="A44" s="64">
        <v>46140.713747256945</v>
      </c>
      <c r="B44" s="38" t="s">
        <v>206</v>
      </c>
      <c r="C44" s="66" t="s">
        <v>284</v>
      </c>
      <c r="D44" s="38" t="s">
        <v>199</v>
      </c>
      <c r="E44" s="38" t="s">
        <v>63</v>
      </c>
      <c r="F44" s="38" t="s">
        <v>285</v>
      </c>
      <c r="G44" s="38"/>
      <c r="H44" s="38"/>
      <c r="I44" s="38" t="s">
        <v>198</v>
      </c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</row>
    <row r="45" ht="15.75" customHeight="1">
      <c r="A45" s="64">
        <v>46140.71378233796</v>
      </c>
      <c r="B45" s="38" t="s">
        <v>286</v>
      </c>
      <c r="C45" s="66" t="s">
        <v>287</v>
      </c>
      <c r="D45" s="38" t="s">
        <v>199</v>
      </c>
      <c r="E45" s="38" t="s">
        <v>63</v>
      </c>
      <c r="F45" s="38" t="s">
        <v>288</v>
      </c>
      <c r="G45" s="38"/>
      <c r="H45" s="38"/>
      <c r="I45" s="38" t="s">
        <v>198</v>
      </c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</row>
    <row r="46" ht="15.75" customHeight="1">
      <c r="A46" s="64">
        <v>46140.71381048611</v>
      </c>
      <c r="B46" s="38" t="s">
        <v>289</v>
      </c>
      <c r="C46" s="66" t="s">
        <v>290</v>
      </c>
      <c r="D46" s="38" t="s">
        <v>199</v>
      </c>
      <c r="E46" s="38" t="s">
        <v>64</v>
      </c>
      <c r="F46" s="38" t="s">
        <v>291</v>
      </c>
      <c r="G46" s="38"/>
      <c r="H46" s="38"/>
      <c r="I46" s="38" t="s">
        <v>198</v>
      </c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</row>
    <row r="47" ht="15.75" customHeight="1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</row>
    <row r="48" ht="15.75" customHeight="1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</row>
    <row r="49" ht="15.75" customHeight="1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</row>
    <row r="50" ht="15.75" customHeight="1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</row>
    <row r="51" ht="15.75" customHeight="1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</row>
    <row r="52" ht="15.75" customHeight="1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</row>
    <row r="53" ht="15.75" customHeight="1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</row>
    <row r="54" ht="15.75" customHeight="1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</row>
    <row r="55" ht="15.75" customHeight="1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</row>
    <row r="56" ht="15.75" customHeight="1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</row>
    <row r="57" ht="15.75" customHeight="1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</row>
    <row r="58" ht="15.75" customHeight="1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</row>
    <row r="59" ht="15.75" customHeight="1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</row>
    <row r="60" ht="15.75" customHeight="1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</row>
    <row r="61" ht="15.75" customHeight="1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</row>
    <row r="62" ht="15.75" customHeight="1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</row>
    <row r="63" ht="15.75" customHeight="1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</row>
    <row r="64" ht="15.75" customHeight="1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</row>
    <row r="65" ht="15.75" customHeight="1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</row>
    <row r="66" ht="15.75" customHeight="1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</row>
    <row r="67" ht="15.75" customHeight="1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</row>
    <row r="68" ht="15.75" customHeight="1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</row>
    <row r="69" ht="15.75" customHeight="1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</row>
    <row r="70" ht="15.75" customHeight="1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</row>
    <row r="71" ht="15.75" customHeight="1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</row>
    <row r="72" ht="15.75" customHeight="1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</row>
    <row r="73" ht="15.75" customHeight="1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</row>
    <row r="74" ht="15.75" customHeight="1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</row>
    <row r="75" ht="15.75" customHeight="1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</row>
    <row r="76" ht="15.75" customHeight="1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</row>
    <row r="77" ht="15.75" customHeight="1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</row>
    <row r="78" ht="15.75" customHeight="1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</row>
    <row r="79" ht="15.75" customHeight="1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</row>
    <row r="80" ht="15.75" customHeight="1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</row>
    <row r="81" ht="15.75" customHeight="1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</row>
    <row r="82" ht="15.75" customHeight="1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</row>
    <row r="83" ht="15.75" customHeight="1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</row>
    <row r="84" ht="15.75" customHeight="1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</row>
    <row r="85" ht="15.75" customHeight="1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</row>
    <row r="86" ht="15.75" customHeight="1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</row>
    <row r="87" ht="15.75" customHeight="1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</row>
    <row r="88" ht="15.75" customHeight="1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</row>
    <row r="89" ht="15.75" customHeight="1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</row>
    <row r="90" ht="15.75" customHeight="1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</row>
    <row r="91" ht="15.75" customHeight="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</row>
    <row r="92" ht="15.75" customHeight="1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</row>
    <row r="93" ht="15.75" customHeight="1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</row>
    <row r="94" ht="15.75" customHeight="1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</row>
    <row r="95" ht="15.75" customHeight="1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</row>
    <row r="96" ht="15.75" customHeight="1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</row>
    <row r="97" ht="15.75" customHeight="1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</row>
    <row r="98" ht="15.75" customHeight="1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</row>
    <row r="99" ht="15.75" customHeight="1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</row>
    <row r="100" ht="15.75" customHeight="1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</row>
    <row r="101" ht="15.75" customHeight="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</row>
    <row r="102" ht="15.75" customHeight="1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</row>
    <row r="103" ht="15.75" customHeight="1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</row>
    <row r="104" ht="15.75" customHeight="1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</row>
    <row r="105" ht="15.75" customHeight="1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</row>
    <row r="106" ht="15.75" customHeight="1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</row>
    <row r="107" ht="15.75" customHeight="1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</row>
    <row r="108" ht="15.75" customHeight="1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</row>
    <row r="109" ht="15.75" customHeight="1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</row>
    <row r="110" ht="15.75" customHeight="1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</row>
    <row r="111" ht="15.75" customHeight="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</row>
    <row r="112" ht="15.75" customHeight="1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</row>
    <row r="113" ht="15.75" customHeight="1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</row>
    <row r="114" ht="15.75" customHeight="1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</row>
    <row r="115" ht="15.75" customHeight="1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</row>
    <row r="116" ht="15.75" customHeight="1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</row>
    <row r="117" ht="15.75" customHeight="1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</row>
    <row r="118" ht="15.75" customHeight="1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</row>
    <row r="119" ht="15.75" customHeight="1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</row>
    <row r="120" ht="15.75" customHeight="1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</row>
    <row r="121" ht="15.75" customHeight="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</row>
    <row r="122" ht="15.75" customHeight="1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</row>
    <row r="123" ht="15.75" customHeight="1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</row>
    <row r="124" ht="15.75" customHeight="1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</row>
    <row r="125" ht="15.75" customHeight="1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</row>
    <row r="126" ht="15.75" customHeight="1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</row>
    <row r="127" ht="15.75" customHeight="1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</row>
    <row r="128" ht="15.75" customHeight="1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</row>
    <row r="129" ht="15.75" customHeight="1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</row>
    <row r="130" ht="15.75" customHeight="1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</row>
    <row r="131" ht="15.75" customHeight="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</row>
    <row r="132" ht="15.75" customHeight="1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</row>
    <row r="133" ht="15.75" customHeight="1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</row>
    <row r="134" ht="15.75" customHeight="1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</row>
    <row r="135" ht="15.75" customHeight="1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</row>
    <row r="136" ht="15.75" customHeight="1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</row>
    <row r="137" ht="15.75" customHeight="1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</row>
    <row r="138" ht="15.75" customHeight="1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</row>
    <row r="139" ht="15.75" customHeight="1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</row>
    <row r="140" ht="15.75" customHeight="1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</row>
    <row r="141" ht="15.75" customHeight="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</row>
    <row r="142" ht="15.75" customHeight="1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</row>
    <row r="143" ht="15.75" customHeight="1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</row>
    <row r="144" ht="15.75" customHeight="1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</row>
    <row r="145" ht="15.75" customHeight="1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</row>
    <row r="146" ht="15.75" customHeight="1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</row>
    <row r="147" ht="15.75" customHeight="1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</row>
    <row r="148" ht="15.75" customHeight="1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</row>
    <row r="149" ht="15.75" customHeight="1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</row>
    <row r="150" ht="15.75" customHeight="1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</row>
    <row r="151" ht="15.75" customHeight="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</row>
    <row r="152" ht="15.75" customHeight="1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</row>
    <row r="153" ht="15.75" customHeight="1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</row>
    <row r="154" ht="15.75" customHeight="1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</row>
    <row r="155" ht="15.75" customHeight="1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</row>
    <row r="156" ht="15.75" customHeight="1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</row>
    <row r="157" ht="15.75" customHeight="1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</row>
    <row r="158" ht="15.75" customHeight="1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</row>
    <row r="159" ht="15.75" customHeight="1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</row>
    <row r="160" ht="15.75" customHeight="1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</row>
    <row r="161" ht="15.75" customHeight="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</row>
    <row r="162" ht="15.75" customHeight="1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</row>
    <row r="163" ht="15.75" customHeight="1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</row>
    <row r="164" ht="15.75" customHeight="1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</row>
    <row r="165" ht="15.75" customHeight="1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</row>
    <row r="166" ht="15.75" customHeight="1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</row>
    <row r="167" ht="15.75" customHeight="1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</row>
    <row r="168" ht="15.75" customHeight="1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</row>
    <row r="169" ht="15.75" customHeight="1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</row>
    <row r="170" ht="15.75" customHeight="1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</row>
    <row r="171" ht="15.75" customHeight="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</row>
    <row r="172" ht="15.75" customHeight="1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</row>
    <row r="173" ht="15.75" customHeight="1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</row>
    <row r="174" ht="15.75" customHeight="1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</row>
    <row r="175" ht="15.75" customHeight="1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</row>
    <row r="176" ht="15.75" customHeight="1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</row>
    <row r="177" ht="15.75" customHeight="1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</row>
    <row r="178" ht="15.75" customHeight="1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</row>
    <row r="179" ht="15.75" customHeight="1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</row>
    <row r="180" ht="15.75" customHeight="1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</row>
    <row r="181" ht="15.75" customHeight="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</row>
    <row r="182" ht="15.75" customHeight="1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</row>
    <row r="183" ht="15.75" customHeight="1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</row>
    <row r="184" ht="15.75" customHeight="1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</row>
    <row r="185" ht="15.75" customHeight="1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</row>
    <row r="186" ht="15.75" customHeight="1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</row>
    <row r="187" ht="15.75" customHeight="1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</row>
    <row r="188" ht="15.75" customHeight="1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</row>
    <row r="189" ht="15.75" customHeight="1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</row>
    <row r="190" ht="15.75" customHeight="1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</row>
    <row r="191" ht="15.75" customHeight="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</row>
    <row r="192" ht="15.75" customHeight="1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</row>
    <row r="193" ht="15.75" customHeight="1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</row>
    <row r="194" ht="15.75" customHeight="1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</row>
    <row r="195" ht="15.75" customHeight="1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</row>
    <row r="196" ht="15.75" customHeight="1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</row>
    <row r="197" ht="15.75" customHeight="1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</row>
    <row r="198" ht="15.75" customHeight="1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</row>
    <row r="199" ht="15.75" customHeight="1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</row>
    <row r="200" ht="15.75" customHeight="1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</row>
    <row r="201" ht="15.75" customHeight="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</row>
    <row r="202" ht="15.75" customHeight="1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</row>
    <row r="203" ht="15.75" customHeight="1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</row>
    <row r="204" ht="15.75" customHeight="1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</row>
    <row r="205" ht="15.75" customHeight="1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</row>
    <row r="206" ht="15.75" customHeight="1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</row>
    <row r="207" ht="15.75" customHeight="1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</row>
    <row r="208" ht="15.75" customHeight="1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</row>
    <row r="209" ht="15.75" customHeight="1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</row>
    <row r="210" ht="15.75" customHeight="1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</row>
    <row r="211" ht="15.75" customHeight="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</row>
    <row r="212" ht="15.75" customHeight="1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</row>
    <row r="213" ht="15.75" customHeight="1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</row>
    <row r="214" ht="15.75" customHeight="1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</row>
    <row r="215" ht="15.75" customHeight="1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</row>
    <row r="216" ht="15.75" customHeight="1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</row>
    <row r="217" ht="15.75" customHeight="1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</row>
    <row r="218" ht="15.75" customHeight="1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</row>
    <row r="219" ht="15.75" customHeight="1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</row>
    <row r="220" ht="15.75" customHeight="1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</row>
    <row r="221" ht="15.75" customHeight="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</row>
    <row r="222" ht="15.75" customHeight="1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</row>
    <row r="223" ht="15.75" customHeight="1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</row>
    <row r="224" ht="15.75" customHeight="1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</row>
    <row r="225" ht="15.75" customHeight="1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</row>
    <row r="226" ht="15.75" customHeight="1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</row>
    <row r="227" ht="15.75" customHeight="1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</row>
    <row r="228" ht="15.75" customHeight="1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</row>
    <row r="229" ht="15.75" customHeight="1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</row>
    <row r="230" ht="15.75" customHeight="1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</row>
    <row r="231" ht="15.75" customHeight="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</row>
    <row r="232" ht="15.75" customHeight="1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</row>
    <row r="233" ht="15.75" customHeight="1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</row>
    <row r="234" ht="15.75" customHeight="1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</row>
    <row r="235" ht="15.75" customHeight="1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</row>
    <row r="236" ht="15.75" customHeight="1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</row>
    <row r="237" ht="15.75" customHeight="1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</row>
    <row r="238" ht="15.75" customHeight="1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</row>
    <row r="239" ht="15.75" customHeight="1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</row>
    <row r="240" ht="15.75" customHeight="1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</row>
    <row r="241" ht="15.75" customHeight="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</row>
    <row r="242" ht="15.75" customHeight="1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</row>
    <row r="243" ht="15.75" customHeight="1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</row>
    <row r="244" ht="15.75" customHeight="1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</row>
    <row r="245" ht="15.75" customHeight="1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</row>
    <row r="246" ht="15.75" customHeight="1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</row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34"/>
    <hyperlink r:id="rId2" ref="C35"/>
    <hyperlink r:id="rId3" ref="C36"/>
    <hyperlink r:id="rId4" ref="C37"/>
    <hyperlink r:id="rId5" ref="C38"/>
    <hyperlink r:id="rId6" ref="C39"/>
    <hyperlink r:id="rId7" ref="C40"/>
    <hyperlink r:id="rId8" ref="C41"/>
    <hyperlink r:id="rId9" ref="C42"/>
    <hyperlink r:id="rId10" ref="C43"/>
    <hyperlink r:id="rId11" ref="C44"/>
    <hyperlink r:id="rId12" ref="C45"/>
    <hyperlink r:id="rId13" ref="C46"/>
  </hyperlinks>
  <drawing r:id="rId14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22" width="17.63"/>
  </cols>
  <sheetData>
    <row r="1" ht="15.75" customHeight="1">
      <c r="A1" s="67" t="s">
        <v>292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5.75" customHeight="1">
      <c r="A2" s="68" t="s">
        <v>293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5.75" customHeight="1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5.75" customHeight="1">
      <c r="A4" s="69" t="s">
        <v>294</v>
      </c>
      <c r="B4" s="69" t="s">
        <v>53</v>
      </c>
    </row>
    <row r="5" ht="15.75" customHeight="1">
      <c r="A5" s="4" t="s">
        <v>295</v>
      </c>
      <c r="B5" s="4">
        <f>COUNTIF('銀行データチェック用'!A2:A250,"&lt;&gt;")</f>
        <v>207</v>
      </c>
    </row>
    <row r="6" ht="15.75" customHeight="1">
      <c r="A6" s="4" t="s">
        <v>9</v>
      </c>
      <c r="B6" s="4">
        <f>COUNTIF('銀行データチェック用'!G2:G250,"要確認")</f>
        <v>27</v>
      </c>
    </row>
    <row r="7" ht="15.75" customHeight="1">
      <c r="A7" s="4" t="s">
        <v>13</v>
      </c>
      <c r="B7" s="4">
        <f>COUNTIF('銀行データチェック用'!G2:G250,"未照合")</f>
        <v>0</v>
      </c>
    </row>
    <row r="8" ht="15.75" customHeight="1">
      <c r="A8" s="4" t="s">
        <v>296</v>
      </c>
      <c r="B8" s="4">
        <f>IFERROR(__xludf.DUMMYFUNCTION("SUMPRODUCT(N(REGEXMATCH('銀行データチェック用'!C2:C250,""�"")))"),1.0)</f>
        <v>1</v>
      </c>
    </row>
    <row r="9" ht="15.75" customHeight="1">
      <c r="A9" s="4" t="s">
        <v>297</v>
      </c>
      <c r="B9" s="4">
        <f>COUNTIFS('銀行データチェック用'!D2:D250,"&gt;0",'銀行データチェック用'!E2:E250,"")</f>
        <v>52</v>
      </c>
    </row>
    <row r="10" ht="15.75" customHeight="1">
      <c r="A10" s="4" t="s">
        <v>298</v>
      </c>
      <c r="B10" s="4">
        <f>COUNTIFS('銀行データチェック用'!D2:D250,"&gt;0",'銀行データチェック用'!F2:F250,"")</f>
        <v>50</v>
      </c>
    </row>
    <row r="11" ht="15.75" customHeight="1">
      <c r="A11" s="4" t="s">
        <v>299</v>
      </c>
      <c r="B11" s="4">
        <f>COUNTIF('取込履歴'!I2:I250,"失敗")</f>
        <v>1</v>
      </c>
    </row>
    <row r="12" ht="15.75" customHeight="1">
      <c r="A12" s="4" t="s">
        <v>300</v>
      </c>
      <c r="B12" s="4">
        <f t="array" ref="B12">LET(h,'振込入金リスト一覧'!1:1,s,INDEX('振込入金リスト一覧'!A:FB,,MATCH("ステータス",h,0)),COUNTIF(s,"未照合")+COUNTIF(s,"要確認"))</f>
        <v>178</v>
      </c>
    </row>
    <row r="13" ht="15.75" customHeight="1">
      <c r="A13" s="4" t="s">
        <v>21</v>
      </c>
      <c r="B13" s="4">
        <f t="array" ref="B13">LET(h,'振込入金リスト一覧'!1:1,s,INDEX('振込入金リスト一覧'!A:FB,,MATCH("入金状況",h,0)),COUNTIF(s,"未入金"))</f>
        <v>0</v>
      </c>
    </row>
    <row r="14" ht="15.75" customHeight="1">
      <c r="A14" s="4" t="s">
        <v>22</v>
      </c>
      <c r="B14" s="4">
        <f t="array" ref="B14">LET(h,'振込入金リスト一覧'!1:1,s,INDEX('振込入金リスト一覧'!A:FB,,MATCH("入金状況",h,0)),COUNTIF(s,"一部入金"))</f>
        <v>0</v>
      </c>
    </row>
    <row r="15" ht="15.75" customHeight="1">
      <c r="A15" s="4" t="s">
        <v>301</v>
      </c>
      <c r="B15" s="4">
        <f t="array" ref="B15">LET(h,'振込入金リスト一覧'!1:1,s,INDEX('振込入金リスト一覧'!A:FB,,MATCH("アラート",h,0)),COUNTIF(s,"期限超過"))</f>
        <v>0</v>
      </c>
    </row>
    <row r="16" ht="15.75" customHeight="1">
      <c r="A16" s="4" t="s">
        <v>302</v>
      </c>
      <c r="B16" s="4">
        <f>COUNTIF('請求書発行'!R2:R250,"未入金")</f>
        <v>0</v>
      </c>
    </row>
    <row r="17" ht="15.75" customHeight="1">
      <c r="A17" s="4" t="s">
        <v>303</v>
      </c>
      <c r="B17" s="4">
        <f>COUNTIF('請求書発行'!R2:R250,"要確認")</f>
        <v>0</v>
      </c>
    </row>
    <row r="18" ht="15.75" customHeight="1">
      <c r="A18" s="4" t="s">
        <v>304</v>
      </c>
    </row>
    <row r="19" ht="15.75" customHeight="1">
      <c r="A19" s="27" t="s">
        <v>305</v>
      </c>
    </row>
    <row r="20" ht="15.75" customHeight="1">
      <c r="A20" s="27" t="s">
        <v>306</v>
      </c>
    </row>
    <row r="21" ht="15.75" customHeight="1">
      <c r="A21" s="27" t="s">
        <v>307</v>
      </c>
    </row>
    <row r="22" ht="15.75" customHeight="1">
      <c r="A22" s="27" t="s">
        <v>308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display="銀行要対応 を開く" location="'銀行要対応'!A1" ref="A19"/>
    <hyperlink display="案件要対応 を開く" location="'案件要対応'!A1" ref="A20"/>
    <hyperlink display="請求書要対応 を開く" location="'請求書要対応'!A1" ref="A21"/>
    <hyperlink display="取込失敗 を開く" location="'取込失敗'!A1" ref="A22"/>
  </hyperlin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65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9" width="18.88"/>
  </cols>
  <sheetData>
    <row r="1" ht="15.75" customHeight="1">
      <c r="A1" s="70" t="str">
        <f>IFERROR(__xludf.DUMMYFUNCTION("{""日付"",""摘要"",""金額"",""業務No"",""顧客No"",""ステータス"",""入金月"",""取込ファイル"",""確認メモ"";IFERROR(FILTER({'銀行データチェック用'!A2:A1200,'銀行データチェック用'!C2:C1200,'銀行データチェック用'!D2:D1200,'銀行データチェック用'!E2:E1200,'銀行データチェック用'!F2:F1200,'銀行データチェック用'!G2:G1200,'銀行データチェック用'!H2:H1200,'銀行データチ"&amp;"ェック用'!S2:S1200,IFNA(VLOOKUP(TEXT('銀行データチェック用'!A2:A1200,""yyyy/mm/dd"")&amp;""|""&amp;'銀行データチェック用'!C2:C1200&amp;""|""&amp;TEXT('銀行データチェック用'!D2:D1200,""0""),{TEXT('銀行要確認メモ'!A2:A1200,""yyyy/mm/dd"")&amp;""|""&amp;'銀行要確認メモ'!B2:B1200&amp;""|""&amp;TEXT('銀行要確認メモ'!C2:C1200,""0""),'銀行要確認メモ'!F2:"&amp;"F1200},2,false),"""")},'銀行データチェック用'!G2:G1200=""要確認""),{"""","""","""","""","""","""","""","""",""""})}"),"日付")</f>
        <v>日付</v>
      </c>
      <c r="B1" s="70" t="str">
        <f>IFERROR(__xludf.DUMMYFUNCTION("""COMPUTED_VALUE"""),"摘要")</f>
        <v>摘要</v>
      </c>
      <c r="C1" s="70" t="str">
        <f>IFERROR(__xludf.DUMMYFUNCTION("""COMPUTED_VALUE"""),"金額")</f>
        <v>金額</v>
      </c>
      <c r="D1" s="70" t="str">
        <f>IFERROR(__xludf.DUMMYFUNCTION("""COMPUTED_VALUE"""),"業務No")</f>
        <v>業務No</v>
      </c>
      <c r="E1" s="70" t="str">
        <f>IFERROR(__xludf.DUMMYFUNCTION("""COMPUTED_VALUE"""),"顧客No")</f>
        <v>顧客No</v>
      </c>
      <c r="F1" s="70" t="str">
        <f>IFERROR(__xludf.DUMMYFUNCTION("""COMPUTED_VALUE"""),"ステータス")</f>
        <v>ステータス</v>
      </c>
      <c r="G1" s="70" t="str">
        <f>IFERROR(__xludf.DUMMYFUNCTION("""COMPUTED_VALUE"""),"入金月")</f>
        <v>入金月</v>
      </c>
      <c r="H1" s="70" t="str">
        <f>IFERROR(__xludf.DUMMYFUNCTION("""COMPUTED_VALUE"""),"取込ファイル")</f>
        <v>取込ファイル</v>
      </c>
      <c r="I1" s="70" t="str">
        <f>IFERROR(__xludf.DUMMYFUNCTION("""COMPUTED_VALUE"""),"確認メモ")</f>
        <v>確認メモ</v>
      </c>
    </row>
    <row r="2" ht="15.75" customHeight="1">
      <c r="A2" s="4">
        <f>IFERROR(__xludf.DUMMYFUNCTION("""COMPUTED_VALUE"""),46112.0)</f>
        <v>46112</v>
      </c>
      <c r="B2" s="4" t="str">
        <f>IFERROR(__xludf.DUMMYFUNCTION("""COMPUTED_VALUE"""),"中銀ｶｰﾄﾞ　JCB　寺岡栞様　SB24481")</f>
        <v>中銀ｶｰﾄﾞ　JCB　寺岡栞様　SB24481</v>
      </c>
      <c r="C2" s="4">
        <f>IFERROR(__xludf.DUMMYFUNCTION("""COMPUTED_VALUE"""),258698.0)</f>
        <v>258698</v>
      </c>
      <c r="D2" s="4" t="str">
        <f>IFERROR(__xludf.DUMMYFUNCTION("""COMPUTED_VALUE"""),"SB00024481")</f>
        <v>SB00024481</v>
      </c>
      <c r="E2" s="4" t="str">
        <f>IFERROR(__xludf.DUMMYFUNCTION("""COMPUTED_VALUE"""),"KK00001934")</f>
        <v>KK00001934</v>
      </c>
      <c r="F2" s="4" t="str">
        <f>IFERROR(__xludf.DUMMYFUNCTION("""COMPUTED_VALUE"""),"要確認")</f>
        <v>要確認</v>
      </c>
      <c r="G2" s="4">
        <f>IFERROR(__xludf.DUMMYFUNCTION("""COMPUTED_VALUE"""),46082.0)</f>
        <v>46082</v>
      </c>
      <c r="H2" s="4"/>
      <c r="I2" s="4" t="str">
        <f>IFERROR(__xludf.DUMMYFUNCTION("""COMPUTED_VALUE"""),"案件候補あり。売上総計267,360に対し差額8,662。カード手数料差か集約入金を確認。")</f>
        <v>案件候補あり。売上総計267,360に対し差額8,662。カード手数料差か集約入金を確認。</v>
      </c>
    </row>
    <row r="3" ht="15.75" customHeight="1">
      <c r="A3" s="4">
        <f>IFERROR(__xludf.DUMMYFUNCTION("""COMPUTED_VALUE"""),46113.0)</f>
        <v>46113</v>
      </c>
      <c r="B3" s="4" t="str">
        <f>IFERROR(__xludf.DUMMYFUNCTION("""COMPUTED_VALUE"""),"該当なし カ) ナルネットコミュニケーシ ヨンズ")</f>
        <v>該当なし カ) ナルネットコミュニケーシ ヨンズ</v>
      </c>
      <c r="C3" s="4">
        <f>IFERROR(__xludf.DUMMYFUNCTION("""COMPUTED_VALUE"""),66850.0)</f>
        <v>66850</v>
      </c>
      <c r="D3" s="4"/>
      <c r="E3" s="4"/>
      <c r="F3" s="4" t="str">
        <f>IFERROR(__xludf.DUMMYFUNCTION("""COMPUTED_VALUE"""),"要確認")</f>
        <v>要確認</v>
      </c>
      <c r="G3" s="4">
        <f>IFERROR(__xludf.DUMMYFUNCTION("""COMPUTED_VALUE"""),46113.0)</f>
        <v>46113</v>
      </c>
      <c r="H3" s="4"/>
      <c r="I3" s="4" t="str">
        <f>IFERROR(__xludf.DUMMYFUNCTION("""COMPUTED_VALUE"""),"案件候補未発見。案件入金ではなく別入金の可能性あり。")</f>
        <v>案件候補未発見。案件入金ではなく別入金の可能性あり。</v>
      </c>
    </row>
    <row r="4" ht="15.75" customHeight="1">
      <c r="A4" s="4">
        <f>IFERROR(__xludf.DUMMYFUNCTION("""COMPUTED_VALUE"""),46119.0)</f>
        <v>46119</v>
      </c>
      <c r="B4" s="4" t="str">
        <f>IFERROR(__xludf.DUMMYFUNCTION("""COMPUTED_VALUE"""),"該当なし ミツイスミトモカイジョウB")</f>
        <v>該当なし ミツイスミトモカイジョウB</v>
      </c>
      <c r="C4" s="4">
        <f>IFERROR(__xludf.DUMMYFUNCTION("""COMPUTED_VALUE"""),1150000.0)</f>
        <v>1150000</v>
      </c>
      <c r="D4" s="4"/>
      <c r="E4" s="4"/>
      <c r="F4" s="4" t="str">
        <f>IFERROR(__xludf.DUMMYFUNCTION("""COMPUTED_VALUE"""),"要確認")</f>
        <v>要確認</v>
      </c>
      <c r="G4" s="4">
        <f>IFERROR(__xludf.DUMMYFUNCTION("""COMPUTED_VALUE"""),46113.0)</f>
        <v>46113</v>
      </c>
      <c r="H4" s="4"/>
      <c r="I4" s="4" t="str">
        <f>IFERROR(__xludf.DUMMYFUNCTION("""COMPUTED_VALUE"""),"三井住友海上系案件を確認。近傍候補はあるが単独一致なし。")</f>
        <v>三井住友海上系案件を確認。近傍候補はあるが単独一致なし。</v>
      </c>
    </row>
    <row r="5" ht="15.75" customHeight="1">
      <c r="A5" s="4">
        <f>IFERROR(__xludf.DUMMYFUNCTION("""COMPUTED_VALUE"""),46121.0)</f>
        <v>46121</v>
      </c>
      <c r="B5" s="4" t="str">
        <f>IFERROR(__xludf.DUMMYFUNCTION("""COMPUTED_VALUE"""),"土肥良太郎様 CH3536")</f>
        <v>土肥良太郎様 CH3536</v>
      </c>
      <c r="C5" s="4">
        <f>IFERROR(__xludf.DUMMYFUNCTION("""COMPUTED_VALUE"""),25000.0)</f>
        <v>25000</v>
      </c>
      <c r="D5" s="4"/>
      <c r="E5" s="4"/>
      <c r="F5" s="4" t="str">
        <f>IFERROR(__xludf.DUMMYFUNCTION("""COMPUTED_VALUE"""),"要確認")</f>
        <v>要確認</v>
      </c>
      <c r="G5" s="4">
        <f>IFERROR(__xludf.DUMMYFUNCTION("""COMPUTED_VALUE"""),46113.0)</f>
        <v>46113</v>
      </c>
      <c r="H5" s="4"/>
      <c r="I5" s="4" t="str">
        <f>IFERROR(__xludf.DUMMYFUNCTION("""COMPUTED_VALUE"""),"CH3536候補未発見。土肥潤一郎案件はあるが金額不一致。")</f>
        <v>CH3536候補未発見。土肥潤一郎案件はあるが金額不一致。</v>
      </c>
    </row>
    <row r="6" ht="15.75" customHeight="1">
      <c r="A6" s="4">
        <f>IFERROR(__xludf.DUMMYFUNCTION("""COMPUTED_VALUE"""),46121.0)</f>
        <v>46121</v>
      </c>
      <c r="B6" s="4" t="str">
        <f>IFERROR(__xludf.DUMMYFUNCTION("""COMPUTED_VALUE"""),"(株)橋本商事((株)A' crews)")</f>
        <v>(株)橋本商事((株)A' crews)</v>
      </c>
      <c r="C6" s="4">
        <f>IFERROR(__xludf.DUMMYFUNCTION("""COMPUTED_VALUE"""),150000.0)</f>
        <v>150000</v>
      </c>
      <c r="D6" s="4"/>
      <c r="E6" s="4"/>
      <c r="F6" s="4" t="str">
        <f>IFERROR(__xludf.DUMMYFUNCTION("""COMPUTED_VALUE"""),"要確認")</f>
        <v>要確認</v>
      </c>
      <c r="G6" s="4">
        <f>IFERROR(__xludf.DUMMYFUNCTION("""COMPUTED_VALUE"""),46113.0)</f>
        <v>46113</v>
      </c>
      <c r="H6" s="4"/>
      <c r="I6" s="4" t="str">
        <f>IFERROR(__xludf.DUMMYFUNCTION("""COMPUTED_VALUE"""),"2026/03/10に同摘要150,000の自動消込あり。重複入金か2回目入金か確認。")</f>
        <v>2026/03/10に同摘要150,000の自動消込あり。重複入金か2回目入金か確認。</v>
      </c>
    </row>
    <row r="7" ht="15.75" customHeight="1">
      <c r="A7" s="4">
        <f>IFERROR(__xludf.DUMMYFUNCTION("""COMPUTED_VALUE"""),46122.0)</f>
        <v>46122</v>
      </c>
      <c r="B7" s="4" t="str">
        <f>IFERROR(__xludf.DUMMYFUNCTION("""COMPUTED_VALUE"""),"(有)エルグレコ様 SB24548/24461")</f>
        <v>(有)エルグレコ様 SB24548/24461</v>
      </c>
      <c r="C7" s="4">
        <f>IFERROR(__xludf.DUMMYFUNCTION("""COMPUTED_VALUE"""),57700.0)</f>
        <v>57700</v>
      </c>
      <c r="D7" s="4"/>
      <c r="E7" s="4" t="str">
        <f>IFERROR(__xludf.DUMMYFUNCTION("""COMPUTED_VALUE"""),"KK00001837")</f>
        <v>KK00001837</v>
      </c>
      <c r="F7" s="4" t="str">
        <f>IFERROR(__xludf.DUMMYFUNCTION("""COMPUTED_VALUE"""),"要確認")</f>
        <v>要確認</v>
      </c>
      <c r="G7" s="4">
        <f>IFERROR(__xludf.DUMMYFUNCTION("""COMPUTED_VALUE"""),46113.0)</f>
        <v>46113</v>
      </c>
      <c r="H7" s="4"/>
      <c r="I7" s="4" t="str">
        <f>IFERROR(__xludf.DUMMYFUNCTION("""COMPUTED_VALUE"""),"顧客候補あり。摘要に複数番号があり合算入金の可能性。")</f>
        <v>顧客候補あり。摘要に複数番号があり合算入金の可能性。</v>
      </c>
    </row>
    <row r="8" ht="15.75" customHeight="1">
      <c r="A8" s="4">
        <f>IFERROR(__xludf.DUMMYFUNCTION("""COMPUTED_VALUE"""),46126.0)</f>
        <v>46126</v>
      </c>
      <c r="B8" s="4" t="str">
        <f>IFERROR(__xludf.DUMMYFUNCTION("""COMPUTED_VALUE"""),"該当なし ソンポジヤパン")</f>
        <v>該当なし ソンポジヤパン</v>
      </c>
      <c r="C8" s="4">
        <f>IFERROR(__xludf.DUMMYFUNCTION("""COMPUTED_VALUE"""),198000.0)</f>
        <v>198000</v>
      </c>
      <c r="D8" s="4"/>
      <c r="E8" s="4"/>
      <c r="F8" s="4" t="str">
        <f>IFERROR(__xludf.DUMMYFUNCTION("""COMPUTED_VALUE"""),"要確認")</f>
        <v>要確認</v>
      </c>
      <c r="G8" s="4">
        <f>IFERROR(__xludf.DUMMYFUNCTION("""COMPUTED_VALUE"""),46113.0)</f>
        <v>46113</v>
      </c>
      <c r="H8" s="4"/>
      <c r="I8" s="4" t="str">
        <f>IFERROR(__xludf.DUMMYFUNCTION("""COMPUTED_VALUE"""),"損保ジャパン関連案件を確認。既存自動消込案件はあるが金額一致なし。")</f>
        <v>損保ジャパン関連案件を確認。既存自動消込案件はあるが金額一致なし。</v>
      </c>
    </row>
    <row r="9" ht="15.75" customHeight="1">
      <c r="A9" s="4">
        <f>IFERROR(__xludf.DUMMYFUNCTION("""COMPUTED_VALUE"""),46127.0)</f>
        <v>46127</v>
      </c>
      <c r="B9" s="4" t="str">
        <f>IFERROR(__xludf.DUMMYFUNCTION("""COMPUTED_VALUE"""),"該当なし チユウギンカードVIS")</f>
        <v>該当なし チユウギンカードVIS</v>
      </c>
      <c r="C9" s="4">
        <f>IFERROR(__xludf.DUMMYFUNCTION("""COMPUTED_VALUE"""),440822.0)</f>
        <v>440822</v>
      </c>
      <c r="D9" s="4"/>
      <c r="E9" s="4"/>
      <c r="F9" s="4" t="str">
        <f>IFERROR(__xludf.DUMMYFUNCTION("""COMPUTED_VALUE"""),"要確認")</f>
        <v>要確認</v>
      </c>
      <c r="G9" s="4">
        <f>IFERROR(__xludf.DUMMYFUNCTION("""COMPUTED_VALUE"""),46113.0)</f>
        <v>46113</v>
      </c>
      <c r="H9" s="4"/>
      <c r="I9" s="4" t="str">
        <f>IFERROR(__xludf.DUMMYFUNCTION("""COMPUTED_VALUE"""),"カード集約入金。クレカ・現金側のVISA締め期間で確認。")</f>
        <v>カード集約入金。クレカ・現金側のVISA締め期間で確認。</v>
      </c>
    </row>
    <row r="10" ht="15.75" customHeight="1">
      <c r="A10" s="4">
        <f>IFERROR(__xludf.DUMMYFUNCTION("""COMPUTED_VALUE"""),46127.0)</f>
        <v>46127</v>
      </c>
      <c r="B10" s="4" t="str">
        <f>IFERROR(__xludf.DUMMYFUNCTION("""COMPUTED_VALUE"""),"該当なし 振込1 キムラユニテイ− カ")</f>
        <v>該当なし 振込1 キムラユニテイ− カ</v>
      </c>
      <c r="C10" s="4">
        <f>IFERROR(__xludf.DUMMYFUNCTION("""COMPUTED_VALUE"""),14520.0)</f>
        <v>14520</v>
      </c>
      <c r="D10" s="4"/>
      <c r="E10" s="4" t="str">
        <f>IFERROR(__xludf.DUMMYFUNCTION("""COMPUTED_VALUE"""),"KK00003002")</f>
        <v>KK00003002</v>
      </c>
      <c r="F10" s="4" t="str">
        <f>IFERROR(__xludf.DUMMYFUNCTION("""COMPUTED_VALUE"""),"要確認")</f>
        <v>要確認</v>
      </c>
      <c r="G10" s="4">
        <f>IFERROR(__xludf.DUMMYFUNCTION("""COMPUTED_VALUE"""),46113.0)</f>
        <v>46113</v>
      </c>
      <c r="H10" s="4"/>
      <c r="I10" s="4" t="str">
        <f>IFERROR(__xludf.DUMMYFUNCTION("""COMPUTED_VALUE"""),"4,840 x 3件の合算候補。キムラユニティ案件3件を確認。")</f>
        <v>4,840 x 3件の合算候補。キムラユニティ案件3件を確認。</v>
      </c>
    </row>
    <row r="11" ht="15.75" customHeight="1">
      <c r="A11" s="4">
        <f>IFERROR(__xludf.DUMMYFUNCTION("""COMPUTED_VALUE"""),46133.0)</f>
        <v>46133</v>
      </c>
      <c r="B11" s="4" t="str">
        <f>IFERROR(__xludf.DUMMYFUNCTION("""COMPUTED_VALUE"""),"該当なし イ)サイセイカイ")</f>
        <v>該当なし イ)サイセイカイ</v>
      </c>
      <c r="C11" s="4">
        <f>IFERROR(__xludf.DUMMYFUNCTION("""COMPUTED_VALUE"""),64350.0)</f>
        <v>64350</v>
      </c>
      <c r="D11" s="4"/>
      <c r="E11" s="4"/>
      <c r="F11" s="4" t="str">
        <f>IFERROR(__xludf.DUMMYFUNCTION("""COMPUTED_VALUE"""),"要確認")</f>
        <v>要確認</v>
      </c>
      <c r="G11" s="4">
        <f>IFERROR(__xludf.DUMMYFUNCTION("""COMPUTED_VALUE"""),46113.0)</f>
        <v>46113</v>
      </c>
      <c r="H11" s="4"/>
      <c r="I11" s="4" t="str">
        <f>IFERROR(__xludf.DUMMYFUNCTION("""COMPUTED_VALUE"""),"彩生会候補あり。15,400+8,800=24,200で不一致、別案件の可能性。")</f>
        <v>彩生会候補あり。15,400+8,800=24,200で不一致、別案件の可能性。</v>
      </c>
    </row>
    <row r="12" ht="15.75" customHeight="1">
      <c r="A12" s="4">
        <f>IFERROR(__xludf.DUMMYFUNCTION("""COMPUTED_VALUE"""),46135.0)</f>
        <v>46135</v>
      </c>
      <c r="B12" s="4" t="str">
        <f>IFERROR(__xludf.DUMMYFUNCTION("""COMPUTED_VALUE"""),"該当なし ミツイスミトモカイジヨウB")</f>
        <v>該当なし ミツイスミトモカイジヨウB</v>
      </c>
      <c r="C12" s="4">
        <f>IFERROR(__xludf.DUMMYFUNCTION("""COMPUTED_VALUE"""),57310.0)</f>
        <v>57310</v>
      </c>
      <c r="D12" s="4"/>
      <c r="E12" s="4"/>
      <c r="F12" s="4" t="str">
        <f>IFERROR(__xludf.DUMMYFUNCTION("""COMPUTED_VALUE"""),"要確認")</f>
        <v>要確認</v>
      </c>
      <c r="G12" s="4">
        <f>IFERROR(__xludf.DUMMYFUNCTION("""COMPUTED_VALUE"""),46113.0)</f>
        <v>46113</v>
      </c>
      <c r="H12" s="4"/>
      <c r="I12" s="4" t="str">
        <f>IFERROR(__xludf.DUMMYFUNCTION("""COMPUTED_VALUE"""),"三井住友海上関連の一致候補未発見。返戻や端数精算の可能性。")</f>
        <v>三井住友海上関連の一致候補未発見。返戻や端数精算の可能性。</v>
      </c>
    </row>
    <row r="13" ht="15.75" customHeight="1">
      <c r="A13" s="4">
        <f>IFERROR(__xludf.DUMMYFUNCTION("""COMPUTED_VALUE"""),46136.0)</f>
        <v>46136</v>
      </c>
      <c r="B13" s="4" t="str">
        <f>IFERROR(__xludf.DUMMYFUNCTION("""COMPUTED_VALUE"""),"該当なし ユ)アトリエ.ピユア")</f>
        <v>該当なし ユ)アトリエ.ピユア</v>
      </c>
      <c r="C13" s="4">
        <f>IFERROR(__xludf.DUMMYFUNCTION("""COMPUTED_VALUE"""),110000.0)</f>
        <v>110000</v>
      </c>
      <c r="D13" s="4"/>
      <c r="E13" s="4"/>
      <c r="F13" s="4" t="str">
        <f>IFERROR(__xludf.DUMMYFUNCTION("""COMPUTED_VALUE"""),"要確認")</f>
        <v>要確認</v>
      </c>
      <c r="G13" s="4">
        <f>IFERROR(__xludf.DUMMYFUNCTION("""COMPUTED_VALUE"""),46113.0)</f>
        <v>46113</v>
      </c>
      <c r="H13" s="4"/>
      <c r="I13" s="4" t="str">
        <f>IFERROR(__xludf.DUMMYFUNCTION("""COMPUTED_VALUE"""),"同日売掛金(有)ｱﾄﾘｴﾋﾟｭｱ様 ｸﾞﾚｶｰﾚ 110,000あり。名義揺れ候補。")</f>
        <v>同日売掛金(有)ｱﾄﾘｴﾋﾟｭｱ様 ｸﾞﾚｶｰﾚ 110,000あり。名義揺れ候補。</v>
      </c>
    </row>
    <row r="14" ht="15.75" customHeight="1">
      <c r="A14" s="4">
        <f>IFERROR(__xludf.DUMMYFUNCTION("""COMPUTED_VALUE"""),46136.0)</f>
        <v>46136</v>
      </c>
      <c r="B14" s="4" t="str">
        <f>IFERROR(__xludf.DUMMYFUNCTION("""COMPUTED_VALUE"""),"該当なし ド)ソーラーエナジー")</f>
        <v>該当なし ド)ソーラーエナジー</v>
      </c>
      <c r="C14" s="4">
        <f>IFERROR(__xludf.DUMMYFUNCTION("""COMPUTED_VALUE"""),7500000.0)</f>
        <v>7500000</v>
      </c>
      <c r="D14" s="4"/>
      <c r="E14" s="4"/>
      <c r="F14" s="4" t="str">
        <f>IFERROR(__xludf.DUMMYFUNCTION("""COMPUTED_VALUE"""),"要確認")</f>
        <v>要確認</v>
      </c>
      <c r="G14" s="4">
        <f>IFERROR(__xludf.DUMMYFUNCTION("""COMPUTED_VALUE"""),46113.0)</f>
        <v>46113</v>
      </c>
      <c r="H14" s="4"/>
      <c r="I14" s="4" t="str">
        <f>IFERROR(__xludf.DUMMYFUNCTION("""COMPUTED_VALUE"""),"名義対応表に合同会社ソーラーエナジー・ブリッジ系あり。関連案件確認。")</f>
        <v>名義対応表に合同会社ソーラーエナジー・ブリッジ系あり。関連案件確認。</v>
      </c>
    </row>
    <row r="15" ht="15.75" customHeight="1">
      <c r="A15" s="4">
        <f>IFERROR(__xludf.DUMMYFUNCTION("""COMPUTED_VALUE"""),46136.0)</f>
        <v>46136</v>
      </c>
      <c r="B15" s="4" t="str">
        <f>IFERROR(__xludf.DUMMYFUNCTION("""COMPUTED_VALUE"""),"該当なし ハシモトシヨウコ")</f>
        <v>該当なし ハシモトシヨウコ</v>
      </c>
      <c r="C15" s="4">
        <f>IFERROR(__xludf.DUMMYFUNCTION("""COMPUTED_VALUE"""),2545300.0)</f>
        <v>2545300</v>
      </c>
      <c r="D15" s="4"/>
      <c r="E15" s="4"/>
      <c r="F15" s="4" t="str">
        <f>IFERROR(__xludf.DUMMYFUNCTION("""COMPUTED_VALUE"""),"要確認")</f>
        <v>要確認</v>
      </c>
      <c r="G15" s="4">
        <f>IFERROR(__xludf.DUMMYFUNCTION("""COMPUTED_VALUE"""),46113.0)</f>
        <v>46113</v>
      </c>
      <c r="H15" s="4"/>
      <c r="I15" s="4" t="str">
        <f>IFERROR(__xludf.DUMMYFUNCTION("""COMPUTED_VALUE"""),"名義対応表の橋本祥子系を確認。ソーラーエナジー案件と関連の可能性。")</f>
        <v>名義対応表の橋本祥子系を確認。ソーラーエナジー案件と関連の可能性。</v>
      </c>
    </row>
    <row r="16" ht="15.75" customHeight="1">
      <c r="A16" s="4">
        <f>IFERROR(__xludf.DUMMYFUNCTION("""COMPUTED_VALUE"""),46136.0)</f>
        <v>46136</v>
      </c>
      <c r="B16" s="4" t="str">
        <f>IFERROR(__xludf.DUMMYFUNCTION("""COMPUTED_VALUE"""),"(株)ｻﾝｴｽ様　SB24522")</f>
        <v>(株)ｻﾝｴｽ様　SB24522</v>
      </c>
      <c r="C16" s="4" t="str">
        <f>IFERROR(__xludf.DUMMYFUNCTION("""COMPUTED_VALUE"""),"200,000")</f>
        <v>200,000</v>
      </c>
      <c r="D16" s="4" t="str">
        <f>IFERROR(__xludf.DUMMYFUNCTION("""COMPUTED_VALUE"""),"SB00024587")</f>
        <v>SB00024587</v>
      </c>
      <c r="E16" s="4" t="str">
        <f>IFERROR(__xludf.DUMMYFUNCTION("""COMPUTED_VALUE"""),"KK00001694")</f>
        <v>KK00001694</v>
      </c>
      <c r="F16" s="4" t="str">
        <f>IFERROR(__xludf.DUMMYFUNCTION("""COMPUTED_VALUE"""),"要確認")</f>
        <v>要確認</v>
      </c>
      <c r="G16" s="4">
        <f>IFERROR(__xludf.DUMMYFUNCTION("""COMPUTED_VALUE"""),46113.0)</f>
        <v>46113</v>
      </c>
      <c r="H16" s="4"/>
      <c r="I16" s="4" t="str">
        <f>IFERROR(__xludf.DUMMYFUNCTION("""COMPUTED_VALUE"""),"同日同額でSB00024587が自動消込済。重複取込か二重入金を確認。")</f>
        <v>同日同額でSB00024587が自動消込済。重複取込か二重入金を確認。</v>
      </c>
    </row>
    <row r="17" ht="15.75" customHeight="1">
      <c r="A17" s="4">
        <f>IFERROR(__xludf.DUMMYFUNCTION("""COMPUTED_VALUE"""),46136.0)</f>
        <v>46136</v>
      </c>
      <c r="B17" s="4" t="str">
        <f>IFERROR(__xludf.DUMMYFUNCTION("""COMPUTED_VALUE"""),"(有)ｱﾄﾘｴﾋﾟｭｱ様　ｸﾞﾚｶｰﾚ")</f>
        <v>(有)ｱﾄﾘｴﾋﾟｭｱ様　ｸﾞﾚｶｰﾚ</v>
      </c>
      <c r="C17" s="4" t="str">
        <f>IFERROR(__xludf.DUMMYFUNCTION("""COMPUTED_VALUE"""),"110,000")</f>
        <v>110,000</v>
      </c>
      <c r="D17" s="4" t="str">
        <f>IFERROR(__xludf.DUMMYFUNCTION("""COMPUTED_VALUE"""),"")</f>
        <v/>
      </c>
      <c r="E17" s="4" t="str">
        <f>IFERROR(__xludf.DUMMYFUNCTION("""COMPUTED_VALUE"""),"")</f>
        <v/>
      </c>
      <c r="F17" s="4" t="str">
        <f>IFERROR(__xludf.DUMMYFUNCTION("""COMPUTED_VALUE"""),"要確認")</f>
        <v>要確認</v>
      </c>
      <c r="G17" s="4">
        <f>IFERROR(__xludf.DUMMYFUNCTION("""COMPUTED_VALUE"""),46113.0)</f>
        <v>46113</v>
      </c>
      <c r="H17" s="4"/>
      <c r="I17" s="4" t="str">
        <f>IFERROR(__xludf.DUMMYFUNCTION("""COMPUTED_VALUE"""),"上記 諸口110,000と同額。同一入金の名義揺れ候補。")</f>
        <v>上記 諸口110,000と同額。同一入金の名義揺れ候補。</v>
      </c>
    </row>
    <row r="18" ht="15.75" customHeight="1">
      <c r="A18" s="4">
        <f>IFERROR(__xludf.DUMMYFUNCTION("""COMPUTED_VALUE"""),46149.0)</f>
        <v>46149</v>
      </c>
      <c r="B18" s="4" t="str">
        <f>IFERROR(__xludf.DUMMYFUNCTION("""COMPUTED_VALUE"""),"金森洋人様　SB24585")</f>
        <v>金森洋人様　SB24585</v>
      </c>
      <c r="C18" s="4">
        <f>IFERROR(__xludf.DUMMYFUNCTION("""COMPUTED_VALUE"""),58400.0)</f>
        <v>58400</v>
      </c>
      <c r="D18" s="4"/>
      <c r="E18" s="4"/>
      <c r="F18" s="4" t="str">
        <f>IFERROR(__xludf.DUMMYFUNCTION("""COMPUTED_VALUE"""),"要確認")</f>
        <v>要確認</v>
      </c>
      <c r="G18" s="4">
        <f>IFERROR(__xludf.DUMMYFUNCTION("""COMPUTED_VALUE"""),46143.0)</f>
        <v>46143</v>
      </c>
      <c r="H18" s="4" t="str">
        <f>IFERROR(__xludf.DUMMYFUNCTION("""COMPUTED_VALUE"""),"20260508.2hori .xlsx.csv")</f>
        <v>20260508.2hori .xlsx.csv</v>
      </c>
      <c r="I18" s="4" t="str">
        <f>IFERROR(__xludf.DUMMYFUNCTION("""COMPUTED_VALUE"""),"SB00024585 は案件リスト未登録。案件CSVの追加入力または番号記載漏れを確認。")</f>
        <v>SB00024585 は案件リスト未登録。案件CSVの追加入力または番号記載漏れを確認。</v>
      </c>
    </row>
    <row r="19" ht="15.75" customHeight="1">
      <c r="A19" s="4">
        <f>IFERROR(__xludf.DUMMYFUNCTION("""COMPUTED_VALUE"""),46150.0)</f>
        <v>46150</v>
      </c>
      <c r="B19" s="4" t="str">
        <f>IFERROR(__xludf.DUMMYFUNCTION("""COMPUTED_VALUE"""),"大中誠二様　SB24593")</f>
        <v>大中誠二様　SB24593</v>
      </c>
      <c r="C19" s="4">
        <f>IFERROR(__xludf.DUMMYFUNCTION("""COMPUTED_VALUE"""),93260.0)</f>
        <v>93260</v>
      </c>
      <c r="D19" s="4"/>
      <c r="E19" s="4"/>
      <c r="F19" s="4" t="str">
        <f>IFERROR(__xludf.DUMMYFUNCTION("""COMPUTED_VALUE"""),"要確認")</f>
        <v>要確認</v>
      </c>
      <c r="G19" s="4">
        <f>IFERROR(__xludf.DUMMYFUNCTION("""COMPUTED_VALUE"""),46143.0)</f>
        <v>46143</v>
      </c>
      <c r="H19" s="4" t="str">
        <f>IFERROR(__xludf.DUMMYFUNCTION("""COMPUTED_VALUE"""),"20260508.2hori .xlsx.csv")</f>
        <v>20260508.2hori .xlsx.csv</v>
      </c>
      <c r="I19" s="4" t="str">
        <f>IFERROR(__xludf.DUMMYFUNCTION("""COMPUTED_VALUE"""),"SB00024593 は案件リスト未登録。案件CSVの追加入力または番号記載漏れを確認。")</f>
        <v>SB00024593 は案件リスト未登録。案件CSVの追加入力または番号記載漏れを確認。</v>
      </c>
    </row>
    <row r="20" ht="15.75" customHeight="1">
      <c r="A20" s="4">
        <f>IFERROR(__xludf.DUMMYFUNCTION("""COMPUTED_VALUE"""),46149.0)</f>
        <v>46149</v>
      </c>
      <c r="B20" s="4" t="str">
        <f>IFERROR(__xludf.DUMMYFUNCTION("""COMPUTED_VALUE"""),"該当なし 振込1 オリコ")</f>
        <v>該当なし 振込1 オリコ</v>
      </c>
      <c r="C20" s="4">
        <f>IFERROR(__xludf.DUMMYFUNCTION("""COMPUTED_VALUE"""),8265500.0)</f>
        <v>8265500</v>
      </c>
      <c r="D20" s="4"/>
      <c r="E20" s="4"/>
      <c r="F20" s="4" t="str">
        <f>IFERROR(__xludf.DUMMYFUNCTION("""COMPUTED_VALUE"""),"要確認")</f>
        <v>要確認</v>
      </c>
      <c r="G20" s="4">
        <f>IFERROR(__xludf.DUMMYFUNCTION("""COMPUTED_VALUE"""),46143.0)</f>
        <v>46143</v>
      </c>
      <c r="H20" s="4" t="str">
        <f>IFERROR(__xludf.DUMMYFUNCTION("""COMPUTED_VALUE"""),"20260508.1hori .xlsx.csv")</f>
        <v>20260508.1hori .xlsx.csv</v>
      </c>
      <c r="I20" s="4" t="str">
        <f>IFERROR(__xludf.DUMMYFUNCTION("""COMPUTED_VALUE"""),"オリコ集約入金。クレカ・現金側の締め期間で確認。")</f>
        <v>オリコ集約入金。クレカ・現金側の締め期間で確認。</v>
      </c>
    </row>
    <row r="21" ht="15.75" customHeight="1">
      <c r="A21" s="4">
        <f>IFERROR(__xludf.DUMMYFUNCTION("""COMPUTED_VALUE"""),46140.0)</f>
        <v>46140</v>
      </c>
      <c r="B21" s="4" t="str">
        <f>IFERROR(__xludf.DUMMYFUNCTION("""COMPUTED_VALUE"""),"映ｸﾗ㈱様　CH3844")</f>
        <v>映ｸﾗ㈱様　CH3844</v>
      </c>
      <c r="C21" s="4">
        <f>IFERROR(__xludf.DUMMYFUNCTION("""COMPUTED_VALUE"""),1100000.0)</f>
        <v>1100000</v>
      </c>
      <c r="D21" s="4"/>
      <c r="E21" s="4"/>
      <c r="F21" s="4" t="str">
        <f>IFERROR(__xludf.DUMMYFUNCTION("""COMPUTED_VALUE"""),"要確認")</f>
        <v>要確認</v>
      </c>
      <c r="G21" s="4">
        <f>IFERROR(__xludf.DUMMYFUNCTION("""COMPUTED_VALUE"""),46113.0)</f>
        <v>46113</v>
      </c>
      <c r="H21" s="4" t="str">
        <f>IFERROR(__xludf.DUMMYFUNCTION("""COMPUTED_VALUE"""),"20260430.2hori .xlsx.csv")</f>
        <v>20260430.2hori .xlsx.csv</v>
      </c>
      <c r="I21" s="4" t="str">
        <f>IFERROR(__xludf.DUMMYFUNCTION("""COMPUTED_VALUE"""),"CH00003844 候補だが案件リスト未登録。請求書発行または案件ソースを確認。")</f>
        <v>CH00003844 候補だが案件リスト未登録。請求書発行または案件ソースを確認。</v>
      </c>
    </row>
    <row r="22" ht="15.75" customHeight="1">
      <c r="A22" s="4">
        <f>IFERROR(__xludf.DUMMYFUNCTION("""COMPUTED_VALUE"""),46140.0)</f>
        <v>46140</v>
      </c>
      <c r="B22" s="4" t="str">
        <f>IFERROR(__xludf.DUMMYFUNCTION("""COMPUTED_VALUE"""),"該当なし ミツイスミトモカイジヨウB")</f>
        <v>該当なし ミツイスミトモカイジヨウB</v>
      </c>
      <c r="C22" s="4">
        <f>IFERROR(__xludf.DUMMYFUNCTION("""COMPUTED_VALUE"""),100000.0)</f>
        <v>100000</v>
      </c>
      <c r="D22" s="4"/>
      <c r="E22" s="4"/>
      <c r="F22" s="4" t="str">
        <f>IFERROR(__xludf.DUMMYFUNCTION("""COMPUTED_VALUE"""),"要確認")</f>
        <v>要確認</v>
      </c>
      <c r="G22" s="4">
        <f>IFERROR(__xludf.DUMMYFUNCTION("""COMPUTED_VALUE"""),46113.0)</f>
        <v>46113</v>
      </c>
      <c r="H22" s="4" t="str">
        <f>IFERROR(__xludf.DUMMYFUNCTION("""COMPUTED_VALUE"""),"20260430.2hori .xlsx.csv")</f>
        <v>20260430.2hori .xlsx.csv</v>
      </c>
      <c r="I22" s="4" t="str">
        <f>IFERROR(__xludf.DUMMYFUNCTION("""COMPUTED_VALUE"""),"保険会社系の入金候補。請求書発行・保険請求案件を確認。")</f>
        <v>保険会社系の入金候補。請求書発行・保険請求案件を確認。</v>
      </c>
    </row>
    <row r="23" ht="15.75" customHeight="1">
      <c r="A23" s="4">
        <f>IFERROR(__xludf.DUMMYFUNCTION("""COMPUTED_VALUE"""),46142.0)</f>
        <v>46142</v>
      </c>
      <c r="B23" s="4" t="str">
        <f>IFERROR(__xludf.DUMMYFUNCTION("""COMPUTED_VALUE"""),"㈱ｾﾞﾈｺｽ様　SB24529")</f>
        <v>㈱ｾﾞﾈｺｽ様　SB24529</v>
      </c>
      <c r="C23" s="4">
        <f>IFERROR(__xludf.DUMMYFUNCTION("""COMPUTED_VALUE"""),282690.0)</f>
        <v>282690</v>
      </c>
      <c r="D23" s="4"/>
      <c r="E23" s="4"/>
      <c r="F23" s="4" t="str">
        <f>IFERROR(__xludf.DUMMYFUNCTION("""COMPUTED_VALUE"""),"要確認")</f>
        <v>要確認</v>
      </c>
      <c r="G23" s="4">
        <f>IFERROR(__xludf.DUMMYFUNCTION("""COMPUTED_VALUE"""),46113.0)</f>
        <v>46113</v>
      </c>
      <c r="H23" s="4" t="str">
        <f>IFERROR(__xludf.DUMMYFUNCTION("""COMPUTED_VALUE"""),"20260430.2hori .xlsx.csv")</f>
        <v>20260430.2hori .xlsx.csv</v>
      </c>
      <c r="I23" s="4" t="str">
        <f>IFERROR(__xludf.DUMMYFUNCTION("""COMPUTED_VALUE"""),"案件リスト上に SB00024529 が存在せず、live では別案件番号の可能性。案件ソースを確認。")</f>
        <v>案件リスト上に SB00024529 が存在せず、live では別案件番号の可能性。案件ソースを確認。</v>
      </c>
    </row>
    <row r="24" ht="15.75" customHeight="1">
      <c r="A24" s="4">
        <f>IFERROR(__xludf.DUMMYFUNCTION("""COMPUTED_VALUE"""),46142.0)</f>
        <v>46142</v>
      </c>
      <c r="B24" s="4" t="str">
        <f>IFERROR(__xludf.DUMMYFUNCTION("""COMPUTED_VALUE"""),"㈱はなまる様　CH3839")</f>
        <v>㈱はなまる様　CH3839</v>
      </c>
      <c r="C24" s="4">
        <f>IFERROR(__xludf.DUMMYFUNCTION("""COMPUTED_VALUE"""),842430.0)</f>
        <v>842430</v>
      </c>
      <c r="D24" s="4"/>
      <c r="E24" s="4"/>
      <c r="F24" s="4" t="str">
        <f>IFERROR(__xludf.DUMMYFUNCTION("""COMPUTED_VALUE"""),"要確認")</f>
        <v>要確認</v>
      </c>
      <c r="G24" s="4">
        <f>IFERROR(__xludf.DUMMYFUNCTION("""COMPUTED_VALUE"""),46113.0)</f>
        <v>46113</v>
      </c>
      <c r="H24" s="4" t="str">
        <f>IFERROR(__xludf.DUMMYFUNCTION("""COMPUTED_VALUE"""),"20260430.2hori .xlsx.csv")</f>
        <v>20260430.2hori .xlsx.csv</v>
      </c>
      <c r="I24" s="4" t="str">
        <f>IFERROR(__xludf.DUMMYFUNCTION("""COMPUTED_VALUE"""),"CH00003839 候補だが案件リスト未登録。請求書発行または案件ソースを確認。")</f>
        <v>CH00003839 候補だが案件リスト未登録。請求書発行または案件ソースを確認。</v>
      </c>
    </row>
    <row r="25" ht="15.75" customHeight="1">
      <c r="A25" s="4">
        <f>IFERROR(__xludf.DUMMYFUNCTION("""COMPUTED_VALUE"""),46142.0)</f>
        <v>46142</v>
      </c>
      <c r="B25" s="4" t="str">
        <f>IFERROR(__xludf.DUMMYFUNCTION("""COMPUTED_VALUE"""),"㈱水島設備様　SB24556")</f>
        <v>㈱水島設備様　SB24556</v>
      </c>
      <c r="C25" s="4">
        <f>IFERROR(__xludf.DUMMYFUNCTION("""COMPUTED_VALUE"""),188100.0)</f>
        <v>188100</v>
      </c>
      <c r="D25" s="4"/>
      <c r="E25" s="4"/>
      <c r="F25" s="4" t="str">
        <f>IFERROR(__xludf.DUMMYFUNCTION("""COMPUTED_VALUE"""),"要確認")</f>
        <v>要確認</v>
      </c>
      <c r="G25" s="4">
        <f>IFERROR(__xludf.DUMMYFUNCTION("""COMPUTED_VALUE"""),46113.0)</f>
        <v>46113</v>
      </c>
      <c r="H25" s="4" t="str">
        <f>IFERROR(__xludf.DUMMYFUNCTION("""COMPUTED_VALUE"""),"20260430.2hori .xlsx.csv")</f>
        <v>20260430.2hori .xlsx.csv</v>
      </c>
      <c r="I25" s="4" t="str">
        <f>IFERROR(__xludf.DUMMYFUNCTION("""COMPUTED_VALUE"""),"SB00024556 は案件リスト未登録。案件CSVの追加入力または番号記載漏れを確認。")</f>
        <v>SB00024556 は案件リスト未登録。案件CSVの追加入力または番号記載漏れを確認。</v>
      </c>
    </row>
    <row r="26" ht="15.75" customHeight="1">
      <c r="A26" s="4">
        <f>IFERROR(__xludf.DUMMYFUNCTION("""COMPUTED_VALUE"""),46142.0)</f>
        <v>46142</v>
      </c>
      <c r="B26" s="4" t="str">
        <f>IFERROR(__xludf.DUMMYFUNCTION("""COMPUTED_VALUE"""),"該当なし チユウギンカードVIS")</f>
        <v>該当なし チユウギンカードVIS</v>
      </c>
      <c r="C26" s="4">
        <f>IFERROR(__xludf.DUMMYFUNCTION("""COMPUTED_VALUE"""),296214.0)</f>
        <v>296214</v>
      </c>
      <c r="D26" s="4"/>
      <c r="E26" s="4"/>
      <c r="F26" s="4" t="str">
        <f>IFERROR(__xludf.DUMMYFUNCTION("""COMPUTED_VALUE"""),"要確認")</f>
        <v>要確認</v>
      </c>
      <c r="G26" s="4">
        <f>IFERROR(__xludf.DUMMYFUNCTION("""COMPUTED_VALUE"""),46113.0)</f>
        <v>46113</v>
      </c>
      <c r="H26" s="4" t="str">
        <f>IFERROR(__xludf.DUMMYFUNCTION("""COMPUTED_VALUE"""),"20260430.1hori .xlsx.csv")</f>
        <v>20260430.1hori .xlsx.csv</v>
      </c>
      <c r="I26" s="4" t="str">
        <f>IFERROR(__xludf.DUMMYFUNCTION("""COMPUTED_VALUE"""),"VISA集約入金。クレカ・現金側のVISA締め期間で確認。")</f>
        <v>VISA集約入金。クレカ・現金側のVISA締め期間で確認。</v>
      </c>
    </row>
    <row r="27" ht="15.75" customHeight="1">
      <c r="A27" s="4">
        <f>IFERROR(__xludf.DUMMYFUNCTION("""COMPUTED_VALUE"""),46142.0)</f>
        <v>46142</v>
      </c>
      <c r="B27" s="4" t="str">
        <f>IFERROR(__xludf.DUMMYFUNCTION("""COMPUTED_VALUE"""),"該当なし チユウギンカードJCB")</f>
        <v>該当なし チユウギンカードJCB</v>
      </c>
      <c r="C27" s="4">
        <f>IFERROR(__xludf.DUMMYFUNCTION("""COMPUTED_VALUE"""),269946.0)</f>
        <v>269946</v>
      </c>
      <c r="D27" s="4"/>
      <c r="E27" s="4"/>
      <c r="F27" s="4" t="str">
        <f>IFERROR(__xludf.DUMMYFUNCTION("""COMPUTED_VALUE"""),"要確認")</f>
        <v>要確認</v>
      </c>
      <c r="G27" s="4">
        <f>IFERROR(__xludf.DUMMYFUNCTION("""COMPUTED_VALUE"""),46113.0)</f>
        <v>46113</v>
      </c>
      <c r="H27" s="4" t="str">
        <f>IFERROR(__xludf.DUMMYFUNCTION("""COMPUTED_VALUE"""),"20260430.1hori .xlsx.csv")</f>
        <v>20260430.1hori .xlsx.csv</v>
      </c>
      <c r="I27" s="4" t="str">
        <f>IFERROR(__xludf.DUMMYFUNCTION("""COMPUTED_VALUE"""),"JCB集約入金。クレカ・現金側のJCB締め期間で確認。")</f>
        <v>JCB集約入金。クレカ・現金側のJCB締め期間で確認。</v>
      </c>
    </row>
    <row r="28" ht="15.75" customHeight="1">
      <c r="A28" s="4">
        <f>IFERROR(__xludf.DUMMYFUNCTION("""COMPUTED_VALUE"""),46142.0)</f>
        <v>46142</v>
      </c>
      <c r="B28" s="4" t="str">
        <f>IFERROR(__xludf.DUMMYFUNCTION("""COMPUTED_VALUE"""),"㈱橋本商事　(㈱A’crews)")</f>
        <v>㈱橋本商事　(㈱A’crews)</v>
      </c>
      <c r="C28" s="4">
        <f>IFERROR(__xludf.DUMMYFUNCTION("""COMPUTED_VALUE"""),150000.0)</f>
        <v>150000</v>
      </c>
      <c r="D28" s="4"/>
      <c r="E28" s="4"/>
      <c r="F28" s="4" t="str">
        <f>IFERROR(__xludf.DUMMYFUNCTION("""COMPUTED_VALUE"""),"要確認")</f>
        <v>要確認</v>
      </c>
      <c r="G28" s="4">
        <f>IFERROR(__xludf.DUMMYFUNCTION("""COMPUTED_VALUE"""),46113.0)</f>
        <v>46113</v>
      </c>
      <c r="H28" s="4" t="str">
        <f>IFERROR(__xludf.DUMMYFUNCTION("""COMPUTED_VALUE"""),"20260430.1hori .xlsx.csv")</f>
        <v>20260430.1hori .xlsx.csv</v>
      </c>
      <c r="I28" s="4" t="str">
        <f>IFERROR(__xludf.DUMMYFUNCTION("""COMPUTED_VALUE"""),"既存同摘要の入金履歴あり。重複入金か別案件か確認。")</f>
        <v>既存同摘要の入金履歴あり。重複入金か別案件か確認。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2:F1000">
    <cfRule type="cellIs" dxfId="16" priority="1" stopIfTrue="1" operator="equal">
      <formula>"要確認"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C98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8" width="18.88"/>
  </cols>
  <sheetData>
    <row r="1" ht="15.75" customHeight="1">
      <c r="A1" s="71" t="str">
        <f>IFERROR(__xludf.DUMMYFUNCTION("{""日付"",""摘要"",""金額"",""業務No"",""顧客No"",""ステータス"",""入金月"",""取込ファイル"";IFERROR(FILTER({'銀行データチェック用'!A2:A1200,'銀行データチェック用'!C2:C1200,'銀行データチェック用'!D2:D1200,'銀行データチェック用'!E2:E1200,'銀行データチェック用'!F2:F1200,'銀行データチェック用'!G2:G1200,'銀行データチェック用'!H2:H1200,'銀行データチェック用'!S2:"&amp;"S1200},REGEXMATCH('銀行データチェック用'!G2:G1200,""^(自動消込|手動消込|補正適用)$"")),{"""","""","""","""","""","""","""",""""})}"),"日付")</f>
        <v>日付</v>
      </c>
      <c r="B1" s="71" t="str">
        <f>IFERROR(__xludf.DUMMYFUNCTION("""COMPUTED_VALUE"""),"摘要")</f>
        <v>摘要</v>
      </c>
      <c r="C1" s="71" t="str">
        <f>IFERROR(__xludf.DUMMYFUNCTION("""COMPUTED_VALUE"""),"金額")</f>
        <v>金額</v>
      </c>
      <c r="D1" s="71" t="str">
        <f>IFERROR(__xludf.DUMMYFUNCTION("""COMPUTED_VALUE"""),"業務No")</f>
        <v>業務No</v>
      </c>
      <c r="E1" s="71" t="str">
        <f>IFERROR(__xludf.DUMMYFUNCTION("""COMPUTED_VALUE"""),"顧客No")</f>
        <v>顧客No</v>
      </c>
      <c r="F1" s="71" t="str">
        <f>IFERROR(__xludf.DUMMYFUNCTION("""COMPUTED_VALUE"""),"ステータス")</f>
        <v>ステータス</v>
      </c>
      <c r="G1" s="71" t="str">
        <f>IFERROR(__xludf.DUMMYFUNCTION("""COMPUTED_VALUE"""),"入金月")</f>
        <v>入金月</v>
      </c>
      <c r="H1" s="71" t="str">
        <f>IFERROR(__xludf.DUMMYFUNCTION("""COMPUTED_VALUE"""),"取込ファイル")</f>
        <v>取込ファイル</v>
      </c>
    </row>
    <row r="2" ht="15.75" customHeight="1">
      <c r="A2" s="4">
        <f>IFERROR(__xludf.DUMMYFUNCTION("""COMPUTED_VALUE"""),46084.0)</f>
        <v>46084</v>
      </c>
      <c r="B2" s="4" t="str">
        <f>IFERROR(__xludf.DUMMYFUNCTION("""COMPUTED_VALUE"""),"齋藤誠様　ﾍﾞﾝﾄﾚｰｺﾝﾁﾈﾝﾀﾙ　AzureV8  PC006754")</f>
        <v>齋藤誠様　ﾍﾞﾝﾄﾚｰｺﾝﾁﾈﾝﾀﾙ　AzureV8  PC006754</v>
      </c>
      <c r="C2" s="4">
        <f>IFERROR(__xludf.DUMMYFUNCTION("""COMPUTED_VALUE"""),8000000.0)</f>
        <v>8000000</v>
      </c>
      <c r="D2" s="4"/>
      <c r="E2" s="4"/>
      <c r="F2" s="4" t="str">
        <f>IFERROR(__xludf.DUMMYFUNCTION("""COMPUTED_VALUE"""),"自動消込")</f>
        <v>自動消込</v>
      </c>
      <c r="G2" s="4">
        <f>IFERROR(__xludf.DUMMYFUNCTION("""COMPUTED_VALUE"""),46082.0)</f>
        <v>46082</v>
      </c>
      <c r="H2" s="4"/>
    </row>
    <row r="3" ht="15.75" customHeight="1">
      <c r="A3" s="4">
        <f>IFERROR(__xludf.DUMMYFUNCTION("""COMPUTED_VALUE"""),46090.0)</f>
        <v>46090</v>
      </c>
      <c r="B3" s="4" t="str">
        <f>IFERROR(__xludf.DUMMYFUNCTION("""COMPUTED_VALUE"""),"該当なし カ)ブリツジ")</f>
        <v>該当なし カ)ブリツジ</v>
      </c>
      <c r="C3" s="4">
        <f>IFERROR(__xludf.DUMMYFUNCTION("""COMPUTED_VALUE"""),3000000.0)</f>
        <v>3000000</v>
      </c>
      <c r="D3" s="4"/>
      <c r="E3" s="4"/>
      <c r="F3" s="4" t="str">
        <f>IFERROR(__xludf.DUMMYFUNCTION("""COMPUTED_VALUE"""),"自動消込")</f>
        <v>自動消込</v>
      </c>
      <c r="G3" s="4">
        <f>IFERROR(__xludf.DUMMYFUNCTION("""COMPUTED_VALUE"""),46082.0)</f>
        <v>46082</v>
      </c>
      <c r="H3" s="4"/>
    </row>
    <row r="4" ht="15.75" customHeight="1">
      <c r="A4" s="4">
        <f>IFERROR(__xludf.DUMMYFUNCTION("""COMPUTED_VALUE"""),46091.0)</f>
        <v>46091</v>
      </c>
      <c r="B4" s="4" t="str">
        <f>IFERROR(__xludf.DUMMYFUNCTION("""COMPUTED_VALUE"""),"(株)橋本商事　((株)A’crews)")</f>
        <v>(株)橋本商事　((株)A’crews)</v>
      </c>
      <c r="C4" s="4">
        <f>IFERROR(__xludf.DUMMYFUNCTION("""COMPUTED_VALUE"""),150000.0)</f>
        <v>150000</v>
      </c>
      <c r="D4" s="4"/>
      <c r="E4" s="4"/>
      <c r="F4" s="4" t="str">
        <f>IFERROR(__xludf.DUMMYFUNCTION("""COMPUTED_VALUE"""),"自動消込")</f>
        <v>自動消込</v>
      </c>
      <c r="G4" s="4">
        <f>IFERROR(__xludf.DUMMYFUNCTION("""COMPUTED_VALUE"""),46082.0)</f>
        <v>46082</v>
      </c>
      <c r="H4" s="4"/>
    </row>
    <row r="5" ht="15.75" customHeight="1">
      <c r="A5" s="4">
        <f>IFERROR(__xludf.DUMMYFUNCTION("""COMPUTED_VALUE"""),46093.0)</f>
        <v>46093</v>
      </c>
      <c r="B5" s="4" t="str">
        <f>IFERROR(__xludf.DUMMYFUNCTION("""COMPUTED_VALUE"""),"(株)ｶｰｽﾞﾄﾞﾛｯﾌﾟｲﾝ　MB/Gｸﾗｽ.W1N4653102X006860")</f>
        <v>(株)ｶｰｽﾞﾄﾞﾛｯﾌﾟｲﾝ　MB/Gｸﾗｽ.W1N4653102X006860</v>
      </c>
      <c r="C5" s="4">
        <f>IFERROR(__xludf.DUMMYFUNCTION("""COMPUTED_VALUE"""),401860.0)</f>
        <v>401860</v>
      </c>
      <c r="D5" s="4"/>
      <c r="E5" s="4"/>
      <c r="F5" s="4" t="str">
        <f>IFERROR(__xludf.DUMMYFUNCTION("""COMPUTED_VALUE"""),"自動消込")</f>
        <v>自動消込</v>
      </c>
      <c r="G5" s="4">
        <f>IFERROR(__xludf.DUMMYFUNCTION("""COMPUTED_VALUE"""),46082.0)</f>
        <v>46082</v>
      </c>
      <c r="H5" s="4"/>
    </row>
    <row r="6" ht="15.75" customHeight="1">
      <c r="A6" s="4">
        <f>IFERROR(__xludf.DUMMYFUNCTION("""COMPUTED_VALUE"""),46097.0)</f>
        <v>46097</v>
      </c>
      <c r="B6" s="4" t="str">
        <f>IFERROR(__xludf.DUMMYFUNCTION("""COMPUTED_VALUE"""),"中銀ｶｰﾄﾞ　JCB　(株)アクセ　高垣圭一朗様　SB24431")</f>
        <v>中銀ｶｰﾄﾞ　JCB　(株)アクセ　高垣圭一朗様　SB24431</v>
      </c>
      <c r="C6" s="4">
        <f>IFERROR(__xludf.DUMMYFUNCTION("""COMPUTED_VALUE"""),380712.0)</f>
        <v>380712</v>
      </c>
      <c r="D6" s="4" t="str">
        <f>IFERROR(__xludf.DUMMYFUNCTION("""COMPUTED_VALUE"""),"SB00024431")</f>
        <v>SB00024431</v>
      </c>
      <c r="E6" s="4" t="str">
        <f>IFERROR(__xludf.DUMMYFUNCTION("""COMPUTED_VALUE"""),"KK00001711")</f>
        <v>KK00001711</v>
      </c>
      <c r="F6" s="4" t="str">
        <f>IFERROR(__xludf.DUMMYFUNCTION("""COMPUTED_VALUE"""),"自動消込")</f>
        <v>自動消込</v>
      </c>
      <c r="G6" s="4">
        <f>IFERROR(__xludf.DUMMYFUNCTION("""COMPUTED_VALUE"""),46082.0)</f>
        <v>46082</v>
      </c>
      <c r="H6" s="4"/>
    </row>
    <row r="7" ht="15.75" customHeight="1">
      <c r="A7" s="4">
        <f>IFERROR(__xludf.DUMMYFUNCTION("""COMPUTED_VALUE"""),46097.0)</f>
        <v>46097</v>
      </c>
      <c r="B7" s="4" t="str">
        <f>IFERROR(__xludf.DUMMYFUNCTION("""COMPUTED_VALUE"""),"中銀ｶｰﾄﾞ　VISA")</f>
        <v>中銀ｶｰﾄﾞ　VISA</v>
      </c>
      <c r="C7" s="4">
        <f>IFERROR(__xludf.DUMMYFUNCTION("""COMPUTED_VALUE"""),117612.0)</f>
        <v>117612</v>
      </c>
      <c r="D7" s="4"/>
      <c r="E7" s="4"/>
      <c r="F7" s="4" t="str">
        <f>IFERROR(__xludf.DUMMYFUNCTION("""COMPUTED_VALUE"""),"自動消込")</f>
        <v>自動消込</v>
      </c>
      <c r="G7" s="4">
        <f>IFERROR(__xludf.DUMMYFUNCTION("""COMPUTED_VALUE"""),46082.0)</f>
        <v>46082</v>
      </c>
      <c r="H7" s="4"/>
    </row>
    <row r="8" ht="15.75" customHeight="1">
      <c r="A8" s="4">
        <f>IFERROR(__xludf.DUMMYFUNCTION("""COMPUTED_VALUE"""),46099.0)</f>
        <v>46099</v>
      </c>
      <c r="B8" s="4" t="str">
        <f>IFERROR(__xludf.DUMMYFUNCTION("""COMPUTED_VALUE"""),"ﾌﾟﾚﾐｱ㈱斎藤誠様　ﾍﾞﾝﾄﾚｰｺﾝﾁﾈﾝﾀﾙ　3PC006754")</f>
        <v>ﾌﾟﾚﾐｱ㈱斎藤誠様　ﾍﾞﾝﾄﾚｰｺﾝﾁﾈﾝﾀﾙ　3PC006754</v>
      </c>
      <c r="C8" s="4">
        <f>IFERROR(__xludf.DUMMYFUNCTION("""COMPUTED_VALUE"""),9283350.0)</f>
        <v>9283350</v>
      </c>
      <c r="D8" s="4"/>
      <c r="E8" s="4"/>
      <c r="F8" s="4" t="str">
        <f>IFERROR(__xludf.DUMMYFUNCTION("""COMPUTED_VALUE"""),"自動消込")</f>
        <v>自動消込</v>
      </c>
      <c r="G8" s="4">
        <f>IFERROR(__xludf.DUMMYFUNCTION("""COMPUTED_VALUE"""),46082.0)</f>
        <v>46082</v>
      </c>
      <c r="H8" s="4"/>
    </row>
    <row r="9" ht="15.75" customHeight="1">
      <c r="A9" s="4">
        <f>IFERROR(__xludf.DUMMYFUNCTION("""COMPUTED_VALUE"""),46105.0)</f>
        <v>46105</v>
      </c>
      <c r="B9" s="4" t="str">
        <f>IFERROR(__xludf.DUMMYFUNCTION("""COMPUTED_VALUE"""),"小俣英夫様　Grecale Trofeo")</f>
        <v>小俣英夫様　Grecale Trofeo</v>
      </c>
      <c r="C9" s="4">
        <f>IFERROR(__xludf.DUMMYFUNCTION("""COMPUTED_VALUE"""),9882700.0)</f>
        <v>9882700</v>
      </c>
      <c r="D9" s="4"/>
      <c r="E9" s="4"/>
      <c r="F9" s="4" t="str">
        <f>IFERROR(__xludf.DUMMYFUNCTION("""COMPUTED_VALUE"""),"自動消込")</f>
        <v>自動消込</v>
      </c>
      <c r="G9" s="4">
        <f>IFERROR(__xludf.DUMMYFUNCTION("""COMPUTED_VALUE"""),46082.0)</f>
        <v>46082</v>
      </c>
      <c r="H9" s="4"/>
    </row>
    <row r="10" ht="15.75" customHeight="1">
      <c r="A10" s="4">
        <f>IFERROR(__xludf.DUMMYFUNCTION("""COMPUTED_VALUE"""),46112.0)</f>
        <v>46112</v>
      </c>
      <c r="B10" s="4" t="str">
        <f>IFERROR(__xludf.DUMMYFUNCTION("""COMPUTED_VALUE"""),"中銀ｶｰﾄﾞ　VISA")</f>
        <v>中銀ｶｰﾄﾞ　VISA</v>
      </c>
      <c r="C10" s="4">
        <f>IFERROR(__xludf.DUMMYFUNCTION("""COMPUTED_VALUE"""),508157.0)</f>
        <v>508157</v>
      </c>
      <c r="D10" s="4"/>
      <c r="E10" s="4"/>
      <c r="F10" s="4" t="str">
        <f>IFERROR(__xludf.DUMMYFUNCTION("""COMPUTED_VALUE"""),"自動消込")</f>
        <v>自動消込</v>
      </c>
      <c r="G10" s="4">
        <f>IFERROR(__xludf.DUMMYFUNCTION("""COMPUTED_VALUE"""),46082.0)</f>
        <v>46082</v>
      </c>
      <c r="H10" s="4"/>
    </row>
    <row r="11" ht="15.75" customHeight="1">
      <c r="A11" s="4">
        <f>IFERROR(__xludf.DUMMYFUNCTION("""COMPUTED_VALUE"""),46112.0)</f>
        <v>46112</v>
      </c>
      <c r="B11" s="4" t="str">
        <f>IFERROR(__xludf.DUMMYFUNCTION("""COMPUTED_VALUE"""),"(株)ｺﾝｸｴｽﾄ　2月分")</f>
        <v>(株)ｺﾝｸｴｽﾄ　2月分</v>
      </c>
      <c r="C11" s="4">
        <f>IFERROR(__xludf.DUMMYFUNCTION("""COMPUTED_VALUE"""),1457088.0)</f>
        <v>1457088</v>
      </c>
      <c r="D11" s="4"/>
      <c r="E11" s="4"/>
      <c r="F11" s="4" t="str">
        <f>IFERROR(__xludf.DUMMYFUNCTION("""COMPUTED_VALUE"""),"自動消込")</f>
        <v>自動消込</v>
      </c>
      <c r="G11" s="4">
        <f>IFERROR(__xludf.DUMMYFUNCTION("""COMPUTED_VALUE"""),46082.0)</f>
        <v>46082</v>
      </c>
      <c r="H11" s="4"/>
    </row>
    <row r="12" ht="15.75" customHeight="1">
      <c r="A12" s="4">
        <f>IFERROR(__xludf.DUMMYFUNCTION("""COMPUTED_VALUE"""),46112.0)</f>
        <v>46112</v>
      </c>
      <c r="B12" s="4" t="str">
        <f>IFERROR(__xludf.DUMMYFUNCTION("""COMPUTED_VALUE"""),"該当なし カ) コンクエスト")</f>
        <v>該当なし カ) コンクエスト</v>
      </c>
      <c r="C12" s="4">
        <f>IFERROR(__xludf.DUMMYFUNCTION("""COMPUTED_VALUE"""),1457088.0)</f>
        <v>1457088</v>
      </c>
      <c r="D12" s="4"/>
      <c r="E12" s="4"/>
      <c r="F12" s="4" t="str">
        <f>IFERROR(__xludf.DUMMYFUNCTION("""COMPUTED_VALUE"""),"自動消込")</f>
        <v>自動消込</v>
      </c>
      <c r="G12" s="4">
        <f>IFERROR(__xludf.DUMMYFUNCTION("""COMPUTED_VALUE"""),46082.0)</f>
        <v>46082</v>
      </c>
      <c r="H12" s="4"/>
    </row>
    <row r="13" ht="15.75" customHeight="1">
      <c r="A13" s="4">
        <f>IFERROR(__xludf.DUMMYFUNCTION("""COMPUTED_VALUE"""),46114.0)</f>
        <v>46114</v>
      </c>
      <c r="B13" s="4" t="str">
        <f>IFERROR(__xludf.DUMMYFUNCTION("""COMPUTED_VALUE"""),"(有)ユナイテッドクローパーズ様 SB24484")</f>
        <v>(有)ユナイテッドクローパーズ様 SB24484</v>
      </c>
      <c r="C13" s="4">
        <f>IFERROR(__xludf.DUMMYFUNCTION("""COMPUTED_VALUE"""),27280.0)</f>
        <v>27280</v>
      </c>
      <c r="D13" s="4" t="str">
        <f>IFERROR(__xludf.DUMMYFUNCTION("""COMPUTED_VALUE"""),"SB00024484")</f>
        <v>SB00024484</v>
      </c>
      <c r="E13" s="4" t="str">
        <f>IFERROR(__xludf.DUMMYFUNCTION("""COMPUTED_VALUE"""),"KK00003353")</f>
        <v>KK00003353</v>
      </c>
      <c r="F13" s="4" t="str">
        <f>IFERROR(__xludf.DUMMYFUNCTION("""COMPUTED_VALUE"""),"自動消込")</f>
        <v>自動消込</v>
      </c>
      <c r="G13" s="4">
        <f>IFERROR(__xludf.DUMMYFUNCTION("""COMPUTED_VALUE"""),46113.0)</f>
        <v>46113</v>
      </c>
      <c r="H13" s="4"/>
    </row>
    <row r="14" ht="15.75" customHeight="1">
      <c r="A14" s="4">
        <f>IFERROR(__xludf.DUMMYFUNCTION("""COMPUTED_VALUE"""),46115.0)</f>
        <v>46115</v>
      </c>
      <c r="B14" s="4" t="str">
        <f>IFERROR(__xludf.DUMMYFUNCTION("""COMPUTED_VALUE"""),"該当なし トウキョウカイジョウニチド ウ 4322 (ジドウシャ、ジバイ)")</f>
        <v>該当なし トウキョウカイジョウニチド ウ 4322 (ジドウシャ、ジバイ)</v>
      </c>
      <c r="C14" s="4">
        <f>IFERROR(__xludf.DUMMYFUNCTION("""COMPUTED_VALUE"""),70000.0)</f>
        <v>70000</v>
      </c>
      <c r="D14" s="4" t="str">
        <f>IFERROR(__xludf.DUMMYFUNCTION("""COMPUTED_VALUE"""),"SB00024520")</f>
        <v>SB00024520</v>
      </c>
      <c r="E14" s="4" t="str">
        <f>IFERROR(__xludf.DUMMYFUNCTION("""COMPUTED_VALUE"""),"KK00006550")</f>
        <v>KK00006550</v>
      </c>
      <c r="F14" s="4" t="str">
        <f>IFERROR(__xludf.DUMMYFUNCTION("""COMPUTED_VALUE"""),"自動消込")</f>
        <v>自動消込</v>
      </c>
      <c r="G14" s="4">
        <f>IFERROR(__xludf.DUMMYFUNCTION("""COMPUTED_VALUE"""),46113.0)</f>
        <v>46113</v>
      </c>
      <c r="H14" s="4"/>
    </row>
    <row r="15" ht="15.75" customHeight="1">
      <c r="A15" s="4">
        <f>IFERROR(__xludf.DUMMYFUNCTION("""COMPUTED_VALUE"""),46115.0)</f>
        <v>46115</v>
      </c>
      <c r="B15" s="4" t="str">
        <f>IFERROR(__xludf.DUMMYFUNCTION("""COMPUTED_VALUE"""),"該当なし エクラ(カ")</f>
        <v>該当なし エクラ(カ</v>
      </c>
      <c r="C15" s="4">
        <f>IFERROR(__xludf.DUMMYFUNCTION("""COMPUTED_VALUE"""),1550000.0)</f>
        <v>1550000</v>
      </c>
      <c r="D15" s="4"/>
      <c r="E15" s="4"/>
      <c r="F15" s="4" t="str">
        <f>IFERROR(__xludf.DUMMYFUNCTION("""COMPUTED_VALUE"""),"自動消込")</f>
        <v>自動消込</v>
      </c>
      <c r="G15" s="4">
        <f>IFERROR(__xludf.DUMMYFUNCTION("""COMPUTED_VALUE"""),46113.0)</f>
        <v>46113</v>
      </c>
      <c r="H15" s="4"/>
    </row>
    <row r="16" ht="15.75" customHeight="1">
      <c r="A16" s="4">
        <f>IFERROR(__xludf.DUMMYFUNCTION("""COMPUTED_VALUE"""),46118.0)</f>
        <v>46118</v>
      </c>
      <c r="B16" s="4" t="str">
        <f>IFERROR(__xludf.DUMMYFUNCTION("""COMPUTED_VALUE"""),"安保雅文様 SB24521")</f>
        <v>安保雅文様 SB24521</v>
      </c>
      <c r="C16" s="4">
        <f>IFERROR(__xludf.DUMMYFUNCTION("""COMPUTED_VALUE"""),99000.0)</f>
        <v>99000</v>
      </c>
      <c r="D16" s="4" t="str">
        <f>IFERROR(__xludf.DUMMYFUNCTION("""COMPUTED_VALUE"""),"SB00024521")</f>
        <v>SB00024521</v>
      </c>
      <c r="E16" s="4" t="str">
        <f>IFERROR(__xludf.DUMMYFUNCTION("""COMPUTED_VALUE"""),"KK00006775")</f>
        <v>KK00006775</v>
      </c>
      <c r="F16" s="4" t="str">
        <f>IFERROR(__xludf.DUMMYFUNCTION("""COMPUTED_VALUE"""),"自動消込")</f>
        <v>自動消込</v>
      </c>
      <c r="G16" s="4">
        <f>IFERROR(__xludf.DUMMYFUNCTION("""COMPUTED_VALUE"""),46113.0)</f>
        <v>46113</v>
      </c>
      <c r="H16" s="4"/>
    </row>
    <row r="17" ht="15.75" customHeight="1">
      <c r="A17" s="4">
        <f>IFERROR(__xludf.DUMMYFUNCTION("""COMPUTED_VALUE"""),46120.0)</f>
        <v>46120</v>
      </c>
      <c r="B17" s="4" t="str">
        <f>IFERROR(__xludf.DUMMYFUNCTION("""COMPUTED_VALUE"""),"該当なし サンエイセキュユ(カ")</f>
        <v>該当なし サンエイセキュユ(カ</v>
      </c>
      <c r="C17" s="4">
        <f>IFERROR(__xludf.DUMMYFUNCTION("""COMPUTED_VALUE"""),302670.0)</f>
        <v>302670</v>
      </c>
      <c r="D17" s="4" t="str">
        <f>IFERROR(__xludf.DUMMYFUNCTION("""COMPUTED_VALUE"""),"SB00024507")</f>
        <v>SB00024507</v>
      </c>
      <c r="E17" s="4" t="str">
        <f>IFERROR(__xludf.DUMMYFUNCTION("""COMPUTED_VALUE"""),"KK00000241")</f>
        <v>KK00000241</v>
      </c>
      <c r="F17" s="4" t="str">
        <f>IFERROR(__xludf.DUMMYFUNCTION("""COMPUTED_VALUE"""),"自動消込")</f>
        <v>自動消込</v>
      </c>
      <c r="G17" s="4">
        <f>IFERROR(__xludf.DUMMYFUNCTION("""COMPUTED_VALUE"""),46113.0)</f>
        <v>46113</v>
      </c>
      <c r="H17" s="4"/>
    </row>
    <row r="18" ht="15.75" customHeight="1">
      <c r="A18" s="4">
        <f>IFERROR(__xludf.DUMMYFUNCTION("""COMPUTED_VALUE"""),46122.0)</f>
        <v>46122</v>
      </c>
      <c r="B18" s="4" t="str">
        <f>IFERROR(__xludf.DUMMYFUNCTION("""COMPUTED_VALUE"""),"(株)ウェルテック様 SB24486")</f>
        <v>(株)ウェルテック様 SB24486</v>
      </c>
      <c r="C18" s="4">
        <f>IFERROR(__xludf.DUMMYFUNCTION("""COMPUTED_VALUE"""),104643.0)</f>
        <v>104643</v>
      </c>
      <c r="D18" s="4" t="str">
        <f>IFERROR(__xludf.DUMMYFUNCTION("""COMPUTED_VALUE"""),"SB00024486")</f>
        <v>SB00024486</v>
      </c>
      <c r="E18" s="4" t="str">
        <f>IFERROR(__xludf.DUMMYFUNCTION("""COMPUTED_VALUE"""),"KK00001662")</f>
        <v>KK00001662</v>
      </c>
      <c r="F18" s="4" t="str">
        <f>IFERROR(__xludf.DUMMYFUNCTION("""COMPUTED_VALUE"""),"自動消込")</f>
        <v>自動消込</v>
      </c>
      <c r="G18" s="4">
        <f>IFERROR(__xludf.DUMMYFUNCTION("""COMPUTED_VALUE"""),46113.0)</f>
        <v>46113</v>
      </c>
      <c r="H18" s="4"/>
    </row>
    <row r="19" ht="15.75" customHeight="1">
      <c r="A19" s="4">
        <f>IFERROR(__xludf.DUMMYFUNCTION("""COMPUTED_VALUE"""),46122.0)</f>
        <v>46122</v>
      </c>
      <c r="B19" s="4" t="str">
        <f>IFERROR(__xludf.DUMMYFUNCTION("""COMPUTED_VALUE"""),"ストロングマウンテン㈱")</f>
        <v>ストロングマウンテン㈱</v>
      </c>
      <c r="C19" s="4">
        <f>IFERROR(__xludf.DUMMYFUNCTION("""COMPUTED_VALUE"""),8439760.0)</f>
        <v>8439760</v>
      </c>
      <c r="D19" s="4"/>
      <c r="E19" s="4"/>
      <c r="F19" s="4" t="str">
        <f>IFERROR(__xludf.DUMMYFUNCTION("""COMPUTED_VALUE"""),"自動消込")</f>
        <v>自動消込</v>
      </c>
      <c r="G19" s="4">
        <f>IFERROR(__xludf.DUMMYFUNCTION("""COMPUTED_VALUE"""),46113.0)</f>
        <v>46113</v>
      </c>
      <c r="H19" s="4"/>
    </row>
    <row r="20" ht="15.75" customHeight="1">
      <c r="A20" s="4">
        <f>IFERROR(__xludf.DUMMYFUNCTION("""COMPUTED_VALUE"""),46127.0)</f>
        <v>46127</v>
      </c>
      <c r="B20" s="4" t="str">
        <f>IFERROR(__xludf.DUMMYFUNCTION("""COMPUTED_VALUE"""),"㈱ﾃﾞｲﾜｲﾏｰｹﾃｨﾝｸﾞ様　SB24539")</f>
        <v>㈱ﾃﾞｲﾜｲﾏｰｹﾃｨﾝｸﾞ様　SB24539</v>
      </c>
      <c r="C20" s="4">
        <f>IFERROR(__xludf.DUMMYFUNCTION("""COMPUTED_VALUE"""),50270.0)</f>
        <v>50270</v>
      </c>
      <c r="D20" s="4" t="str">
        <f>IFERROR(__xludf.DUMMYFUNCTION("""COMPUTED_VALUE"""),"SB00024539")</f>
        <v>SB00024539</v>
      </c>
      <c r="E20" s="4" t="str">
        <f>IFERROR(__xludf.DUMMYFUNCTION("""COMPUTED_VALUE"""),"KK00005321")</f>
        <v>KK00005321</v>
      </c>
      <c r="F20" s="4" t="str">
        <f>IFERROR(__xludf.DUMMYFUNCTION("""COMPUTED_VALUE"""),"自動消込")</f>
        <v>自動消込</v>
      </c>
      <c r="G20" s="4">
        <f>IFERROR(__xludf.DUMMYFUNCTION("""COMPUTED_VALUE"""),46113.0)</f>
        <v>46113</v>
      </c>
      <c r="H20" s="4"/>
    </row>
    <row r="21" ht="15.75" customHeight="1">
      <c r="A21" s="4">
        <f>IFERROR(__xludf.DUMMYFUNCTION("""COMPUTED_VALUE"""),46128.0)</f>
        <v>46128</v>
      </c>
      <c r="B21" s="4" t="str">
        <f>IFERROR(__xludf.DUMMYFUNCTION("""COMPUTED_VALUE"""),"損保ｼﾞｬﾊﾟﾝ　SB24564")</f>
        <v>損保ｼﾞｬﾊﾟﾝ　SB24564</v>
      </c>
      <c r="C21" s="4">
        <f>IFERROR(__xludf.DUMMYFUNCTION("""COMPUTED_VALUE"""),75000.0)</f>
        <v>75000</v>
      </c>
      <c r="D21" s="4" t="str">
        <f>IFERROR(__xludf.DUMMYFUNCTION("""COMPUTED_VALUE"""),"SB00024564")</f>
        <v>SB00024564</v>
      </c>
      <c r="E21" s="4" t="str">
        <f>IFERROR(__xludf.DUMMYFUNCTION("""COMPUTED_VALUE"""),"KK00000241")</f>
        <v>KK00000241</v>
      </c>
      <c r="F21" s="4" t="str">
        <f>IFERROR(__xludf.DUMMYFUNCTION("""COMPUTED_VALUE"""),"自動消込")</f>
        <v>自動消込</v>
      </c>
      <c r="G21" s="4">
        <f>IFERROR(__xludf.DUMMYFUNCTION("""COMPUTED_VALUE"""),46113.0)</f>
        <v>46113</v>
      </c>
      <c r="H21" s="4"/>
    </row>
    <row r="22" ht="15.75" customHeight="1">
      <c r="A22" s="4">
        <f>IFERROR(__xludf.DUMMYFUNCTION("""COMPUTED_VALUE"""),46129.0)</f>
        <v>46129</v>
      </c>
      <c r="B22" s="4" t="str">
        <f>IFERROR(__xludf.DUMMYFUNCTION("""COMPUTED_VALUE"""),"三井住友海上火災保険㈱SB24559")</f>
        <v>三井住友海上火災保険㈱SB24559</v>
      </c>
      <c r="C22" s="4">
        <f>IFERROR(__xludf.DUMMYFUNCTION("""COMPUTED_VALUE"""),210000.0)</f>
        <v>210000</v>
      </c>
      <c r="D22" s="4" t="str">
        <f>IFERROR(__xludf.DUMMYFUNCTION("""COMPUTED_VALUE"""),"SB00024559")</f>
        <v>SB00024559</v>
      </c>
      <c r="E22" s="4" t="str">
        <f>IFERROR(__xludf.DUMMYFUNCTION("""COMPUTED_VALUE"""),"KK00001837")</f>
        <v>KK00001837</v>
      </c>
      <c r="F22" s="4" t="str">
        <f>IFERROR(__xludf.DUMMYFUNCTION("""COMPUTED_VALUE"""),"自動消込")</f>
        <v>自動消込</v>
      </c>
      <c r="G22" s="4">
        <f>IFERROR(__xludf.DUMMYFUNCTION("""COMPUTED_VALUE"""),46113.0)</f>
        <v>46113</v>
      </c>
      <c r="H22" s="4"/>
    </row>
    <row r="23" ht="15.75" customHeight="1">
      <c r="A23" s="4">
        <f>IFERROR(__xludf.DUMMYFUNCTION("""COMPUTED_VALUE"""),46132.0)</f>
        <v>46132</v>
      </c>
      <c r="B23" s="4" t="str">
        <f>IFERROR(__xludf.DUMMYFUNCTION("""COMPUTED_VALUE"""),"該当なし ミツイスミトモカイジヨウB")</f>
        <v>該当なし ミツイスミトモカイジヨウB</v>
      </c>
      <c r="C23" s="4">
        <f>IFERROR(__xludf.DUMMYFUNCTION("""COMPUTED_VALUE"""),1132941.0)</f>
        <v>1132941</v>
      </c>
      <c r="D23" s="4" t="str">
        <f>IFERROR(__xludf.DUMMYFUNCTION("""COMPUTED_VALUE"""),"SB00024553")</f>
        <v>SB00024553</v>
      </c>
      <c r="E23" s="4" t="str">
        <f>IFERROR(__xludf.DUMMYFUNCTION("""COMPUTED_VALUE"""),"KK00000935")</f>
        <v>KK00000935</v>
      </c>
      <c r="F23" s="4" t="str">
        <f>IFERROR(__xludf.DUMMYFUNCTION("""COMPUTED_VALUE"""),"自動消込")</f>
        <v>自動消込</v>
      </c>
      <c r="G23" s="4">
        <f>IFERROR(__xludf.DUMMYFUNCTION("""COMPUTED_VALUE"""),46113.0)</f>
        <v>46113</v>
      </c>
      <c r="H23" s="4"/>
    </row>
    <row r="24" ht="15.75" customHeight="1">
      <c r="A24" s="4">
        <f>IFERROR(__xludf.DUMMYFUNCTION("""COMPUTED_VALUE"""),46136.0)</f>
        <v>46136</v>
      </c>
      <c r="B24" s="4" t="str">
        <f>IFERROR(__xludf.DUMMYFUNCTION("""COMPUTED_VALUE"""),"(株)ｻﾝｴｽ様　SB24522")</f>
        <v>(株)ｻﾝｴｽ様　SB24522</v>
      </c>
      <c r="C24" s="4">
        <f>IFERROR(__xludf.DUMMYFUNCTION("""COMPUTED_VALUE"""),200000.0)</f>
        <v>200000</v>
      </c>
      <c r="D24" s="4" t="str">
        <f>IFERROR(__xludf.DUMMYFUNCTION("""COMPUTED_VALUE"""),"SB00024587")</f>
        <v>SB00024587</v>
      </c>
      <c r="E24" s="4" t="str">
        <f>IFERROR(__xludf.DUMMYFUNCTION("""COMPUTED_VALUE"""),"KK00001694")</f>
        <v>KK00001694</v>
      </c>
      <c r="F24" s="4" t="str">
        <f>IFERROR(__xludf.DUMMYFUNCTION("""COMPUTED_VALUE"""),"自動消込")</f>
        <v>自動消込</v>
      </c>
      <c r="G24" s="4">
        <f>IFERROR(__xludf.DUMMYFUNCTION("""COMPUTED_VALUE"""),46113.0)</f>
        <v>46113</v>
      </c>
      <c r="H24" s="4"/>
    </row>
    <row r="25" ht="15.75" customHeight="1">
      <c r="A25" s="4">
        <f>IFERROR(__xludf.DUMMYFUNCTION("""COMPUTED_VALUE"""),46136.0)</f>
        <v>46136</v>
      </c>
      <c r="B25" s="4" t="str">
        <f>IFERROR(__xludf.DUMMYFUNCTION("""COMPUTED_VALUE"""),"藤田勲様　CH3803")</f>
        <v>藤田勲様　CH3803</v>
      </c>
      <c r="C25" s="4">
        <f>IFERROR(__xludf.DUMMYFUNCTION("""COMPUTED_VALUE"""),50000.0)</f>
        <v>50000</v>
      </c>
      <c r="D25" s="4" t="str">
        <f>IFERROR(__xludf.DUMMYFUNCTION("""COMPUTED_VALUE"""),"SB00024461")</f>
        <v>SB00024461</v>
      </c>
      <c r="E25" s="4" t="str">
        <f>IFERROR(__xludf.DUMMYFUNCTION("""COMPUTED_VALUE"""),"KK00001837")</f>
        <v>KK00001837</v>
      </c>
      <c r="F25" s="4" t="str">
        <f>IFERROR(__xludf.DUMMYFUNCTION("""COMPUTED_VALUE"""),"自動消込")</f>
        <v>自動消込</v>
      </c>
      <c r="G25" s="4">
        <f>IFERROR(__xludf.DUMMYFUNCTION("""COMPUTED_VALUE"""),46113.0)</f>
        <v>46113</v>
      </c>
      <c r="H25" s="4"/>
    </row>
    <row r="26" ht="15.75" customHeight="1">
      <c r="A26" s="4">
        <f>IFERROR(__xludf.DUMMYFUNCTION("""COMPUTED_VALUE"""),46140.0)</f>
        <v>46140</v>
      </c>
      <c r="B26" s="4" t="str">
        <f>IFERROR(__xludf.DUMMYFUNCTION("""COMPUTED_VALUE"""),"関根ﾜｶﾅ様　SB24524")</f>
        <v>関根ﾜｶﾅ様　SB24524</v>
      </c>
      <c r="C26" s="4">
        <f>IFERROR(__xludf.DUMMYFUNCTION("""COMPUTED_VALUE"""),93720.0)</f>
        <v>93720</v>
      </c>
      <c r="D26" s="4" t="str">
        <f>IFERROR(__xludf.DUMMYFUNCTION("""COMPUTED_VALUE"""),"SB00024524")</f>
        <v>SB00024524</v>
      </c>
      <c r="E26" s="4" t="str">
        <f>IFERROR(__xludf.DUMMYFUNCTION("""COMPUTED_VALUE"""),"KK00000660")</f>
        <v>KK00000660</v>
      </c>
      <c r="F26" s="4" t="str">
        <f>IFERROR(__xludf.DUMMYFUNCTION("""COMPUTED_VALUE"""),"自動消込")</f>
        <v>自動消込</v>
      </c>
      <c r="G26" s="4">
        <f>IFERROR(__xludf.DUMMYFUNCTION("""COMPUTED_VALUE"""),46113.0)</f>
        <v>46113</v>
      </c>
      <c r="H26" s="4" t="str">
        <f>IFERROR(__xludf.DUMMYFUNCTION("""COMPUTED_VALUE"""),"20260430.2hori .xlsx.csv")</f>
        <v>20260430.2hori .xlsx.csv</v>
      </c>
    </row>
    <row r="27" ht="15.75" customHeight="1">
      <c r="A27" s="4">
        <f>IFERROR(__xludf.DUMMYFUNCTION("""COMPUTED_VALUE"""),46142.0)</f>
        <v>46142</v>
      </c>
      <c r="B27" s="4" t="str">
        <f>IFERROR(__xludf.DUMMYFUNCTION("""COMPUTED_VALUE"""),"㈱円福寺様　SB24510")</f>
        <v>㈱円福寺様　SB24510</v>
      </c>
      <c r="C27" s="4">
        <f>IFERROR(__xludf.DUMMYFUNCTION("""COMPUTED_VALUE"""),3850.0)</f>
        <v>3850</v>
      </c>
      <c r="D27" s="4" t="str">
        <f>IFERROR(__xludf.DUMMYFUNCTION("""COMPUTED_VALUE"""),"SB00024510")</f>
        <v>SB00024510</v>
      </c>
      <c r="E27" s="4" t="str">
        <f>IFERROR(__xludf.DUMMYFUNCTION("""COMPUTED_VALUE"""),"KK00006243")</f>
        <v>KK00006243</v>
      </c>
      <c r="F27" s="4" t="str">
        <f>IFERROR(__xludf.DUMMYFUNCTION("""COMPUTED_VALUE"""),"自動消込")</f>
        <v>自動消込</v>
      </c>
      <c r="G27" s="4">
        <f>IFERROR(__xludf.DUMMYFUNCTION("""COMPUTED_VALUE"""),46113.0)</f>
        <v>46113</v>
      </c>
      <c r="H27" s="4" t="str">
        <f>IFERROR(__xludf.DUMMYFUNCTION("""COMPUTED_VALUE"""),"20260430.2hori .xlsx.csv")</f>
        <v>20260430.2hori .xlsx.csv</v>
      </c>
    </row>
    <row r="28" ht="15.75" customHeight="1">
      <c r="A28" s="4">
        <f>IFERROR(__xludf.DUMMYFUNCTION("""COMPUTED_VALUE"""),46142.0)</f>
        <v>46142</v>
      </c>
      <c r="B28" s="4" t="str">
        <f>IFERROR(__xludf.DUMMYFUNCTION("""COMPUTED_VALUE"""),"㈱ﾙｯｸ様　SB24547")</f>
        <v>㈱ﾙｯｸ様　SB24547</v>
      </c>
      <c r="C28" s="4">
        <f>IFERROR(__xludf.DUMMYFUNCTION("""COMPUTED_VALUE"""),137410.0)</f>
        <v>137410</v>
      </c>
      <c r="D28" s="4" t="str">
        <f>IFERROR(__xludf.DUMMYFUNCTION("""COMPUTED_VALUE"""),"SB00024547")</f>
        <v>SB00024547</v>
      </c>
      <c r="E28" s="4" t="str">
        <f>IFERROR(__xludf.DUMMYFUNCTION("""COMPUTED_VALUE"""),"KK00001702")</f>
        <v>KK00001702</v>
      </c>
      <c r="F28" s="4" t="str">
        <f>IFERROR(__xludf.DUMMYFUNCTION("""COMPUTED_VALUE"""),"自動消込")</f>
        <v>自動消込</v>
      </c>
      <c r="G28" s="4">
        <f>IFERROR(__xludf.DUMMYFUNCTION("""COMPUTED_VALUE"""),46113.0)</f>
        <v>46113</v>
      </c>
      <c r="H28" s="4" t="str">
        <f>IFERROR(__xludf.DUMMYFUNCTION("""COMPUTED_VALUE"""),"20260430.2hori .xlsx.csv")</f>
        <v>20260430.2hori .xlsx.csv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F2:F1000">
    <cfRule type="cellIs" dxfId="17" priority="1" stopIfTrue="1" operator="equal">
      <formula>"自動消込"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8DB8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22.63"/>
  </cols>
  <sheetData>
    <row r="1" ht="15.75" customHeight="1">
      <c r="A1" s="72" t="s">
        <v>61</v>
      </c>
      <c r="B1" s="72" t="s">
        <v>81</v>
      </c>
      <c r="C1" s="72" t="s">
        <v>66</v>
      </c>
      <c r="D1" s="72" t="s">
        <v>309</v>
      </c>
      <c r="E1" s="72" t="s">
        <v>310</v>
      </c>
      <c r="F1" s="72" t="s">
        <v>82</v>
      </c>
    </row>
    <row r="2" ht="15.75" customHeight="1">
      <c r="A2" s="73">
        <v>46112.0</v>
      </c>
      <c r="B2" s="68" t="s">
        <v>311</v>
      </c>
      <c r="C2" s="74">
        <v>258698.0</v>
      </c>
      <c r="D2" s="68" t="s">
        <v>312</v>
      </c>
      <c r="E2" s="68" t="s">
        <v>313</v>
      </c>
      <c r="F2" s="68" t="s">
        <v>83</v>
      </c>
    </row>
    <row r="3" ht="15.75" customHeight="1">
      <c r="A3" s="73">
        <v>46113.0</v>
      </c>
      <c r="B3" s="68" t="s">
        <v>314</v>
      </c>
      <c r="C3" s="74">
        <v>66850.0</v>
      </c>
      <c r="D3" s="68"/>
      <c r="E3" s="68"/>
      <c r="F3" s="68" t="s">
        <v>84</v>
      </c>
    </row>
    <row r="4" ht="15.75" customHeight="1">
      <c r="A4" s="73">
        <v>46119.0</v>
      </c>
      <c r="B4" s="68" t="s">
        <v>315</v>
      </c>
      <c r="C4" s="74">
        <v>1150000.0</v>
      </c>
      <c r="D4" s="68"/>
      <c r="E4" s="68"/>
      <c r="F4" s="68" t="s">
        <v>85</v>
      </c>
    </row>
    <row r="5" ht="15.75" customHeight="1">
      <c r="A5" s="73">
        <v>46121.0</v>
      </c>
      <c r="B5" s="68" t="s">
        <v>316</v>
      </c>
      <c r="C5" s="74">
        <v>25000.0</v>
      </c>
      <c r="D5" s="68"/>
      <c r="E5" s="68"/>
      <c r="F5" s="68" t="s">
        <v>86</v>
      </c>
    </row>
    <row r="6" ht="15.75" customHeight="1">
      <c r="A6" s="73">
        <v>46121.0</v>
      </c>
      <c r="B6" s="68" t="s">
        <v>317</v>
      </c>
      <c r="C6" s="74">
        <v>150000.0</v>
      </c>
      <c r="D6" s="68"/>
      <c r="E6" s="68"/>
      <c r="F6" s="68" t="s">
        <v>87</v>
      </c>
    </row>
    <row r="7" ht="15.75" customHeight="1">
      <c r="A7" s="73">
        <v>46122.0</v>
      </c>
      <c r="B7" s="68" t="s">
        <v>318</v>
      </c>
      <c r="C7" s="74">
        <v>57700.0</v>
      </c>
      <c r="D7" s="68" t="s">
        <v>319</v>
      </c>
      <c r="E7" s="68" t="s">
        <v>320</v>
      </c>
      <c r="F7" s="68" t="s">
        <v>88</v>
      </c>
    </row>
    <row r="8" ht="15.75" customHeight="1">
      <c r="A8" s="73">
        <v>46126.0</v>
      </c>
      <c r="B8" s="68" t="s">
        <v>321</v>
      </c>
      <c r="C8" s="74">
        <v>198000.0</v>
      </c>
      <c r="D8" s="68"/>
      <c r="E8" s="68"/>
      <c r="F8" s="68" t="s">
        <v>89</v>
      </c>
    </row>
    <row r="9" ht="15.75" customHeight="1">
      <c r="A9" s="73">
        <v>46127.0</v>
      </c>
      <c r="B9" s="68" t="s">
        <v>322</v>
      </c>
      <c r="C9" s="74">
        <v>440822.0</v>
      </c>
      <c r="D9" s="68"/>
      <c r="E9" s="68"/>
      <c r="F9" s="68" t="s">
        <v>90</v>
      </c>
    </row>
    <row r="10" ht="15.75" customHeight="1">
      <c r="A10" s="73">
        <v>46127.0</v>
      </c>
      <c r="B10" s="68" t="s">
        <v>323</v>
      </c>
      <c r="C10" s="74">
        <v>14520.0</v>
      </c>
      <c r="D10" s="68" t="s">
        <v>324</v>
      </c>
      <c r="E10" s="68" t="s">
        <v>325</v>
      </c>
      <c r="F10" s="68" t="s">
        <v>91</v>
      </c>
    </row>
    <row r="11" ht="15.75" customHeight="1">
      <c r="A11" s="73">
        <v>46133.0</v>
      </c>
      <c r="B11" s="68" t="s">
        <v>326</v>
      </c>
      <c r="C11" s="74">
        <v>64350.0</v>
      </c>
      <c r="D11" s="68" t="s">
        <v>327</v>
      </c>
      <c r="E11" s="68"/>
      <c r="F11" s="68" t="s">
        <v>92</v>
      </c>
    </row>
    <row r="12" ht="15.75" customHeight="1">
      <c r="A12" s="73">
        <v>46135.0</v>
      </c>
      <c r="B12" s="68" t="s">
        <v>328</v>
      </c>
      <c r="C12" s="74">
        <v>57310.0</v>
      </c>
      <c r="D12" s="68"/>
      <c r="E12" s="68"/>
      <c r="F12" s="68" t="s">
        <v>93</v>
      </c>
    </row>
    <row r="13" ht="15.75" customHeight="1">
      <c r="A13" s="73">
        <v>46136.0</v>
      </c>
      <c r="B13" s="68" t="s">
        <v>329</v>
      </c>
      <c r="C13" s="74">
        <v>110000.0</v>
      </c>
      <c r="D13" s="68"/>
      <c r="E13" s="68"/>
      <c r="F13" s="68" t="s">
        <v>95</v>
      </c>
    </row>
    <row r="14" ht="15.75" customHeight="1">
      <c r="A14" s="73">
        <v>46136.0</v>
      </c>
      <c r="B14" s="68" t="s">
        <v>330</v>
      </c>
      <c r="C14" s="74">
        <v>7500000.0</v>
      </c>
      <c r="D14" s="68"/>
      <c r="E14" s="68"/>
      <c r="F14" s="68" t="s">
        <v>96</v>
      </c>
    </row>
    <row r="15" ht="15.75" customHeight="1">
      <c r="A15" s="73">
        <v>46136.0</v>
      </c>
      <c r="B15" s="68" t="s">
        <v>331</v>
      </c>
      <c r="C15" s="74">
        <v>2545300.0</v>
      </c>
      <c r="D15" s="68"/>
      <c r="E15" s="68"/>
      <c r="F15" s="68" t="s">
        <v>97</v>
      </c>
    </row>
    <row r="16" ht="15.75" customHeight="1">
      <c r="A16" s="73">
        <v>46136.0</v>
      </c>
      <c r="B16" s="68" t="s">
        <v>332</v>
      </c>
      <c r="C16" s="74">
        <v>200000.0</v>
      </c>
      <c r="D16" s="68" t="s">
        <v>333</v>
      </c>
      <c r="E16" s="68" t="s">
        <v>334</v>
      </c>
      <c r="F16" s="68" t="s">
        <v>94</v>
      </c>
    </row>
    <row r="17" ht="15.75" customHeight="1">
      <c r="A17" s="73">
        <v>46136.0</v>
      </c>
      <c r="B17" s="68" t="s">
        <v>335</v>
      </c>
      <c r="C17" s="74">
        <v>110000.0</v>
      </c>
      <c r="D17" s="68"/>
      <c r="E17" s="68"/>
      <c r="F17" s="68" t="s">
        <v>98</v>
      </c>
    </row>
    <row r="18" ht="15.75" customHeight="1">
      <c r="A18" s="73">
        <v>46149.0</v>
      </c>
      <c r="B18" s="68" t="s">
        <v>336</v>
      </c>
      <c r="C18" s="68">
        <v>58400.0</v>
      </c>
      <c r="D18" s="68" t="s">
        <v>337</v>
      </c>
      <c r="E18" s="68"/>
      <c r="F18" s="68" t="s">
        <v>99</v>
      </c>
    </row>
    <row r="19" ht="15.75" customHeight="1">
      <c r="A19" s="73">
        <v>46150.0</v>
      </c>
      <c r="B19" s="68" t="s">
        <v>338</v>
      </c>
      <c r="C19" s="68">
        <v>93260.0</v>
      </c>
      <c r="D19" s="68" t="s">
        <v>339</v>
      </c>
      <c r="E19" s="68"/>
      <c r="F19" s="68" t="s">
        <v>100</v>
      </c>
    </row>
    <row r="20" ht="15.75" customHeight="1">
      <c r="A20" s="73">
        <v>46149.0</v>
      </c>
      <c r="B20" s="68" t="s">
        <v>340</v>
      </c>
      <c r="C20" s="68">
        <v>8265500.0</v>
      </c>
      <c r="D20" s="68"/>
      <c r="E20" s="68"/>
      <c r="F20" s="68" t="s">
        <v>101</v>
      </c>
    </row>
    <row r="21" ht="15.75" customHeight="1">
      <c r="A21" s="73">
        <v>46140.0</v>
      </c>
      <c r="B21" s="68" t="s">
        <v>341</v>
      </c>
      <c r="C21" s="68">
        <v>1100000.0</v>
      </c>
      <c r="D21" s="68" t="s">
        <v>342</v>
      </c>
      <c r="E21" s="68"/>
      <c r="F21" s="68" t="s">
        <v>102</v>
      </c>
    </row>
    <row r="22" ht="15.75" customHeight="1">
      <c r="A22" s="73">
        <v>46140.0</v>
      </c>
      <c r="B22" s="68" t="s">
        <v>328</v>
      </c>
      <c r="C22" s="68">
        <v>100000.0</v>
      </c>
      <c r="D22" s="68"/>
      <c r="E22" s="68"/>
      <c r="F22" s="68" t="s">
        <v>103</v>
      </c>
    </row>
    <row r="23" ht="15.75" customHeight="1">
      <c r="A23" s="73">
        <v>46142.0</v>
      </c>
      <c r="B23" s="68" t="s">
        <v>343</v>
      </c>
      <c r="C23" s="68">
        <v>842430.0</v>
      </c>
      <c r="D23" s="68" t="s">
        <v>344</v>
      </c>
      <c r="E23" s="68"/>
      <c r="F23" s="68" t="s">
        <v>105</v>
      </c>
    </row>
    <row r="24" ht="15.75" customHeight="1">
      <c r="A24" s="73">
        <v>46142.0</v>
      </c>
      <c r="B24" s="68" t="s">
        <v>345</v>
      </c>
      <c r="C24" s="68">
        <v>188100.0</v>
      </c>
      <c r="D24" s="68" t="s">
        <v>346</v>
      </c>
      <c r="E24" s="68"/>
      <c r="F24" s="68" t="s">
        <v>106</v>
      </c>
    </row>
    <row r="25" ht="15.75" customHeight="1">
      <c r="A25" s="73">
        <v>46142.0</v>
      </c>
      <c r="B25" s="68" t="s">
        <v>322</v>
      </c>
      <c r="C25" s="68">
        <v>296214.0</v>
      </c>
      <c r="D25" s="68"/>
      <c r="E25" s="68"/>
      <c r="F25" s="68" t="s">
        <v>107</v>
      </c>
    </row>
    <row r="26" ht="15.75" customHeight="1">
      <c r="A26" s="73">
        <v>46142.0</v>
      </c>
      <c r="B26" s="68" t="s">
        <v>347</v>
      </c>
      <c r="C26" s="68">
        <v>269946.0</v>
      </c>
      <c r="D26" s="68"/>
      <c r="E26" s="68"/>
      <c r="F26" s="68" t="s">
        <v>108</v>
      </c>
    </row>
    <row r="27" ht="15.75" customHeight="1">
      <c r="A27" s="73">
        <v>46142.0</v>
      </c>
      <c r="B27" s="68" t="s">
        <v>348</v>
      </c>
      <c r="C27" s="68">
        <v>150000.0</v>
      </c>
      <c r="D27" s="68"/>
      <c r="E27" s="68"/>
      <c r="F27" s="68" t="s">
        <v>109</v>
      </c>
    </row>
    <row r="28" ht="15.75" customHeight="1">
      <c r="A28" s="73">
        <v>46142.0</v>
      </c>
      <c r="B28" s="68" t="s">
        <v>349</v>
      </c>
      <c r="C28" s="68">
        <v>282690.0</v>
      </c>
      <c r="D28" s="68"/>
      <c r="E28" s="68"/>
      <c r="F28" s="68" t="s">
        <v>104</v>
      </c>
    </row>
    <row r="29" ht="15.75" customHeight="1">
      <c r="A29" s="68"/>
      <c r="B29" s="68"/>
      <c r="C29" s="68"/>
      <c r="D29" s="68"/>
      <c r="E29" s="68"/>
      <c r="F29" s="68"/>
    </row>
    <row r="30" ht="15.75" customHeight="1">
      <c r="A30" s="68"/>
      <c r="B30" s="68"/>
      <c r="C30" s="68"/>
      <c r="D30" s="68"/>
      <c r="E30" s="68"/>
      <c r="F30" s="68"/>
    </row>
    <row r="31" ht="15.75" customHeight="1">
      <c r="A31" s="68"/>
      <c r="B31" s="68"/>
      <c r="C31" s="68"/>
      <c r="D31" s="68"/>
      <c r="E31" s="68"/>
      <c r="F31" s="68"/>
    </row>
    <row r="32" ht="15.75" customHeight="1">
      <c r="A32" s="68"/>
      <c r="B32" s="68"/>
      <c r="C32" s="68"/>
      <c r="D32" s="68"/>
      <c r="E32" s="68"/>
      <c r="F32" s="68"/>
    </row>
    <row r="33" ht="15.75" customHeight="1">
      <c r="A33" s="68"/>
      <c r="B33" s="68"/>
      <c r="C33" s="68"/>
      <c r="D33" s="68"/>
      <c r="E33" s="68"/>
      <c r="F33" s="68"/>
    </row>
    <row r="34" ht="15.75" customHeight="1">
      <c r="A34" s="68"/>
      <c r="B34" s="68"/>
      <c r="C34" s="68"/>
      <c r="D34" s="68"/>
      <c r="E34" s="68"/>
      <c r="F34" s="68"/>
    </row>
    <row r="35" ht="15.75" customHeight="1">
      <c r="A35" s="68"/>
      <c r="B35" s="68"/>
      <c r="C35" s="68"/>
      <c r="D35" s="68"/>
      <c r="E35" s="68"/>
      <c r="F35" s="68"/>
    </row>
    <row r="36" ht="15.75" customHeight="1">
      <c r="A36" s="68"/>
      <c r="B36" s="68"/>
      <c r="C36" s="68"/>
      <c r="D36" s="68"/>
      <c r="E36" s="68"/>
      <c r="F36" s="68"/>
    </row>
    <row r="37" ht="15.75" customHeight="1">
      <c r="A37" s="68"/>
      <c r="B37" s="68"/>
      <c r="C37" s="68"/>
      <c r="D37" s="68"/>
      <c r="E37" s="68"/>
      <c r="F37" s="68"/>
    </row>
    <row r="38" ht="15.75" customHeight="1">
      <c r="A38" s="68"/>
      <c r="B38" s="68"/>
      <c r="C38" s="68"/>
      <c r="D38" s="68"/>
      <c r="E38" s="68"/>
      <c r="F38" s="68"/>
    </row>
    <row r="39" ht="15.75" customHeight="1">
      <c r="A39" s="68"/>
      <c r="B39" s="68"/>
      <c r="C39" s="68"/>
      <c r="D39" s="68"/>
      <c r="E39" s="68"/>
      <c r="F39" s="68"/>
    </row>
    <row r="40" ht="15.75" customHeight="1">
      <c r="A40" s="68"/>
      <c r="B40" s="68"/>
      <c r="C40" s="68"/>
      <c r="D40" s="68"/>
      <c r="E40" s="68"/>
      <c r="F40" s="68"/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65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8.88"/>
  </cols>
  <sheetData>
    <row r="1" ht="15.75" customHeight="1">
      <c r="A1" s="70" t="str">
        <f>IFERROR(__xludf.DUMMYFUNCTION("LET(src,'振込入金リスト一覧'!A:FB,h,'振込入金リスト一覧'!1:1,gyomu,INDEX(src,,MATCH(""業務№"",h,0)),kokyakuNo,INDEX(src,,MATCH(""顧客№"",h,0)),kokyaku,INDEX(src,,MATCH(""顧客名"",h,0)),seikyu,INDEX(src,,MATCH(""請求先名"",h,0)),total,INDEX(src,,MATCH(""売上総計"",h,0)),status,INDEX(src,,"&amp;"MATCH(""ステータス"",h,0)),method,INDEX(src,,MATCH(""入金方法"",h,0)),paid,INDEX(src,,MATCH(""入金累計"",h,0)),remain,INDEX(src,,MATCH(""未入金額"",h,0)),paystat,INDEX(src,,MATCH(""入金状況"",h,0)),alert,INDEX(src,,MATCH(""アラート"",h,0)),memo,INDEX(src,,MATCH(""確認メモ"",h,0)),{"""&amp;"業務No"",""顧客No"",""顧客名"",""請求先名"",""売上総計"",""ステータス"",""入金方法"",""入金累計"",""未入金額"",""入金状況"",""アラート"",""確認メモ"";IFERROR(FILTER({gyomu,kokyakuNo,kokyaku,seikyu,total,status,method,paid,remain,paystat,alert,memo},(kokyaku&lt;&gt;"""")*((status=""未照合"")+(status=""要確認"")"&amp;"+(paystat=""未入金"")+(paystat=""一部入金"")+(paystat=""要確認"")+(alert=""期限超過""))),{"""","""","""","""","""","""","""","""","""","""","""",""""})})"),"業務No")</f>
        <v>業務No</v>
      </c>
      <c r="B1" s="70" t="str">
        <f>IFERROR(__xludf.DUMMYFUNCTION("""COMPUTED_VALUE"""),"顧客No")</f>
        <v>顧客No</v>
      </c>
      <c r="C1" s="70" t="str">
        <f>IFERROR(__xludf.DUMMYFUNCTION("""COMPUTED_VALUE"""),"顧客名")</f>
        <v>顧客名</v>
      </c>
      <c r="D1" s="70" t="str">
        <f>IFERROR(__xludf.DUMMYFUNCTION("""COMPUTED_VALUE"""),"請求先名")</f>
        <v>請求先名</v>
      </c>
      <c r="E1" s="70" t="str">
        <f>IFERROR(__xludf.DUMMYFUNCTION("""COMPUTED_VALUE"""),"売上総計")</f>
        <v>売上総計</v>
      </c>
      <c r="F1" s="70" t="str">
        <f>IFERROR(__xludf.DUMMYFUNCTION("""COMPUTED_VALUE"""),"ステータス")</f>
        <v>ステータス</v>
      </c>
      <c r="G1" s="70" t="str">
        <f>IFERROR(__xludf.DUMMYFUNCTION("""COMPUTED_VALUE"""),"入金方法")</f>
        <v>入金方法</v>
      </c>
      <c r="H1" s="70" t="str">
        <f>IFERROR(__xludf.DUMMYFUNCTION("""COMPUTED_VALUE"""),"入金累計")</f>
        <v>入金累計</v>
      </c>
      <c r="I1" s="70" t="str">
        <f>IFERROR(__xludf.DUMMYFUNCTION("""COMPUTED_VALUE"""),"未入金額")</f>
        <v>未入金額</v>
      </c>
      <c r="J1" s="70" t="str">
        <f>IFERROR(__xludf.DUMMYFUNCTION("""COMPUTED_VALUE"""),"入金状況")</f>
        <v>入金状況</v>
      </c>
      <c r="K1" s="70" t="str">
        <f>IFERROR(__xludf.DUMMYFUNCTION("""COMPUTED_VALUE"""),"アラート")</f>
        <v>アラート</v>
      </c>
      <c r="L1" s="70" t="str">
        <f>IFERROR(__xludf.DUMMYFUNCTION("""COMPUTED_VALUE"""),"確認メモ")</f>
        <v>確認メモ</v>
      </c>
    </row>
    <row r="2" ht="15.75" customHeight="1">
      <c r="A2" s="4"/>
      <c r="B2" s="4"/>
      <c r="C2" s="4" t="str">
        <f>IFERROR(__xludf.DUMMYFUNCTION("""COMPUTED_VALUE"""),"㈱一条工務店広島")</f>
        <v>㈱一条工務店広島</v>
      </c>
      <c r="D2" s="4"/>
      <c r="E2" s="4">
        <f>IFERROR(__xludf.DUMMYFUNCTION("""COMPUTED_VALUE"""),3.449784E7)</f>
        <v>34497840</v>
      </c>
      <c r="F2" s="4" t="str">
        <f>IFERROR(__xludf.DUMMYFUNCTION("""COMPUTED_VALUE"""),"未照合")</f>
        <v>未照合</v>
      </c>
      <c r="G2" s="4"/>
      <c r="H2" s="4"/>
      <c r="I2" s="4" t="str">
        <f>IFERROR(__xludf.DUMMYFUNCTION("""COMPUTED_VALUE"""),"")</f>
        <v/>
      </c>
      <c r="J2" s="4"/>
      <c r="K2" s="4" t="str">
        <f>IFERROR(__xludf.DUMMYFUNCTION("""COMPUTED_VALUE"""),"")</f>
        <v/>
      </c>
      <c r="L2" s="4"/>
    </row>
    <row r="3" ht="15.75" customHeight="1">
      <c r="A3" s="4"/>
      <c r="B3" s="4"/>
      <c r="C3" s="4" t="str">
        <f>IFERROR(__xludf.DUMMYFUNCTION("""COMPUTED_VALUE"""),"飛谷暁儀")</f>
        <v>飛谷暁儀</v>
      </c>
      <c r="D3" s="4"/>
      <c r="E3" s="4">
        <f>IFERROR(__xludf.DUMMYFUNCTION("""COMPUTED_VALUE"""),6408438.0)</f>
        <v>6408438</v>
      </c>
      <c r="F3" s="4" t="str">
        <f>IFERROR(__xludf.DUMMYFUNCTION("""COMPUTED_VALUE"""),"未照合")</f>
        <v>未照合</v>
      </c>
      <c r="G3" s="4"/>
      <c r="H3" s="4"/>
      <c r="I3" s="4" t="str">
        <f>IFERROR(__xludf.DUMMYFUNCTION("""COMPUTED_VALUE"""),"")</f>
        <v/>
      </c>
      <c r="J3" s="4"/>
      <c r="K3" s="4" t="str">
        <f>IFERROR(__xludf.DUMMYFUNCTION("""COMPUTED_VALUE"""),"")</f>
        <v/>
      </c>
      <c r="L3" s="4"/>
    </row>
    <row r="4" ht="15.75" customHeight="1">
      <c r="A4" s="4"/>
      <c r="B4" s="4"/>
      <c r="C4" s="4" t="str">
        <f>IFERROR(__xludf.DUMMYFUNCTION("""COMPUTED_VALUE"""),"㈱ﾏﾝｸﾞﾛｰﾌﾞ")</f>
        <v>㈱ﾏﾝｸﾞﾛｰﾌﾞ</v>
      </c>
      <c r="D4" s="4"/>
      <c r="E4" s="4">
        <f>IFERROR(__xludf.DUMMYFUNCTION("""COMPUTED_VALUE"""),1.032278E7)</f>
        <v>10322780</v>
      </c>
      <c r="F4" s="4" t="str">
        <f>IFERROR(__xludf.DUMMYFUNCTION("""COMPUTED_VALUE"""),"未照合")</f>
        <v>未照合</v>
      </c>
      <c r="G4" s="4"/>
      <c r="H4" s="4"/>
      <c r="I4" s="4" t="str">
        <f>IFERROR(__xludf.DUMMYFUNCTION("""COMPUTED_VALUE"""),"")</f>
        <v/>
      </c>
      <c r="J4" s="4"/>
      <c r="K4" s="4" t="str">
        <f>IFERROR(__xludf.DUMMYFUNCTION("""COMPUTED_VALUE"""),"")</f>
        <v/>
      </c>
      <c r="L4" s="4"/>
    </row>
    <row r="5" ht="15.75" customHeight="1">
      <c r="A5" s="4"/>
      <c r="B5" s="4"/>
      <c r="C5" s="4" t="str">
        <f>IFERROR(__xludf.DUMMYFUNCTION("""COMPUTED_VALUE"""),"難波未来")</f>
        <v>難波未来</v>
      </c>
      <c r="D5" s="4"/>
      <c r="E5" s="4">
        <f>IFERROR(__xludf.DUMMYFUNCTION("""COMPUTED_VALUE"""),261190.0)</f>
        <v>261190</v>
      </c>
      <c r="F5" s="4" t="str">
        <f>IFERROR(__xludf.DUMMYFUNCTION("""COMPUTED_VALUE"""),"未照合")</f>
        <v>未照合</v>
      </c>
      <c r="G5" s="4"/>
      <c r="H5" s="4"/>
      <c r="I5" s="4" t="str">
        <f>IFERROR(__xludf.DUMMYFUNCTION("""COMPUTED_VALUE"""),"")</f>
        <v/>
      </c>
      <c r="J5" s="4"/>
      <c r="K5" s="4" t="str">
        <f>IFERROR(__xludf.DUMMYFUNCTION("""COMPUTED_VALUE"""),"")</f>
        <v/>
      </c>
      <c r="L5" s="4"/>
    </row>
    <row r="6" ht="15.75" customHeight="1">
      <c r="A6" s="4" t="str">
        <f>IFERROR(__xludf.DUMMYFUNCTION("""COMPUTED_VALUE"""),"SB00024453")</f>
        <v>SB00024453</v>
      </c>
      <c r="B6" s="4" t="str">
        <f>IFERROR(__xludf.DUMMYFUNCTION("""COMPUTED_VALUE"""),"KK00002750")</f>
        <v>KK00002750</v>
      </c>
      <c r="C6" s="4" t="str">
        <f>IFERROR(__xludf.DUMMYFUNCTION("""COMPUTED_VALUE"""),"オートファイル 有限会社")</f>
        <v>オートファイル 有限会社</v>
      </c>
      <c r="D6" s="4"/>
      <c r="E6" s="4">
        <f>IFERROR(__xludf.DUMMYFUNCTION("""COMPUTED_VALUE"""),22000.0)</f>
        <v>22000</v>
      </c>
      <c r="F6" s="4" t="str">
        <f>IFERROR(__xludf.DUMMYFUNCTION("""COMPUTED_VALUE"""),"未照合")</f>
        <v>未照合</v>
      </c>
      <c r="G6" s="4"/>
      <c r="H6" s="4"/>
      <c r="I6" s="4" t="str">
        <f>IFERROR(__xludf.DUMMYFUNCTION("""COMPUTED_VALUE"""),"")</f>
        <v/>
      </c>
      <c r="J6" s="4"/>
      <c r="K6" s="4" t="str">
        <f>IFERROR(__xludf.DUMMYFUNCTION("""COMPUTED_VALUE"""),"")</f>
        <v/>
      </c>
      <c r="L6" s="4"/>
    </row>
    <row r="7" ht="15.75" customHeight="1">
      <c r="A7" s="4"/>
      <c r="B7" s="4"/>
      <c r="C7" s="4" t="str">
        <f>IFERROR(__xludf.DUMMYFUNCTION("""COMPUTED_VALUE"""),"小林弘治様RRE")</f>
        <v>小林弘治様RRE</v>
      </c>
      <c r="D7" s="4"/>
      <c r="E7" s="4">
        <f>IFERROR(__xludf.DUMMYFUNCTION("""COMPUTED_VALUE"""),253439.0)</f>
        <v>253439</v>
      </c>
      <c r="F7" s="4" t="str">
        <f>IFERROR(__xludf.DUMMYFUNCTION("""COMPUTED_VALUE"""),"未照合")</f>
        <v>未照合</v>
      </c>
      <c r="G7" s="4"/>
      <c r="H7" s="4"/>
      <c r="I7" s="4" t="str">
        <f>IFERROR(__xludf.DUMMYFUNCTION("""COMPUTED_VALUE"""),"")</f>
        <v/>
      </c>
      <c r="J7" s="4"/>
      <c r="K7" s="4" t="str">
        <f>IFERROR(__xludf.DUMMYFUNCTION("""COMPUTED_VALUE"""),"")</f>
        <v/>
      </c>
      <c r="L7" s="4"/>
    </row>
    <row r="8" ht="15.75" customHeight="1">
      <c r="A8" s="4" t="str">
        <f>IFERROR(__xludf.DUMMYFUNCTION("""COMPUTED_VALUE"""),"SB00024454")</f>
        <v>SB00024454</v>
      </c>
      <c r="B8" s="4" t="str">
        <f>IFERROR(__xludf.DUMMYFUNCTION("""COMPUTED_VALUE"""),"KK00003877")</f>
        <v>KK00003877</v>
      </c>
      <c r="C8" s="4" t="str">
        <f>IFERROR(__xludf.DUMMYFUNCTION("""COMPUTED_VALUE"""),"ストロングマウンテン株式会社代表取締役　大山智明")</f>
        <v>ストロングマウンテン株式会社代表取締役　大山智明</v>
      </c>
      <c r="D8" s="4"/>
      <c r="E8" s="4">
        <f>IFERROR(__xludf.DUMMYFUNCTION("""COMPUTED_VALUE"""),120043.0)</f>
        <v>120043</v>
      </c>
      <c r="F8" s="4" t="str">
        <f>IFERROR(__xludf.DUMMYFUNCTION("""COMPUTED_VALUE"""),"未照合")</f>
        <v>未照合</v>
      </c>
      <c r="G8" s="4"/>
      <c r="H8" s="4"/>
      <c r="I8" s="4" t="str">
        <f>IFERROR(__xludf.DUMMYFUNCTION("""COMPUTED_VALUE"""),"")</f>
        <v/>
      </c>
      <c r="J8" s="4"/>
      <c r="K8" s="4" t="str">
        <f>IFERROR(__xludf.DUMMYFUNCTION("""COMPUTED_VALUE"""),"")</f>
        <v/>
      </c>
      <c r="L8" s="4"/>
    </row>
    <row r="9" ht="15.75" customHeight="1">
      <c r="A9" s="4" t="str">
        <f>IFERROR(__xludf.DUMMYFUNCTION("""COMPUTED_VALUE"""),"SB00024456")</f>
        <v>SB00024456</v>
      </c>
      <c r="B9" s="4" t="str">
        <f>IFERROR(__xludf.DUMMYFUNCTION("""COMPUTED_VALUE"""),"KK00007129")</f>
        <v>KK00007129</v>
      </c>
      <c r="C9" s="4" t="str">
        <f>IFERROR(__xludf.DUMMYFUNCTION("""COMPUTED_VALUE"""),"株式会社明和工作所代表取締役　菊田九")</f>
        <v>株式会社明和工作所代表取締役　菊田九</v>
      </c>
      <c r="D9" s="4" t="str">
        <f>IFERROR(__xludf.DUMMYFUNCTION("""COMPUTED_VALUE"""),"西日本自動車共済")</f>
        <v>西日本自動車共済</v>
      </c>
      <c r="E9" s="4">
        <f>IFERROR(__xludf.DUMMYFUNCTION("""COMPUTED_VALUE"""),285780.0)</f>
        <v>285780</v>
      </c>
      <c r="F9" s="4" t="str">
        <f>IFERROR(__xludf.DUMMYFUNCTION("""COMPUTED_VALUE"""),"未照合")</f>
        <v>未照合</v>
      </c>
      <c r="G9" s="4"/>
      <c r="H9" s="4"/>
      <c r="I9" s="4" t="str">
        <f>IFERROR(__xludf.DUMMYFUNCTION("""COMPUTED_VALUE"""),"")</f>
        <v/>
      </c>
      <c r="J9" s="4"/>
      <c r="K9" s="4" t="str">
        <f>IFERROR(__xludf.DUMMYFUNCTION("""COMPUTED_VALUE"""),"")</f>
        <v/>
      </c>
      <c r="L9" s="4"/>
    </row>
    <row r="10" ht="15.75" customHeight="1">
      <c r="A10" s="4" t="str">
        <f>IFERROR(__xludf.DUMMYFUNCTION("""COMPUTED_VALUE"""),"SB00024477")</f>
        <v>SB00024477</v>
      </c>
      <c r="B10" s="4" t="str">
        <f>IFERROR(__xludf.DUMMYFUNCTION("""COMPUTED_VALUE"""),"KK00007129")</f>
        <v>KK00007129</v>
      </c>
      <c r="C10" s="4" t="str">
        <f>IFERROR(__xludf.DUMMYFUNCTION("""COMPUTED_VALUE"""),"株式会社明和工作所代表取締役　菊田九")</f>
        <v>株式会社明和工作所代表取締役　菊田九</v>
      </c>
      <c r="D10" s="4" t="str">
        <f>IFERROR(__xludf.DUMMYFUNCTION("""COMPUTED_VALUE"""),"西日本自動車共済")</f>
        <v>西日本自動車共済</v>
      </c>
      <c r="E10" s="4">
        <f>IFERROR(__xludf.DUMMYFUNCTION("""COMPUTED_VALUE"""),80000.0)</f>
        <v>80000</v>
      </c>
      <c r="F10" s="4" t="str">
        <f>IFERROR(__xludf.DUMMYFUNCTION("""COMPUTED_VALUE"""),"未照合")</f>
        <v>未照合</v>
      </c>
      <c r="G10" s="4"/>
      <c r="H10" s="4"/>
      <c r="I10" s="4" t="str">
        <f>IFERROR(__xludf.DUMMYFUNCTION("""COMPUTED_VALUE"""),"")</f>
        <v/>
      </c>
      <c r="J10" s="4"/>
      <c r="K10" s="4" t="str">
        <f>IFERROR(__xludf.DUMMYFUNCTION("""COMPUTED_VALUE"""),"")</f>
        <v/>
      </c>
      <c r="L10" s="4"/>
    </row>
    <row r="11" ht="15.75" customHeight="1">
      <c r="A11" s="4" t="str">
        <f>IFERROR(__xludf.DUMMYFUNCTION("""COMPUTED_VALUE"""),"SB00024488")</f>
        <v>SB00024488</v>
      </c>
      <c r="B11" s="4" t="str">
        <f>IFERROR(__xludf.DUMMYFUNCTION("""COMPUTED_VALUE"""),"KK00003002")</f>
        <v>KK00003002</v>
      </c>
      <c r="C11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11" s="4"/>
      <c r="E11" s="4">
        <f>IFERROR(__xludf.DUMMYFUNCTION("""COMPUTED_VALUE"""),4840.0)</f>
        <v>4840</v>
      </c>
      <c r="F11" s="4" t="str">
        <f>IFERROR(__xludf.DUMMYFUNCTION("""COMPUTED_VALUE"""),"未照合")</f>
        <v>未照合</v>
      </c>
      <c r="G11" s="4"/>
      <c r="H11" s="4"/>
      <c r="I11" s="4" t="str">
        <f>IFERROR(__xludf.DUMMYFUNCTION("""COMPUTED_VALUE"""),"")</f>
        <v/>
      </c>
      <c r="J11" s="4"/>
      <c r="K11" s="4" t="str">
        <f>IFERROR(__xludf.DUMMYFUNCTION("""COMPUTED_VALUE"""),"")</f>
        <v/>
      </c>
      <c r="L11" s="4"/>
    </row>
    <row r="12" ht="15.75" customHeight="1">
      <c r="A12" s="4" t="str">
        <f>IFERROR(__xludf.DUMMYFUNCTION("""COMPUTED_VALUE"""),"SB00023864")</f>
        <v>SB00023864</v>
      </c>
      <c r="B12" s="4" t="str">
        <f>IFERROR(__xludf.DUMMYFUNCTION("""COMPUTED_VALUE"""),"KK00003002")</f>
        <v>KK00003002</v>
      </c>
      <c r="C12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12" s="4" t="str">
        <f>IFERROR(__xludf.DUMMYFUNCTION("""COMPUTED_VALUE"""),"キムラユニティー株式会社メンテ管理課")</f>
        <v>キムラユニティー株式会社メンテ管理課</v>
      </c>
      <c r="E12" s="4">
        <f>IFERROR(__xludf.DUMMYFUNCTION("""COMPUTED_VALUE"""),4840.0)</f>
        <v>4840</v>
      </c>
      <c r="F12" s="4" t="str">
        <f>IFERROR(__xludf.DUMMYFUNCTION("""COMPUTED_VALUE"""),"未照合")</f>
        <v>未照合</v>
      </c>
      <c r="G12" s="4"/>
      <c r="H12" s="4"/>
      <c r="I12" s="4" t="str">
        <f>IFERROR(__xludf.DUMMYFUNCTION("""COMPUTED_VALUE"""),"")</f>
        <v/>
      </c>
      <c r="J12" s="4"/>
      <c r="K12" s="4" t="str">
        <f>IFERROR(__xludf.DUMMYFUNCTION("""COMPUTED_VALUE"""),"")</f>
        <v/>
      </c>
      <c r="L12" s="4"/>
    </row>
    <row r="13" ht="15.75" customHeight="1">
      <c r="A13" s="4" t="str">
        <f>IFERROR(__xludf.DUMMYFUNCTION("""COMPUTED_VALUE"""),"SB00024407")</f>
        <v>SB00024407</v>
      </c>
      <c r="B13" s="4" t="str">
        <f>IFERROR(__xludf.DUMMYFUNCTION("""COMPUTED_VALUE"""),"KK00006993")</f>
        <v>KK00006993</v>
      </c>
      <c r="C13" s="4" t="str">
        <f>IFERROR(__xludf.DUMMYFUNCTION("""COMPUTED_VALUE"""),"冨田　文人")</f>
        <v>冨田　文人</v>
      </c>
      <c r="D13" s="4" t="str">
        <f>IFERROR(__xludf.DUMMYFUNCTION("""COMPUTED_VALUE"""),"株式会社コンクエスト　ジャガーランドローバー広島")</f>
        <v>株式会社コンクエスト　ジャガーランドローバー広島</v>
      </c>
      <c r="E13" s="4">
        <f>IFERROR(__xludf.DUMMYFUNCTION("""COMPUTED_VALUE"""),21159.0)</f>
        <v>21159</v>
      </c>
      <c r="F13" s="4" t="str">
        <f>IFERROR(__xludf.DUMMYFUNCTION("""COMPUTED_VALUE"""),"未照合")</f>
        <v>未照合</v>
      </c>
      <c r="G13" s="4"/>
      <c r="H13" s="4"/>
      <c r="I13" s="4" t="str">
        <f>IFERROR(__xludf.DUMMYFUNCTION("""COMPUTED_VALUE"""),"")</f>
        <v/>
      </c>
      <c r="J13" s="4"/>
      <c r="K13" s="4" t="str">
        <f>IFERROR(__xludf.DUMMYFUNCTION("""COMPUTED_VALUE"""),"")</f>
        <v/>
      </c>
      <c r="L13" s="4"/>
    </row>
    <row r="14" ht="15.75" customHeight="1">
      <c r="A14" s="4" t="str">
        <f>IFERROR(__xludf.DUMMYFUNCTION("""COMPUTED_VALUE"""),"SB00024491")</f>
        <v>SB00024491</v>
      </c>
      <c r="B14" s="4" t="str">
        <f>IFERROR(__xludf.DUMMYFUNCTION("""COMPUTED_VALUE"""),"KK00000399")</f>
        <v>KK00000399</v>
      </c>
      <c r="C14" s="4" t="str">
        <f>IFERROR(__xludf.DUMMYFUNCTION("""COMPUTED_VALUE"""),"株式会社　一条工務店広島 代表取締役　柳本和英")</f>
        <v>株式会社　一条工務店広島 代表取締役　柳本和英</v>
      </c>
      <c r="D14" s="4"/>
      <c r="E14" s="4">
        <f>IFERROR(__xludf.DUMMYFUNCTION("""COMPUTED_VALUE"""),93500.0)</f>
        <v>93500</v>
      </c>
      <c r="F14" s="4" t="str">
        <f>IFERROR(__xludf.DUMMYFUNCTION("""COMPUTED_VALUE"""),"未照合")</f>
        <v>未照合</v>
      </c>
      <c r="G14" s="4"/>
      <c r="H14" s="4"/>
      <c r="I14" s="4" t="str">
        <f>IFERROR(__xludf.DUMMYFUNCTION("""COMPUTED_VALUE"""),"")</f>
        <v/>
      </c>
      <c r="J14" s="4"/>
      <c r="K14" s="4" t="str">
        <f>IFERROR(__xludf.DUMMYFUNCTION("""COMPUTED_VALUE"""),"")</f>
        <v/>
      </c>
      <c r="L14" s="4"/>
    </row>
    <row r="15" ht="15.75" customHeight="1">
      <c r="A15" s="4" t="str">
        <f>IFERROR(__xludf.DUMMYFUNCTION("""COMPUTED_VALUE"""),"SB00007523")</f>
        <v>SB00007523</v>
      </c>
      <c r="B15" s="4"/>
      <c r="C15" s="4" t="str">
        <f>IFERROR(__xludf.DUMMYFUNCTION("""COMPUTED_VALUE"""),"株式会社ブリッジ代表取締役 橋")</f>
        <v>株式会社ブリッジ代表取締役 橋</v>
      </c>
      <c r="D15" s="4"/>
      <c r="E15" s="4">
        <f>IFERROR(__xludf.DUMMYFUNCTION("""COMPUTED_VALUE"""),172788.0)</f>
        <v>172788</v>
      </c>
      <c r="F15" s="4" t="str">
        <f>IFERROR(__xludf.DUMMYFUNCTION("""COMPUTED_VALUE"""),"未照合")</f>
        <v>未照合</v>
      </c>
      <c r="G15" s="4"/>
      <c r="H15" s="4"/>
      <c r="I15" s="4" t="str">
        <f>IFERROR(__xludf.DUMMYFUNCTION("""COMPUTED_VALUE"""),"")</f>
        <v/>
      </c>
      <c r="J15" s="4"/>
      <c r="K15" s="4" t="str">
        <f>IFERROR(__xludf.DUMMYFUNCTION("""COMPUTED_VALUE"""),"")</f>
        <v/>
      </c>
      <c r="L15" s="4"/>
    </row>
    <row r="16" ht="15.75" customHeight="1">
      <c r="A16" s="4" t="str">
        <f>IFERROR(__xludf.DUMMYFUNCTION("""COMPUTED_VALUE"""),"SB00007537")</f>
        <v>SB00007537</v>
      </c>
      <c r="B16" s="4"/>
      <c r="C16" s="4" t="str">
        <f>IFERROR(__xludf.DUMMYFUNCTION("""COMPUTED_VALUE"""),"白神元徳")</f>
        <v>白神元徳</v>
      </c>
      <c r="D16" s="4"/>
      <c r="E16" s="4">
        <f>IFERROR(__xludf.DUMMYFUNCTION("""COMPUTED_VALUE"""),194000.0)</f>
        <v>194000</v>
      </c>
      <c r="F16" s="4" t="str">
        <f>IFERROR(__xludf.DUMMYFUNCTION("""COMPUTED_VALUE"""),"未照合")</f>
        <v>未照合</v>
      </c>
      <c r="G16" s="4"/>
      <c r="H16" s="4"/>
      <c r="I16" s="4" t="str">
        <f>IFERROR(__xludf.DUMMYFUNCTION("""COMPUTED_VALUE"""),"")</f>
        <v/>
      </c>
      <c r="J16" s="4"/>
      <c r="K16" s="4" t="str">
        <f>IFERROR(__xludf.DUMMYFUNCTION("""COMPUTED_VALUE"""),"")</f>
        <v/>
      </c>
      <c r="L16" s="4"/>
    </row>
    <row r="17" ht="15.75" customHeight="1">
      <c r="A17" s="4" t="str">
        <f>IFERROR(__xludf.DUMMYFUNCTION("""COMPUTED_VALUE"""),"SB00007564")</f>
        <v>SB00007564</v>
      </c>
      <c r="B17" s="4"/>
      <c r="C17" s="4" t="str">
        <f>IFERROR(__xludf.DUMMYFUNCTION("""COMPUTED_VALUE"""),"白神元徳")</f>
        <v>白神元徳</v>
      </c>
      <c r="D17" s="4" t="str">
        <f>IFERROR(__xludf.DUMMYFUNCTION("""COMPUTED_VALUE"""),"マセラティジャパン株式会社")</f>
        <v>マセラティジャパン株式会社</v>
      </c>
      <c r="E17" s="4">
        <f>IFERROR(__xludf.DUMMYFUNCTION("""COMPUTED_VALUE"""),69769.0)</f>
        <v>69769</v>
      </c>
      <c r="F17" s="4" t="str">
        <f>IFERROR(__xludf.DUMMYFUNCTION("""COMPUTED_VALUE"""),"未照合")</f>
        <v>未照合</v>
      </c>
      <c r="G17" s="4"/>
      <c r="H17" s="4"/>
      <c r="I17" s="4" t="str">
        <f>IFERROR(__xludf.DUMMYFUNCTION("""COMPUTED_VALUE"""),"")</f>
        <v/>
      </c>
      <c r="J17" s="4"/>
      <c r="K17" s="4" t="str">
        <f>IFERROR(__xludf.DUMMYFUNCTION("""COMPUTED_VALUE"""),"")</f>
        <v/>
      </c>
      <c r="L17" s="4"/>
    </row>
    <row r="18" ht="15.75" customHeight="1">
      <c r="A18" s="4" t="str">
        <f>IFERROR(__xludf.DUMMYFUNCTION("""COMPUTED_VALUE"""),"SB00007571")</f>
        <v>SB00007571</v>
      </c>
      <c r="B18" s="4"/>
      <c r="C18" s="4" t="str">
        <f>IFERROR(__xludf.DUMMYFUNCTION("""COMPUTED_VALUE"""),"白神元徳")</f>
        <v>白神元徳</v>
      </c>
      <c r="D18" s="4" t="str">
        <f>IFERROR(__xludf.DUMMYFUNCTION("""COMPUTED_VALUE"""),"マセラティジャパン株式会社")</f>
        <v>マセラティジャパン株式会社</v>
      </c>
      <c r="E18" s="4">
        <f>IFERROR(__xludf.DUMMYFUNCTION("""COMPUTED_VALUE"""),116597.0)</f>
        <v>116597</v>
      </c>
      <c r="F18" s="4" t="str">
        <f>IFERROR(__xludf.DUMMYFUNCTION("""COMPUTED_VALUE"""),"未照合")</f>
        <v>未照合</v>
      </c>
      <c r="G18" s="4"/>
      <c r="H18" s="4"/>
      <c r="I18" s="4" t="str">
        <f>IFERROR(__xludf.DUMMYFUNCTION("""COMPUTED_VALUE"""),"")</f>
        <v/>
      </c>
      <c r="J18" s="4"/>
      <c r="K18" s="4" t="str">
        <f>IFERROR(__xludf.DUMMYFUNCTION("""COMPUTED_VALUE"""),"")</f>
        <v/>
      </c>
      <c r="L18" s="4"/>
    </row>
    <row r="19" ht="15.75" customHeight="1">
      <c r="A19" s="4" t="str">
        <f>IFERROR(__xludf.DUMMYFUNCTION("""COMPUTED_VALUE"""),"SB00024455")</f>
        <v>SB00024455</v>
      </c>
      <c r="B19" s="4" t="str">
        <f>IFERROR(__xludf.DUMMYFUNCTION("""COMPUTED_VALUE"""),"KK00007177")</f>
        <v>KK00007177</v>
      </c>
      <c r="C19" s="4" t="str">
        <f>IFERROR(__xludf.DUMMYFUNCTION("""COMPUTED_VALUE"""),"朝日包装株式会社代表取締役　西上克志")</f>
        <v>朝日包装株式会社代表取締役　西上克志</v>
      </c>
      <c r="D19" s="4" t="str">
        <f>IFERROR(__xludf.DUMMYFUNCTION("""COMPUTED_VALUE"""),"株式会社コンクエスト　ジャガーランドローバー広島")</f>
        <v>株式会社コンクエスト　ジャガーランドローバー広島</v>
      </c>
      <c r="E19" s="4">
        <f>IFERROR(__xludf.DUMMYFUNCTION("""COMPUTED_VALUE"""),21863.0)</f>
        <v>21863</v>
      </c>
      <c r="F19" s="4" t="str">
        <f>IFERROR(__xludf.DUMMYFUNCTION("""COMPUTED_VALUE"""),"未照合")</f>
        <v>未照合</v>
      </c>
      <c r="G19" s="4"/>
      <c r="H19" s="4"/>
      <c r="I19" s="4" t="str">
        <f>IFERROR(__xludf.DUMMYFUNCTION("""COMPUTED_VALUE"""),"")</f>
        <v/>
      </c>
      <c r="J19" s="4"/>
      <c r="K19" s="4" t="str">
        <f>IFERROR(__xludf.DUMMYFUNCTION("""COMPUTED_VALUE"""),"")</f>
        <v/>
      </c>
      <c r="L19" s="4"/>
    </row>
    <row r="20" ht="15.75" customHeight="1">
      <c r="A20" s="4" t="str">
        <f>IFERROR(__xludf.DUMMYFUNCTION("""COMPUTED_VALUE"""),"SB00024474")</f>
        <v>SB00024474</v>
      </c>
      <c r="B20" s="4" t="str">
        <f>IFERROR(__xludf.DUMMYFUNCTION("""COMPUTED_VALUE"""),"KK00003341")</f>
        <v>KK00003341</v>
      </c>
      <c r="C20" s="4" t="str">
        <f>IFERROR(__xludf.DUMMYFUNCTION("""COMPUTED_VALUE"""),"村上　裕二")</f>
        <v>村上　裕二</v>
      </c>
      <c r="D20" s="4"/>
      <c r="E20" s="4">
        <f>IFERROR(__xludf.DUMMYFUNCTION("""COMPUTED_VALUE"""),399610.0)</f>
        <v>399610</v>
      </c>
      <c r="F20" s="4" t="str">
        <f>IFERROR(__xludf.DUMMYFUNCTION("""COMPUTED_VALUE"""),"未照合")</f>
        <v>未照合</v>
      </c>
      <c r="G20" s="4"/>
      <c r="H20" s="4"/>
      <c r="I20" s="4" t="str">
        <f>IFERROR(__xludf.DUMMYFUNCTION("""COMPUTED_VALUE"""),"")</f>
        <v/>
      </c>
      <c r="J20" s="4"/>
      <c r="K20" s="4" t="str">
        <f>IFERROR(__xludf.DUMMYFUNCTION("""COMPUTED_VALUE"""),"")</f>
        <v/>
      </c>
      <c r="L20" s="4"/>
    </row>
    <row r="21" ht="15.75" customHeight="1">
      <c r="A21" s="4" t="str">
        <f>IFERROR(__xludf.DUMMYFUNCTION("""COMPUTED_VALUE"""),"SB00024497")</f>
        <v>SB00024497</v>
      </c>
      <c r="B21" s="4" t="str">
        <f>IFERROR(__xludf.DUMMYFUNCTION("""COMPUTED_VALUE"""),"KK00007177")</f>
        <v>KK00007177</v>
      </c>
      <c r="C21" s="4" t="str">
        <f>IFERROR(__xludf.DUMMYFUNCTION("""COMPUTED_VALUE"""),"朝日包装株式会社代表取締役　西上克志")</f>
        <v>朝日包装株式会社代表取締役　西上克志</v>
      </c>
      <c r="D21" s="4" t="str">
        <f>IFERROR(__xludf.DUMMYFUNCTION("""COMPUTED_VALUE"""),"株式会社コンクエスト　ジャガーランドローバー広島")</f>
        <v>株式会社コンクエスト　ジャガーランドローバー広島</v>
      </c>
      <c r="E21" s="4">
        <f>IFERROR(__xludf.DUMMYFUNCTION("""COMPUTED_VALUE"""),15400.0)</f>
        <v>15400</v>
      </c>
      <c r="F21" s="4" t="str">
        <f>IFERROR(__xludf.DUMMYFUNCTION("""COMPUTED_VALUE"""),"未照合")</f>
        <v>未照合</v>
      </c>
      <c r="G21" s="4"/>
      <c r="H21" s="4"/>
      <c r="I21" s="4" t="str">
        <f>IFERROR(__xludf.DUMMYFUNCTION("""COMPUTED_VALUE"""),"")</f>
        <v/>
      </c>
      <c r="J21" s="4"/>
      <c r="K21" s="4" t="str">
        <f>IFERROR(__xludf.DUMMYFUNCTION("""COMPUTED_VALUE"""),"")</f>
        <v/>
      </c>
      <c r="L21" s="4"/>
    </row>
    <row r="22" ht="15.75" customHeight="1">
      <c r="A22" s="4" t="str">
        <f>IFERROR(__xludf.DUMMYFUNCTION("""COMPUTED_VALUE"""),"SB00024498")</f>
        <v>SB00024498</v>
      </c>
      <c r="B22" s="4" t="str">
        <f>IFERROR(__xludf.DUMMYFUNCTION("""COMPUTED_VALUE"""),"KK00007232")</f>
        <v>KK00007232</v>
      </c>
      <c r="C22" s="4" t="str">
        <f>IFERROR(__xludf.DUMMYFUNCTION("""COMPUTED_VALUE"""),"株式会社ｄｒ-wanwan.com代表取締役 麻生暁秀")</f>
        <v>株式会社ｄｒ-wanwan.com代表取締役 麻生暁秀</v>
      </c>
      <c r="D22" s="4" t="str">
        <f>IFERROR(__xludf.DUMMYFUNCTION("""COMPUTED_VALUE"""),"東京海上日動火災保険株式会社")</f>
        <v>東京海上日動火災保険株式会社</v>
      </c>
      <c r="E22" s="4">
        <f>IFERROR(__xludf.DUMMYFUNCTION("""COMPUTED_VALUE"""),300000.0)</f>
        <v>300000</v>
      </c>
      <c r="F22" s="4" t="str">
        <f>IFERROR(__xludf.DUMMYFUNCTION("""COMPUTED_VALUE"""),"要確認")</f>
        <v>要確認</v>
      </c>
      <c r="G22" s="4" t="str">
        <f>IFERROR(__xludf.DUMMYFUNCTION("""COMPUTED_VALUE"""),"振り込み")</f>
        <v>振り込み</v>
      </c>
      <c r="H22" s="4"/>
      <c r="I22" s="4" t="str">
        <f>IFERROR(__xludf.DUMMYFUNCTION("""COMPUTED_VALUE"""),"")</f>
        <v/>
      </c>
      <c r="J22" s="4"/>
      <c r="K22" s="4" t="str">
        <f>IFERROR(__xludf.DUMMYFUNCTION("""COMPUTED_VALUE"""),"")</f>
        <v/>
      </c>
      <c r="L22" s="4"/>
    </row>
    <row r="23" ht="15.75" customHeight="1">
      <c r="A23" s="4" t="str">
        <f>IFERROR(__xludf.DUMMYFUNCTION("""COMPUTED_VALUE"""),"SB00024500")</f>
        <v>SB00024500</v>
      </c>
      <c r="B23" s="4" t="str">
        <f>IFERROR(__xludf.DUMMYFUNCTION("""COMPUTED_VALUE"""),"KK00007081")</f>
        <v>KK00007081</v>
      </c>
      <c r="C23" s="4" t="str">
        <f>IFERROR(__xludf.DUMMYFUNCTION("""COMPUTED_VALUE"""),"フルモト建機株式会社代表取締役　古本幸久")</f>
        <v>フルモト建機株式会社代表取締役　古本幸久</v>
      </c>
      <c r="D23" s="4" t="str">
        <f>IFERROR(__xludf.DUMMYFUNCTION("""COMPUTED_VALUE"""),"株式会社コンクエスト　ジャガーランドローバー広島")</f>
        <v>株式会社コンクエスト　ジャガーランドローバー広島</v>
      </c>
      <c r="E23" s="4">
        <f>IFERROR(__xludf.DUMMYFUNCTION("""COMPUTED_VALUE"""),34100.0)</f>
        <v>34100</v>
      </c>
      <c r="F23" s="4" t="str">
        <f>IFERROR(__xludf.DUMMYFUNCTION("""COMPUTED_VALUE"""),"未照合")</f>
        <v>未照合</v>
      </c>
      <c r="G23" s="4"/>
      <c r="H23" s="4"/>
      <c r="I23" s="4" t="str">
        <f>IFERROR(__xludf.DUMMYFUNCTION("""COMPUTED_VALUE"""),"")</f>
        <v/>
      </c>
      <c r="J23" s="4"/>
      <c r="K23" s="4" t="str">
        <f>IFERROR(__xludf.DUMMYFUNCTION("""COMPUTED_VALUE"""),"")</f>
        <v/>
      </c>
      <c r="L23" s="4"/>
    </row>
    <row r="24" ht="15.75" customHeight="1">
      <c r="A24" s="4" t="str">
        <f>IFERROR(__xludf.DUMMYFUNCTION("""COMPUTED_VALUE"""),"SB00024569")</f>
        <v>SB00024569</v>
      </c>
      <c r="B24" s="4" t="str">
        <f>IFERROR(__xludf.DUMMYFUNCTION("""COMPUTED_VALUE"""),"KK00007232")</f>
        <v>KK00007232</v>
      </c>
      <c r="C24" s="4" t="str">
        <f>IFERROR(__xludf.DUMMYFUNCTION("""COMPUTED_VALUE"""),"株式会社ｄｒ-wanwan.com代表取締役 麻生暁秀")</f>
        <v>株式会社ｄｒ-wanwan.com代表取締役 麻生暁秀</v>
      </c>
      <c r="D24" s="4" t="str">
        <f>IFERROR(__xludf.DUMMYFUNCTION("""COMPUTED_VALUE"""),"株式会社コンクエスト　ジャガーランドローバー広島")</f>
        <v>株式会社コンクエスト　ジャガーランドローバー広島</v>
      </c>
      <c r="E24" s="4">
        <f>IFERROR(__xludf.DUMMYFUNCTION("""COMPUTED_VALUE"""),88000.0)</f>
        <v>88000</v>
      </c>
      <c r="F24" s="4" t="str">
        <f>IFERROR(__xludf.DUMMYFUNCTION("""COMPUTED_VALUE"""),"未照合")</f>
        <v>未照合</v>
      </c>
      <c r="G24" s="4"/>
      <c r="H24" s="4"/>
      <c r="I24" s="4" t="str">
        <f>IFERROR(__xludf.DUMMYFUNCTION("""COMPUTED_VALUE"""),"")</f>
        <v/>
      </c>
      <c r="J24" s="4"/>
      <c r="K24" s="4" t="str">
        <f>IFERROR(__xludf.DUMMYFUNCTION("""COMPUTED_VALUE"""),"")</f>
        <v/>
      </c>
      <c r="L24" s="4"/>
    </row>
    <row r="25" ht="15.75" customHeight="1">
      <c r="A25" s="4" t="str">
        <f>IFERROR(__xludf.DUMMYFUNCTION("""COMPUTED_VALUE"""),"SB00024503")</f>
        <v>SB00024503</v>
      </c>
      <c r="B25" s="4" t="str">
        <f>IFERROR(__xludf.DUMMYFUNCTION("""COMPUTED_VALUE"""),"KK00007243")</f>
        <v>KK00007243</v>
      </c>
      <c r="C25" s="4" t="str">
        <f>IFERROR(__xludf.DUMMYFUNCTION("""COMPUTED_VALUE"""),"株式会社シンコーテック")</f>
        <v>株式会社シンコーテック</v>
      </c>
      <c r="D25" s="4" t="str">
        <f>IFERROR(__xludf.DUMMYFUNCTION("""COMPUTED_VALUE"""),"株式会社コンクエスト　ジャガーランドローバー広島")</f>
        <v>株式会社コンクエスト　ジャガーランドローバー広島</v>
      </c>
      <c r="E25" s="4">
        <f>IFERROR(__xludf.DUMMYFUNCTION("""COMPUTED_VALUE"""),25300.0)</f>
        <v>25300</v>
      </c>
      <c r="F25" s="4" t="str">
        <f>IFERROR(__xludf.DUMMYFUNCTION("""COMPUTED_VALUE"""),"未照合")</f>
        <v>未照合</v>
      </c>
      <c r="G25" s="4"/>
      <c r="H25" s="4"/>
      <c r="I25" s="4" t="str">
        <f>IFERROR(__xludf.DUMMYFUNCTION("""COMPUTED_VALUE"""),"")</f>
        <v/>
      </c>
      <c r="J25" s="4"/>
      <c r="K25" s="4" t="str">
        <f>IFERROR(__xludf.DUMMYFUNCTION("""COMPUTED_VALUE"""),"")</f>
        <v/>
      </c>
      <c r="L25" s="4"/>
    </row>
    <row r="26" ht="15.75" customHeight="1">
      <c r="A26" s="4" t="str">
        <f>IFERROR(__xludf.DUMMYFUNCTION("""COMPUTED_VALUE"""),"SB00024504")</f>
        <v>SB00024504</v>
      </c>
      <c r="B26" s="4" t="str">
        <f>IFERROR(__xludf.DUMMYFUNCTION("""COMPUTED_VALUE"""),"KK00007165")</f>
        <v>KK00007165</v>
      </c>
      <c r="C26" s="4" t="str">
        <f>IFERROR(__xludf.DUMMYFUNCTION("""COMPUTED_VALUE"""),"株式会社藤和ホールディングス代表取締役 藤原洋明")</f>
        <v>株式会社藤和ホールディングス代表取締役 藤原洋明</v>
      </c>
      <c r="D26" s="4" t="str">
        <f>IFERROR(__xludf.DUMMYFUNCTION("""COMPUTED_VALUE"""),"株式会社コンクエスト　ジャガーランドローバー広島")</f>
        <v>株式会社コンクエスト　ジャガーランドローバー広島</v>
      </c>
      <c r="E26" s="4">
        <f>IFERROR(__xludf.DUMMYFUNCTION("""COMPUTED_VALUE"""),21313.0)</f>
        <v>21313</v>
      </c>
      <c r="F26" s="4" t="str">
        <f>IFERROR(__xludf.DUMMYFUNCTION("""COMPUTED_VALUE"""),"未照合")</f>
        <v>未照合</v>
      </c>
      <c r="G26" s="4"/>
      <c r="H26" s="4"/>
      <c r="I26" s="4" t="str">
        <f>IFERROR(__xludf.DUMMYFUNCTION("""COMPUTED_VALUE"""),"")</f>
        <v/>
      </c>
      <c r="J26" s="4"/>
      <c r="K26" s="4" t="str">
        <f>IFERROR(__xludf.DUMMYFUNCTION("""COMPUTED_VALUE"""),"")</f>
        <v/>
      </c>
      <c r="L26" s="4"/>
    </row>
    <row r="27" ht="15.75" customHeight="1">
      <c r="A27" s="4" t="str">
        <f>IFERROR(__xludf.DUMMYFUNCTION("""COMPUTED_VALUE"""),"SB00007566")</f>
        <v>SB00007566</v>
      </c>
      <c r="B27" s="4"/>
      <c r="C27" s="4" t="str">
        <f>IFERROR(__xludf.DUMMYFUNCTION("""COMPUTED_VALUE"""),"有限会社 積和サービス 里見")</f>
        <v>有限会社 積和サービス 里見</v>
      </c>
      <c r="D27" s="4"/>
      <c r="E27" s="4">
        <f>IFERROR(__xludf.DUMMYFUNCTION("""COMPUTED_VALUE"""),100000.0)</f>
        <v>100000</v>
      </c>
      <c r="F27" s="4" t="str">
        <f>IFERROR(__xludf.DUMMYFUNCTION("""COMPUTED_VALUE"""),"要確認")</f>
        <v>要確認</v>
      </c>
      <c r="G27" s="4"/>
      <c r="H27" s="4"/>
      <c r="I27" s="4" t="str">
        <f>IFERROR(__xludf.DUMMYFUNCTION("""COMPUTED_VALUE"""),"")</f>
        <v/>
      </c>
      <c r="J27" s="4"/>
      <c r="K27" s="4" t="str">
        <f>IFERROR(__xludf.DUMMYFUNCTION("""COMPUTED_VALUE"""),"")</f>
        <v/>
      </c>
      <c r="L27" s="4"/>
    </row>
    <row r="28" ht="15.75" customHeight="1">
      <c r="A28" s="4" t="str">
        <f>IFERROR(__xludf.DUMMYFUNCTION("""COMPUTED_VALUE"""),"SB00024506")</f>
        <v>SB00024506</v>
      </c>
      <c r="B28" s="4" t="str">
        <f>IFERROR(__xludf.DUMMYFUNCTION("""COMPUTED_VALUE"""),"KK00003002")</f>
        <v>KK00003002</v>
      </c>
      <c r="C28" s="4" t="str">
        <f>IFERROR(__xludf.DUMMYFUNCTION("""COMPUTED_VALUE"""),"株式会社ﾒﾃﾞｨｱﾃｯｸ一心代表取締役社長　眞田奈津基")</f>
        <v>株式会社ﾒﾃﾞｨｱﾃｯｸ一心代表取締役社長　眞田奈津基</v>
      </c>
      <c r="D28" s="4" t="str">
        <f>IFERROR(__xludf.DUMMYFUNCTION("""COMPUTED_VALUE"""),"キムラユニティー株式会社メンテ管理課")</f>
        <v>キムラユニティー株式会社メンテ管理課</v>
      </c>
      <c r="E28" s="4">
        <f>IFERROR(__xludf.DUMMYFUNCTION("""COMPUTED_VALUE"""),4840.0)</f>
        <v>4840</v>
      </c>
      <c r="F28" s="4" t="str">
        <f>IFERROR(__xludf.DUMMYFUNCTION("""COMPUTED_VALUE"""),"未照合")</f>
        <v>未照合</v>
      </c>
      <c r="G28" s="4"/>
      <c r="H28" s="4"/>
      <c r="I28" s="4" t="str">
        <f>IFERROR(__xludf.DUMMYFUNCTION("""COMPUTED_VALUE"""),"")</f>
        <v/>
      </c>
      <c r="J28" s="4"/>
      <c r="K28" s="4" t="str">
        <f>IFERROR(__xludf.DUMMYFUNCTION("""COMPUTED_VALUE"""),"")</f>
        <v/>
      </c>
      <c r="L28" s="4"/>
    </row>
    <row r="29" ht="15.75" customHeight="1">
      <c r="A29" s="4" t="str">
        <f>IFERROR(__xludf.DUMMYFUNCTION("""COMPUTED_VALUE"""),"SB00024508")</f>
        <v>SB00024508</v>
      </c>
      <c r="B29" s="4" t="str">
        <f>IFERROR(__xludf.DUMMYFUNCTION("""COMPUTED_VALUE"""),"KK00006758")</f>
        <v>KK00006758</v>
      </c>
      <c r="C29" s="4" t="str">
        <f>IFERROR(__xludf.DUMMYFUNCTION("""COMPUTED_VALUE"""),"株式会社コーエイメタル代表取締役　近藤　寛志")</f>
        <v>株式会社コーエイメタル代表取締役　近藤　寛志</v>
      </c>
      <c r="D29" s="4" t="str">
        <f>IFERROR(__xludf.DUMMYFUNCTION("""COMPUTED_VALUE"""),"有限会社　藤井鈑金塗装代表取締役社長　藤井謙太郎")</f>
        <v>有限会社　藤井鈑金塗装代表取締役社長　藤井謙太郎</v>
      </c>
      <c r="E29" s="4">
        <f>IFERROR(__xludf.DUMMYFUNCTION("""COMPUTED_VALUE"""),9350.0)</f>
        <v>9350</v>
      </c>
      <c r="F29" s="4" t="str">
        <f>IFERROR(__xludf.DUMMYFUNCTION("""COMPUTED_VALUE"""),"未照合")</f>
        <v>未照合</v>
      </c>
      <c r="G29" s="4"/>
      <c r="H29" s="4"/>
      <c r="I29" s="4" t="str">
        <f>IFERROR(__xludf.DUMMYFUNCTION("""COMPUTED_VALUE"""),"")</f>
        <v/>
      </c>
      <c r="J29" s="4"/>
      <c r="K29" s="4" t="str">
        <f>IFERROR(__xludf.DUMMYFUNCTION("""COMPUTED_VALUE"""),"")</f>
        <v/>
      </c>
      <c r="L29" s="4"/>
    </row>
    <row r="30" ht="15.75" customHeight="1">
      <c r="A30" s="4" t="str">
        <f>IFERROR(__xludf.DUMMYFUNCTION("""COMPUTED_VALUE"""),"SB00024427")</f>
        <v>SB00024427</v>
      </c>
      <c r="B30" s="4" t="str">
        <f>IFERROR(__xludf.DUMMYFUNCTION("""COMPUTED_VALUE"""),"KK00006406")</f>
        <v>KK00006406</v>
      </c>
      <c r="C30" s="4" t="str">
        <f>IFERROR(__xludf.DUMMYFUNCTION("""COMPUTED_VALUE"""),"有限会社　出雲ﾓｰﾀｰ商会")</f>
        <v>有限会社　出雲ﾓｰﾀｰ商会</v>
      </c>
      <c r="D30" s="4"/>
      <c r="E30" s="4">
        <f>IFERROR(__xludf.DUMMYFUNCTION("""COMPUTED_VALUE"""),241780.0)</f>
        <v>241780</v>
      </c>
      <c r="F30" s="4" t="str">
        <f>IFERROR(__xludf.DUMMYFUNCTION("""COMPUTED_VALUE"""),"未照合")</f>
        <v>未照合</v>
      </c>
      <c r="G30" s="4"/>
      <c r="H30" s="4"/>
      <c r="I30" s="4" t="str">
        <f>IFERROR(__xludf.DUMMYFUNCTION("""COMPUTED_VALUE"""),"")</f>
        <v/>
      </c>
      <c r="J30" s="4"/>
      <c r="K30" s="4" t="str">
        <f>IFERROR(__xludf.DUMMYFUNCTION("""COMPUTED_VALUE"""),"")</f>
        <v/>
      </c>
      <c r="L30" s="4"/>
    </row>
    <row r="31" ht="15.75" customHeight="1">
      <c r="A31" s="4" t="str">
        <f>IFERROR(__xludf.DUMMYFUNCTION("""COMPUTED_VALUE"""),"SB00024431")</f>
        <v>SB00024431</v>
      </c>
      <c r="B31" s="4" t="str">
        <f>IFERROR(__xludf.DUMMYFUNCTION("""COMPUTED_VALUE"""),"KK00001711")</f>
        <v>KK00001711</v>
      </c>
      <c r="C31" s="4" t="str">
        <f>IFERROR(__xludf.DUMMYFUNCTION("""COMPUTED_VALUE"""),"株式会社 ｱｸｾ代表取締役 　高垣　 圭一朗")</f>
        <v>株式会社 ｱｸｾ代表取締役 　高垣　 圭一朗</v>
      </c>
      <c r="D31" s="4"/>
      <c r="E31" s="4">
        <f>IFERROR(__xludf.DUMMYFUNCTION("""COMPUTED_VALUE"""),393460.0)</f>
        <v>393460</v>
      </c>
      <c r="F31" s="4" t="str">
        <f>IFERROR(__xludf.DUMMYFUNCTION("""COMPUTED_VALUE"""),"要確認")</f>
        <v>要確認</v>
      </c>
      <c r="G31" s="4"/>
      <c r="H31" s="4"/>
      <c r="I31" s="4" t="str">
        <f>IFERROR(__xludf.DUMMYFUNCTION("""COMPUTED_VALUE"""),"")</f>
        <v/>
      </c>
      <c r="J31" s="4"/>
      <c r="K31" s="4" t="str">
        <f>IFERROR(__xludf.DUMMYFUNCTION("""COMPUTED_VALUE"""),"")</f>
        <v/>
      </c>
      <c r="L31" s="4"/>
    </row>
    <row r="32" ht="15.75" customHeight="1">
      <c r="A32" s="4" t="str">
        <f>IFERROR(__xludf.DUMMYFUNCTION("""COMPUTED_VALUE"""),"SB00024451")</f>
        <v>SB00024451</v>
      </c>
      <c r="B32" s="4" t="str">
        <f>IFERROR(__xludf.DUMMYFUNCTION("""COMPUTED_VALUE"""),"KK00006481")</f>
        <v>KK00006481</v>
      </c>
      <c r="C32" s="4" t="str">
        <f>IFERROR(__xludf.DUMMYFUNCTION("""COMPUTED_VALUE"""),"田邊　泰子")</f>
        <v>田邊　泰子</v>
      </c>
      <c r="D32" s="4"/>
      <c r="E32" s="4">
        <f>IFERROR(__xludf.DUMMYFUNCTION("""COMPUTED_VALUE"""),281770.0)</f>
        <v>281770</v>
      </c>
      <c r="F32" s="4" t="str">
        <f>IFERROR(__xludf.DUMMYFUNCTION("""COMPUTED_VALUE"""),"未照合")</f>
        <v>未照合</v>
      </c>
      <c r="G32" s="4"/>
      <c r="H32" s="4"/>
      <c r="I32" s="4" t="str">
        <f>IFERROR(__xludf.DUMMYFUNCTION("""COMPUTED_VALUE"""),"")</f>
        <v/>
      </c>
      <c r="J32" s="4"/>
      <c r="K32" s="4" t="str">
        <f>IFERROR(__xludf.DUMMYFUNCTION("""COMPUTED_VALUE"""),"")</f>
        <v/>
      </c>
      <c r="L32" s="4"/>
    </row>
    <row r="33" ht="15.75" customHeight="1">
      <c r="A33" s="4" t="str">
        <f>IFERROR(__xludf.DUMMYFUNCTION("""COMPUTED_VALUE"""),"SB00024481")</f>
        <v>SB00024481</v>
      </c>
      <c r="B33" s="4" t="str">
        <f>IFERROR(__xludf.DUMMYFUNCTION("""COMPUTED_VALUE"""),"KK00001934")</f>
        <v>KK00001934</v>
      </c>
      <c r="C33" s="4" t="str">
        <f>IFERROR(__xludf.DUMMYFUNCTION("""COMPUTED_VALUE"""),"寺岡 紫")</f>
        <v>寺岡 紫</v>
      </c>
      <c r="D33" s="4"/>
      <c r="E33" s="4">
        <f>IFERROR(__xludf.DUMMYFUNCTION("""COMPUTED_VALUE"""),267360.0)</f>
        <v>267360</v>
      </c>
      <c r="F33" s="4" t="str">
        <f>IFERROR(__xludf.DUMMYFUNCTION("""COMPUTED_VALUE"""),"未照合")</f>
        <v>未照合</v>
      </c>
      <c r="G33" s="4"/>
      <c r="H33" s="4"/>
      <c r="I33" s="4" t="str">
        <f>IFERROR(__xludf.DUMMYFUNCTION("""COMPUTED_VALUE"""),"")</f>
        <v/>
      </c>
      <c r="J33" s="4"/>
      <c r="K33" s="4" t="str">
        <f>IFERROR(__xludf.DUMMYFUNCTION("""COMPUTED_VALUE"""),"")</f>
        <v/>
      </c>
      <c r="L33" s="4"/>
    </row>
    <row r="34" ht="15.75" customHeight="1">
      <c r="A34" s="4" t="str">
        <f>IFERROR(__xludf.DUMMYFUNCTION("""COMPUTED_VALUE"""),"SB00024482")</f>
        <v>SB00024482</v>
      </c>
      <c r="B34" s="4" t="str">
        <f>IFERROR(__xludf.DUMMYFUNCTION("""COMPUTED_VALUE"""),"KK00006481")</f>
        <v>KK00006481</v>
      </c>
      <c r="C34" s="4" t="str">
        <f>IFERROR(__xludf.DUMMYFUNCTION("""COMPUTED_VALUE"""),"田邊　泰子")</f>
        <v>田邊　泰子</v>
      </c>
      <c r="D34" s="4" t="str">
        <f>IFERROR(__xludf.DUMMYFUNCTION("""COMPUTED_VALUE"""),"株式会社コンクエスト　ジャガーランドローバー広島")</f>
        <v>株式会社コンクエスト　ジャガーランドローバー広島</v>
      </c>
      <c r="E34" s="4">
        <f>IFERROR(__xludf.DUMMYFUNCTION("""COMPUTED_VALUE"""),11000.0)</f>
        <v>11000</v>
      </c>
      <c r="F34" s="4" t="str">
        <f>IFERROR(__xludf.DUMMYFUNCTION("""COMPUTED_VALUE"""),"未照合")</f>
        <v>未照合</v>
      </c>
      <c r="G34" s="4"/>
      <c r="H34" s="4"/>
      <c r="I34" s="4" t="str">
        <f>IFERROR(__xludf.DUMMYFUNCTION("""COMPUTED_VALUE"""),"")</f>
        <v/>
      </c>
      <c r="J34" s="4"/>
      <c r="K34" s="4" t="str">
        <f>IFERROR(__xludf.DUMMYFUNCTION("""COMPUTED_VALUE"""),"")</f>
        <v/>
      </c>
      <c r="L34" s="4"/>
    </row>
    <row r="35" ht="15.75" customHeight="1">
      <c r="A35" s="4" t="str">
        <f>IFERROR(__xludf.DUMMYFUNCTION("""COMPUTED_VALUE"""),"SB00024483")</f>
        <v>SB00024483</v>
      </c>
      <c r="B35" s="4" t="str">
        <f>IFERROR(__xludf.DUMMYFUNCTION("""COMPUTED_VALUE"""),"KK00006481")</f>
        <v>KK00006481</v>
      </c>
      <c r="C35" s="4" t="str">
        <f>IFERROR(__xludf.DUMMYFUNCTION("""COMPUTED_VALUE"""),"田邊　泰子")</f>
        <v>田邊　泰子</v>
      </c>
      <c r="D35" s="4" t="str">
        <f>IFERROR(__xludf.DUMMYFUNCTION("""COMPUTED_VALUE"""),"株式会社コンクエスト　ジャガーランドローバー広島")</f>
        <v>株式会社コンクエスト　ジャガーランドローバー広島</v>
      </c>
      <c r="E35" s="4">
        <f>IFERROR(__xludf.DUMMYFUNCTION("""COMPUTED_VALUE"""),9900.0)</f>
        <v>9900</v>
      </c>
      <c r="F35" s="4" t="str">
        <f>IFERROR(__xludf.DUMMYFUNCTION("""COMPUTED_VALUE"""),"未照合")</f>
        <v>未照合</v>
      </c>
      <c r="G35" s="4"/>
      <c r="H35" s="4"/>
      <c r="I35" s="4" t="str">
        <f>IFERROR(__xludf.DUMMYFUNCTION("""COMPUTED_VALUE"""),"")</f>
        <v/>
      </c>
      <c r="J35" s="4"/>
      <c r="K35" s="4" t="str">
        <f>IFERROR(__xludf.DUMMYFUNCTION("""COMPUTED_VALUE"""),"")</f>
        <v/>
      </c>
      <c r="L35" s="4"/>
    </row>
    <row r="36" ht="15.75" customHeight="1">
      <c r="A36" s="4" t="str">
        <f>IFERROR(__xludf.DUMMYFUNCTION("""COMPUTED_VALUE"""),"SB00024511")</f>
        <v>SB00024511</v>
      </c>
      <c r="B36" s="4" t="str">
        <f>IFERROR(__xludf.DUMMYFUNCTION("""COMPUTED_VALUE"""),"KK00006243")</f>
        <v>KK00006243</v>
      </c>
      <c r="C36" s="4" t="str">
        <f>IFERROR(__xludf.DUMMYFUNCTION("""COMPUTED_VALUE"""),"株式会社　円福寺代表取締役社長　円福寺雅之")</f>
        <v>株式会社　円福寺代表取締役社長　円福寺雅之</v>
      </c>
      <c r="D36" s="4"/>
      <c r="E36" s="4">
        <f>IFERROR(__xludf.DUMMYFUNCTION("""COMPUTED_VALUE"""),195000.0)</f>
        <v>195000</v>
      </c>
      <c r="F36" s="4" t="str">
        <f>IFERROR(__xludf.DUMMYFUNCTION("""COMPUTED_VALUE"""),"要確認")</f>
        <v>要確認</v>
      </c>
      <c r="G36" s="4"/>
      <c r="H36" s="4"/>
      <c r="I36" s="4" t="str">
        <f>IFERROR(__xludf.DUMMYFUNCTION("""COMPUTED_VALUE"""),"")</f>
        <v/>
      </c>
      <c r="J36" s="4"/>
      <c r="K36" s="4" t="str">
        <f>IFERROR(__xludf.DUMMYFUNCTION("""COMPUTED_VALUE"""),"")</f>
        <v/>
      </c>
      <c r="L36" s="4"/>
    </row>
    <row r="37" ht="15.75" customHeight="1">
      <c r="A37" s="4" t="str">
        <f>IFERROR(__xludf.DUMMYFUNCTION("""COMPUTED_VALUE"""),"SB00007553")</f>
        <v>SB00007553</v>
      </c>
      <c r="B37" s="4"/>
      <c r="C37" s="4" t="str">
        <f>IFERROR(__xludf.DUMMYFUNCTION("""COMPUTED_VALUE"""),"有限会社 清水自動車ガラス福山")</f>
        <v>有限会社 清水自動車ガラス福山</v>
      </c>
      <c r="D37" s="4"/>
      <c r="E37" s="4">
        <f>IFERROR(__xludf.DUMMYFUNCTION("""COMPUTED_VALUE"""),17963.0)</f>
        <v>17963</v>
      </c>
      <c r="F37" s="4" t="str">
        <f>IFERROR(__xludf.DUMMYFUNCTION("""COMPUTED_VALUE"""),"要確認")</f>
        <v>要確認</v>
      </c>
      <c r="G37" s="4"/>
      <c r="H37" s="4"/>
      <c r="I37" s="4" t="str">
        <f>IFERROR(__xludf.DUMMYFUNCTION("""COMPUTED_VALUE"""),"")</f>
        <v/>
      </c>
      <c r="J37" s="4"/>
      <c r="K37" s="4" t="str">
        <f>IFERROR(__xludf.DUMMYFUNCTION("""COMPUTED_VALUE"""),"")</f>
        <v/>
      </c>
      <c r="L37" s="4"/>
    </row>
    <row r="38" ht="15.75" customHeight="1">
      <c r="A38" s="4" t="str">
        <f>IFERROR(__xludf.DUMMYFUNCTION("""COMPUTED_VALUE"""),"SB00024499")</f>
        <v>SB00024499</v>
      </c>
      <c r="B38" s="4" t="str">
        <f>IFERROR(__xludf.DUMMYFUNCTION("""COMPUTED_VALUE"""),"KK00000284")</f>
        <v>KK00000284</v>
      </c>
      <c r="C38" s="4" t="str">
        <f>IFERROR(__xludf.DUMMYFUNCTION("""COMPUTED_VALUE"""),"株式会社　マングローブ代表取締役　児玉 満樹")</f>
        <v>株式会社　マングローブ代表取締役　児玉 満樹</v>
      </c>
      <c r="D38" s="4" t="str">
        <f>IFERROR(__xludf.DUMMYFUNCTION("""COMPUTED_VALUE"""),"株式会社コンクエスト　ジャガーランドローバー広島")</f>
        <v>株式会社コンクエスト　ジャガーランドローバー広島</v>
      </c>
      <c r="E38" s="4">
        <f>IFERROR(__xludf.DUMMYFUNCTION("""COMPUTED_VALUE"""),6600.0)</f>
        <v>6600</v>
      </c>
      <c r="F38" s="4" t="str">
        <f>IFERROR(__xludf.DUMMYFUNCTION("""COMPUTED_VALUE"""),"未照合")</f>
        <v>未照合</v>
      </c>
      <c r="G38" s="4"/>
      <c r="H38" s="4"/>
      <c r="I38" s="4" t="str">
        <f>IFERROR(__xludf.DUMMYFUNCTION("""COMPUTED_VALUE"""),"")</f>
        <v/>
      </c>
      <c r="J38" s="4"/>
      <c r="K38" s="4" t="str">
        <f>IFERROR(__xludf.DUMMYFUNCTION("""COMPUTED_VALUE"""),"")</f>
        <v/>
      </c>
      <c r="L38" s="4"/>
    </row>
    <row r="39" ht="15.75" customHeight="1">
      <c r="A39" s="4" t="str">
        <f>IFERROR(__xludf.DUMMYFUNCTION("""COMPUTED_VALUE"""),"SB00007554")</f>
        <v>SB00007554</v>
      </c>
      <c r="B39" s="4"/>
      <c r="C39" s="4" t="str">
        <f>IFERROR(__xludf.DUMMYFUNCTION("""COMPUTED_VALUE"""),"有限会社 万歩書店代表取締役 金")</f>
        <v>有限会社 万歩書店代表取締役 金</v>
      </c>
      <c r="D39" s="4"/>
      <c r="E39" s="4">
        <f>IFERROR(__xludf.DUMMYFUNCTION("""COMPUTED_VALUE"""),98725.0)</f>
        <v>98725</v>
      </c>
      <c r="F39" s="4" t="str">
        <f>IFERROR(__xludf.DUMMYFUNCTION("""COMPUTED_VALUE"""),"未照合")</f>
        <v>未照合</v>
      </c>
      <c r="G39" s="4"/>
      <c r="H39" s="4"/>
      <c r="I39" s="4" t="str">
        <f>IFERROR(__xludf.DUMMYFUNCTION("""COMPUTED_VALUE"""),"")</f>
        <v/>
      </c>
      <c r="J39" s="4"/>
      <c r="K39" s="4" t="str">
        <f>IFERROR(__xludf.DUMMYFUNCTION("""COMPUTED_VALUE"""),"")</f>
        <v/>
      </c>
      <c r="L39" s="4"/>
    </row>
    <row r="40" ht="15.75" customHeight="1">
      <c r="A40" s="4" t="str">
        <f>IFERROR(__xludf.DUMMYFUNCTION("""COMPUTED_VALUE"""),"SB00007551")</f>
        <v>SB00007551</v>
      </c>
      <c r="B40" s="4"/>
      <c r="C40" s="4" t="str">
        <f>IFERROR(__xludf.DUMMYFUNCTION("""COMPUTED_VALUE"""),"内藤 伸明")</f>
        <v>内藤 伸明</v>
      </c>
      <c r="D40" s="4"/>
      <c r="E40" s="4">
        <f>IFERROR(__xludf.DUMMYFUNCTION("""COMPUTED_VALUE"""),175000.0)</f>
        <v>175000</v>
      </c>
      <c r="F40" s="4" t="str">
        <f>IFERROR(__xludf.DUMMYFUNCTION("""COMPUTED_VALUE"""),"未照合")</f>
        <v>未照合</v>
      </c>
      <c r="G40" s="4"/>
      <c r="H40" s="4"/>
      <c r="I40" s="4" t="str">
        <f>IFERROR(__xludf.DUMMYFUNCTION("""COMPUTED_VALUE"""),"")</f>
        <v/>
      </c>
      <c r="J40" s="4"/>
      <c r="K40" s="4" t="str">
        <f>IFERROR(__xludf.DUMMYFUNCTION("""COMPUTED_VALUE"""),"")</f>
        <v/>
      </c>
      <c r="L40" s="4"/>
    </row>
    <row r="41" ht="15.75" customHeight="1">
      <c r="A41" s="4" t="str">
        <f>IFERROR(__xludf.DUMMYFUNCTION("""COMPUTED_VALUE"""),"SB00024513")</f>
        <v>SB00024513</v>
      </c>
      <c r="B41" s="4" t="str">
        <f>IFERROR(__xludf.DUMMYFUNCTION("""COMPUTED_VALUE"""),"KK00006684")</f>
        <v>KK00006684</v>
      </c>
      <c r="C41" s="4" t="str">
        <f>IFERROR(__xludf.DUMMYFUNCTION("""COMPUTED_VALUE"""),"MTAUTO岡﨑")</f>
        <v>MTAUTO岡﨑</v>
      </c>
      <c r="D41" s="4"/>
      <c r="E41" s="4">
        <f>IFERROR(__xludf.DUMMYFUNCTION("""COMPUTED_VALUE"""),11550.0)</f>
        <v>11550</v>
      </c>
      <c r="F41" s="4" t="str">
        <f>IFERROR(__xludf.DUMMYFUNCTION("""COMPUTED_VALUE"""),"未照合")</f>
        <v>未照合</v>
      </c>
      <c r="G41" s="4"/>
      <c r="H41" s="4"/>
      <c r="I41" s="4" t="str">
        <f>IFERROR(__xludf.DUMMYFUNCTION("""COMPUTED_VALUE"""),"")</f>
        <v/>
      </c>
      <c r="J41" s="4"/>
      <c r="K41" s="4" t="str">
        <f>IFERROR(__xludf.DUMMYFUNCTION("""COMPUTED_VALUE"""),"")</f>
        <v/>
      </c>
      <c r="L41" s="4"/>
    </row>
    <row r="42" ht="15.75" customHeight="1">
      <c r="A42" s="4" t="str">
        <f>IFERROR(__xludf.DUMMYFUNCTION("""COMPUTED_VALUE"""),"SB00024514")</f>
        <v>SB00024514</v>
      </c>
      <c r="B42" s="4" t="str">
        <f>IFERROR(__xludf.DUMMYFUNCTION("""COMPUTED_VALUE"""),"KK00006997")</f>
        <v>KK00006997</v>
      </c>
      <c r="C42" s="4" t="str">
        <f>IFERROR(__xludf.DUMMYFUNCTION("""COMPUTED_VALUE"""),"株式会社　オーバルポート代表取締役 田邉　哲郎")</f>
        <v>株式会社　オーバルポート代表取締役 田邉　哲郎</v>
      </c>
      <c r="D42" s="4" t="str">
        <f>IFERROR(__xludf.DUMMYFUNCTION("""COMPUTED_VALUE"""),"株式会社コンクエスト　ジャガーランドローバー広島")</f>
        <v>株式会社コンクエスト　ジャガーランドローバー広島</v>
      </c>
      <c r="E42" s="4">
        <f>IFERROR(__xludf.DUMMYFUNCTION("""COMPUTED_VALUE"""),12100.0)</f>
        <v>12100</v>
      </c>
      <c r="F42" s="4" t="str">
        <f>IFERROR(__xludf.DUMMYFUNCTION("""COMPUTED_VALUE"""),"未照合")</f>
        <v>未照合</v>
      </c>
      <c r="G42" s="4"/>
      <c r="H42" s="4"/>
      <c r="I42" s="4" t="str">
        <f>IFERROR(__xludf.DUMMYFUNCTION("""COMPUTED_VALUE"""),"")</f>
        <v/>
      </c>
      <c r="J42" s="4"/>
      <c r="K42" s="4" t="str">
        <f>IFERROR(__xludf.DUMMYFUNCTION("""COMPUTED_VALUE"""),"")</f>
        <v/>
      </c>
      <c r="L42" s="4"/>
    </row>
    <row r="43" ht="15.75" customHeight="1">
      <c r="A43" s="4" t="str">
        <f>IFERROR(__xludf.DUMMYFUNCTION("""COMPUTED_VALUE"""),"SB00024515")</f>
        <v>SB00024515</v>
      </c>
      <c r="B43" s="4" t="str">
        <f>IFERROR(__xludf.DUMMYFUNCTION("""COMPUTED_VALUE"""),"KK00006997")</f>
        <v>KK00006997</v>
      </c>
      <c r="C43" s="4" t="str">
        <f>IFERROR(__xludf.DUMMYFUNCTION("""COMPUTED_VALUE"""),"株式会社　オーバルポート代表取締役 田邉　哲郎")</f>
        <v>株式会社　オーバルポート代表取締役 田邉　哲郎</v>
      </c>
      <c r="D43" s="4" t="str">
        <f>IFERROR(__xludf.DUMMYFUNCTION("""COMPUTED_VALUE"""),"株式会社コンクエスト　ジャガーランドローバー広島")</f>
        <v>株式会社コンクエスト　ジャガーランドローバー広島</v>
      </c>
      <c r="E43" s="4">
        <f>IFERROR(__xludf.DUMMYFUNCTION("""COMPUTED_VALUE"""),9900.0)</f>
        <v>9900</v>
      </c>
      <c r="F43" s="4" t="str">
        <f>IFERROR(__xludf.DUMMYFUNCTION("""COMPUTED_VALUE"""),"未照合")</f>
        <v>未照合</v>
      </c>
      <c r="G43" s="4"/>
      <c r="H43" s="4"/>
      <c r="I43" s="4" t="str">
        <f>IFERROR(__xludf.DUMMYFUNCTION("""COMPUTED_VALUE"""),"")</f>
        <v/>
      </c>
      <c r="J43" s="4"/>
      <c r="K43" s="4" t="str">
        <f>IFERROR(__xludf.DUMMYFUNCTION("""COMPUTED_VALUE"""),"")</f>
        <v/>
      </c>
      <c r="L43" s="4"/>
    </row>
    <row r="44" ht="15.75" customHeight="1">
      <c r="A44" s="4"/>
      <c r="B44" s="4"/>
      <c r="C44" s="4" t="str">
        <f>IFERROR(__xludf.DUMMYFUNCTION("""COMPUTED_VALUE"""),"吉野幸美")</f>
        <v>吉野幸美</v>
      </c>
      <c r="D44" s="4"/>
      <c r="E44" s="4">
        <f>IFERROR(__xludf.DUMMYFUNCTION("""COMPUTED_VALUE"""),3236110.0)</f>
        <v>3236110</v>
      </c>
      <c r="F44" s="4" t="str">
        <f>IFERROR(__xludf.DUMMYFUNCTION("""COMPUTED_VALUE"""),"未照合")</f>
        <v>未照合</v>
      </c>
      <c r="G44" s="4"/>
      <c r="H44" s="4"/>
      <c r="I44" s="4" t="str">
        <f>IFERROR(__xludf.DUMMYFUNCTION("""COMPUTED_VALUE"""),"")</f>
        <v/>
      </c>
      <c r="J44" s="4"/>
      <c r="K44" s="4" t="str">
        <f>IFERROR(__xludf.DUMMYFUNCTION("""COMPUTED_VALUE"""),"")</f>
        <v/>
      </c>
      <c r="L44" s="4"/>
    </row>
    <row r="45" ht="15.75" customHeight="1">
      <c r="A45" s="4" t="str">
        <f>IFERROR(__xludf.DUMMYFUNCTION("""COMPUTED_VALUE"""),"SB00007550")</f>
        <v>SB00007550</v>
      </c>
      <c r="B45" s="4"/>
      <c r="C45" s="4" t="str">
        <f>IFERROR(__xludf.DUMMYFUNCTION("""COMPUTED_VALUE"""),"福間商事株式会社")</f>
        <v>福間商事株式会社</v>
      </c>
      <c r="D45" s="4" t="str">
        <f>IFERROR(__xludf.DUMMYFUNCTION("""COMPUTED_VALUE"""),"有限会社 ベルリーナ")</f>
        <v>有限会社 ベルリーナ</v>
      </c>
      <c r="E45" s="4">
        <f>IFERROR(__xludf.DUMMYFUNCTION("""COMPUTED_VALUE"""),131252.0)</f>
        <v>131252</v>
      </c>
      <c r="F45" s="4" t="str">
        <f>IFERROR(__xludf.DUMMYFUNCTION("""COMPUTED_VALUE"""),"未照合")</f>
        <v>未照合</v>
      </c>
      <c r="G45" s="4"/>
      <c r="H45" s="4"/>
      <c r="I45" s="4" t="str">
        <f>IFERROR(__xludf.DUMMYFUNCTION("""COMPUTED_VALUE"""),"")</f>
        <v/>
      </c>
      <c r="J45" s="4"/>
      <c r="K45" s="4" t="str">
        <f>IFERROR(__xludf.DUMMYFUNCTION("""COMPUTED_VALUE"""),"")</f>
        <v/>
      </c>
      <c r="L45" s="4"/>
    </row>
    <row r="46" ht="15.75" customHeight="1">
      <c r="A46" s="4"/>
      <c r="B46" s="4"/>
      <c r="C46" s="4" t="str">
        <f>IFERROR(__xludf.DUMMYFUNCTION("""COMPUTED_VALUE"""),"ｶｰｽﾞﾄﾞﾛｯﾌﾟｲﾝ（安西工業様下取）")</f>
        <v>ｶｰｽﾞﾄﾞﾛｯﾌﾟｲﾝ（安西工業様下取）</v>
      </c>
      <c r="D46" s="4"/>
      <c r="E46" s="4">
        <f>IFERROR(__xludf.DUMMYFUNCTION("""COMPUTED_VALUE"""),1.82E7)</f>
        <v>18200000</v>
      </c>
      <c r="F46" s="4" t="str">
        <f>IFERROR(__xludf.DUMMYFUNCTION("""COMPUTED_VALUE"""),"要確認")</f>
        <v>要確認</v>
      </c>
      <c r="G46" s="4"/>
      <c r="H46" s="4"/>
      <c r="I46" s="4" t="str">
        <f>IFERROR(__xludf.DUMMYFUNCTION("""COMPUTED_VALUE"""),"")</f>
        <v/>
      </c>
      <c r="J46" s="4"/>
      <c r="K46" s="4" t="str">
        <f>IFERROR(__xludf.DUMMYFUNCTION("""COMPUTED_VALUE"""),"")</f>
        <v/>
      </c>
      <c r="L46" s="4"/>
    </row>
    <row r="47" ht="15.75" customHeight="1">
      <c r="A47" s="4"/>
      <c r="B47" s="4"/>
      <c r="C47" s="4" t="str">
        <f>IFERROR(__xludf.DUMMYFUNCTION("""COMPUTED_VALUE"""),"株式会社斎藤ｺｰﾎﾟﾚｰｼｮﾝ        代表取締役　齋藤　誠")</f>
        <v>株式会社斎藤ｺｰﾎﾟﾚｰｼｮﾝ        代表取締役　齋藤　誠</v>
      </c>
      <c r="D47" s="4"/>
      <c r="E47" s="4">
        <f>IFERROR(__xludf.DUMMYFUNCTION("""COMPUTED_VALUE"""),1.5712182E7)</f>
        <v>15712182</v>
      </c>
      <c r="F47" s="4" t="str">
        <f>IFERROR(__xludf.DUMMYFUNCTION("""COMPUTED_VALUE"""),"要確認")</f>
        <v>要確認</v>
      </c>
      <c r="G47" s="4" t="str">
        <f>IFERROR(__xludf.DUMMYFUNCTION("""COMPUTED_VALUE"""),"振り込み")</f>
        <v>振り込み</v>
      </c>
      <c r="H47" s="4"/>
      <c r="I47" s="4" t="str">
        <f>IFERROR(__xludf.DUMMYFUNCTION("""COMPUTED_VALUE"""),"")</f>
        <v/>
      </c>
      <c r="J47" s="4"/>
      <c r="K47" s="4" t="str">
        <f>IFERROR(__xludf.DUMMYFUNCTION("""COMPUTED_VALUE"""),"")</f>
        <v/>
      </c>
      <c r="L47" s="4"/>
    </row>
    <row r="48" ht="15.75" customHeight="1">
      <c r="A48" s="4" t="str">
        <f>IFERROR(__xludf.DUMMYFUNCTION("""COMPUTED_VALUE"""),"SB00024473")</f>
        <v>SB00024473</v>
      </c>
      <c r="B48" s="4" t="str">
        <f>IFERROR(__xludf.DUMMYFUNCTION("""COMPUTED_VALUE"""),"KK00007191")</f>
        <v>KK00007191</v>
      </c>
      <c r="C48" s="4" t="str">
        <f>IFERROR(__xludf.DUMMYFUNCTION("""COMPUTED_VALUE"""),"宮﨑　亜希子")</f>
        <v>宮﨑　亜希子</v>
      </c>
      <c r="D48" s="4"/>
      <c r="E48" s="4">
        <f>IFERROR(__xludf.DUMMYFUNCTION("""COMPUTED_VALUE"""),106500.0)</f>
        <v>106500</v>
      </c>
      <c r="F48" s="4" t="str">
        <f>IFERROR(__xludf.DUMMYFUNCTION("""COMPUTED_VALUE"""),"未照合")</f>
        <v>未照合</v>
      </c>
      <c r="G48" s="4"/>
      <c r="H48" s="4"/>
      <c r="I48" s="4" t="str">
        <f>IFERROR(__xludf.DUMMYFUNCTION("""COMPUTED_VALUE"""),"")</f>
        <v/>
      </c>
      <c r="J48" s="4"/>
      <c r="K48" s="4" t="str">
        <f>IFERROR(__xludf.DUMMYFUNCTION("""COMPUTED_VALUE"""),"")</f>
        <v/>
      </c>
      <c r="L48" s="4"/>
    </row>
    <row r="49" ht="15.75" customHeight="1">
      <c r="A49" s="4" t="str">
        <f>IFERROR(__xludf.DUMMYFUNCTION("""COMPUTED_VALUE"""),"SB00024485")</f>
        <v>SB00024485</v>
      </c>
      <c r="B49" s="4" t="str">
        <f>IFERROR(__xludf.DUMMYFUNCTION("""COMPUTED_VALUE"""),"KK00006281")</f>
        <v>KK00006281</v>
      </c>
      <c r="C49" s="4" t="str">
        <f>IFERROR(__xludf.DUMMYFUNCTION("""COMPUTED_VALUE"""),"船越　郁美")</f>
        <v>船越　郁美</v>
      </c>
      <c r="D49" s="4" t="str">
        <f>IFERROR(__xludf.DUMMYFUNCTION("""COMPUTED_VALUE"""),"株式会社コンクエスト　ジャガーランドローバー広島")</f>
        <v>株式会社コンクエスト　ジャガーランドローバー広島</v>
      </c>
      <c r="E49" s="4">
        <f>IFERROR(__xludf.DUMMYFUNCTION("""COMPUTED_VALUE"""),19784.0)</f>
        <v>19784</v>
      </c>
      <c r="F49" s="4" t="str">
        <f>IFERROR(__xludf.DUMMYFUNCTION("""COMPUTED_VALUE"""),"未照合")</f>
        <v>未照合</v>
      </c>
      <c r="G49" s="4"/>
      <c r="H49" s="4"/>
      <c r="I49" s="4" t="str">
        <f>IFERROR(__xludf.DUMMYFUNCTION("""COMPUTED_VALUE"""),"")</f>
        <v/>
      </c>
      <c r="J49" s="4"/>
      <c r="K49" s="4" t="str">
        <f>IFERROR(__xludf.DUMMYFUNCTION("""COMPUTED_VALUE"""),"")</f>
        <v/>
      </c>
      <c r="L49" s="4"/>
    </row>
    <row r="50" ht="15.75" customHeight="1">
      <c r="A50" s="4" t="str">
        <f>IFERROR(__xludf.DUMMYFUNCTION("""COMPUTED_VALUE"""),"SB00024490")</f>
        <v>SB00024490</v>
      </c>
      <c r="B50" s="4" t="str">
        <f>IFERROR(__xludf.DUMMYFUNCTION("""COMPUTED_VALUE"""),"KK00007081")</f>
        <v>KK00007081</v>
      </c>
      <c r="C50" s="4" t="str">
        <f>IFERROR(__xludf.DUMMYFUNCTION("""COMPUTED_VALUE"""),"フルモト建機株式会社代表取締役　古本幸久")</f>
        <v>フルモト建機株式会社代表取締役　古本幸久</v>
      </c>
      <c r="D50" s="4"/>
      <c r="E50" s="4">
        <f>IFERROR(__xludf.DUMMYFUNCTION("""COMPUTED_VALUE"""),278090.0)</f>
        <v>278090</v>
      </c>
      <c r="F50" s="4" t="str">
        <f>IFERROR(__xludf.DUMMYFUNCTION("""COMPUTED_VALUE"""),"未照合")</f>
        <v>未照合</v>
      </c>
      <c r="G50" s="4"/>
      <c r="H50" s="4"/>
      <c r="I50" s="4" t="str">
        <f>IFERROR(__xludf.DUMMYFUNCTION("""COMPUTED_VALUE"""),"")</f>
        <v/>
      </c>
      <c r="J50" s="4"/>
      <c r="K50" s="4" t="str">
        <f>IFERROR(__xludf.DUMMYFUNCTION("""COMPUTED_VALUE"""),"")</f>
        <v/>
      </c>
      <c r="L50" s="4"/>
    </row>
    <row r="51" ht="15.75" customHeight="1">
      <c r="A51" s="4" t="str">
        <f>IFERROR(__xludf.DUMMYFUNCTION("""COMPUTED_VALUE"""),"SB00024492")</f>
        <v>SB00024492</v>
      </c>
      <c r="B51" s="4" t="str">
        <f>IFERROR(__xludf.DUMMYFUNCTION("""COMPUTED_VALUE"""),"KK00006142")</f>
        <v>KK00006142</v>
      </c>
      <c r="C51" s="4" t="str">
        <f>IFERROR(__xludf.DUMMYFUNCTION("""COMPUTED_VALUE"""),"三宅　修司")</f>
        <v>三宅　修司</v>
      </c>
      <c r="D51" s="4"/>
      <c r="E51" s="4">
        <f>IFERROR(__xludf.DUMMYFUNCTION("""COMPUTED_VALUE"""),357384.0)</f>
        <v>357384</v>
      </c>
      <c r="F51" s="4" t="str">
        <f>IFERROR(__xludf.DUMMYFUNCTION("""COMPUTED_VALUE"""),"未照合")</f>
        <v>未照合</v>
      </c>
      <c r="G51" s="4"/>
      <c r="H51" s="4"/>
      <c r="I51" s="4" t="str">
        <f>IFERROR(__xludf.DUMMYFUNCTION("""COMPUTED_VALUE"""),"")</f>
        <v/>
      </c>
      <c r="J51" s="4"/>
      <c r="K51" s="4" t="str">
        <f>IFERROR(__xludf.DUMMYFUNCTION("""COMPUTED_VALUE"""),"")</f>
        <v/>
      </c>
      <c r="L51" s="4"/>
    </row>
    <row r="52" ht="15.75" customHeight="1">
      <c r="A52" s="4" t="str">
        <f>IFERROR(__xludf.DUMMYFUNCTION("""COMPUTED_VALUE"""),"SB00024493")</f>
        <v>SB00024493</v>
      </c>
      <c r="B52" s="4" t="str">
        <f>IFERROR(__xludf.DUMMYFUNCTION("""COMPUTED_VALUE"""),"KK00000913")</f>
        <v>KK00000913</v>
      </c>
      <c r="C52" s="4" t="str">
        <f>IFERROR(__xludf.DUMMYFUNCTION("""COMPUTED_VALUE"""),"仲本　典明")</f>
        <v>仲本　典明</v>
      </c>
      <c r="D52" s="4"/>
      <c r="E52" s="4">
        <f>IFERROR(__xludf.DUMMYFUNCTION("""COMPUTED_VALUE"""),243185.0)</f>
        <v>243185</v>
      </c>
      <c r="F52" s="4" t="str">
        <f>IFERROR(__xludf.DUMMYFUNCTION("""COMPUTED_VALUE"""),"未照合")</f>
        <v>未照合</v>
      </c>
      <c r="G52" s="4"/>
      <c r="H52" s="4"/>
      <c r="I52" s="4" t="str">
        <f>IFERROR(__xludf.DUMMYFUNCTION("""COMPUTED_VALUE"""),"")</f>
        <v/>
      </c>
      <c r="J52" s="4"/>
      <c r="K52" s="4" t="str">
        <f>IFERROR(__xludf.DUMMYFUNCTION("""COMPUTED_VALUE"""),"")</f>
        <v/>
      </c>
      <c r="L52" s="4"/>
    </row>
    <row r="53" ht="15.75" customHeight="1">
      <c r="A53" s="4" t="str">
        <f>IFERROR(__xludf.DUMMYFUNCTION("""COMPUTED_VALUE"""),"SB00024502")</f>
        <v>SB00024502</v>
      </c>
      <c r="B53" s="4" t="str">
        <f>IFERROR(__xludf.DUMMYFUNCTION("""COMPUTED_VALUE"""),"KK00001220")</f>
        <v>KK00001220</v>
      </c>
      <c r="C53" s="4" t="str">
        <f>IFERROR(__xludf.DUMMYFUNCTION("""COMPUTED_VALUE"""),"陶山　哲宏")</f>
        <v>陶山　哲宏</v>
      </c>
      <c r="D53" s="4"/>
      <c r="E53" s="4">
        <f>IFERROR(__xludf.DUMMYFUNCTION("""COMPUTED_VALUE"""),157153.0)</f>
        <v>157153</v>
      </c>
      <c r="F53" s="4" t="str">
        <f>IFERROR(__xludf.DUMMYFUNCTION("""COMPUTED_VALUE"""),"未照合")</f>
        <v>未照合</v>
      </c>
      <c r="G53" s="4"/>
      <c r="H53" s="4"/>
      <c r="I53" s="4" t="str">
        <f>IFERROR(__xludf.DUMMYFUNCTION("""COMPUTED_VALUE"""),"")</f>
        <v/>
      </c>
      <c r="J53" s="4"/>
      <c r="K53" s="4" t="str">
        <f>IFERROR(__xludf.DUMMYFUNCTION("""COMPUTED_VALUE"""),"")</f>
        <v/>
      </c>
      <c r="L53" s="4"/>
    </row>
    <row r="54" ht="15.75" customHeight="1">
      <c r="A54" s="4" t="str">
        <f>IFERROR(__xludf.DUMMYFUNCTION("""COMPUTED_VALUE"""),"SB00024505")</f>
        <v>SB00024505</v>
      </c>
      <c r="B54" s="4" t="str">
        <f>IFERROR(__xludf.DUMMYFUNCTION("""COMPUTED_VALUE"""),"KK00007165")</f>
        <v>KK00007165</v>
      </c>
      <c r="C54" s="4" t="str">
        <f>IFERROR(__xludf.DUMMYFUNCTION("""COMPUTED_VALUE"""),"株式会社藤和ホールディングス代表取締役 藤原洋明")</f>
        <v>株式会社藤和ホールディングス代表取締役 藤原洋明</v>
      </c>
      <c r="D54" s="4"/>
      <c r="E54" s="4">
        <f>IFERROR(__xludf.DUMMYFUNCTION("""COMPUTED_VALUE"""),154000.0)</f>
        <v>154000</v>
      </c>
      <c r="F54" s="4" t="str">
        <f>IFERROR(__xludf.DUMMYFUNCTION("""COMPUTED_VALUE"""),"未照合")</f>
        <v>未照合</v>
      </c>
      <c r="G54" s="4"/>
      <c r="H54" s="4"/>
      <c r="I54" s="4" t="str">
        <f>IFERROR(__xludf.DUMMYFUNCTION("""COMPUTED_VALUE"""),"")</f>
        <v/>
      </c>
      <c r="J54" s="4"/>
      <c r="K54" s="4" t="str">
        <f>IFERROR(__xludf.DUMMYFUNCTION("""COMPUTED_VALUE"""),"")</f>
        <v/>
      </c>
      <c r="L54" s="4"/>
    </row>
    <row r="55" ht="15.75" customHeight="1">
      <c r="A55" s="4" t="str">
        <f>IFERROR(__xludf.DUMMYFUNCTION("""COMPUTED_VALUE"""),"SB00024517")</f>
        <v>SB00024517</v>
      </c>
      <c r="B55" s="4" t="str">
        <f>IFERROR(__xludf.DUMMYFUNCTION("""COMPUTED_VALUE"""),"KK00006782")</f>
        <v>KK00006782</v>
      </c>
      <c r="C55" s="4" t="str">
        <f>IFERROR(__xludf.DUMMYFUNCTION("""COMPUTED_VALUE"""),"串田　芳文")</f>
        <v>串田　芳文</v>
      </c>
      <c r="D55" s="4" t="str">
        <f>IFERROR(__xludf.DUMMYFUNCTION("""COMPUTED_VALUE"""),"株式会社コンクエスト　ジャガーランドローバー広島")</f>
        <v>株式会社コンクエスト　ジャガーランドローバー広島</v>
      </c>
      <c r="E55" s="4">
        <f>IFERROR(__xludf.DUMMYFUNCTION("""COMPUTED_VALUE"""),51772.0)</f>
        <v>51772</v>
      </c>
      <c r="F55" s="4" t="str">
        <f>IFERROR(__xludf.DUMMYFUNCTION("""COMPUTED_VALUE"""),"未照合")</f>
        <v>未照合</v>
      </c>
      <c r="G55" s="4"/>
      <c r="H55" s="4"/>
      <c r="I55" s="4" t="str">
        <f>IFERROR(__xludf.DUMMYFUNCTION("""COMPUTED_VALUE"""),"")</f>
        <v/>
      </c>
      <c r="J55" s="4"/>
      <c r="K55" s="4" t="str">
        <f>IFERROR(__xludf.DUMMYFUNCTION("""COMPUTED_VALUE"""),"")</f>
        <v/>
      </c>
      <c r="L55" s="4"/>
    </row>
    <row r="56" ht="15.75" customHeight="1">
      <c r="A56" s="4" t="str">
        <f>IFERROR(__xludf.DUMMYFUNCTION("""COMPUTED_VALUE"""),"SB00024518")</f>
        <v>SB00024518</v>
      </c>
      <c r="B56" s="4" t="str">
        <f>IFERROR(__xludf.DUMMYFUNCTION("""COMPUTED_VALUE"""),"KK00006782")</f>
        <v>KK00006782</v>
      </c>
      <c r="C56" s="4" t="str">
        <f>IFERROR(__xludf.DUMMYFUNCTION("""COMPUTED_VALUE"""),"串田　芳文")</f>
        <v>串田　芳文</v>
      </c>
      <c r="D56" s="4" t="str">
        <f>IFERROR(__xludf.DUMMYFUNCTION("""COMPUTED_VALUE"""),"株式会社コンクエスト　ジャガーランドローバー広島")</f>
        <v>株式会社コンクエスト　ジャガーランドローバー広島</v>
      </c>
      <c r="E56" s="4">
        <f>IFERROR(__xludf.DUMMYFUNCTION("""COMPUTED_VALUE"""),44000.0)</f>
        <v>44000</v>
      </c>
      <c r="F56" s="4" t="str">
        <f>IFERROR(__xludf.DUMMYFUNCTION("""COMPUTED_VALUE"""),"未照合")</f>
        <v>未照合</v>
      </c>
      <c r="G56" s="4"/>
      <c r="H56" s="4"/>
      <c r="I56" s="4" t="str">
        <f>IFERROR(__xludf.DUMMYFUNCTION("""COMPUTED_VALUE"""),"")</f>
        <v/>
      </c>
      <c r="J56" s="4"/>
      <c r="K56" s="4" t="str">
        <f>IFERROR(__xludf.DUMMYFUNCTION("""COMPUTED_VALUE"""),"")</f>
        <v/>
      </c>
      <c r="L56" s="4"/>
    </row>
    <row r="57" ht="15.75" customHeight="1">
      <c r="A57" s="4" t="str">
        <f>IFERROR(__xludf.DUMMYFUNCTION("""COMPUTED_VALUE"""),"SB00007474")</f>
        <v>SB00007474</v>
      </c>
      <c r="B57" s="4"/>
      <c r="C57" s="4" t="str">
        <f>IFERROR(__xludf.DUMMYFUNCTION("""COMPUTED_VALUE"""),"森祐司")</f>
        <v>森祐司</v>
      </c>
      <c r="D57" s="4"/>
      <c r="E57" s="4">
        <f>IFERROR(__xludf.DUMMYFUNCTION("""COMPUTED_VALUE"""),394515.0)</f>
        <v>394515</v>
      </c>
      <c r="F57" s="4" t="str">
        <f>IFERROR(__xludf.DUMMYFUNCTION("""COMPUTED_VALUE"""),"未照合")</f>
        <v>未照合</v>
      </c>
      <c r="G57" s="4"/>
      <c r="H57" s="4"/>
      <c r="I57" s="4" t="str">
        <f>IFERROR(__xludf.DUMMYFUNCTION("""COMPUTED_VALUE"""),"")</f>
        <v/>
      </c>
      <c r="J57" s="4"/>
      <c r="K57" s="4" t="str">
        <f>IFERROR(__xludf.DUMMYFUNCTION("""COMPUTED_VALUE"""),"")</f>
        <v/>
      </c>
      <c r="L57" s="4"/>
    </row>
    <row r="58" ht="15.75" customHeight="1">
      <c r="A58" s="4" t="str">
        <f>IFERROR(__xludf.DUMMYFUNCTION("""COMPUTED_VALUE"""),"SB00024480")</f>
        <v>SB00024480</v>
      </c>
      <c r="B58" s="4" t="str">
        <f>IFERROR(__xludf.DUMMYFUNCTION("""COMPUTED_VALUE"""),"KK00000284")</f>
        <v>KK00000284</v>
      </c>
      <c r="C58" s="4" t="str">
        <f>IFERROR(__xludf.DUMMYFUNCTION("""COMPUTED_VALUE"""),"株式会社　マングローブ代表取締役　児玉 満樹")</f>
        <v>株式会社　マングローブ代表取締役　児玉 満樹</v>
      </c>
      <c r="D58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58" s="4">
        <f>IFERROR(__xludf.DUMMYFUNCTION("""COMPUTED_VALUE"""),333300.0)</f>
        <v>333300</v>
      </c>
      <c r="F58" s="4" t="str">
        <f>IFERROR(__xludf.DUMMYFUNCTION("""COMPUTED_VALUE"""),"未照合")</f>
        <v>未照合</v>
      </c>
      <c r="G58" s="4"/>
      <c r="H58" s="4"/>
      <c r="I58" s="4" t="str">
        <f>IFERROR(__xludf.DUMMYFUNCTION("""COMPUTED_VALUE"""),"")</f>
        <v/>
      </c>
      <c r="J58" s="4"/>
      <c r="K58" s="4" t="str">
        <f>IFERROR(__xludf.DUMMYFUNCTION("""COMPUTED_VALUE"""),"")</f>
        <v/>
      </c>
      <c r="L58" s="4"/>
    </row>
    <row r="59" ht="15.75" customHeight="1">
      <c r="A59" s="4" t="str">
        <f>IFERROR(__xludf.DUMMYFUNCTION("""COMPUTED_VALUE"""),"SB00024494")</f>
        <v>SB00024494</v>
      </c>
      <c r="B59" s="4" t="str">
        <f>IFERROR(__xludf.DUMMYFUNCTION("""COMPUTED_VALUE"""),"KK00006775")</f>
        <v>KK00006775</v>
      </c>
      <c r="C59" s="4" t="str">
        <f>IFERROR(__xludf.DUMMYFUNCTION("""COMPUTED_VALUE"""),"安保　雅文")</f>
        <v>安保　雅文</v>
      </c>
      <c r="D59" s="4" t="str">
        <f>IFERROR(__xludf.DUMMYFUNCTION("""COMPUTED_VALUE"""),"株式会社コンクエスト　ジャガーランドローバー広島")</f>
        <v>株式会社コンクエスト　ジャガーランドローバー広島</v>
      </c>
      <c r="E59" s="4">
        <f>IFERROR(__xludf.DUMMYFUNCTION("""COMPUTED_VALUE"""),52443.0)</f>
        <v>52443</v>
      </c>
      <c r="F59" s="4" t="str">
        <f>IFERROR(__xludf.DUMMYFUNCTION("""COMPUTED_VALUE"""),"未照合")</f>
        <v>未照合</v>
      </c>
      <c r="G59" s="4"/>
      <c r="H59" s="4"/>
      <c r="I59" s="4" t="str">
        <f>IFERROR(__xludf.DUMMYFUNCTION("""COMPUTED_VALUE"""),"")</f>
        <v/>
      </c>
      <c r="J59" s="4"/>
      <c r="K59" s="4" t="str">
        <f>IFERROR(__xludf.DUMMYFUNCTION("""COMPUTED_VALUE"""),"")</f>
        <v/>
      </c>
      <c r="L59" s="4"/>
    </row>
    <row r="60" ht="15.75" customHeight="1">
      <c r="A60" s="4" t="str">
        <f>IFERROR(__xludf.DUMMYFUNCTION("""COMPUTED_VALUE"""),"SB00024519")</f>
        <v>SB00024519</v>
      </c>
      <c r="B60" s="4" t="str">
        <f>IFERROR(__xludf.DUMMYFUNCTION("""COMPUTED_VALUE"""),"KK00006201")</f>
        <v>KK00006201</v>
      </c>
      <c r="C60" s="4" t="str">
        <f>IFERROR(__xludf.DUMMYFUNCTION("""COMPUTED_VALUE"""),"株式会社　エッジトラスト代表取締役　奥野浩司")</f>
        <v>株式会社　エッジトラスト代表取締役　奥野浩司</v>
      </c>
      <c r="D60" s="4"/>
      <c r="E60" s="4">
        <f>IFERROR(__xludf.DUMMYFUNCTION("""COMPUTED_VALUE"""),98010.0)</f>
        <v>98010</v>
      </c>
      <c r="F60" s="4" t="str">
        <f>IFERROR(__xludf.DUMMYFUNCTION("""COMPUTED_VALUE"""),"要確認")</f>
        <v>要確認</v>
      </c>
      <c r="G60" s="4"/>
      <c r="H60" s="4"/>
      <c r="I60" s="4" t="str">
        <f>IFERROR(__xludf.DUMMYFUNCTION("""COMPUTED_VALUE"""),"")</f>
        <v/>
      </c>
      <c r="J60" s="4"/>
      <c r="K60" s="4" t="str">
        <f>IFERROR(__xludf.DUMMYFUNCTION("""COMPUTED_VALUE"""),"")</f>
        <v/>
      </c>
      <c r="L60" s="4"/>
    </row>
    <row r="61" ht="15.75" customHeight="1">
      <c r="A61" s="4" t="str">
        <f>IFERROR(__xludf.DUMMYFUNCTION("""COMPUTED_VALUE"""),"SB00024525")</f>
        <v>SB00024525</v>
      </c>
      <c r="B61" s="4" t="str">
        <f>IFERROR(__xludf.DUMMYFUNCTION("""COMPUTED_VALUE"""),"KK00006449")</f>
        <v>KK00006449</v>
      </c>
      <c r="C61" s="4" t="str">
        <f>IFERROR(__xludf.DUMMYFUNCTION("""COMPUTED_VALUE"""),"小林　弘治")</f>
        <v>小林　弘治</v>
      </c>
      <c r="D61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61" s="4">
        <f>IFERROR(__xludf.DUMMYFUNCTION("""COMPUTED_VALUE"""),138380.0)</f>
        <v>138380</v>
      </c>
      <c r="F61" s="4" t="str">
        <f>IFERROR(__xludf.DUMMYFUNCTION("""COMPUTED_VALUE"""),"未照合")</f>
        <v>未照合</v>
      </c>
      <c r="G61" s="4"/>
      <c r="H61" s="4"/>
      <c r="I61" s="4" t="str">
        <f>IFERROR(__xludf.DUMMYFUNCTION("""COMPUTED_VALUE"""),"")</f>
        <v/>
      </c>
      <c r="J61" s="4"/>
      <c r="K61" s="4" t="str">
        <f>IFERROR(__xludf.DUMMYFUNCTION("""COMPUTED_VALUE"""),"")</f>
        <v/>
      </c>
      <c r="L61" s="4"/>
    </row>
    <row r="62" ht="15.75" customHeight="1">
      <c r="A62" s="4" t="str">
        <f>IFERROR(__xludf.DUMMYFUNCTION("""COMPUTED_VALUE"""),"SB00024531")</f>
        <v>SB00024531</v>
      </c>
      <c r="B62" s="4" t="str">
        <f>IFERROR(__xludf.DUMMYFUNCTION("""COMPUTED_VALUE"""),"KK00006712")</f>
        <v>KK00006712</v>
      </c>
      <c r="C62" s="4" t="str">
        <f>IFERROR(__xludf.DUMMYFUNCTION("""COMPUTED_VALUE"""),"藤井　洋二")</f>
        <v>藤井　洋二</v>
      </c>
      <c r="D62" s="4" t="str">
        <f>IFERROR(__xludf.DUMMYFUNCTION("""COMPUTED_VALUE"""),"株式会社コンクエスト　ジャガーランドローバー広島")</f>
        <v>株式会社コンクエスト　ジャガーランドローバー広島</v>
      </c>
      <c r="E62" s="4">
        <f>IFERROR(__xludf.DUMMYFUNCTION("""COMPUTED_VALUE"""),3652.0)</f>
        <v>3652</v>
      </c>
      <c r="F62" s="4" t="str">
        <f>IFERROR(__xludf.DUMMYFUNCTION("""COMPUTED_VALUE"""),"未照合")</f>
        <v>未照合</v>
      </c>
      <c r="G62" s="4"/>
      <c r="H62" s="4"/>
      <c r="I62" s="4" t="str">
        <f>IFERROR(__xludf.DUMMYFUNCTION("""COMPUTED_VALUE"""),"")</f>
        <v/>
      </c>
      <c r="J62" s="4"/>
      <c r="K62" s="4" t="str">
        <f>IFERROR(__xludf.DUMMYFUNCTION("""COMPUTED_VALUE"""),"")</f>
        <v/>
      </c>
      <c r="L62" s="4"/>
    </row>
    <row r="63" ht="15.75" customHeight="1">
      <c r="A63" s="4" t="str">
        <f>IFERROR(__xludf.DUMMYFUNCTION("""COMPUTED_VALUE"""),"SB00024535")</f>
        <v>SB00024535</v>
      </c>
      <c r="B63" s="4" t="str">
        <f>IFERROR(__xludf.DUMMYFUNCTION("""COMPUTED_VALUE"""),"KK00004848")</f>
        <v>KK00004848</v>
      </c>
      <c r="C63" s="4" t="str">
        <f>IFERROR(__xludf.DUMMYFUNCTION("""COMPUTED_VALUE"""),"後藤　昇")</f>
        <v>後藤　昇</v>
      </c>
      <c r="D63" s="4"/>
      <c r="E63" s="4">
        <f>IFERROR(__xludf.DUMMYFUNCTION("""COMPUTED_VALUE"""),7040.0)</f>
        <v>7040</v>
      </c>
      <c r="F63" s="4" t="str">
        <f>IFERROR(__xludf.DUMMYFUNCTION("""COMPUTED_VALUE"""),"未照合")</f>
        <v>未照合</v>
      </c>
      <c r="G63" s="4"/>
      <c r="H63" s="4"/>
      <c r="I63" s="4" t="str">
        <f>IFERROR(__xludf.DUMMYFUNCTION("""COMPUTED_VALUE"""),"")</f>
        <v/>
      </c>
      <c r="J63" s="4"/>
      <c r="K63" s="4" t="str">
        <f>IFERROR(__xludf.DUMMYFUNCTION("""COMPUTED_VALUE"""),"")</f>
        <v/>
      </c>
      <c r="L63" s="4"/>
    </row>
    <row r="64" ht="15.75" customHeight="1">
      <c r="A64" s="4" t="str">
        <f>IFERROR(__xludf.DUMMYFUNCTION("""COMPUTED_VALUE"""),"SB00024536")</f>
        <v>SB00024536</v>
      </c>
      <c r="B64" s="4" t="str">
        <f>IFERROR(__xludf.DUMMYFUNCTION("""COMPUTED_VALUE"""),"KK00007249")</f>
        <v>KK00007249</v>
      </c>
      <c r="C64" s="4" t="str">
        <f>IFERROR(__xludf.DUMMYFUNCTION("""COMPUTED_VALUE"""),"黒坂　泰之")</f>
        <v>黒坂　泰之</v>
      </c>
      <c r="D64" s="4"/>
      <c r="E64" s="4">
        <f>IFERROR(__xludf.DUMMYFUNCTION("""COMPUTED_VALUE"""),30470.0)</f>
        <v>30470</v>
      </c>
      <c r="F64" s="4" t="str">
        <f>IFERROR(__xludf.DUMMYFUNCTION("""COMPUTED_VALUE"""),"未照合")</f>
        <v>未照合</v>
      </c>
      <c r="G64" s="4"/>
      <c r="H64" s="4"/>
      <c r="I64" s="4" t="str">
        <f>IFERROR(__xludf.DUMMYFUNCTION("""COMPUTED_VALUE"""),"")</f>
        <v/>
      </c>
      <c r="J64" s="4"/>
      <c r="K64" s="4" t="str">
        <f>IFERROR(__xludf.DUMMYFUNCTION("""COMPUTED_VALUE"""),"")</f>
        <v/>
      </c>
      <c r="L64" s="4"/>
    </row>
    <row r="65" ht="15.75" customHeight="1">
      <c r="A65" s="4" t="str">
        <f>IFERROR(__xludf.DUMMYFUNCTION("""COMPUTED_VALUE"""),"SB00007547")</f>
        <v>SB00007547</v>
      </c>
      <c r="B65" s="4"/>
      <c r="C65" s="4" t="str">
        <f>IFERROR(__xludf.DUMMYFUNCTION("""COMPUTED_VALUE"""),"土肥潤一郎")</f>
        <v>土肥潤一郎</v>
      </c>
      <c r="D65" s="4"/>
      <c r="E65" s="4">
        <f>IFERROR(__xludf.DUMMYFUNCTION("""COMPUTED_VALUE"""),107195.0)</f>
        <v>107195</v>
      </c>
      <c r="F65" s="4" t="str">
        <f>IFERROR(__xludf.DUMMYFUNCTION("""COMPUTED_VALUE"""),"未照合")</f>
        <v>未照合</v>
      </c>
      <c r="G65" s="4"/>
      <c r="H65" s="4"/>
      <c r="I65" s="4" t="str">
        <f>IFERROR(__xludf.DUMMYFUNCTION("""COMPUTED_VALUE"""),"")</f>
        <v/>
      </c>
      <c r="J65" s="4"/>
      <c r="K65" s="4" t="str">
        <f>IFERROR(__xludf.DUMMYFUNCTION("""COMPUTED_VALUE"""),"")</f>
        <v/>
      </c>
      <c r="L65" s="4"/>
    </row>
    <row r="66" ht="15.75" customHeight="1">
      <c r="A66" s="4" t="str">
        <f>IFERROR(__xludf.DUMMYFUNCTION("""COMPUTED_VALUE"""),"SB00007561")</f>
        <v>SB00007561</v>
      </c>
      <c r="B66" s="4"/>
      <c r="C66" s="4" t="str">
        <f>IFERROR(__xludf.DUMMYFUNCTION("""COMPUTED_VALUE"""),"株式会社 高木")</f>
        <v>株式会社 高木</v>
      </c>
      <c r="D66" s="4"/>
      <c r="E66" s="4">
        <f>IFERROR(__xludf.DUMMYFUNCTION("""COMPUTED_VALUE"""),236310.0)</f>
        <v>236310</v>
      </c>
      <c r="F66" s="4" t="str">
        <f>IFERROR(__xludf.DUMMYFUNCTION("""COMPUTED_VALUE"""),"未照合")</f>
        <v>未照合</v>
      </c>
      <c r="G66" s="4"/>
      <c r="H66" s="4"/>
      <c r="I66" s="4" t="str">
        <f>IFERROR(__xludf.DUMMYFUNCTION("""COMPUTED_VALUE"""),"")</f>
        <v/>
      </c>
      <c r="J66" s="4"/>
      <c r="K66" s="4" t="str">
        <f>IFERROR(__xludf.DUMMYFUNCTION("""COMPUTED_VALUE"""),"")</f>
        <v/>
      </c>
      <c r="L66" s="4"/>
    </row>
    <row r="67" ht="15.75" customHeight="1">
      <c r="A67" s="4" t="str">
        <f>IFERROR(__xludf.DUMMYFUNCTION("""COMPUTED_VALUE"""),"SB00007552")</f>
        <v>SB00007552</v>
      </c>
      <c r="B67" s="4"/>
      <c r="C67" s="4" t="str">
        <f>IFERROR(__xludf.DUMMYFUNCTION("""COMPUTED_VALUE"""),"中川明雄")</f>
        <v>中川明雄</v>
      </c>
      <c r="D67" s="4"/>
      <c r="E67" s="4">
        <f>IFERROR(__xludf.DUMMYFUNCTION("""COMPUTED_VALUE"""),80000.0)</f>
        <v>80000</v>
      </c>
      <c r="F67" s="4" t="str">
        <f>IFERROR(__xludf.DUMMYFUNCTION("""COMPUTED_VALUE"""),"未照合")</f>
        <v>未照合</v>
      </c>
      <c r="G67" s="4"/>
      <c r="H67" s="4"/>
      <c r="I67" s="4" t="str">
        <f>IFERROR(__xludf.DUMMYFUNCTION("""COMPUTED_VALUE"""),"")</f>
        <v/>
      </c>
      <c r="J67" s="4"/>
      <c r="K67" s="4" t="str">
        <f>IFERROR(__xludf.DUMMYFUNCTION("""COMPUTED_VALUE"""),"")</f>
        <v/>
      </c>
      <c r="L67" s="4"/>
    </row>
    <row r="68" ht="15.75" customHeight="1">
      <c r="A68" s="4" t="str">
        <f>IFERROR(__xludf.DUMMYFUNCTION("""COMPUTED_VALUE"""),"SB00024543")</f>
        <v>SB00024543</v>
      </c>
      <c r="B68" s="4" t="str">
        <f>IFERROR(__xludf.DUMMYFUNCTION("""COMPUTED_VALUE"""),"KK00007236")</f>
        <v>KK00007236</v>
      </c>
      <c r="C68" s="4" t="str">
        <f>IFERROR(__xludf.DUMMYFUNCTION("""COMPUTED_VALUE"""),"吉野　幸美")</f>
        <v>吉野　幸美</v>
      </c>
      <c r="D68" s="4" t="str">
        <f>IFERROR(__xludf.DUMMYFUNCTION("""COMPUTED_VALUE"""),"株式会社　コンクエスト　ｼﾞｬｶﾞｰﾗﾝﾄﾞﾛｰﾊﾞｰ営業部門")</f>
        <v>株式会社　コンクエスト　ｼﾞｬｶﾞｰﾗﾝﾄﾞﾛｰﾊﾞｰ営業部門</v>
      </c>
      <c r="E68" s="4">
        <f>IFERROR(__xludf.DUMMYFUNCTION("""COMPUTED_VALUE"""),70860.0)</f>
        <v>70860</v>
      </c>
      <c r="F68" s="4" t="str">
        <f>IFERROR(__xludf.DUMMYFUNCTION("""COMPUTED_VALUE"""),"未照合")</f>
        <v>未照合</v>
      </c>
      <c r="G68" s="4"/>
      <c r="H68" s="4"/>
      <c r="I68" s="4" t="str">
        <f>IFERROR(__xludf.DUMMYFUNCTION("""COMPUTED_VALUE"""),"")</f>
        <v/>
      </c>
      <c r="J68" s="4"/>
      <c r="K68" s="4" t="str">
        <f>IFERROR(__xludf.DUMMYFUNCTION("""COMPUTED_VALUE"""),"")</f>
        <v/>
      </c>
      <c r="L68" s="4"/>
    </row>
    <row r="69" ht="15.75" customHeight="1">
      <c r="A69" s="4" t="str">
        <f>IFERROR(__xludf.DUMMYFUNCTION("""COMPUTED_VALUE"""),"SB00024544")</f>
        <v>SB00024544</v>
      </c>
      <c r="B69" s="4" t="str">
        <f>IFERROR(__xludf.DUMMYFUNCTION("""COMPUTED_VALUE"""),"KK00006450")</f>
        <v>KK00006450</v>
      </c>
      <c r="C69" s="4" t="str">
        <f>IFERROR(__xludf.DUMMYFUNCTION("""COMPUTED_VALUE"""),"木村　直路")</f>
        <v>木村　直路</v>
      </c>
      <c r="D69" s="4" t="str">
        <f>IFERROR(__xludf.DUMMYFUNCTION("""COMPUTED_VALUE"""),"東京海上日動火災保険株式会社")</f>
        <v>東京海上日動火災保険株式会社</v>
      </c>
      <c r="E69" s="4">
        <f>IFERROR(__xludf.DUMMYFUNCTION("""COMPUTED_VALUE"""),647900.0)</f>
        <v>647900</v>
      </c>
      <c r="F69" s="4" t="str">
        <f>IFERROR(__xludf.DUMMYFUNCTION("""COMPUTED_VALUE"""),"未照合")</f>
        <v>未照合</v>
      </c>
      <c r="G69" s="4"/>
      <c r="H69" s="4"/>
      <c r="I69" s="4" t="str">
        <f>IFERROR(__xludf.DUMMYFUNCTION("""COMPUTED_VALUE"""),"")</f>
        <v/>
      </c>
      <c r="J69" s="4"/>
      <c r="K69" s="4" t="str">
        <f>IFERROR(__xludf.DUMMYFUNCTION("""COMPUTED_VALUE"""),"")</f>
        <v/>
      </c>
      <c r="L69" s="4"/>
    </row>
    <row r="70" ht="15.75" customHeight="1">
      <c r="A70" s="4" t="str">
        <f>IFERROR(__xludf.DUMMYFUNCTION("""COMPUTED_VALUE"""),"SB00007524")</f>
        <v>SB00007524</v>
      </c>
      <c r="B70" s="4"/>
      <c r="C70" s="4" t="str">
        <f>IFERROR(__xludf.DUMMYFUNCTION("""COMPUTED_VALUE"""),"尾道医療器株式会社代表取締役")</f>
        <v>尾道医療器株式会社代表取締役</v>
      </c>
      <c r="D70" s="4" t="str">
        <f>IFERROR(__xludf.DUMMYFUNCTION("""COMPUTED_VALUE"""),"あいおいニッセイ同和損害保険株式会")</f>
        <v>あいおいニッセイ同和損害保険株式会</v>
      </c>
      <c r="E70" s="4">
        <f>IFERROR(__xludf.DUMMYFUNCTION("""COMPUTED_VALUE"""),1352120.0)</f>
        <v>1352120</v>
      </c>
      <c r="F70" s="4" t="str">
        <f>IFERROR(__xludf.DUMMYFUNCTION("""COMPUTED_VALUE"""),"未照合")</f>
        <v>未照合</v>
      </c>
      <c r="G70" s="4"/>
      <c r="H70" s="4"/>
      <c r="I70" s="4" t="str">
        <f>IFERROR(__xludf.DUMMYFUNCTION("""COMPUTED_VALUE"""),"")</f>
        <v/>
      </c>
      <c r="J70" s="4"/>
      <c r="K70" s="4" t="str">
        <f>IFERROR(__xludf.DUMMYFUNCTION("""COMPUTED_VALUE"""),"")</f>
        <v/>
      </c>
      <c r="L70" s="4"/>
    </row>
    <row r="71" ht="15.75" customHeight="1">
      <c r="A71" s="4" t="str">
        <f>IFERROR(__xludf.DUMMYFUNCTION("""COMPUTED_VALUE"""),"SB00007541")</f>
        <v>SB00007541</v>
      </c>
      <c r="B71" s="4"/>
      <c r="C71" s="4" t="str">
        <f>IFERROR(__xludf.DUMMYFUNCTION("""COMPUTED_VALUE"""),"有限会社 積和サービス 里見")</f>
        <v>有限会社 積和サービス 里見</v>
      </c>
      <c r="D71" s="4" t="str">
        <f>IFERROR(__xludf.DUMMYFUNCTION("""COMPUTED_VALUE"""),"東京海上日動火災保険株式会社")</f>
        <v>東京海上日動火災保険株式会社</v>
      </c>
      <c r="E71" s="4">
        <f>IFERROR(__xludf.DUMMYFUNCTION("""COMPUTED_VALUE"""),240890.0)</f>
        <v>240890</v>
      </c>
      <c r="F71" s="4" t="str">
        <f>IFERROR(__xludf.DUMMYFUNCTION("""COMPUTED_VALUE"""),"未照合")</f>
        <v>未照合</v>
      </c>
      <c r="G71" s="4"/>
      <c r="H71" s="4"/>
      <c r="I71" s="4" t="str">
        <f>IFERROR(__xludf.DUMMYFUNCTION("""COMPUTED_VALUE"""),"")</f>
        <v/>
      </c>
      <c r="J71" s="4"/>
      <c r="K71" s="4" t="str">
        <f>IFERROR(__xludf.DUMMYFUNCTION("""COMPUTED_VALUE"""),"")</f>
        <v/>
      </c>
      <c r="L71" s="4"/>
    </row>
    <row r="72" ht="15.75" customHeight="1">
      <c r="A72" s="4" t="str">
        <f>IFERROR(__xludf.DUMMYFUNCTION("""COMPUTED_VALUE"""),"SB00007557")</f>
        <v>SB00007557</v>
      </c>
      <c r="B72" s="4"/>
      <c r="C72" s="4" t="str">
        <f>IFERROR(__xludf.DUMMYFUNCTION("""COMPUTED_VALUE"""),"株式会社 はっけん代表取締役")</f>
        <v>株式会社 はっけん代表取締役</v>
      </c>
      <c r="D72" s="4"/>
      <c r="E72" s="4">
        <f>IFERROR(__xludf.DUMMYFUNCTION("""COMPUTED_VALUE"""),195500.0)</f>
        <v>195500</v>
      </c>
      <c r="F72" s="4" t="str">
        <f>IFERROR(__xludf.DUMMYFUNCTION("""COMPUTED_VALUE"""),"未照合")</f>
        <v>未照合</v>
      </c>
      <c r="G72" s="4"/>
      <c r="H72" s="4"/>
      <c r="I72" s="4" t="str">
        <f>IFERROR(__xludf.DUMMYFUNCTION("""COMPUTED_VALUE"""),"")</f>
        <v/>
      </c>
      <c r="J72" s="4"/>
      <c r="K72" s="4" t="str">
        <f>IFERROR(__xludf.DUMMYFUNCTION("""COMPUTED_VALUE"""),"")</f>
        <v/>
      </c>
      <c r="L72" s="4"/>
    </row>
    <row r="73" ht="15.75" customHeight="1">
      <c r="A73" s="4" t="str">
        <f>IFERROR(__xludf.DUMMYFUNCTION("""COMPUTED_VALUE"""),"SB00007559")</f>
        <v>SB00007559</v>
      </c>
      <c r="B73" s="4"/>
      <c r="C73" s="4" t="str">
        <f>IFERROR(__xludf.DUMMYFUNCTION("""COMPUTED_VALUE"""),"佐能運輸有限会社")</f>
        <v>佐能運輸有限会社</v>
      </c>
      <c r="D73" s="4"/>
      <c r="E73" s="4">
        <f>IFERROR(__xludf.DUMMYFUNCTION("""COMPUTED_VALUE"""),311487.0)</f>
        <v>311487</v>
      </c>
      <c r="F73" s="4" t="str">
        <f>IFERROR(__xludf.DUMMYFUNCTION("""COMPUTED_VALUE"""),"未照合")</f>
        <v>未照合</v>
      </c>
      <c r="G73" s="4"/>
      <c r="H73" s="4"/>
      <c r="I73" s="4" t="str">
        <f>IFERROR(__xludf.DUMMYFUNCTION("""COMPUTED_VALUE"""),"")</f>
        <v/>
      </c>
      <c r="J73" s="4"/>
      <c r="K73" s="4" t="str">
        <f>IFERROR(__xludf.DUMMYFUNCTION("""COMPUTED_VALUE"""),"")</f>
        <v/>
      </c>
      <c r="L73" s="4"/>
    </row>
    <row r="74" ht="15.75" customHeight="1">
      <c r="A74" s="4"/>
      <c r="B74" s="4"/>
      <c r="C74" s="4" t="str">
        <f>IFERROR(__xludf.DUMMYFUNCTION("""COMPUTED_VALUE"""),"株式会社ｺﾝｸｴｽﾄ 代表取締役社長　清水勝重")</f>
        <v>株式会社ｺﾝｸｴｽﾄ 代表取締役社長　清水勝重</v>
      </c>
      <c r="D74" s="4"/>
      <c r="E74" s="4">
        <f>IFERROR(__xludf.DUMMYFUNCTION("""COMPUTED_VALUE"""),9060570.0)</f>
        <v>9060570</v>
      </c>
      <c r="F74" s="4" t="str">
        <f>IFERROR(__xludf.DUMMYFUNCTION("""COMPUTED_VALUE"""),"未照合")</f>
        <v>未照合</v>
      </c>
      <c r="G74" s="4"/>
      <c r="H74" s="4"/>
      <c r="I74" s="4" t="str">
        <f>IFERROR(__xludf.DUMMYFUNCTION("""COMPUTED_VALUE"""),"")</f>
        <v/>
      </c>
      <c r="J74" s="4"/>
      <c r="K74" s="4" t="str">
        <f>IFERROR(__xludf.DUMMYFUNCTION("""COMPUTED_VALUE"""),"")</f>
        <v/>
      </c>
      <c r="L74" s="4"/>
    </row>
    <row r="75" ht="15.75" customHeight="1">
      <c r="A75" s="4" t="str">
        <f>IFERROR(__xludf.DUMMYFUNCTION("""COMPUTED_VALUE"""),"SB00007410")</f>
        <v>SB00007410</v>
      </c>
      <c r="B75" s="4"/>
      <c r="C75" s="4" t="str">
        <f>IFERROR(__xludf.DUMMYFUNCTION("""COMPUTED_VALUE"""),"初村 亘")</f>
        <v>初村 亘</v>
      </c>
      <c r="D75" s="4" t="str">
        <f>IFERROR(__xludf.DUMMYFUNCTION("""COMPUTED_VALUE"""),"植敷剛")</f>
        <v>植敷剛</v>
      </c>
      <c r="E75" s="4">
        <f>IFERROR(__xludf.DUMMYFUNCTION("""COMPUTED_VALUE"""),1220000.0)</f>
        <v>1220000</v>
      </c>
      <c r="F75" s="4" t="str">
        <f>IFERROR(__xludf.DUMMYFUNCTION("""COMPUTED_VALUE"""),"未照合")</f>
        <v>未照合</v>
      </c>
      <c r="G75" s="4"/>
      <c r="H75" s="4"/>
      <c r="I75" s="4" t="str">
        <f>IFERROR(__xludf.DUMMYFUNCTION("""COMPUTED_VALUE"""),"")</f>
        <v/>
      </c>
      <c r="J75" s="4"/>
      <c r="K75" s="4" t="str">
        <f>IFERROR(__xludf.DUMMYFUNCTION("""COMPUTED_VALUE"""),"")</f>
        <v/>
      </c>
      <c r="L75" s="4"/>
    </row>
    <row r="76" ht="15.75" customHeight="1">
      <c r="A76" s="4" t="str">
        <f>IFERROR(__xludf.DUMMYFUNCTION("""COMPUTED_VALUE"""),"SB00007558")</f>
        <v>SB00007558</v>
      </c>
      <c r="B76" s="4"/>
      <c r="C76" s="4" t="str">
        <f>IFERROR(__xludf.DUMMYFUNCTION("""COMPUTED_VALUE"""),"株式会社 フレッチェ・ボスコ代")</f>
        <v>株式会社 フレッチェ・ボスコ代</v>
      </c>
      <c r="D76" s="4" t="str">
        <f>IFERROR(__xludf.DUMMYFUNCTION("""COMPUTED_VALUE"""),"但井智哉")</f>
        <v>但井智哉</v>
      </c>
      <c r="E76" s="4">
        <f>IFERROR(__xludf.DUMMYFUNCTION("""COMPUTED_VALUE"""),67375.0)</f>
        <v>67375</v>
      </c>
      <c r="F76" s="4" t="str">
        <f>IFERROR(__xludf.DUMMYFUNCTION("""COMPUTED_VALUE"""),"未照合")</f>
        <v>未照合</v>
      </c>
      <c r="G76" s="4"/>
      <c r="H76" s="4"/>
      <c r="I76" s="4" t="str">
        <f>IFERROR(__xludf.DUMMYFUNCTION("""COMPUTED_VALUE"""),"")</f>
        <v/>
      </c>
      <c r="J76" s="4"/>
      <c r="K76" s="4" t="str">
        <f>IFERROR(__xludf.DUMMYFUNCTION("""COMPUTED_VALUE"""),"")</f>
        <v/>
      </c>
      <c r="L76" s="4"/>
    </row>
    <row r="77" ht="15.75" customHeight="1">
      <c r="A77" s="4" t="str">
        <f>IFERROR(__xludf.DUMMYFUNCTION("""COMPUTED_VALUE"""),"SB00007565")</f>
        <v>SB00007565</v>
      </c>
      <c r="B77" s="4"/>
      <c r="C77" s="4" t="str">
        <f>IFERROR(__xludf.DUMMYFUNCTION("""COMPUTED_VALUE"""),"株式会社 高木")</f>
        <v>株式会社 高木</v>
      </c>
      <c r="D77" s="4" t="str">
        <f>IFERROR(__xludf.DUMMYFUNCTION("""COMPUTED_VALUE"""),"橋本 裕太郎")</f>
        <v>橋本 裕太郎</v>
      </c>
      <c r="E77" s="4">
        <f>IFERROR(__xludf.DUMMYFUNCTION("""COMPUTED_VALUE"""),77682.0)</f>
        <v>77682</v>
      </c>
      <c r="F77" s="4" t="str">
        <f>IFERROR(__xludf.DUMMYFUNCTION("""COMPUTED_VALUE"""),"未照合")</f>
        <v>未照合</v>
      </c>
      <c r="G77" s="4"/>
      <c r="H77" s="4"/>
      <c r="I77" s="4" t="str">
        <f>IFERROR(__xludf.DUMMYFUNCTION("""COMPUTED_VALUE"""),"")</f>
        <v/>
      </c>
      <c r="J77" s="4"/>
      <c r="K77" s="4" t="str">
        <f>IFERROR(__xludf.DUMMYFUNCTION("""COMPUTED_VALUE"""),"")</f>
        <v/>
      </c>
      <c r="L77" s="4"/>
    </row>
    <row r="78" ht="15.75" customHeight="1">
      <c r="A78" s="4"/>
      <c r="B78" s="4"/>
      <c r="C78" s="4" t="str">
        <f>IFERROR(__xludf.DUMMYFUNCTION("""COMPUTED_VALUE"""),"山本晋平様DEF")</f>
        <v>山本晋平様DEF</v>
      </c>
      <c r="D78" s="4"/>
      <c r="E78" s="4">
        <f>IFERROR(__xludf.DUMMYFUNCTION("""COMPUTED_VALUE"""),9508470.0)</f>
        <v>9508470</v>
      </c>
      <c r="F78" s="4" t="str">
        <f>IFERROR(__xludf.DUMMYFUNCTION("""COMPUTED_VALUE"""),"未照合")</f>
        <v>未照合</v>
      </c>
      <c r="G78" s="4"/>
      <c r="H78" s="4"/>
      <c r="I78" s="4" t="str">
        <f>IFERROR(__xludf.DUMMYFUNCTION("""COMPUTED_VALUE"""),"")</f>
        <v/>
      </c>
      <c r="J78" s="4"/>
      <c r="K78" s="4" t="str">
        <f>IFERROR(__xludf.DUMMYFUNCTION("""COMPUTED_VALUE"""),"")</f>
        <v/>
      </c>
      <c r="L78" s="4"/>
    </row>
    <row r="79" ht="15.75" customHeight="1">
      <c r="A79" s="4"/>
      <c r="B79" s="4"/>
      <c r="C79" s="4" t="str">
        <f>IFERROR(__xludf.DUMMYFUNCTION("""COMPUTED_VALUE"""),"㈲安西工業 DEF")</f>
        <v>㈲安西工業 DEF</v>
      </c>
      <c r="D79" s="4"/>
      <c r="E79" s="4">
        <f>IFERROR(__xludf.DUMMYFUNCTION("""COMPUTED_VALUE"""),1.1137272E7)</f>
        <v>11137272</v>
      </c>
      <c r="F79" s="4" t="str">
        <f>IFERROR(__xludf.DUMMYFUNCTION("""COMPUTED_VALUE"""),"未照合")</f>
        <v>未照合</v>
      </c>
      <c r="G79" s="4"/>
      <c r="H79" s="4"/>
      <c r="I79" s="4" t="str">
        <f>IFERROR(__xludf.DUMMYFUNCTION("""COMPUTED_VALUE"""),"")</f>
        <v/>
      </c>
      <c r="J79" s="4"/>
      <c r="K79" s="4" t="str">
        <f>IFERROR(__xludf.DUMMYFUNCTION("""COMPUTED_VALUE"""),"")</f>
        <v/>
      </c>
      <c r="L79" s="4"/>
    </row>
    <row r="80" ht="15.75" customHeight="1">
      <c r="A80" s="4"/>
      <c r="B80" s="4"/>
      <c r="C80" s="4" t="str">
        <f>IFERROR(__xludf.DUMMYFUNCTION("""COMPUTED_VALUE"""),"小俣英夫GRE")</f>
        <v>小俣英夫GRE</v>
      </c>
      <c r="D80" s="4"/>
      <c r="E80" s="4">
        <f>IFERROR(__xludf.DUMMYFUNCTION("""COMPUTED_VALUE"""),1.09527E7)</f>
        <v>10952700</v>
      </c>
      <c r="F80" s="4" t="str">
        <f>IFERROR(__xludf.DUMMYFUNCTION("""COMPUTED_VALUE"""),"要確認")</f>
        <v>要確認</v>
      </c>
      <c r="G80" s="4" t="str">
        <f>IFERROR(__xludf.DUMMYFUNCTION("""COMPUTED_VALUE"""),"振り込み")</f>
        <v>振り込み</v>
      </c>
      <c r="H80" s="4"/>
      <c r="I80" s="4" t="str">
        <f>IFERROR(__xludf.DUMMYFUNCTION("""COMPUTED_VALUE"""),"")</f>
        <v/>
      </c>
      <c r="J80" s="4"/>
      <c r="K80" s="4" t="str">
        <f>IFERROR(__xludf.DUMMYFUNCTION("""COMPUTED_VALUE"""),"")</f>
        <v/>
      </c>
      <c r="L80" s="4"/>
    </row>
    <row r="81" ht="15.75" customHeight="1">
      <c r="A81" s="4"/>
      <c r="B81" s="4"/>
      <c r="C81" s="4" t="str">
        <f>IFERROR(__xludf.DUMMYFUNCTION("""COMPUTED_VALUE"""),"映クラ株式会社（小俣英夫様下取）")</f>
        <v>映クラ株式会社（小俣英夫様下取）</v>
      </c>
      <c r="D81" s="4"/>
      <c r="E81" s="4">
        <f>IFERROR(__xludf.DUMMYFUNCTION("""COMPUTED_VALUE"""),1100000.0)</f>
        <v>1100000</v>
      </c>
      <c r="F81" s="4" t="str">
        <f>IFERROR(__xludf.DUMMYFUNCTION("""COMPUTED_VALUE"""),"未照合")</f>
        <v>未照合</v>
      </c>
      <c r="G81" s="4"/>
      <c r="H81" s="4"/>
      <c r="I81" s="4" t="str">
        <f>IFERROR(__xludf.DUMMYFUNCTION("""COMPUTED_VALUE"""),"")</f>
        <v/>
      </c>
      <c r="J81" s="4"/>
      <c r="K81" s="4" t="str">
        <f>IFERROR(__xludf.DUMMYFUNCTION("""COMPUTED_VALUE"""),"")</f>
        <v/>
      </c>
      <c r="L81" s="4"/>
    </row>
    <row r="82" ht="15.75" customHeight="1">
      <c r="A82" s="4"/>
      <c r="B82" s="4"/>
      <c r="C82" s="4" t="str">
        <f>IFERROR(__xludf.DUMMYFUNCTION("""COMPUTED_VALUE"""),"映クラ株式会社（クリアメタル様下取）")</f>
        <v>映クラ株式会社（クリアメタル様下取）</v>
      </c>
      <c r="D82" s="4"/>
      <c r="E82" s="4">
        <f>IFERROR(__xludf.DUMMYFUNCTION("""COMPUTED_VALUE"""),1550000.0)</f>
        <v>1550000</v>
      </c>
      <c r="F82" s="4" t="str">
        <f>IFERROR(__xludf.DUMMYFUNCTION("""COMPUTED_VALUE"""),"未照合")</f>
        <v>未照合</v>
      </c>
      <c r="G82" s="4"/>
      <c r="H82" s="4"/>
      <c r="I82" s="4" t="str">
        <f>IFERROR(__xludf.DUMMYFUNCTION("""COMPUTED_VALUE"""),"")</f>
        <v/>
      </c>
      <c r="J82" s="4"/>
      <c r="K82" s="4" t="str">
        <f>IFERROR(__xludf.DUMMYFUNCTION("""COMPUTED_VALUE"""),"")</f>
        <v/>
      </c>
      <c r="L82" s="4"/>
    </row>
    <row r="83" ht="15.75" customHeight="1">
      <c r="A83" s="4" t="str">
        <f>IFERROR(__xludf.DUMMYFUNCTION("""COMPUTED_VALUE"""),"SB00024548")</f>
        <v>SB00024548</v>
      </c>
      <c r="B83" s="4" t="str">
        <f>IFERROR(__xludf.DUMMYFUNCTION("""COMPUTED_VALUE"""),"KK00001837")</f>
        <v>KK00001837</v>
      </c>
      <c r="C83" s="4" t="str">
        <f>IFERROR(__xludf.DUMMYFUNCTION("""COMPUTED_VALUE"""),"有限会社エル・グレコ代表取締役 長沼　眞智子")</f>
        <v>有限会社エル・グレコ代表取締役 長沼　眞智子</v>
      </c>
      <c r="D83" s="4"/>
      <c r="E83" s="4">
        <f>IFERROR(__xludf.DUMMYFUNCTION("""COMPUTED_VALUE"""),7700.0)</f>
        <v>7700</v>
      </c>
      <c r="F83" s="4" t="str">
        <f>IFERROR(__xludf.DUMMYFUNCTION("""COMPUTED_VALUE"""),"要確認")</f>
        <v>要確認</v>
      </c>
      <c r="G83" s="4"/>
      <c r="H83" s="4"/>
      <c r="I83" s="4" t="str">
        <f>IFERROR(__xludf.DUMMYFUNCTION("""COMPUTED_VALUE"""),"")</f>
        <v/>
      </c>
      <c r="J83" s="4"/>
      <c r="K83" s="4" t="str">
        <f>IFERROR(__xludf.DUMMYFUNCTION("""COMPUTED_VALUE"""),"")</f>
        <v/>
      </c>
      <c r="L83" s="4"/>
    </row>
    <row r="84" ht="15.75" customHeight="1">
      <c r="A84" s="4" t="str">
        <f>IFERROR(__xludf.DUMMYFUNCTION("""COMPUTED_VALUE"""),"SB00007569")</f>
        <v>SB00007569</v>
      </c>
      <c r="B84" s="4"/>
      <c r="C84" s="4" t="str">
        <f>IFERROR(__xludf.DUMMYFUNCTION("""COMPUTED_VALUE"""),"島田 伸也")</f>
        <v>島田 伸也</v>
      </c>
      <c r="D84" s="4" t="str">
        <f>IFERROR(__xludf.DUMMYFUNCTION("""COMPUTED_VALUE"""),"橋本 裕太郎")</f>
        <v>橋本 裕太郎</v>
      </c>
      <c r="E84" s="4">
        <f>IFERROR(__xludf.DUMMYFUNCTION("""COMPUTED_VALUE"""),271480.0)</f>
        <v>271480</v>
      </c>
      <c r="F84" s="4" t="str">
        <f>IFERROR(__xludf.DUMMYFUNCTION("""COMPUTED_VALUE"""),"要確認")</f>
        <v>要確認</v>
      </c>
      <c r="G84" s="4"/>
      <c r="H84" s="4"/>
      <c r="I84" s="4" t="str">
        <f>IFERROR(__xludf.DUMMYFUNCTION("""COMPUTED_VALUE"""),"")</f>
        <v/>
      </c>
      <c r="J84" s="4"/>
      <c r="K84" s="4" t="str">
        <f>IFERROR(__xludf.DUMMYFUNCTION("""COMPUTED_VALUE"""),"")</f>
        <v/>
      </c>
      <c r="L84" s="4"/>
    </row>
    <row r="85" ht="15.75" customHeight="1">
      <c r="A85" s="4" t="str">
        <f>IFERROR(__xludf.DUMMYFUNCTION("""COMPUTED_VALUE"""),"SB00024551")</f>
        <v>SB00024551</v>
      </c>
      <c r="B85" s="4" t="str">
        <f>IFERROR(__xludf.DUMMYFUNCTION("""COMPUTED_VALUE"""),"KK00007136")</f>
        <v>KK00007136</v>
      </c>
      <c r="C85" s="4" t="str">
        <f>IFERROR(__xludf.DUMMYFUNCTION("""COMPUTED_VALUE"""),"株式会社　カニエ")</f>
        <v>株式会社　カニエ</v>
      </c>
      <c r="D85" s="4" t="str">
        <f>IFERROR(__xludf.DUMMYFUNCTION("""COMPUTED_VALUE"""),"株式会社コンクエスト　ジャガーランドローバー広島")</f>
        <v>株式会社コンクエスト　ジャガーランドローバー広島</v>
      </c>
      <c r="E85" s="4">
        <f>IFERROR(__xludf.DUMMYFUNCTION("""COMPUTED_VALUE"""),6875.0)</f>
        <v>6875</v>
      </c>
      <c r="F85" s="4" t="str">
        <f>IFERROR(__xludf.DUMMYFUNCTION("""COMPUTED_VALUE"""),"未照合")</f>
        <v>未照合</v>
      </c>
      <c r="G85" s="4"/>
      <c r="H85" s="4"/>
      <c r="I85" s="4" t="str">
        <f>IFERROR(__xludf.DUMMYFUNCTION("""COMPUTED_VALUE"""),"")</f>
        <v/>
      </c>
      <c r="J85" s="4"/>
      <c r="K85" s="4" t="str">
        <f>IFERROR(__xludf.DUMMYFUNCTION("""COMPUTED_VALUE"""),"")</f>
        <v/>
      </c>
      <c r="L85" s="4"/>
    </row>
    <row r="86" ht="15.75" customHeight="1">
      <c r="A86" s="4" t="str">
        <f>IFERROR(__xludf.DUMMYFUNCTION("""COMPUTED_VALUE"""),"SB00007570")</f>
        <v>SB00007570</v>
      </c>
      <c r="B86" s="4"/>
      <c r="C86" s="4" t="str">
        <f>IFERROR(__xludf.DUMMYFUNCTION("""COMPUTED_VALUE"""),"株式会社J's company")</f>
        <v>株式会社J's company</v>
      </c>
      <c r="D86" s="4" t="str">
        <f>IFERROR(__xludf.DUMMYFUNCTION("""COMPUTED_VALUE"""),"但井智哉")</f>
        <v>但井智哉</v>
      </c>
      <c r="E86" s="4">
        <f>IFERROR(__xludf.DUMMYFUNCTION("""COMPUTED_VALUE"""),10340.0)</f>
        <v>10340</v>
      </c>
      <c r="F86" s="4" t="str">
        <f>IFERROR(__xludf.DUMMYFUNCTION("""COMPUTED_VALUE"""),"未照合")</f>
        <v>未照合</v>
      </c>
      <c r="G86" s="4"/>
      <c r="H86" s="4"/>
      <c r="I86" s="4" t="str">
        <f>IFERROR(__xludf.DUMMYFUNCTION("""COMPUTED_VALUE"""),"")</f>
        <v/>
      </c>
      <c r="J86" s="4"/>
      <c r="K86" s="4" t="str">
        <f>IFERROR(__xludf.DUMMYFUNCTION("""COMPUTED_VALUE"""),"")</f>
        <v/>
      </c>
      <c r="L86" s="4"/>
    </row>
    <row r="87" ht="15.75" customHeight="1">
      <c r="A87" s="4" t="str">
        <f>IFERROR(__xludf.DUMMYFUNCTION("""COMPUTED_VALUE"""),"SB00007573")</f>
        <v>SB00007573</v>
      </c>
      <c r="B87" s="4"/>
      <c r="C87" s="4" t="str">
        <f>IFERROR(__xludf.DUMMYFUNCTION("""COMPUTED_VALUE"""),"株式会社J's company")</f>
        <v>株式会社J's company</v>
      </c>
      <c r="D87" s="4" t="str">
        <f>IFERROR(__xludf.DUMMYFUNCTION("""COMPUTED_VALUE"""),"但井智哉")</f>
        <v>但井智哉</v>
      </c>
      <c r="E87" s="4">
        <f>IFERROR(__xludf.DUMMYFUNCTION("""COMPUTED_VALUE"""),122386.0)</f>
        <v>122386</v>
      </c>
      <c r="F87" s="4" t="str">
        <f>IFERROR(__xludf.DUMMYFUNCTION("""COMPUTED_VALUE"""),"未照合")</f>
        <v>未照合</v>
      </c>
      <c r="G87" s="4"/>
      <c r="H87" s="4"/>
      <c r="I87" s="4" t="str">
        <f>IFERROR(__xludf.DUMMYFUNCTION("""COMPUTED_VALUE"""),"")</f>
        <v/>
      </c>
      <c r="J87" s="4"/>
      <c r="K87" s="4" t="str">
        <f>IFERROR(__xludf.DUMMYFUNCTION("""COMPUTED_VALUE"""),"")</f>
        <v/>
      </c>
      <c r="L87" s="4"/>
    </row>
    <row r="88" ht="15.75" customHeight="1">
      <c r="A88" s="4" t="str">
        <f>IFERROR(__xludf.DUMMYFUNCTION("""COMPUTED_VALUE"""),"SB00007574")</f>
        <v>SB00007574</v>
      </c>
      <c r="B88" s="4"/>
      <c r="C88" s="4" t="str">
        <f>IFERROR(__xludf.DUMMYFUNCTION("""COMPUTED_VALUE"""),"株式会社J's company")</f>
        <v>株式会社J's company</v>
      </c>
      <c r="D88" s="4" t="str">
        <f>IFERROR(__xludf.DUMMYFUNCTION("""COMPUTED_VALUE"""),"但井智哉")</f>
        <v>但井智哉</v>
      </c>
      <c r="E88" s="4">
        <f>IFERROR(__xludf.DUMMYFUNCTION("""COMPUTED_VALUE"""),616.0)</f>
        <v>616</v>
      </c>
      <c r="F88" s="4" t="str">
        <f>IFERROR(__xludf.DUMMYFUNCTION("""COMPUTED_VALUE"""),"未照合")</f>
        <v>未照合</v>
      </c>
      <c r="G88" s="4"/>
      <c r="H88" s="4"/>
      <c r="I88" s="4" t="str">
        <f>IFERROR(__xludf.DUMMYFUNCTION("""COMPUTED_VALUE"""),"")</f>
        <v/>
      </c>
      <c r="J88" s="4"/>
      <c r="K88" s="4" t="str">
        <f>IFERROR(__xludf.DUMMYFUNCTION("""COMPUTED_VALUE"""),"")</f>
        <v/>
      </c>
      <c r="L88" s="4"/>
    </row>
    <row r="89" ht="15.75" customHeight="1">
      <c r="A89" s="4" t="str">
        <f>IFERROR(__xludf.DUMMYFUNCTION("""COMPUTED_VALUE"""),"SB00007575")</f>
        <v>SB00007575</v>
      </c>
      <c r="B89" s="4"/>
      <c r="C89" s="4" t="str">
        <f>IFERROR(__xludf.DUMMYFUNCTION("""COMPUTED_VALUE"""),"株式会社 一真代表取締役 眞田")</f>
        <v>株式会社 一真代表取締役 眞田</v>
      </c>
      <c r="D89" s="4" t="str">
        <f>IFERROR(__xludf.DUMMYFUNCTION("""COMPUTED_VALUE"""),"但井智哉")</f>
        <v>但井智哉</v>
      </c>
      <c r="E89" s="4">
        <f>IFERROR(__xludf.DUMMYFUNCTION("""COMPUTED_VALUE"""),0.0)</f>
        <v>0</v>
      </c>
      <c r="F89" s="4" t="str">
        <f>IFERROR(__xludf.DUMMYFUNCTION("""COMPUTED_VALUE"""),"未照合")</f>
        <v>未照合</v>
      </c>
      <c r="G89" s="4"/>
      <c r="H89" s="4"/>
      <c r="I89" s="4" t="str">
        <f>IFERROR(__xludf.DUMMYFUNCTION("""COMPUTED_VALUE"""),"")</f>
        <v/>
      </c>
      <c r="J89" s="4"/>
      <c r="K89" s="4" t="str">
        <f>IFERROR(__xludf.DUMMYFUNCTION("""COMPUTED_VALUE"""),"")</f>
        <v/>
      </c>
      <c r="L89" s="4"/>
    </row>
    <row r="90" ht="15.75" customHeight="1">
      <c r="A90" s="4" t="str">
        <f>IFERROR(__xludf.DUMMYFUNCTION("""COMPUTED_VALUE"""),"SB00024554")</f>
        <v>SB00024554</v>
      </c>
      <c r="B90" s="4" t="str">
        <f>IFERROR(__xludf.DUMMYFUNCTION("""COMPUTED_VALUE"""),"KK00007172")</f>
        <v>KK00007172</v>
      </c>
      <c r="C90" s="4" t="str">
        <f>IFERROR(__xludf.DUMMYFUNCTION("""COMPUTED_VALUE"""),"有限会社山陽商事代表取締役　世良剛志")</f>
        <v>有限会社山陽商事代表取締役　世良剛志</v>
      </c>
      <c r="D90" s="4" t="str">
        <f>IFERROR(__xludf.DUMMYFUNCTION("""COMPUTED_VALUE"""),"株式会社コンクエスト　ジャガーランドローバー広島")</f>
        <v>株式会社コンクエスト　ジャガーランドローバー広島</v>
      </c>
      <c r="E90" s="4">
        <f>IFERROR(__xludf.DUMMYFUNCTION("""COMPUTED_VALUE"""),21863.0)</f>
        <v>21863</v>
      </c>
      <c r="F90" s="4" t="str">
        <f>IFERROR(__xludf.DUMMYFUNCTION("""COMPUTED_VALUE"""),"未照合")</f>
        <v>未照合</v>
      </c>
      <c r="G90" s="4"/>
      <c r="H90" s="4"/>
      <c r="I90" s="4" t="str">
        <f>IFERROR(__xludf.DUMMYFUNCTION("""COMPUTED_VALUE"""),"")</f>
        <v/>
      </c>
      <c r="J90" s="4"/>
      <c r="K90" s="4" t="str">
        <f>IFERROR(__xludf.DUMMYFUNCTION("""COMPUTED_VALUE"""),"")</f>
        <v/>
      </c>
      <c r="L90" s="4"/>
    </row>
    <row r="91" ht="15.75" customHeight="1">
      <c r="A91" s="4" t="str">
        <f>IFERROR(__xludf.DUMMYFUNCTION("""COMPUTED_VALUE"""),"SB00024558")</f>
        <v>SB00024558</v>
      </c>
      <c r="B91" s="4" t="str">
        <f>IFERROR(__xludf.DUMMYFUNCTION("""COMPUTED_VALUE"""),"KK00007134")</f>
        <v>KK00007134</v>
      </c>
      <c r="C91" s="4" t="str">
        <f>IFERROR(__xludf.DUMMYFUNCTION("""COMPUTED_VALUE"""),"医療法人よしおかﾎｰﾑｸﾘﾆｯｸ理事長　吉岡孝")</f>
        <v>医療法人よしおかﾎｰﾑｸﾘﾆｯｸ理事長　吉岡孝</v>
      </c>
      <c r="D91" s="4" t="str">
        <f>IFERROR(__xludf.DUMMYFUNCTION("""COMPUTED_VALUE"""),"株式会社コンクエスト　ジャガーランドローバー広島")</f>
        <v>株式会社コンクエスト　ジャガーランドローバー広島</v>
      </c>
      <c r="E91" s="4">
        <f>IFERROR(__xludf.DUMMYFUNCTION("""COMPUTED_VALUE"""),12100.0)</f>
        <v>12100</v>
      </c>
      <c r="F91" s="4" t="str">
        <f>IFERROR(__xludf.DUMMYFUNCTION("""COMPUTED_VALUE"""),"未照合")</f>
        <v>未照合</v>
      </c>
      <c r="G91" s="4"/>
      <c r="H91" s="4"/>
      <c r="I91" s="4" t="str">
        <f>IFERROR(__xludf.DUMMYFUNCTION("""COMPUTED_VALUE"""),"")</f>
        <v/>
      </c>
      <c r="J91" s="4"/>
      <c r="K91" s="4" t="str">
        <f>IFERROR(__xludf.DUMMYFUNCTION("""COMPUTED_VALUE"""),"")</f>
        <v/>
      </c>
      <c r="L91" s="4"/>
    </row>
    <row r="92" ht="15.75" customHeight="1">
      <c r="A92" s="4" t="str">
        <f>IFERROR(__xludf.DUMMYFUNCTION("""COMPUTED_VALUE"""),"SB00007577")</f>
        <v>SB00007577</v>
      </c>
      <c r="B92" s="4"/>
      <c r="C92" s="4" t="str">
        <f>IFERROR(__xludf.DUMMYFUNCTION("""COMPUTED_VALUE"""),"廣岡 孝彦")</f>
        <v>廣岡 孝彦</v>
      </c>
      <c r="D92" s="4" t="str">
        <f>IFERROR(__xludf.DUMMYFUNCTION("""COMPUTED_VALUE"""),"橋本 裕太郎")</f>
        <v>橋本 裕太郎</v>
      </c>
      <c r="E92" s="4">
        <f>IFERROR(__xludf.DUMMYFUNCTION("""COMPUTED_VALUE"""),660.0)</f>
        <v>660</v>
      </c>
      <c r="F92" s="4" t="str">
        <f>IFERROR(__xludf.DUMMYFUNCTION("""COMPUTED_VALUE"""),"未照合")</f>
        <v>未照合</v>
      </c>
      <c r="G92" s="4"/>
      <c r="H92" s="4"/>
      <c r="I92" s="4" t="str">
        <f>IFERROR(__xludf.DUMMYFUNCTION("""COMPUTED_VALUE"""),"")</f>
        <v/>
      </c>
      <c r="J92" s="4"/>
      <c r="K92" s="4" t="str">
        <f>IFERROR(__xludf.DUMMYFUNCTION("""COMPUTED_VALUE"""),"")</f>
        <v/>
      </c>
      <c r="L92" s="4"/>
    </row>
    <row r="93" ht="15.75" customHeight="1">
      <c r="A93" s="4" t="str">
        <f>IFERROR(__xludf.DUMMYFUNCTION("""COMPUTED_VALUE"""),"SB00007578")</f>
        <v>SB00007578</v>
      </c>
      <c r="B93" s="4"/>
      <c r="C93" s="4" t="str">
        <f>IFERROR(__xludf.DUMMYFUNCTION("""COMPUTED_VALUE"""),"医療法人 徹慈会")</f>
        <v>医療法人 徹慈会</v>
      </c>
      <c r="D93" s="4" t="str">
        <f>IFERROR(__xludf.DUMMYFUNCTION("""COMPUTED_VALUE"""),"橋本 裕太郎")</f>
        <v>橋本 裕太郎</v>
      </c>
      <c r="E93" s="4">
        <f>IFERROR(__xludf.DUMMYFUNCTION("""COMPUTED_VALUE"""),660.0)</f>
        <v>660</v>
      </c>
      <c r="F93" s="4" t="str">
        <f>IFERROR(__xludf.DUMMYFUNCTION("""COMPUTED_VALUE"""),"未照合")</f>
        <v>未照合</v>
      </c>
      <c r="G93" s="4"/>
      <c r="H93" s="4"/>
      <c r="I93" s="4" t="str">
        <f>IFERROR(__xludf.DUMMYFUNCTION("""COMPUTED_VALUE"""),"")</f>
        <v/>
      </c>
      <c r="J93" s="4"/>
      <c r="K93" s="4" t="str">
        <f>IFERROR(__xludf.DUMMYFUNCTION("""COMPUTED_VALUE"""),"")</f>
        <v/>
      </c>
      <c r="L93" s="4"/>
    </row>
    <row r="94" ht="15.75" customHeight="1">
      <c r="A94" s="4" t="str">
        <f>IFERROR(__xludf.DUMMYFUNCTION("""COMPUTED_VALUE"""),"SB00007572")</f>
        <v>SB00007572</v>
      </c>
      <c r="B94" s="4"/>
      <c r="C94" s="4" t="str">
        <f>IFERROR(__xludf.DUMMYFUNCTION("""COMPUTED_VALUE"""),"森 祐司")</f>
        <v>森 祐司</v>
      </c>
      <c r="D94" s="4" t="str">
        <f>IFERROR(__xludf.DUMMYFUNCTION("""COMPUTED_VALUE"""),"但井智哉")</f>
        <v>但井智哉</v>
      </c>
      <c r="E94" s="4">
        <f>IFERROR(__xludf.DUMMYFUNCTION("""COMPUTED_VALUE"""),91080.0)</f>
        <v>91080</v>
      </c>
      <c r="F94" s="4" t="str">
        <f>IFERROR(__xludf.DUMMYFUNCTION("""COMPUTED_VALUE"""),"未照合")</f>
        <v>未照合</v>
      </c>
      <c r="G94" s="4"/>
      <c r="H94" s="4"/>
      <c r="I94" s="4" t="str">
        <f>IFERROR(__xludf.DUMMYFUNCTION("""COMPUTED_VALUE"""),"")</f>
        <v/>
      </c>
      <c r="J94" s="4"/>
      <c r="K94" s="4" t="str">
        <f>IFERROR(__xludf.DUMMYFUNCTION("""COMPUTED_VALUE"""),"")</f>
        <v/>
      </c>
      <c r="L94" s="4"/>
    </row>
    <row r="95" ht="15.75" customHeight="1">
      <c r="A95" s="4" t="str">
        <f>IFERROR(__xludf.DUMMYFUNCTION("""COMPUTED_VALUE"""),"SB00007581")</f>
        <v>SB00007581</v>
      </c>
      <c r="B95" s="4"/>
      <c r="C95" s="4" t="str">
        <f>IFERROR(__xludf.DUMMYFUNCTION("""COMPUTED_VALUE"""),"株式会社ぐんけい")</f>
        <v>株式会社ぐんけい</v>
      </c>
      <c r="D95" s="4" t="str">
        <f>IFERROR(__xludf.DUMMYFUNCTION("""COMPUTED_VALUE"""),"株式会社ぐんけい")</f>
        <v>株式会社ぐんけい</v>
      </c>
      <c r="E95" s="4">
        <f>IFERROR(__xludf.DUMMYFUNCTION("""COMPUTED_VALUE"""),271920.0)</f>
        <v>271920</v>
      </c>
      <c r="F95" s="4" t="str">
        <f>IFERROR(__xludf.DUMMYFUNCTION("""COMPUTED_VALUE"""),"未照合")</f>
        <v>未照合</v>
      </c>
      <c r="G95" s="4"/>
      <c r="H95" s="4"/>
      <c r="I95" s="4" t="str">
        <f>IFERROR(__xludf.DUMMYFUNCTION("""COMPUTED_VALUE"""),"")</f>
        <v/>
      </c>
      <c r="J95" s="4"/>
      <c r="K95" s="4" t="str">
        <f>IFERROR(__xludf.DUMMYFUNCTION("""COMPUTED_VALUE"""),"")</f>
        <v/>
      </c>
      <c r="L95" s="4"/>
    </row>
    <row r="96" ht="15.75" customHeight="1">
      <c r="A96" s="4" t="str">
        <f>IFERROR(__xludf.DUMMYFUNCTION("""COMPUTED_VALUE"""),"SB00024560")</f>
        <v>SB00024560</v>
      </c>
      <c r="B96" s="4" t="str">
        <f>IFERROR(__xludf.DUMMYFUNCTION("""COMPUTED_VALUE"""),"KK00007221")</f>
        <v>KK00007221</v>
      </c>
      <c r="C96" s="4" t="str">
        <f>IFERROR(__xludf.DUMMYFUNCTION("""COMPUTED_VALUE"""),"ﾀﾞｯｸﾃｷｽﾀｲﾙ株式会社代表取締役 三原龍二")</f>
        <v>ﾀﾞｯｸﾃｷｽﾀｲﾙ株式会社代表取締役 三原龍二</v>
      </c>
      <c r="D96" s="4" t="str">
        <f>IFERROR(__xludf.DUMMYFUNCTION("""COMPUTED_VALUE"""),"株式会社コンクエスト　ジャガーランドローバー広島")</f>
        <v>株式会社コンクエスト　ジャガーランドローバー広島</v>
      </c>
      <c r="E96" s="4">
        <f>IFERROR(__xludf.DUMMYFUNCTION("""COMPUTED_VALUE"""),9900.0)</f>
        <v>9900</v>
      </c>
      <c r="F96" s="4" t="str">
        <f>IFERROR(__xludf.DUMMYFUNCTION("""COMPUTED_VALUE"""),"未照合")</f>
        <v>未照合</v>
      </c>
      <c r="G96" s="4"/>
      <c r="H96" s="4"/>
      <c r="I96" s="4" t="str">
        <f>IFERROR(__xludf.DUMMYFUNCTION("""COMPUTED_VALUE"""),"")</f>
        <v/>
      </c>
      <c r="J96" s="4"/>
      <c r="K96" s="4" t="str">
        <f>IFERROR(__xludf.DUMMYFUNCTION("""COMPUTED_VALUE"""),"")</f>
        <v/>
      </c>
      <c r="L96" s="4"/>
    </row>
    <row r="97" ht="15.75" customHeight="1">
      <c r="A97" s="4" t="str">
        <f>IFERROR(__xludf.DUMMYFUNCTION("""COMPUTED_VALUE"""),"SB00024562")</f>
        <v>SB00024562</v>
      </c>
      <c r="B97" s="4" t="str">
        <f>IFERROR(__xludf.DUMMYFUNCTION("""COMPUTED_VALUE"""),"KK00006440")</f>
        <v>KK00006440</v>
      </c>
      <c r="C97" s="4" t="str">
        <f>IFERROR(__xludf.DUMMYFUNCTION("""COMPUTED_VALUE"""),"株式会社ｾﾞﾈｺｽ代表取締役　小川　恭史")</f>
        <v>株式会社ｾﾞﾈｺｽ代表取締役　小川　恭史</v>
      </c>
      <c r="D97" s="4" t="str">
        <f>IFERROR(__xludf.DUMMYFUNCTION("""COMPUTED_VALUE"""),"株式会社コンクエスト　ジャガーランドローバー広島")</f>
        <v>株式会社コンクエスト　ジャガーランドローバー広島</v>
      </c>
      <c r="E97" s="4">
        <f>IFERROR(__xludf.DUMMYFUNCTION("""COMPUTED_VALUE"""),30580.0)</f>
        <v>30580</v>
      </c>
      <c r="F97" s="4" t="str">
        <f>IFERROR(__xludf.DUMMYFUNCTION("""COMPUTED_VALUE"""),"未照合")</f>
        <v>未照合</v>
      </c>
      <c r="G97" s="4"/>
      <c r="H97" s="4"/>
      <c r="I97" s="4" t="str">
        <f>IFERROR(__xludf.DUMMYFUNCTION("""COMPUTED_VALUE"""),"")</f>
        <v/>
      </c>
      <c r="J97" s="4"/>
      <c r="K97" s="4" t="str">
        <f>IFERROR(__xludf.DUMMYFUNCTION("""COMPUTED_VALUE"""),"")</f>
        <v/>
      </c>
      <c r="L97" s="4"/>
    </row>
    <row r="98" ht="15.75" customHeight="1">
      <c r="A98" s="4" t="str">
        <f>IFERROR(__xludf.DUMMYFUNCTION("""COMPUTED_VALUE"""),"SB00024566")</f>
        <v>SB00024566</v>
      </c>
      <c r="B98" s="4" t="str">
        <f>IFERROR(__xludf.DUMMYFUNCTION("""COMPUTED_VALUE"""),"KK00000935")</f>
        <v>KK00000935</v>
      </c>
      <c r="C98" s="4" t="str">
        <f>IFERROR(__xludf.DUMMYFUNCTION("""COMPUTED_VALUE"""),"医療法人　徹慈会　　堀病院理事長　宇高毅")</f>
        <v>医療法人　徹慈会　　堀病院理事長　宇高毅</v>
      </c>
      <c r="D98" s="4"/>
      <c r="E98" s="4">
        <f>IFERROR(__xludf.DUMMYFUNCTION("""COMPUTED_VALUE"""),6490.0)</f>
        <v>6490</v>
      </c>
      <c r="F98" s="4" t="str">
        <f>IFERROR(__xludf.DUMMYFUNCTION("""COMPUTED_VALUE"""),"未照合")</f>
        <v>未照合</v>
      </c>
      <c r="G98" s="4"/>
      <c r="H98" s="4"/>
      <c r="I98" s="4" t="str">
        <f>IFERROR(__xludf.DUMMYFUNCTION("""COMPUTED_VALUE"""),"")</f>
        <v/>
      </c>
      <c r="J98" s="4"/>
      <c r="K98" s="4" t="str">
        <f>IFERROR(__xludf.DUMMYFUNCTION("""COMPUTED_VALUE"""),"")</f>
        <v/>
      </c>
      <c r="L98" s="4"/>
    </row>
    <row r="99" ht="15.75" customHeight="1">
      <c r="A99" s="4" t="str">
        <f>IFERROR(__xludf.DUMMYFUNCTION("""COMPUTED_VALUE"""),"SB00024567")</f>
        <v>SB00024567</v>
      </c>
      <c r="B99" s="4" t="str">
        <f>IFERROR(__xludf.DUMMYFUNCTION("""COMPUTED_VALUE"""),"KK00007178")</f>
        <v>KK00007178</v>
      </c>
      <c r="C99" s="4" t="str">
        <f>IFERROR(__xludf.DUMMYFUNCTION("""COMPUTED_VALUE"""),"T's company株式会社代表取締役 塚本妙子")</f>
        <v>T's company株式会社代表取締役 塚本妙子</v>
      </c>
      <c r="D99" s="4" t="str">
        <f>IFERROR(__xludf.DUMMYFUNCTION("""COMPUTED_VALUE"""),"株式会社コンクエスト　ジャガーランドローバー広島")</f>
        <v>株式会社コンクエスト　ジャガーランドローバー広島</v>
      </c>
      <c r="E99" s="4">
        <f>IFERROR(__xludf.DUMMYFUNCTION("""COMPUTED_VALUE"""),12100.0)</f>
        <v>12100</v>
      </c>
      <c r="F99" s="4" t="str">
        <f>IFERROR(__xludf.DUMMYFUNCTION("""COMPUTED_VALUE"""),"未照合")</f>
        <v>未照合</v>
      </c>
      <c r="G99" s="4"/>
      <c r="H99" s="4"/>
      <c r="I99" s="4" t="str">
        <f>IFERROR(__xludf.DUMMYFUNCTION("""COMPUTED_VALUE"""),"")</f>
        <v/>
      </c>
      <c r="J99" s="4"/>
      <c r="K99" s="4" t="str">
        <f>IFERROR(__xludf.DUMMYFUNCTION("""COMPUTED_VALUE"""),"")</f>
        <v/>
      </c>
      <c r="L99" s="4"/>
    </row>
    <row r="100" ht="15.75" customHeight="1">
      <c r="A100" s="4" t="str">
        <f>IFERROR(__xludf.DUMMYFUNCTION("""COMPUTED_VALUE"""),"SB00024561")</f>
        <v>SB00024561</v>
      </c>
      <c r="B100" s="4" t="str">
        <f>IFERROR(__xludf.DUMMYFUNCTION("""COMPUTED_VALUE"""),"KK00006450")</f>
        <v>KK00006450</v>
      </c>
      <c r="C100" s="4" t="str">
        <f>IFERROR(__xludf.DUMMYFUNCTION("""COMPUTED_VALUE"""),"木村　直路")</f>
        <v>木村　直路</v>
      </c>
      <c r="D100" s="4" t="str">
        <f>IFERROR(__xludf.DUMMYFUNCTION("""COMPUTED_VALUE"""),"東京海上日動火災保険株式会社")</f>
        <v>東京海上日動火災保険株式会社</v>
      </c>
      <c r="E100" s="4">
        <f>IFERROR(__xludf.DUMMYFUNCTION("""COMPUTED_VALUE"""),182300.0)</f>
        <v>182300</v>
      </c>
      <c r="F100" s="4" t="str">
        <f>IFERROR(__xludf.DUMMYFUNCTION("""COMPUTED_VALUE"""),"未照合")</f>
        <v>未照合</v>
      </c>
      <c r="G100" s="4"/>
      <c r="H100" s="4"/>
      <c r="I100" s="4" t="str">
        <f>IFERROR(__xludf.DUMMYFUNCTION("""COMPUTED_VALUE"""),"")</f>
        <v/>
      </c>
      <c r="J100" s="4"/>
      <c r="K100" s="4" t="str">
        <f>IFERROR(__xludf.DUMMYFUNCTION("""COMPUTED_VALUE"""),"")</f>
        <v/>
      </c>
      <c r="L100" s="4"/>
    </row>
    <row r="101" ht="15.75" customHeight="1">
      <c r="A101" s="4" t="str">
        <f>IFERROR(__xludf.DUMMYFUNCTION("""COMPUTED_VALUE"""),"SB00024570")</f>
        <v>SB00024570</v>
      </c>
      <c r="B101" s="4" t="str">
        <f>IFERROR(__xludf.DUMMYFUNCTION("""COMPUTED_VALUE"""),"KK00006040")</f>
        <v>KK00006040</v>
      </c>
      <c r="C101" s="4" t="str">
        <f>IFERROR(__xludf.DUMMYFUNCTION("""COMPUTED_VALUE"""),"眞城　地植")</f>
        <v>眞城　地植</v>
      </c>
      <c r="D101" s="4"/>
      <c r="E101" s="4">
        <f>IFERROR(__xludf.DUMMYFUNCTION("""COMPUTED_VALUE"""),7975.0)</f>
        <v>7975</v>
      </c>
      <c r="F101" s="4" t="str">
        <f>IFERROR(__xludf.DUMMYFUNCTION("""COMPUTED_VALUE"""),"未照合")</f>
        <v>未照合</v>
      </c>
      <c r="G101" s="4"/>
      <c r="H101" s="4"/>
      <c r="I101" s="4" t="str">
        <f>IFERROR(__xludf.DUMMYFUNCTION("""COMPUTED_VALUE"""),"")</f>
        <v/>
      </c>
      <c r="J101" s="4"/>
      <c r="K101" s="4" t="str">
        <f>IFERROR(__xludf.DUMMYFUNCTION("""COMPUTED_VALUE"""),"")</f>
        <v/>
      </c>
      <c r="L101" s="4"/>
    </row>
    <row r="102" ht="15.75" customHeight="1">
      <c r="A102" s="4" t="str">
        <f>IFERROR(__xludf.DUMMYFUNCTION("""COMPUTED_VALUE"""),"SB00024571")</f>
        <v>SB00024571</v>
      </c>
      <c r="B102" s="4" t="str">
        <f>IFERROR(__xludf.DUMMYFUNCTION("""COMPUTED_VALUE"""),"KK00003138")</f>
        <v>KK00003138</v>
      </c>
      <c r="C102" s="4" t="str">
        <f>IFERROR(__xludf.DUMMYFUNCTION("""COMPUTED_VALUE"""),"有限会社　協栄商事代表取締役　眞城　地植")</f>
        <v>有限会社　協栄商事代表取締役　眞城　地植</v>
      </c>
      <c r="D102" s="4"/>
      <c r="E102" s="4">
        <f>IFERROR(__xludf.DUMMYFUNCTION("""COMPUTED_VALUE"""),9240.0)</f>
        <v>9240</v>
      </c>
      <c r="F102" s="4" t="str">
        <f>IFERROR(__xludf.DUMMYFUNCTION("""COMPUTED_VALUE"""),"未照合")</f>
        <v>未照合</v>
      </c>
      <c r="G102" s="4"/>
      <c r="H102" s="4"/>
      <c r="I102" s="4" t="str">
        <f>IFERROR(__xludf.DUMMYFUNCTION("""COMPUTED_VALUE"""),"")</f>
        <v/>
      </c>
      <c r="J102" s="4"/>
      <c r="K102" s="4" t="str">
        <f>IFERROR(__xludf.DUMMYFUNCTION("""COMPUTED_VALUE"""),"")</f>
        <v/>
      </c>
      <c r="L102" s="4"/>
    </row>
    <row r="103" ht="15.75" customHeight="1">
      <c r="A103" s="4"/>
      <c r="B103" s="4"/>
      <c r="C103" s="4" t="str">
        <f>IFERROR(__xludf.DUMMYFUNCTION("""COMPUTED_VALUE"""),"株式会社はなまる")</f>
        <v>株式会社はなまる</v>
      </c>
      <c r="D103" s="4"/>
      <c r="E103" s="4">
        <f>IFERROR(__xludf.DUMMYFUNCTION("""COMPUTED_VALUE"""),842430.0)</f>
        <v>842430</v>
      </c>
      <c r="F103" s="4" t="str">
        <f>IFERROR(__xludf.DUMMYFUNCTION("""COMPUTED_VALUE"""),"未照合")</f>
        <v>未照合</v>
      </c>
      <c r="G103" s="4"/>
      <c r="H103" s="4"/>
      <c r="I103" s="4" t="str">
        <f>IFERROR(__xludf.DUMMYFUNCTION("""COMPUTED_VALUE"""),"")</f>
        <v/>
      </c>
      <c r="J103" s="4"/>
      <c r="K103" s="4" t="str">
        <f>IFERROR(__xludf.DUMMYFUNCTION("""COMPUTED_VALUE"""),"")</f>
        <v/>
      </c>
      <c r="L103" s="4"/>
    </row>
    <row r="104" ht="15.75" customHeight="1">
      <c r="A104" s="4" t="str">
        <f>IFERROR(__xludf.DUMMYFUNCTION("""COMPUTED_VALUE"""),"SB00007560")</f>
        <v>SB00007560</v>
      </c>
      <c r="B104" s="4"/>
      <c r="C104" s="4" t="str">
        <f>IFERROR(__xludf.DUMMYFUNCTION("""COMPUTED_VALUE"""),"株式会社ブリッジ代表取締役 橋")</f>
        <v>株式会社ブリッジ代表取締役 橋</v>
      </c>
      <c r="D104" s="4" t="str">
        <f>IFERROR(__xludf.DUMMYFUNCTION("""COMPUTED_VALUE"""),"橋本 裕太郎")</f>
        <v>橋本 裕太郎</v>
      </c>
      <c r="E104" s="4">
        <f>IFERROR(__xludf.DUMMYFUNCTION("""COMPUTED_VALUE"""),97152.0)</f>
        <v>97152</v>
      </c>
      <c r="F104" s="4" t="str">
        <f>IFERROR(__xludf.DUMMYFUNCTION("""COMPUTED_VALUE"""),"未照合")</f>
        <v>未照合</v>
      </c>
      <c r="G104" s="4"/>
      <c r="H104" s="4"/>
      <c r="I104" s="4" t="str">
        <f>IFERROR(__xludf.DUMMYFUNCTION("""COMPUTED_VALUE"""),"")</f>
        <v/>
      </c>
      <c r="J104" s="4"/>
      <c r="K104" s="4" t="str">
        <f>IFERROR(__xludf.DUMMYFUNCTION("""COMPUTED_VALUE"""),"")</f>
        <v/>
      </c>
      <c r="L104" s="4"/>
    </row>
    <row r="105" ht="15.75" customHeight="1">
      <c r="A105" s="4" t="str">
        <f>IFERROR(__xludf.DUMMYFUNCTION("""COMPUTED_VALUE"""),"SB00007585")</f>
        <v>SB00007585</v>
      </c>
      <c r="B105" s="4"/>
      <c r="C105" s="4" t="str">
        <f>IFERROR(__xludf.DUMMYFUNCTION("""COMPUTED_VALUE"""),"株式会社 T企画代表取締役富")</f>
        <v>株式会社 T企画代表取締役富</v>
      </c>
      <c r="D105" s="4" t="str">
        <f>IFERROR(__xludf.DUMMYFUNCTION("""COMPUTED_VALUE"""),"橋本 裕太郎")</f>
        <v>橋本 裕太郎</v>
      </c>
      <c r="E105" s="4">
        <f>IFERROR(__xludf.DUMMYFUNCTION("""COMPUTED_VALUE"""),270820.0)</f>
        <v>270820</v>
      </c>
      <c r="F105" s="4" t="str">
        <f>IFERROR(__xludf.DUMMYFUNCTION("""COMPUTED_VALUE"""),"未照合")</f>
        <v>未照合</v>
      </c>
      <c r="G105" s="4"/>
      <c r="H105" s="4"/>
      <c r="I105" s="4" t="str">
        <f>IFERROR(__xludf.DUMMYFUNCTION("""COMPUTED_VALUE"""),"")</f>
        <v/>
      </c>
      <c r="J105" s="4"/>
      <c r="K105" s="4" t="str">
        <f>IFERROR(__xludf.DUMMYFUNCTION("""COMPUTED_VALUE"""),"")</f>
        <v/>
      </c>
      <c r="L105" s="4"/>
    </row>
    <row r="106" ht="15.75" customHeight="1">
      <c r="A106" s="4" t="str">
        <f>IFERROR(__xludf.DUMMYFUNCTION("""COMPUTED_VALUE"""),"SB00007587")</f>
        <v>SB00007587</v>
      </c>
      <c r="B106" s="4"/>
      <c r="C106" s="4" t="str">
        <f>IFERROR(__xludf.DUMMYFUNCTION("""COMPUTED_VALUE"""),"青地耳鼻咽喉科院長 青地克也")</f>
        <v>青地耳鼻咽喉科院長 青地克也</v>
      </c>
      <c r="D106" s="4" t="str">
        <f>IFERROR(__xludf.DUMMYFUNCTION("""COMPUTED_VALUE"""),"橋本 裕太郎")</f>
        <v>橋本 裕太郎</v>
      </c>
      <c r="E106" s="4">
        <f>IFERROR(__xludf.DUMMYFUNCTION("""COMPUTED_VALUE"""),353925.0)</f>
        <v>353925</v>
      </c>
      <c r="F106" s="4" t="str">
        <f>IFERROR(__xludf.DUMMYFUNCTION("""COMPUTED_VALUE"""),"未照合")</f>
        <v>未照合</v>
      </c>
      <c r="G106" s="4"/>
      <c r="H106" s="4"/>
      <c r="I106" s="4" t="str">
        <f>IFERROR(__xludf.DUMMYFUNCTION("""COMPUTED_VALUE"""),"")</f>
        <v/>
      </c>
      <c r="J106" s="4"/>
      <c r="K106" s="4" t="str">
        <f>IFERROR(__xludf.DUMMYFUNCTION("""COMPUTED_VALUE"""),"")</f>
        <v/>
      </c>
      <c r="L106" s="4"/>
    </row>
    <row r="107" ht="15.75" customHeight="1">
      <c r="A107" s="4" t="str">
        <f>IFERROR(__xludf.DUMMYFUNCTION("""COMPUTED_VALUE"""),"SB00007591")</f>
        <v>SB00007591</v>
      </c>
      <c r="B107" s="4"/>
      <c r="C107" s="4" t="str">
        <f>IFERROR(__xludf.DUMMYFUNCTION("""COMPUTED_VALUE"""),"青地耳鼻咽喉科院長 青地克也")</f>
        <v>青地耳鼻咽喉科院長 青地克也</v>
      </c>
      <c r="D107" s="4" t="str">
        <f>IFERROR(__xludf.DUMMYFUNCTION("""COMPUTED_VALUE"""),"橋本 裕太郎")</f>
        <v>橋本 裕太郎</v>
      </c>
      <c r="E107" s="4">
        <f>IFERROR(__xludf.DUMMYFUNCTION("""COMPUTED_VALUE"""),124740.0)</f>
        <v>124740</v>
      </c>
      <c r="F107" s="4" t="str">
        <f>IFERROR(__xludf.DUMMYFUNCTION("""COMPUTED_VALUE"""),"未照合")</f>
        <v>未照合</v>
      </c>
      <c r="G107" s="4"/>
      <c r="H107" s="4"/>
      <c r="I107" s="4" t="str">
        <f>IFERROR(__xludf.DUMMYFUNCTION("""COMPUTED_VALUE"""),"")</f>
        <v/>
      </c>
      <c r="J107" s="4"/>
      <c r="K107" s="4" t="str">
        <f>IFERROR(__xludf.DUMMYFUNCTION("""COMPUTED_VALUE"""),"")</f>
        <v/>
      </c>
      <c r="L107" s="4"/>
    </row>
    <row r="108" ht="15.75" customHeight="1">
      <c r="A108" s="4" t="str">
        <f>IFERROR(__xludf.DUMMYFUNCTION("""COMPUTED_VALUE"""),"SB00024550")</f>
        <v>SB00024550</v>
      </c>
      <c r="B108" s="4" t="str">
        <f>IFERROR(__xludf.DUMMYFUNCTION("""COMPUTED_VALUE"""),"KK00000203")</f>
        <v>KK00000203</v>
      </c>
      <c r="C108" s="4" t="str">
        <f>IFERROR(__xludf.DUMMYFUNCTION("""COMPUTED_VALUE"""),"株式会社　フレッチェ・ボスコ代表取締役　林　正道")</f>
        <v>株式会社　フレッチェ・ボスコ代表取締役　林　正道</v>
      </c>
      <c r="D108" s="4"/>
      <c r="E108" s="4">
        <f>IFERROR(__xludf.DUMMYFUNCTION("""COMPUTED_VALUE"""),165360.0)</f>
        <v>165360</v>
      </c>
      <c r="F108" s="4" t="str">
        <f>IFERROR(__xludf.DUMMYFUNCTION("""COMPUTED_VALUE"""),"未照合")</f>
        <v>未照合</v>
      </c>
      <c r="G108" s="4"/>
      <c r="H108" s="4"/>
      <c r="I108" s="4" t="str">
        <f>IFERROR(__xludf.DUMMYFUNCTION("""COMPUTED_VALUE"""),"")</f>
        <v/>
      </c>
      <c r="J108" s="4"/>
      <c r="K108" s="4" t="str">
        <f>IFERROR(__xludf.DUMMYFUNCTION("""COMPUTED_VALUE"""),"")</f>
        <v/>
      </c>
      <c r="L108" s="4"/>
    </row>
    <row r="109" ht="15.75" customHeight="1">
      <c r="A109" s="4" t="str">
        <f>IFERROR(__xludf.DUMMYFUNCTION("""COMPUTED_VALUE"""),"SB00007583")</f>
        <v>SB00007583</v>
      </c>
      <c r="B109" s="4"/>
      <c r="C109" s="4" t="str">
        <f>IFERROR(__xludf.DUMMYFUNCTION("""COMPUTED_VALUE"""),"小俣 英夫")</f>
        <v>小俣 英夫</v>
      </c>
      <c r="D109" s="4" t="str">
        <f>IFERROR(__xludf.DUMMYFUNCTION("""COMPUTED_VALUE"""),"橋本 裕太郎")</f>
        <v>橋本 裕太郎</v>
      </c>
      <c r="E109" s="4">
        <f>IFERROR(__xludf.DUMMYFUNCTION("""COMPUTED_VALUE"""),284020.0)</f>
        <v>284020</v>
      </c>
      <c r="F109" s="4" t="str">
        <f>IFERROR(__xludf.DUMMYFUNCTION("""COMPUTED_VALUE"""),"未照合")</f>
        <v>未照合</v>
      </c>
      <c r="G109" s="4"/>
      <c r="H109" s="4"/>
      <c r="I109" s="4" t="str">
        <f>IFERROR(__xludf.DUMMYFUNCTION("""COMPUTED_VALUE"""),"")</f>
        <v/>
      </c>
      <c r="J109" s="4"/>
      <c r="K109" s="4" t="str">
        <f>IFERROR(__xludf.DUMMYFUNCTION("""COMPUTED_VALUE"""),"")</f>
        <v/>
      </c>
      <c r="L109" s="4"/>
    </row>
    <row r="110" ht="15.75" customHeight="1">
      <c r="A110" s="4" t="str">
        <f>IFERROR(__xludf.DUMMYFUNCTION("""COMPUTED_VALUE"""),"SB00024576")</f>
        <v>SB00024576</v>
      </c>
      <c r="B110" s="4" t="str">
        <f>IFERROR(__xludf.DUMMYFUNCTION("""COMPUTED_VALUE"""),"KK00006682")</f>
        <v>KK00006682</v>
      </c>
      <c r="C110" s="4" t="str">
        <f>IFERROR(__xludf.DUMMYFUNCTION("""COMPUTED_VALUE"""),"医療法人　彩生会理事長　中島　健吾")</f>
        <v>医療法人　彩生会理事長　中島　健吾</v>
      </c>
      <c r="D110" s="4" t="str">
        <f>IFERROR(__xludf.DUMMYFUNCTION("""COMPUTED_VALUE"""),"株式会社コンクエスト　ジャガーランドローバー広島")</f>
        <v>株式会社コンクエスト　ジャガーランドローバー広島</v>
      </c>
      <c r="E110" s="4">
        <f>IFERROR(__xludf.DUMMYFUNCTION("""COMPUTED_VALUE"""),15400.0)</f>
        <v>15400</v>
      </c>
      <c r="F110" s="4" t="str">
        <f>IFERROR(__xludf.DUMMYFUNCTION("""COMPUTED_VALUE"""),"要確認")</f>
        <v>要確認</v>
      </c>
      <c r="G110" s="4"/>
      <c r="H110" s="4"/>
      <c r="I110" s="4" t="str">
        <f>IFERROR(__xludf.DUMMYFUNCTION("""COMPUTED_VALUE"""),"")</f>
        <v/>
      </c>
      <c r="J110" s="4"/>
      <c r="K110" s="4" t="str">
        <f>IFERROR(__xludf.DUMMYFUNCTION("""COMPUTED_VALUE"""),"")</f>
        <v/>
      </c>
      <c r="L110" s="4"/>
    </row>
    <row r="111" ht="15.75" customHeight="1">
      <c r="A111" s="4" t="str">
        <f>IFERROR(__xludf.DUMMYFUNCTION("""COMPUTED_VALUE"""),"SB00024577")</f>
        <v>SB00024577</v>
      </c>
      <c r="B111" s="4" t="str">
        <f>IFERROR(__xludf.DUMMYFUNCTION("""COMPUTED_VALUE"""),"KK00006682")</f>
        <v>KK00006682</v>
      </c>
      <c r="C111" s="4" t="str">
        <f>IFERROR(__xludf.DUMMYFUNCTION("""COMPUTED_VALUE"""),"医療法人　彩生会理事長　中島　健吾")</f>
        <v>医療法人　彩生会理事長　中島　健吾</v>
      </c>
      <c r="D111" s="4" t="str">
        <f>IFERROR(__xludf.DUMMYFUNCTION("""COMPUTED_VALUE"""),"株式会社コンクエスト　ジャガーランドローバー広島")</f>
        <v>株式会社コンクエスト　ジャガーランドローバー広島</v>
      </c>
      <c r="E111" s="4">
        <f>IFERROR(__xludf.DUMMYFUNCTION("""COMPUTED_VALUE"""),8800.0)</f>
        <v>8800</v>
      </c>
      <c r="F111" s="4" t="str">
        <f>IFERROR(__xludf.DUMMYFUNCTION("""COMPUTED_VALUE"""),"要確認")</f>
        <v>要確認</v>
      </c>
      <c r="G111" s="4"/>
      <c r="H111" s="4"/>
      <c r="I111" s="4" t="str">
        <f>IFERROR(__xludf.DUMMYFUNCTION("""COMPUTED_VALUE"""),"")</f>
        <v/>
      </c>
      <c r="J111" s="4"/>
      <c r="K111" s="4" t="str">
        <f>IFERROR(__xludf.DUMMYFUNCTION("""COMPUTED_VALUE"""),"")</f>
        <v/>
      </c>
      <c r="L111" s="4"/>
    </row>
    <row r="112" ht="15.75" customHeight="1">
      <c r="A112" s="4" t="str">
        <f>IFERROR(__xludf.DUMMYFUNCTION("""COMPUTED_VALUE"""),"SB00024578")</f>
        <v>SB00024578</v>
      </c>
      <c r="B112" s="4" t="str">
        <f>IFERROR(__xludf.DUMMYFUNCTION("""COMPUTED_VALUE"""),"KK00001837")</f>
        <v>KK00001837</v>
      </c>
      <c r="C112" s="4" t="str">
        <f>IFERROR(__xludf.DUMMYFUNCTION("""COMPUTED_VALUE"""),"有限会社エル・グレコ代表取締役 長沼　眞智子")</f>
        <v>有限会社エル・グレコ代表取締役 長沼　眞智子</v>
      </c>
      <c r="D112" s="4"/>
      <c r="E112" s="4">
        <f>IFERROR(__xludf.DUMMYFUNCTION("""COMPUTED_VALUE"""),18700.0)</f>
        <v>18700</v>
      </c>
      <c r="F112" s="4" t="str">
        <f>IFERROR(__xludf.DUMMYFUNCTION("""COMPUTED_VALUE"""),"要確認")</f>
        <v>要確認</v>
      </c>
      <c r="G112" s="4"/>
      <c r="H112" s="4"/>
      <c r="I112" s="4" t="str">
        <f>IFERROR(__xludf.DUMMYFUNCTION("""COMPUTED_VALUE"""),"")</f>
        <v/>
      </c>
      <c r="J112" s="4"/>
      <c r="K112" s="4" t="str">
        <f>IFERROR(__xludf.DUMMYFUNCTION("""COMPUTED_VALUE"""),"")</f>
        <v/>
      </c>
      <c r="L112" s="4"/>
    </row>
    <row r="113" ht="15.75" customHeight="1">
      <c r="A113" s="4" t="str">
        <f>IFERROR(__xludf.DUMMYFUNCTION("""COMPUTED_VALUE"""),"SB00007567")</f>
        <v>SB00007567</v>
      </c>
      <c r="B113" s="4"/>
      <c r="C113" s="4" t="str">
        <f>IFERROR(__xludf.DUMMYFUNCTION("""COMPUTED_VALUE"""),"平山 八広")</f>
        <v>平山 八広</v>
      </c>
      <c r="D113" s="4" t="str">
        <f>IFERROR(__xludf.DUMMYFUNCTION("""COMPUTED_VALUE"""),"橋本 裕太郎")</f>
        <v>橋本 裕太郎</v>
      </c>
      <c r="E113" s="4">
        <f>IFERROR(__xludf.DUMMYFUNCTION("""COMPUTED_VALUE"""),84480.0)</f>
        <v>84480</v>
      </c>
      <c r="F113" s="4" t="str">
        <f>IFERROR(__xludf.DUMMYFUNCTION("""COMPUTED_VALUE"""),"未照合")</f>
        <v>未照合</v>
      </c>
      <c r="G113" s="4"/>
      <c r="H113" s="4"/>
      <c r="I113" s="4" t="str">
        <f>IFERROR(__xludf.DUMMYFUNCTION("""COMPUTED_VALUE"""),"")</f>
        <v/>
      </c>
      <c r="J113" s="4"/>
      <c r="K113" s="4" t="str">
        <f>IFERROR(__xludf.DUMMYFUNCTION("""COMPUTED_VALUE"""),"")</f>
        <v/>
      </c>
      <c r="L113" s="4"/>
    </row>
    <row r="114" ht="15.75" customHeight="1">
      <c r="A114" s="4" t="str">
        <f>IFERROR(__xludf.DUMMYFUNCTION("""COMPUTED_VALUE"""),"SB00007588")</f>
        <v>SB00007588</v>
      </c>
      <c r="B114" s="4"/>
      <c r="C114" s="4" t="str">
        <f>IFERROR(__xludf.DUMMYFUNCTION("""COMPUTED_VALUE"""),"株式会社 一真代表取締役 眞田")</f>
        <v>株式会社 一真代表取締役 眞田</v>
      </c>
      <c r="D114" s="4" t="str">
        <f>IFERROR(__xludf.DUMMYFUNCTION("""COMPUTED_VALUE"""),"橋本 裕太郎")</f>
        <v>橋本 裕太郎</v>
      </c>
      <c r="E114" s="4">
        <f>IFERROR(__xludf.DUMMYFUNCTION("""COMPUTED_VALUE"""),141416.0)</f>
        <v>141416</v>
      </c>
      <c r="F114" s="4" t="str">
        <f>IFERROR(__xludf.DUMMYFUNCTION("""COMPUTED_VALUE"""),"未照合")</f>
        <v>未照合</v>
      </c>
      <c r="G114" s="4"/>
      <c r="H114" s="4"/>
      <c r="I114" s="4" t="str">
        <f>IFERROR(__xludf.DUMMYFUNCTION("""COMPUTED_VALUE"""),"")</f>
        <v/>
      </c>
      <c r="J114" s="4"/>
      <c r="K114" s="4" t="str">
        <f>IFERROR(__xludf.DUMMYFUNCTION("""COMPUTED_VALUE"""),"")</f>
        <v/>
      </c>
      <c r="L114" s="4"/>
    </row>
    <row r="115" ht="15.75" customHeight="1">
      <c r="A115" s="4" t="str">
        <f>IFERROR(__xludf.DUMMYFUNCTION("""COMPUTED_VALUE"""),"SB00007589")</f>
        <v>SB00007589</v>
      </c>
      <c r="B115" s="4"/>
      <c r="C115" s="4" t="str">
        <f>IFERROR(__xludf.DUMMYFUNCTION("""COMPUTED_VALUE"""),"株式会社 一真代表取締役 眞田")</f>
        <v>株式会社 一真代表取締役 眞田</v>
      </c>
      <c r="D115" s="4" t="str">
        <f>IFERROR(__xludf.DUMMYFUNCTION("""COMPUTED_VALUE"""),"橋本 裕太郎")</f>
        <v>橋本 裕太郎</v>
      </c>
      <c r="E115" s="4">
        <f>IFERROR(__xludf.DUMMYFUNCTION("""COMPUTED_VALUE"""),3080.0)</f>
        <v>3080</v>
      </c>
      <c r="F115" s="4" t="str">
        <f>IFERROR(__xludf.DUMMYFUNCTION("""COMPUTED_VALUE"""),"未照合")</f>
        <v>未照合</v>
      </c>
      <c r="G115" s="4"/>
      <c r="H115" s="4"/>
      <c r="I115" s="4" t="str">
        <f>IFERROR(__xludf.DUMMYFUNCTION("""COMPUTED_VALUE"""),"")</f>
        <v/>
      </c>
      <c r="J115" s="4"/>
      <c r="K115" s="4" t="str">
        <f>IFERROR(__xludf.DUMMYFUNCTION("""COMPUTED_VALUE"""),"")</f>
        <v/>
      </c>
      <c r="L115" s="4"/>
    </row>
    <row r="116" ht="15.75" customHeight="1">
      <c r="A116" s="4" t="str">
        <f>IFERROR(__xludf.DUMMYFUNCTION("""COMPUTED_VALUE"""),"SB00007590")</f>
        <v>SB00007590</v>
      </c>
      <c r="B116" s="4"/>
      <c r="C116" s="4" t="str">
        <f>IFERROR(__xludf.DUMMYFUNCTION("""COMPUTED_VALUE"""),"株式会社 一真代表取締役 眞田")</f>
        <v>株式会社 一真代表取締役 眞田</v>
      </c>
      <c r="D116" s="4" t="str">
        <f>IFERROR(__xludf.DUMMYFUNCTION("""COMPUTED_VALUE"""),"橋本 裕太郎")</f>
        <v>橋本 裕太郎</v>
      </c>
      <c r="E116" s="4">
        <f>IFERROR(__xludf.DUMMYFUNCTION("""COMPUTED_VALUE"""),616.0)</f>
        <v>616</v>
      </c>
      <c r="F116" s="4" t="str">
        <f>IFERROR(__xludf.DUMMYFUNCTION("""COMPUTED_VALUE"""),"未照合")</f>
        <v>未照合</v>
      </c>
      <c r="G116" s="4"/>
      <c r="H116" s="4"/>
      <c r="I116" s="4" t="str">
        <f>IFERROR(__xludf.DUMMYFUNCTION("""COMPUTED_VALUE"""),"")</f>
        <v/>
      </c>
      <c r="J116" s="4"/>
      <c r="K116" s="4" t="str">
        <f>IFERROR(__xludf.DUMMYFUNCTION("""COMPUTED_VALUE"""),"")</f>
        <v/>
      </c>
      <c r="L116" s="4"/>
    </row>
    <row r="117" ht="15.75" customHeight="1">
      <c r="A117" s="4" t="str">
        <f>IFERROR(__xludf.DUMMYFUNCTION("""COMPUTED_VALUE"""),"SB00024533")</f>
        <v>SB00024533</v>
      </c>
      <c r="B117" s="4" t="str">
        <f>IFERROR(__xludf.DUMMYFUNCTION("""COMPUTED_VALUE"""),"KK00000587")</f>
        <v>KK00000587</v>
      </c>
      <c r="C117" s="4" t="str">
        <f>IFERROR(__xludf.DUMMYFUNCTION("""COMPUTED_VALUE"""),"株式会社　一真代表取締役　眞田奈津基")</f>
        <v>株式会社　一真代表取締役　眞田奈津基</v>
      </c>
      <c r="D117" s="4"/>
      <c r="E117" s="4">
        <f>IFERROR(__xludf.DUMMYFUNCTION("""COMPUTED_VALUE"""),431200.0)</f>
        <v>431200</v>
      </c>
      <c r="F117" s="4" t="str">
        <f>IFERROR(__xludf.DUMMYFUNCTION("""COMPUTED_VALUE"""),"未照合")</f>
        <v>未照合</v>
      </c>
      <c r="G117" s="4"/>
      <c r="H117" s="4"/>
      <c r="I117" s="4" t="str">
        <f>IFERROR(__xludf.DUMMYFUNCTION("""COMPUTED_VALUE"""),"")</f>
        <v/>
      </c>
      <c r="J117" s="4"/>
      <c r="K117" s="4" t="str">
        <f>IFERROR(__xludf.DUMMYFUNCTION("""COMPUTED_VALUE"""),"")</f>
        <v/>
      </c>
      <c r="L117" s="4"/>
    </row>
    <row r="118" ht="15.75" customHeight="1">
      <c r="A118" s="4" t="str">
        <f>IFERROR(__xludf.DUMMYFUNCTION("""COMPUTED_VALUE"""),"SB00024579")</f>
        <v>SB00024579</v>
      </c>
      <c r="B118" s="4" t="str">
        <f>IFERROR(__xludf.DUMMYFUNCTION("""COMPUTED_VALUE"""),"KK00007162")</f>
        <v>KK00007162</v>
      </c>
      <c r="C118" s="4" t="str">
        <f>IFERROR(__xludf.DUMMYFUNCTION("""COMPUTED_VALUE"""),"高垣圭一朗")</f>
        <v>高垣圭一朗</v>
      </c>
      <c r="D118" s="4"/>
      <c r="E118" s="4">
        <f>IFERROR(__xludf.DUMMYFUNCTION("""COMPUTED_VALUE"""),239560.0)</f>
        <v>239560</v>
      </c>
      <c r="F118" s="4" t="str">
        <f>IFERROR(__xludf.DUMMYFUNCTION("""COMPUTED_VALUE"""),"未照合")</f>
        <v>未照合</v>
      </c>
      <c r="G118" s="4"/>
      <c r="H118" s="4"/>
      <c r="I118" s="4" t="str">
        <f>IFERROR(__xludf.DUMMYFUNCTION("""COMPUTED_VALUE"""),"")</f>
        <v/>
      </c>
      <c r="J118" s="4"/>
      <c r="K118" s="4" t="str">
        <f>IFERROR(__xludf.DUMMYFUNCTION("""COMPUTED_VALUE"""),"")</f>
        <v/>
      </c>
      <c r="L118" s="4"/>
    </row>
    <row r="119" ht="15.75" customHeight="1">
      <c r="A119" s="4" t="str">
        <f>IFERROR(__xludf.DUMMYFUNCTION("""COMPUTED_VALUE"""),"SB00024574")</f>
        <v>SB00024574</v>
      </c>
      <c r="B119" s="4" t="str">
        <f>IFERROR(__xludf.DUMMYFUNCTION("""COMPUTED_VALUE"""),"KK00001837")</f>
        <v>KK00001837</v>
      </c>
      <c r="C119" s="4" t="str">
        <f>IFERROR(__xludf.DUMMYFUNCTION("""COMPUTED_VALUE"""),"有限会社エル・グレコ代表取締役 長沼　眞智子")</f>
        <v>有限会社エル・グレコ代表取締役 長沼　眞智子</v>
      </c>
      <c r="D119" s="4" t="str">
        <f>IFERROR(__xludf.DUMMYFUNCTION("""COMPUTED_VALUE"""),"三井住友海上火災保険　株式会社")</f>
        <v>三井住友海上火災保険　株式会社</v>
      </c>
      <c r="E119" s="4">
        <f>IFERROR(__xludf.DUMMYFUNCTION("""COMPUTED_VALUE"""),957660.0)</f>
        <v>957660</v>
      </c>
      <c r="F119" s="4" t="str">
        <f>IFERROR(__xludf.DUMMYFUNCTION("""COMPUTED_VALUE"""),"未照合")</f>
        <v>未照合</v>
      </c>
      <c r="G119" s="4"/>
      <c r="H119" s="4"/>
      <c r="I119" s="4" t="str">
        <f>IFERROR(__xludf.DUMMYFUNCTION("""COMPUTED_VALUE"""),"")</f>
        <v/>
      </c>
      <c r="J119" s="4"/>
      <c r="K119" s="4" t="str">
        <f>IFERROR(__xludf.DUMMYFUNCTION("""COMPUTED_VALUE"""),"")</f>
        <v/>
      </c>
      <c r="L119" s="4"/>
    </row>
    <row r="120" ht="15.75" customHeight="1">
      <c r="A120" s="4" t="str">
        <f>IFERROR(__xludf.DUMMYFUNCTION("""COMPUTED_VALUE"""),"SB00024586")</f>
        <v>SB00024586</v>
      </c>
      <c r="B120" s="4" t="str">
        <f>IFERROR(__xludf.DUMMYFUNCTION("""COMPUTED_VALUE"""),"KK00003341")</f>
        <v>KK00003341</v>
      </c>
      <c r="C120" s="4" t="str">
        <f>IFERROR(__xludf.DUMMYFUNCTION("""COMPUTED_VALUE"""),"村上　裕二")</f>
        <v>村上　裕二</v>
      </c>
      <c r="D120" s="4" t="str">
        <f>IFERROR(__xludf.DUMMYFUNCTION("""COMPUTED_VALUE"""),"東京海上日動火災保険株式会社")</f>
        <v>東京海上日動火災保険株式会社</v>
      </c>
      <c r="E120" s="4">
        <f>IFERROR(__xludf.DUMMYFUNCTION("""COMPUTED_VALUE"""),1235000.0)</f>
        <v>1235000</v>
      </c>
      <c r="F120" s="4" t="str">
        <f>IFERROR(__xludf.DUMMYFUNCTION("""COMPUTED_VALUE"""),"未照合")</f>
        <v>未照合</v>
      </c>
      <c r="G120" s="4"/>
      <c r="H120" s="4"/>
      <c r="I120" s="4" t="str">
        <f>IFERROR(__xludf.DUMMYFUNCTION("""COMPUTED_VALUE"""),"")</f>
        <v/>
      </c>
      <c r="J120" s="4"/>
      <c r="K120" s="4" t="str">
        <f>IFERROR(__xludf.DUMMYFUNCTION("""COMPUTED_VALUE"""),"")</f>
        <v/>
      </c>
      <c r="L120" s="4"/>
    </row>
    <row r="121" ht="15.75" customHeight="1">
      <c r="A121" s="4" t="str">
        <f>IFERROR(__xludf.DUMMYFUNCTION("""COMPUTED_VALUE"""),"SB00024589")</f>
        <v>SB00024589</v>
      </c>
      <c r="B121" s="4" t="str">
        <f>IFERROR(__xludf.DUMMYFUNCTION("""COMPUTED_VALUE"""),"KK00006039")</f>
        <v>KK00006039</v>
      </c>
      <c r="C121" s="4" t="str">
        <f>IFERROR(__xludf.DUMMYFUNCTION("""COMPUTED_VALUE"""),"吉野　準")</f>
        <v>吉野　準</v>
      </c>
      <c r="D121" s="4" t="str">
        <f>IFERROR(__xludf.DUMMYFUNCTION("""COMPUTED_VALUE"""),"株式会社コンクエスト　ジャガーランドローバー広島")</f>
        <v>株式会社コンクエスト　ジャガーランドローバー広島</v>
      </c>
      <c r="E121" s="4">
        <f>IFERROR(__xludf.DUMMYFUNCTION("""COMPUTED_VALUE"""),12100.0)</f>
        <v>12100</v>
      </c>
      <c r="F121" s="4" t="str">
        <f>IFERROR(__xludf.DUMMYFUNCTION("""COMPUTED_VALUE"""),"未照合")</f>
        <v>未照合</v>
      </c>
      <c r="G121" s="4"/>
      <c r="H121" s="4"/>
      <c r="I121" s="4" t="str">
        <f>IFERROR(__xludf.DUMMYFUNCTION("""COMPUTED_VALUE"""),"")</f>
        <v/>
      </c>
      <c r="J121" s="4"/>
      <c r="K121" s="4" t="str">
        <f>IFERROR(__xludf.DUMMYFUNCTION("""COMPUTED_VALUE"""),"")</f>
        <v/>
      </c>
      <c r="L121" s="4"/>
    </row>
    <row r="122" ht="15.75" customHeight="1">
      <c r="A122" s="4" t="str">
        <f>IFERROR(__xludf.DUMMYFUNCTION("""COMPUTED_VALUE"""),"SB00024590")</f>
        <v>SB00024590</v>
      </c>
      <c r="B122" s="4" t="str">
        <f>IFERROR(__xludf.DUMMYFUNCTION("""COMPUTED_VALUE"""),"KK00007089")</f>
        <v>KK00007089</v>
      </c>
      <c r="C122" s="4" t="str">
        <f>IFERROR(__xludf.DUMMYFUNCTION("""COMPUTED_VALUE"""),"株式会社　水島設備代表取締役　岡彬")</f>
        <v>株式会社　水島設備代表取締役　岡彬</v>
      </c>
      <c r="D122" s="4" t="str">
        <f>IFERROR(__xludf.DUMMYFUNCTION("""COMPUTED_VALUE"""),"株式会社コンクエスト　ジャガーランドローバー広島")</f>
        <v>株式会社コンクエスト　ジャガーランドローバー広島</v>
      </c>
      <c r="E122" s="4">
        <f>IFERROR(__xludf.DUMMYFUNCTION("""COMPUTED_VALUE"""),12100.0)</f>
        <v>12100</v>
      </c>
      <c r="F122" s="4" t="str">
        <f>IFERROR(__xludf.DUMMYFUNCTION("""COMPUTED_VALUE"""),"未照合")</f>
        <v>未照合</v>
      </c>
      <c r="G122" s="4"/>
      <c r="H122" s="4"/>
      <c r="I122" s="4" t="str">
        <f>IFERROR(__xludf.DUMMYFUNCTION("""COMPUTED_VALUE"""),"")</f>
        <v/>
      </c>
      <c r="J122" s="4"/>
      <c r="K122" s="4" t="str">
        <f>IFERROR(__xludf.DUMMYFUNCTION("""COMPUTED_VALUE"""),"")</f>
        <v/>
      </c>
      <c r="L122" s="4"/>
    </row>
    <row r="123" ht="15.75" customHeight="1">
      <c r="A123" s="4"/>
      <c r="B123" s="4"/>
      <c r="C123" s="4" t="str">
        <f>IFERROR(__xludf.DUMMYFUNCTION("""COMPUTED_VALUE"""),"Y.ONE WORKS㈱様GLB")</f>
        <v>Y.ONE WORKS㈱様GLB</v>
      </c>
      <c r="D123" s="4"/>
      <c r="E123" s="4">
        <f>IFERROR(__xludf.DUMMYFUNCTION("""COMPUTED_VALUE"""),8266050.0)</f>
        <v>8266050</v>
      </c>
      <c r="F123" s="4" t="str">
        <f>IFERROR(__xludf.DUMMYFUNCTION("""COMPUTED_VALUE"""),"未照合")</f>
        <v>未照合</v>
      </c>
      <c r="G123" s="4"/>
      <c r="H123" s="4"/>
      <c r="I123" s="4" t="str">
        <f>IFERROR(__xludf.DUMMYFUNCTION("""COMPUTED_VALUE"""),"")</f>
        <v/>
      </c>
      <c r="J123" s="4"/>
      <c r="K123" s="4" t="str">
        <f>IFERROR(__xludf.DUMMYFUNCTION("""COMPUTED_VALUE"""),"")</f>
        <v/>
      </c>
      <c r="L123" s="4"/>
    </row>
    <row r="124" ht="15.75" customHeight="1">
      <c r="A124" s="4" t="str">
        <f>IFERROR(__xludf.DUMMYFUNCTION("""COMPUTED_VALUE"""),"SB00007582")</f>
        <v>SB00007582</v>
      </c>
      <c r="B124" s="4"/>
      <c r="C124" s="4" t="str">
        <f>IFERROR(__xludf.DUMMYFUNCTION("""COMPUTED_VALUE"""),"有限会社 多林製作所")</f>
        <v>有限会社 多林製作所</v>
      </c>
      <c r="D124" s="4" t="str">
        <f>IFERROR(__xludf.DUMMYFUNCTION("""COMPUTED_VALUE"""),"有限会社多林製作所")</f>
        <v>有限会社多林製作所</v>
      </c>
      <c r="E124" s="4">
        <f>IFERROR(__xludf.DUMMYFUNCTION("""COMPUTED_VALUE"""),0.0)</f>
        <v>0</v>
      </c>
      <c r="F124" s="4" t="str">
        <f>IFERROR(__xludf.DUMMYFUNCTION("""COMPUTED_VALUE"""),"未照合")</f>
        <v>未照合</v>
      </c>
      <c r="G124" s="4"/>
      <c r="H124" s="4"/>
      <c r="I124" s="4" t="str">
        <f>IFERROR(__xludf.DUMMYFUNCTION("""COMPUTED_VALUE"""),"")</f>
        <v/>
      </c>
      <c r="J124" s="4"/>
      <c r="K124" s="4" t="str">
        <f>IFERROR(__xludf.DUMMYFUNCTION("""COMPUTED_VALUE"""),"")</f>
        <v/>
      </c>
      <c r="L124" s="4"/>
    </row>
    <row r="125" ht="15.75" customHeight="1">
      <c r="A125" s="4" t="str">
        <f>IFERROR(__xludf.DUMMYFUNCTION("""COMPUTED_VALUE"""),"SB00007580")</f>
        <v>SB00007580</v>
      </c>
      <c r="B125" s="4"/>
      <c r="C125" s="4" t="str">
        <f>IFERROR(__xludf.DUMMYFUNCTION("""COMPUTED_VALUE"""),"医療法人 庸英会 まさよし内科小")</f>
        <v>医療法人 庸英会 まさよし内科小</v>
      </c>
      <c r="D125" s="4" t="str">
        <f>IFERROR(__xludf.DUMMYFUNCTION("""COMPUTED_VALUE"""),"医療法人庸英会")</f>
        <v>医療法人庸英会</v>
      </c>
      <c r="E125" s="4">
        <f>IFERROR(__xludf.DUMMYFUNCTION("""COMPUTED_VALUE"""),0.0)</f>
        <v>0</v>
      </c>
      <c r="F125" s="4" t="str">
        <f>IFERROR(__xludf.DUMMYFUNCTION("""COMPUTED_VALUE"""),"未照合")</f>
        <v>未照合</v>
      </c>
      <c r="G125" s="4"/>
      <c r="H125" s="4"/>
      <c r="I125" s="4" t="str">
        <f>IFERROR(__xludf.DUMMYFUNCTION("""COMPUTED_VALUE"""),"")</f>
        <v/>
      </c>
      <c r="J125" s="4"/>
      <c r="K125" s="4" t="str">
        <f>IFERROR(__xludf.DUMMYFUNCTION("""COMPUTED_VALUE"""),"")</f>
        <v/>
      </c>
      <c r="L125" s="4"/>
    </row>
    <row r="126" ht="15.75" customHeight="1">
      <c r="A126" s="4"/>
      <c r="B126" s="4"/>
      <c r="C126" s="4" t="str">
        <f>IFERROR(__xludf.DUMMYFUNCTION("""COMPUTED_VALUE"""),"クリアメタル")</f>
        <v>クリアメタル</v>
      </c>
      <c r="D126" s="4"/>
      <c r="E126" s="4">
        <f>IFERROR(__xludf.DUMMYFUNCTION("""COMPUTED_VALUE"""),8823110.0)</f>
        <v>8823110</v>
      </c>
      <c r="F126" s="4" t="str">
        <f>IFERROR(__xludf.DUMMYFUNCTION("""COMPUTED_VALUE"""),"未照合")</f>
        <v>未照合</v>
      </c>
      <c r="G126" s="4"/>
      <c r="H126" s="4"/>
      <c r="I126" s="4" t="str">
        <f>IFERROR(__xludf.DUMMYFUNCTION("""COMPUTED_VALUE"""),"")</f>
        <v/>
      </c>
      <c r="J126" s="4"/>
      <c r="K126" s="4" t="str">
        <f>IFERROR(__xludf.DUMMYFUNCTION("""COMPUTED_VALUE"""),"")</f>
        <v/>
      </c>
      <c r="L126" s="4"/>
    </row>
    <row r="127" ht="15.75" customHeight="1">
      <c r="A127" s="4"/>
      <c r="B127" s="4"/>
      <c r="C127" s="4" t="str">
        <f>IFERROR(__xludf.DUMMYFUNCTION("""COMPUTED_VALUE"""),"亀森 直")</f>
        <v>亀森 直</v>
      </c>
      <c r="D127" s="4"/>
      <c r="E127" s="4">
        <f>IFERROR(__xludf.DUMMYFUNCTION("""COMPUTED_VALUE"""),1.049528E7)</f>
        <v>10495280</v>
      </c>
      <c r="F127" s="4" t="str">
        <f>IFERROR(__xludf.DUMMYFUNCTION("""COMPUTED_VALUE"""),"未照合")</f>
        <v>未照合</v>
      </c>
      <c r="G127" s="4"/>
      <c r="H127" s="4"/>
      <c r="I127" s="4" t="str">
        <f>IFERROR(__xludf.DUMMYFUNCTION("""COMPUTED_VALUE"""),"")</f>
        <v/>
      </c>
      <c r="J127" s="4"/>
      <c r="K127" s="4" t="str">
        <f>IFERROR(__xludf.DUMMYFUNCTION("""COMPUTED_VALUE"""),"")</f>
        <v/>
      </c>
      <c r="L127" s="4"/>
    </row>
    <row r="128" ht="15.75" customHeight="1">
      <c r="A128" s="4"/>
      <c r="B128" s="4"/>
      <c r="C128" s="4" t="str">
        <f>IFERROR(__xludf.DUMMYFUNCTION("""COMPUTED_VALUE"""),"伊瀬和裕様 DEF")</f>
        <v>伊瀬和裕様 DEF</v>
      </c>
      <c r="D128" s="4"/>
      <c r="E128" s="4">
        <f>IFERROR(__xludf.DUMMYFUNCTION("""COMPUTED_VALUE"""),1.3365393E7)</f>
        <v>13365393</v>
      </c>
      <c r="F128" s="4" t="str">
        <f>IFERROR(__xludf.DUMMYFUNCTION("""COMPUTED_VALUE"""),"未照合")</f>
        <v>未照合</v>
      </c>
      <c r="G128" s="4"/>
      <c r="H128" s="4"/>
      <c r="I128" s="4" t="str">
        <f>IFERROR(__xludf.DUMMYFUNCTION("""COMPUTED_VALUE"""),"")</f>
        <v/>
      </c>
      <c r="J128" s="4"/>
      <c r="K128" s="4" t="str">
        <f>IFERROR(__xludf.DUMMYFUNCTION("""COMPUTED_VALUE"""),"")</f>
        <v/>
      </c>
      <c r="L128" s="4"/>
    </row>
    <row r="129" ht="15.75" customHeight="1">
      <c r="A129" s="4"/>
      <c r="B129" s="4"/>
      <c r="C129" s="4" t="str">
        <f>IFERROR(__xludf.DUMMYFUNCTION("""COMPUTED_VALUE"""),"沖田滉平様 DEF")</f>
        <v>沖田滉平様 DEF</v>
      </c>
      <c r="D129" s="4"/>
      <c r="E129" s="4">
        <f>IFERROR(__xludf.DUMMYFUNCTION("""COMPUTED_VALUE"""),1.185382E7)</f>
        <v>11853820</v>
      </c>
      <c r="F129" s="4" t="str">
        <f>IFERROR(__xludf.DUMMYFUNCTION("""COMPUTED_VALUE"""),"未照合")</f>
        <v>未照合</v>
      </c>
      <c r="G129" s="4"/>
      <c r="H129" s="4"/>
      <c r="I129" s="4" t="str">
        <f>IFERROR(__xludf.DUMMYFUNCTION("""COMPUTED_VALUE"""),"")</f>
        <v/>
      </c>
      <c r="J129" s="4"/>
      <c r="K129" s="4" t="str">
        <f>IFERROR(__xludf.DUMMYFUNCTION("""COMPUTED_VALUE"""),"")</f>
        <v/>
      </c>
      <c r="L129" s="4"/>
    </row>
    <row r="130" ht="15.75" customHeight="1">
      <c r="A130" s="4"/>
      <c r="B130" s="4"/>
      <c r="C130" s="4" t="str">
        <f>IFERROR(__xludf.DUMMYFUNCTION("""COMPUTED_VALUE"""),"㈱はっけん RR")</f>
        <v>㈱はっけん RR</v>
      </c>
      <c r="D130" s="4"/>
      <c r="E130" s="4">
        <f>IFERROR(__xludf.DUMMYFUNCTION("""COMPUTED_VALUE"""),3.425163E7)</f>
        <v>34251630</v>
      </c>
      <c r="F130" s="4" t="str">
        <f>IFERROR(__xludf.DUMMYFUNCTION("""COMPUTED_VALUE"""),"未照合")</f>
        <v>未照合</v>
      </c>
      <c r="G130" s="4"/>
      <c r="H130" s="4"/>
      <c r="I130" s="4" t="str">
        <f>IFERROR(__xludf.DUMMYFUNCTION("""COMPUTED_VALUE"""),"")</f>
        <v/>
      </c>
      <c r="J130" s="4"/>
      <c r="K130" s="4" t="str">
        <f>IFERROR(__xludf.DUMMYFUNCTION("""COMPUTED_VALUE"""),"")</f>
        <v/>
      </c>
      <c r="L130" s="4"/>
    </row>
    <row r="131" ht="15.75" customHeight="1">
      <c r="A131" s="4" t="str">
        <f>IFERROR(__xludf.DUMMYFUNCTION("""COMPUTED_VALUE"""),"SB00024393")</f>
        <v>SB00024393</v>
      </c>
      <c r="B131" s="4" t="str">
        <f>IFERROR(__xludf.DUMMYFUNCTION("""COMPUTED_VALUE"""),"KK00006576")</f>
        <v>KK00006576</v>
      </c>
      <c r="C131" s="4" t="str">
        <f>IFERROR(__xludf.DUMMYFUNCTION("""COMPUTED_VALUE"""),"谷川　雅一")</f>
        <v>谷川　雅一</v>
      </c>
      <c r="D131" s="4"/>
      <c r="E131" s="4">
        <f>IFERROR(__xludf.DUMMYFUNCTION("""COMPUTED_VALUE"""),274510.0)</f>
        <v>274510</v>
      </c>
      <c r="F131" s="4" t="str">
        <f>IFERROR(__xludf.DUMMYFUNCTION("""COMPUTED_VALUE"""),"未照合")</f>
        <v>未照合</v>
      </c>
      <c r="G131" s="4"/>
      <c r="H131" s="4"/>
      <c r="I131" s="4"/>
      <c r="J131" s="4"/>
      <c r="K131" s="4"/>
      <c r="L131" s="4"/>
    </row>
    <row r="132" ht="15.75" customHeight="1">
      <c r="A132" s="4" t="str">
        <f>IFERROR(__xludf.DUMMYFUNCTION("""COMPUTED_VALUE"""),"SB00024522")</f>
        <v>SB00024522</v>
      </c>
      <c r="B132" s="4" t="str">
        <f>IFERROR(__xludf.DUMMYFUNCTION("""COMPUTED_VALUE"""),"KK00001694")</f>
        <v>KK00001694</v>
      </c>
      <c r="C132" s="4" t="str">
        <f>IFERROR(__xludf.DUMMYFUNCTION("""COMPUTED_VALUE"""),"株式会社 ｻﾝｴｽ　代表取締役社長 佐藤卓己")</f>
        <v>株式会社 ｻﾝｴｽ　代表取締役社長 佐藤卓己</v>
      </c>
      <c r="D132" s="4" t="str">
        <f>IFERROR(__xludf.DUMMYFUNCTION("""COMPUTED_VALUE"""),"東京海上日動火災保険株式会社")</f>
        <v>東京海上日動火災保険株式会社</v>
      </c>
      <c r="E132" s="4">
        <f>IFERROR(__xludf.DUMMYFUNCTION("""COMPUTED_VALUE"""),757660.0)</f>
        <v>757660</v>
      </c>
      <c r="F132" s="4" t="str">
        <f>IFERROR(__xludf.DUMMYFUNCTION("""COMPUTED_VALUE"""),"未照合")</f>
        <v>未照合</v>
      </c>
      <c r="G132" s="4"/>
      <c r="H132" s="4"/>
      <c r="I132" s="4"/>
      <c r="J132" s="4"/>
      <c r="K132" s="4"/>
      <c r="L132" s="4"/>
    </row>
    <row r="133" ht="15.75" customHeight="1">
      <c r="A133" s="4" t="str">
        <f>IFERROR(__xludf.DUMMYFUNCTION("""COMPUTED_VALUE"""),"SB00024528")</f>
        <v>SB00024528</v>
      </c>
      <c r="B133" s="4" t="str">
        <f>IFERROR(__xludf.DUMMYFUNCTION("""COMPUTED_VALUE"""),"KK00000587")</f>
        <v>KK00000587</v>
      </c>
      <c r="C133" s="4" t="str">
        <f>IFERROR(__xludf.DUMMYFUNCTION("""COMPUTED_VALUE"""),"株式会社　一真代表取締役　眞田奈津基")</f>
        <v>株式会社　一真代表取締役　眞田奈津基</v>
      </c>
      <c r="D133" s="4"/>
      <c r="E133" s="4">
        <f>IFERROR(__xludf.DUMMYFUNCTION("""COMPUTED_VALUE"""),280030.0)</f>
        <v>280030</v>
      </c>
      <c r="F133" s="4" t="str">
        <f>IFERROR(__xludf.DUMMYFUNCTION("""COMPUTED_VALUE"""),"未照合")</f>
        <v>未照合</v>
      </c>
      <c r="G133" s="4"/>
      <c r="H133" s="4"/>
      <c r="I133" s="4"/>
      <c r="J133" s="4"/>
      <c r="K133" s="4"/>
      <c r="L133" s="4"/>
    </row>
    <row r="134" ht="15.75" customHeight="1">
      <c r="A134" s="4" t="str">
        <f>IFERROR(__xludf.DUMMYFUNCTION("""COMPUTED_VALUE"""),"SB00024532")</f>
        <v>SB00024532</v>
      </c>
      <c r="B134" s="4" t="str">
        <f>IFERROR(__xludf.DUMMYFUNCTION("""COMPUTED_VALUE"""),"KK00003341")</f>
        <v>KK00003341</v>
      </c>
      <c r="C134" s="4" t="str">
        <f>IFERROR(__xludf.DUMMYFUNCTION("""COMPUTED_VALUE"""),"村上　裕二")</f>
        <v>村上　裕二</v>
      </c>
      <c r="D134" s="4" t="str">
        <f>IFERROR(__xludf.DUMMYFUNCTION("""COMPUTED_VALUE"""),"東京海上日動火災保険株式会社")</f>
        <v>東京海上日動火災保険株式会社</v>
      </c>
      <c r="E134" s="4">
        <f>IFERROR(__xludf.DUMMYFUNCTION("""COMPUTED_VALUE"""),72600.0)</f>
        <v>72600</v>
      </c>
      <c r="F134" s="4" t="str">
        <f>IFERROR(__xludf.DUMMYFUNCTION("""COMPUTED_VALUE"""),"未照合")</f>
        <v>未照合</v>
      </c>
      <c r="G134" s="4"/>
      <c r="H134" s="4"/>
      <c r="I134" s="4"/>
      <c r="J134" s="4"/>
      <c r="K134" s="4"/>
      <c r="L134" s="4"/>
    </row>
    <row r="135" ht="15.75" customHeight="1">
      <c r="A135" s="4" t="str">
        <f>IFERROR(__xludf.DUMMYFUNCTION("""COMPUTED_VALUE"""),"SB00024533")</f>
        <v>SB00024533</v>
      </c>
      <c r="B135" s="4" t="str">
        <f>IFERROR(__xludf.DUMMYFUNCTION("""COMPUTED_VALUE"""),"KK00000587")</f>
        <v>KK00000587</v>
      </c>
      <c r="C135" s="4" t="str">
        <f>IFERROR(__xludf.DUMMYFUNCTION("""COMPUTED_VALUE"""),"株式会社　一真代表取締役　眞田奈津基")</f>
        <v>株式会社　一真代表取締役　眞田奈津基</v>
      </c>
      <c r="D135" s="4"/>
      <c r="E135" s="4">
        <f>IFERROR(__xludf.DUMMYFUNCTION("""COMPUTED_VALUE"""),431200.0)</f>
        <v>431200</v>
      </c>
      <c r="F135" s="4" t="str">
        <f>IFERROR(__xludf.DUMMYFUNCTION("""COMPUTED_VALUE"""),"未照合")</f>
        <v>未照合</v>
      </c>
      <c r="G135" s="4"/>
      <c r="H135" s="4"/>
      <c r="I135" s="4"/>
      <c r="J135" s="4"/>
      <c r="K135" s="4"/>
      <c r="L135" s="4"/>
    </row>
    <row r="136" ht="15.75" customHeight="1">
      <c r="A136" s="4" t="str">
        <f>IFERROR(__xludf.DUMMYFUNCTION("""COMPUTED_VALUE"""),"SB00024540")</f>
        <v>SB00024540</v>
      </c>
      <c r="B136" s="4" t="str">
        <f>IFERROR(__xludf.DUMMYFUNCTION("""COMPUTED_VALUE"""),"KK00007173")</f>
        <v>KK00007173</v>
      </c>
      <c r="C136" s="4" t="str">
        <f>IFERROR(__xludf.DUMMYFUNCTION("""COMPUTED_VALUE"""),"有限会社ミモザ薬局代表取締役　藤原清隆")</f>
        <v>有限会社ミモザ薬局代表取締役　藤原清隆</v>
      </c>
      <c r="D136" s="4" t="str">
        <f>IFERROR(__xludf.DUMMYFUNCTION("""COMPUTED_VALUE"""),"株式会社コンクエスト　ジャガーランドローバー広島")</f>
        <v>株式会社コンクエスト　ジャガーランドローバー広島</v>
      </c>
      <c r="E136" s="4">
        <f>IFERROR(__xludf.DUMMYFUNCTION("""COMPUTED_VALUE"""),19784.0)</f>
        <v>19784</v>
      </c>
      <c r="F136" s="4" t="str">
        <f>IFERROR(__xludf.DUMMYFUNCTION("""COMPUTED_VALUE"""),"未照合")</f>
        <v>未照合</v>
      </c>
      <c r="G136" s="4"/>
      <c r="H136" s="4"/>
      <c r="I136" s="4"/>
      <c r="J136" s="4"/>
      <c r="K136" s="4"/>
      <c r="L136" s="4"/>
    </row>
    <row r="137" ht="15.75" customHeight="1">
      <c r="A137" s="4" t="str">
        <f>IFERROR(__xludf.DUMMYFUNCTION("""COMPUTED_VALUE"""),"SB00024549")</f>
        <v>SB00024549</v>
      </c>
      <c r="B137" s="4" t="str">
        <f>IFERROR(__xludf.DUMMYFUNCTION("""COMPUTED_VALUE"""),"KK00007232")</f>
        <v>KK00007232</v>
      </c>
      <c r="C137" s="4" t="str">
        <f>IFERROR(__xludf.DUMMYFUNCTION("""COMPUTED_VALUE"""),"株式会社ｄｒ-wanwan.com代表取締役 麻生暁秀")</f>
        <v>株式会社ｄｒ-wanwan.com代表取締役 麻生暁秀</v>
      </c>
      <c r="D137" s="4"/>
      <c r="E137" s="4">
        <f>IFERROR(__xludf.DUMMYFUNCTION("""COMPUTED_VALUE"""),10000.0)</f>
        <v>10000</v>
      </c>
      <c r="F137" s="4" t="str">
        <f>IFERROR(__xludf.DUMMYFUNCTION("""COMPUTED_VALUE"""),"未照合")</f>
        <v>未照合</v>
      </c>
      <c r="G137" s="4"/>
      <c r="H137" s="4"/>
      <c r="I137" s="4"/>
      <c r="J137" s="4"/>
      <c r="K137" s="4"/>
      <c r="L137" s="4"/>
    </row>
    <row r="138" ht="15.75" customHeight="1">
      <c r="A138" s="4" t="str">
        <f>IFERROR(__xludf.DUMMYFUNCTION("""COMPUTED_VALUE"""),"SB00024565")</f>
        <v>SB00024565</v>
      </c>
      <c r="B138" s="4" t="str">
        <f>IFERROR(__xludf.DUMMYFUNCTION("""COMPUTED_VALUE"""),"KK00003138")</f>
        <v>KK00003138</v>
      </c>
      <c r="C138" s="4" t="str">
        <f>IFERROR(__xludf.DUMMYFUNCTION("""COMPUTED_VALUE"""),"有限会社　協栄商事代表取締役　眞城　地植")</f>
        <v>有限会社　協栄商事代表取締役　眞城　地植</v>
      </c>
      <c r="D138" s="4"/>
      <c r="E138" s="4">
        <f>IFERROR(__xludf.DUMMYFUNCTION("""COMPUTED_VALUE"""),305720.0)</f>
        <v>305720</v>
      </c>
      <c r="F138" s="4" t="str">
        <f>IFERROR(__xludf.DUMMYFUNCTION("""COMPUTED_VALUE"""),"未照合")</f>
        <v>未照合</v>
      </c>
      <c r="G138" s="4"/>
      <c r="H138" s="4"/>
      <c r="I138" s="4"/>
      <c r="J138" s="4"/>
      <c r="K138" s="4"/>
      <c r="L138" s="4"/>
    </row>
    <row r="139" ht="15.75" customHeight="1">
      <c r="A139" s="4" t="str">
        <f>IFERROR(__xludf.DUMMYFUNCTION("""COMPUTED_VALUE"""),"SB00024574")</f>
        <v>SB00024574</v>
      </c>
      <c r="B139" s="4" t="str">
        <f>IFERROR(__xludf.DUMMYFUNCTION("""COMPUTED_VALUE"""),"KK00001837")</f>
        <v>KK00001837</v>
      </c>
      <c r="C139" s="4" t="str">
        <f>IFERROR(__xludf.DUMMYFUNCTION("""COMPUTED_VALUE"""),"有限会社エル・グレコ代表取締役 長沼　眞智子")</f>
        <v>有限会社エル・グレコ代表取締役 長沼　眞智子</v>
      </c>
      <c r="D139" s="4" t="str">
        <f>IFERROR(__xludf.DUMMYFUNCTION("""COMPUTED_VALUE"""),"三井住友海上火災保険　株式会社")</f>
        <v>三井住友海上火災保険　株式会社</v>
      </c>
      <c r="E139" s="4">
        <f>IFERROR(__xludf.DUMMYFUNCTION("""COMPUTED_VALUE"""),957660.0)</f>
        <v>957660</v>
      </c>
      <c r="F139" s="4" t="str">
        <f>IFERROR(__xludf.DUMMYFUNCTION("""COMPUTED_VALUE"""),"未照合")</f>
        <v>未照合</v>
      </c>
      <c r="G139" s="4"/>
      <c r="H139" s="4"/>
      <c r="I139" s="4"/>
      <c r="J139" s="4"/>
      <c r="K139" s="4"/>
      <c r="L139" s="4"/>
    </row>
    <row r="140" ht="15.75" customHeight="1">
      <c r="A140" s="4" t="str">
        <f>IFERROR(__xludf.DUMMYFUNCTION("""COMPUTED_VALUE"""),"SB00024579")</f>
        <v>SB00024579</v>
      </c>
      <c r="B140" s="4" t="str">
        <f>IFERROR(__xludf.DUMMYFUNCTION("""COMPUTED_VALUE"""),"KK00007162")</f>
        <v>KK00007162</v>
      </c>
      <c r="C140" s="4" t="str">
        <f>IFERROR(__xludf.DUMMYFUNCTION("""COMPUTED_VALUE"""),"高垣圭一朗")</f>
        <v>高垣圭一朗</v>
      </c>
      <c r="D140" s="4"/>
      <c r="E140" s="4">
        <f>IFERROR(__xludf.DUMMYFUNCTION("""COMPUTED_VALUE"""),239560.0)</f>
        <v>239560</v>
      </c>
      <c r="F140" s="4" t="str">
        <f>IFERROR(__xludf.DUMMYFUNCTION("""COMPUTED_VALUE"""),"未照合")</f>
        <v>未照合</v>
      </c>
      <c r="G140" s="4"/>
      <c r="H140" s="4"/>
      <c r="I140" s="4"/>
      <c r="J140" s="4"/>
      <c r="K140" s="4"/>
      <c r="L140" s="4"/>
    </row>
    <row r="141" ht="15.75" customHeight="1">
      <c r="A141" s="4" t="str">
        <f>IFERROR(__xludf.DUMMYFUNCTION("""COMPUTED_VALUE"""),"SB00024580")</f>
        <v>SB00024580</v>
      </c>
      <c r="B141" s="4" t="str">
        <f>IFERROR(__xludf.DUMMYFUNCTION("""COMPUTED_VALUE"""),"KK00006682")</f>
        <v>KK00006682</v>
      </c>
      <c r="C141" s="4" t="str">
        <f>IFERROR(__xludf.DUMMYFUNCTION("""COMPUTED_VALUE"""),"医療法人　彩生会理事長　中島　健吾")</f>
        <v>医療法人　彩生会理事長　中島　健吾</v>
      </c>
      <c r="D141" s="4"/>
      <c r="E141" s="4">
        <f>IFERROR(__xludf.DUMMYFUNCTION("""COMPUTED_VALUE"""),64350.0)</f>
        <v>64350</v>
      </c>
      <c r="F141" s="4" t="str">
        <f>IFERROR(__xludf.DUMMYFUNCTION("""COMPUTED_VALUE"""),"未照合")</f>
        <v>未照合</v>
      </c>
      <c r="G141" s="4"/>
      <c r="H141" s="4"/>
      <c r="I141" s="4"/>
      <c r="J141" s="4"/>
      <c r="K141" s="4"/>
      <c r="L141" s="4"/>
    </row>
    <row r="142" ht="15.75" customHeight="1">
      <c r="A142" s="4" t="str">
        <f>IFERROR(__xludf.DUMMYFUNCTION("""COMPUTED_VALUE"""),"SB00024583")</f>
        <v>SB00024583</v>
      </c>
      <c r="B142" s="4" t="str">
        <f>IFERROR(__xludf.DUMMYFUNCTION("""COMPUTED_VALUE"""),"KK00000935")</f>
        <v>KK00000935</v>
      </c>
      <c r="C142" s="4" t="str">
        <f>IFERROR(__xludf.DUMMYFUNCTION("""COMPUTED_VALUE"""),"医療法人　徹慈会　　堀病院理事長　宇高毅")</f>
        <v>医療法人　徹慈会　　堀病院理事長　宇高毅</v>
      </c>
      <c r="D142" s="4"/>
      <c r="E142" s="4">
        <f>IFERROR(__xludf.DUMMYFUNCTION("""COMPUTED_VALUE"""),29040.0)</f>
        <v>29040</v>
      </c>
      <c r="F142" s="4" t="str">
        <f>IFERROR(__xludf.DUMMYFUNCTION("""COMPUTED_VALUE"""),"未照合")</f>
        <v>未照合</v>
      </c>
      <c r="G142" s="4"/>
      <c r="H142" s="4"/>
      <c r="I142" s="4"/>
      <c r="J142" s="4"/>
      <c r="K142" s="4"/>
      <c r="L142" s="4"/>
    </row>
    <row r="143" ht="15.75" customHeight="1">
      <c r="A143" s="4" t="str">
        <f>IFERROR(__xludf.DUMMYFUNCTION("""COMPUTED_VALUE"""),"SB00024584")</f>
        <v>SB00024584</v>
      </c>
      <c r="B143" s="4" t="str">
        <f>IFERROR(__xludf.DUMMYFUNCTION("""COMPUTED_VALUE"""),"KK00002577")</f>
        <v>KK00002577</v>
      </c>
      <c r="C143" s="4" t="str">
        <f>IFERROR(__xludf.DUMMYFUNCTION("""COMPUTED_VALUE"""),"千々木　弘道")</f>
        <v>千々木　弘道</v>
      </c>
      <c r="D143" s="4"/>
      <c r="E143" s="4">
        <f>IFERROR(__xludf.DUMMYFUNCTION("""COMPUTED_VALUE"""),309012.0)</f>
        <v>309012</v>
      </c>
      <c r="F143" s="4" t="str">
        <f>IFERROR(__xludf.DUMMYFUNCTION("""COMPUTED_VALUE"""),"未照合")</f>
        <v>未照合</v>
      </c>
      <c r="G143" s="4"/>
      <c r="H143" s="4"/>
      <c r="I143" s="4"/>
      <c r="J143" s="4"/>
      <c r="K143" s="4"/>
      <c r="L143" s="4"/>
    </row>
    <row r="144" ht="15.75" customHeight="1">
      <c r="A144" s="4" t="str">
        <f>IFERROR(__xludf.DUMMYFUNCTION("""COMPUTED_VALUE"""),"SB00024586")</f>
        <v>SB00024586</v>
      </c>
      <c r="B144" s="4" t="str">
        <f>IFERROR(__xludf.DUMMYFUNCTION("""COMPUTED_VALUE"""),"KK00003341")</f>
        <v>KK00003341</v>
      </c>
      <c r="C144" s="4" t="str">
        <f>IFERROR(__xludf.DUMMYFUNCTION("""COMPUTED_VALUE"""),"村上　裕二")</f>
        <v>村上　裕二</v>
      </c>
      <c r="D144" s="4" t="str">
        <f>IFERROR(__xludf.DUMMYFUNCTION("""COMPUTED_VALUE"""),"東京海上日動火災保険株式会社")</f>
        <v>東京海上日動火災保険株式会社</v>
      </c>
      <c r="E144" s="4">
        <f>IFERROR(__xludf.DUMMYFUNCTION("""COMPUTED_VALUE"""),1235000.0)</f>
        <v>1235000</v>
      </c>
      <c r="F144" s="4" t="str">
        <f>IFERROR(__xludf.DUMMYFUNCTION("""COMPUTED_VALUE"""),"未照合")</f>
        <v>未照合</v>
      </c>
      <c r="G144" s="4"/>
      <c r="H144" s="4"/>
      <c r="I144" s="4"/>
      <c r="J144" s="4"/>
      <c r="K144" s="4"/>
      <c r="L144" s="4"/>
    </row>
    <row r="145" ht="15.75" customHeight="1">
      <c r="A145" s="4" t="str">
        <f>IFERROR(__xludf.DUMMYFUNCTION("""COMPUTED_VALUE"""),"SB00024587")</f>
        <v>SB00024587</v>
      </c>
      <c r="B145" s="4" t="str">
        <f>IFERROR(__xludf.DUMMYFUNCTION("""COMPUTED_VALUE"""),"KK00001694")</f>
        <v>KK00001694</v>
      </c>
      <c r="C145" s="4" t="str">
        <f>IFERROR(__xludf.DUMMYFUNCTION("""COMPUTED_VALUE"""),"株式会社 ｻﾝｴｽ　代表取締役社長 佐藤卓己")</f>
        <v>株式会社 ｻﾝｴｽ　代表取締役社長 佐藤卓己</v>
      </c>
      <c r="D145" s="4"/>
      <c r="E145" s="4">
        <f>IFERROR(__xludf.DUMMYFUNCTION("""COMPUTED_VALUE"""),200000.0)</f>
        <v>200000</v>
      </c>
      <c r="F145" s="4" t="str">
        <f>IFERROR(__xludf.DUMMYFUNCTION("""COMPUTED_VALUE"""),"未照合")</f>
        <v>未照合</v>
      </c>
      <c r="G145" s="4"/>
      <c r="H145" s="4"/>
      <c r="I145" s="4"/>
      <c r="J145" s="4"/>
      <c r="K145" s="4"/>
      <c r="L145" s="4"/>
    </row>
    <row r="146" ht="15.75" customHeight="1">
      <c r="A146" s="4" t="str">
        <f>IFERROR(__xludf.DUMMYFUNCTION("""COMPUTED_VALUE"""),"SB00024589")</f>
        <v>SB00024589</v>
      </c>
      <c r="B146" s="4" t="str">
        <f>IFERROR(__xludf.DUMMYFUNCTION("""COMPUTED_VALUE"""),"KK00006039")</f>
        <v>KK00006039</v>
      </c>
      <c r="C146" s="4" t="str">
        <f>IFERROR(__xludf.DUMMYFUNCTION("""COMPUTED_VALUE"""),"吉野　準")</f>
        <v>吉野　準</v>
      </c>
      <c r="D146" s="4" t="str">
        <f>IFERROR(__xludf.DUMMYFUNCTION("""COMPUTED_VALUE"""),"株式会社コンクエスト　ジャガーランドローバー広島")</f>
        <v>株式会社コンクエスト　ジャガーランドローバー広島</v>
      </c>
      <c r="E146" s="4">
        <f>IFERROR(__xludf.DUMMYFUNCTION("""COMPUTED_VALUE"""),12100.0)</f>
        <v>12100</v>
      </c>
      <c r="F146" s="4" t="str">
        <f>IFERROR(__xludf.DUMMYFUNCTION("""COMPUTED_VALUE"""),"未照合")</f>
        <v>未照合</v>
      </c>
      <c r="G146" s="4"/>
      <c r="H146" s="4"/>
      <c r="I146" s="4"/>
      <c r="J146" s="4"/>
      <c r="K146" s="4"/>
      <c r="L146" s="4"/>
    </row>
    <row r="147" ht="15.75" customHeight="1">
      <c r="A147" s="4" t="str">
        <f>IFERROR(__xludf.DUMMYFUNCTION("""COMPUTED_VALUE"""),"SB00024590")</f>
        <v>SB00024590</v>
      </c>
      <c r="B147" s="4" t="str">
        <f>IFERROR(__xludf.DUMMYFUNCTION("""COMPUTED_VALUE"""),"KK00007089")</f>
        <v>KK00007089</v>
      </c>
      <c r="C147" s="4" t="str">
        <f>IFERROR(__xludf.DUMMYFUNCTION("""COMPUTED_VALUE"""),"株式会社　水島設備代表取締役　岡彬")</f>
        <v>株式会社　水島設備代表取締役　岡彬</v>
      </c>
      <c r="D147" s="4" t="str">
        <f>IFERROR(__xludf.DUMMYFUNCTION("""COMPUTED_VALUE"""),"株式会社コンクエスト　ジャガーランドローバー広島")</f>
        <v>株式会社コンクエスト　ジャガーランドローバー広島</v>
      </c>
      <c r="E147" s="4">
        <f>IFERROR(__xludf.DUMMYFUNCTION("""COMPUTED_VALUE"""),12100.0)</f>
        <v>12100</v>
      </c>
      <c r="F147" s="4" t="str">
        <f>IFERROR(__xludf.DUMMYFUNCTION("""COMPUTED_VALUE"""),"未照合")</f>
        <v>未照合</v>
      </c>
      <c r="G147" s="4"/>
      <c r="H147" s="4"/>
      <c r="I147" s="4"/>
      <c r="J147" s="4"/>
      <c r="K147" s="4"/>
      <c r="L147" s="4"/>
    </row>
    <row r="148" ht="15.75" customHeight="1">
      <c r="A148" s="4" t="str">
        <f>IFERROR(__xludf.DUMMYFUNCTION("""COMPUTED_VALUE"""),"SB00024592")</f>
        <v>SB00024592</v>
      </c>
      <c r="B148" s="4" t="str">
        <f>IFERROR(__xludf.DUMMYFUNCTION("""COMPUTED_VALUE"""),"KK00001711")</f>
        <v>KK00001711</v>
      </c>
      <c r="C148" s="4" t="str">
        <f>IFERROR(__xludf.DUMMYFUNCTION("""COMPUTED_VALUE"""),"株式会社 ｱｸｾ代表取締役 　高垣　 圭一朗")</f>
        <v>株式会社 ｱｸｾ代表取締役 　高垣　 圭一朗</v>
      </c>
      <c r="D148" s="4"/>
      <c r="E148" s="4">
        <f>IFERROR(__xludf.DUMMYFUNCTION("""COMPUTED_VALUE"""),18700.0)</f>
        <v>18700</v>
      </c>
      <c r="F148" s="4" t="str">
        <f>IFERROR(__xludf.DUMMYFUNCTION("""COMPUTED_VALUE"""),"未照合")</f>
        <v>未照合</v>
      </c>
      <c r="G148" s="4"/>
      <c r="H148" s="4"/>
      <c r="I148" s="4"/>
      <c r="J148" s="4"/>
      <c r="K148" s="4"/>
      <c r="L148" s="4"/>
    </row>
    <row r="149" ht="15.75" customHeight="1">
      <c r="A149" s="4" t="str">
        <f>IFERROR(__xludf.DUMMYFUNCTION("""COMPUTED_VALUE"""),"SB00024552")</f>
        <v>SB00024552</v>
      </c>
      <c r="B149" s="4" t="str">
        <f>IFERROR(__xludf.DUMMYFUNCTION("""COMPUTED_VALUE"""),"KK00005545")</f>
        <v>KK00005545</v>
      </c>
      <c r="C149" s="4" t="str">
        <f>IFERROR(__xludf.DUMMYFUNCTION("""COMPUTED_VALUE"""),"島田　伸也")</f>
        <v>島田　伸也</v>
      </c>
      <c r="D149" s="4" t="str">
        <f>IFERROR(__xludf.DUMMYFUNCTION("""COMPUTED_VALUE"""),"三井住友海上火災保険　株式会社")</f>
        <v>三井住友海上火災保険　株式会社</v>
      </c>
      <c r="E149" s="4">
        <f>IFERROR(__xludf.DUMMYFUNCTION("""COMPUTED_VALUE"""),100000.0)</f>
        <v>100000</v>
      </c>
      <c r="F149" s="4" t="str">
        <f>IFERROR(__xludf.DUMMYFUNCTION("""COMPUTED_VALUE"""),"未照合")</f>
        <v>未照合</v>
      </c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 t="str">
        <f>IFERROR(__xludf.DUMMYFUNCTION("""COMPUTED_VALUE"""),"初村 亘")</f>
        <v>初村 亘</v>
      </c>
      <c r="D150" s="4"/>
      <c r="E150" s="4">
        <f>IFERROR(__xludf.DUMMYFUNCTION("""COMPUTED_VALUE"""),1220000.0)</f>
        <v>1220000</v>
      </c>
      <c r="F150" s="4" t="str">
        <f>IFERROR(__xludf.DUMMYFUNCTION("""COMPUTED_VALUE"""),"未照合")</f>
        <v>未照合</v>
      </c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 t="str">
        <f>IFERROR(__xludf.DUMMYFUNCTION("""COMPUTED_VALUE"""),"株式会社フレッチェ・ボスコ代")</f>
        <v>株式会社フレッチェ・ボスコ代</v>
      </c>
      <c r="D151" s="4"/>
      <c r="E151" s="4">
        <f>IFERROR(__xludf.DUMMYFUNCTION("""COMPUTED_VALUE"""),67375.0)</f>
        <v>67375</v>
      </c>
      <c r="F151" s="4" t="str">
        <f>IFERROR(__xludf.DUMMYFUNCTION("""COMPUTED_VALUE"""),"未照合")</f>
        <v>未照合</v>
      </c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 t="str">
        <f>IFERROR(__xludf.DUMMYFUNCTION("""COMPUTED_VALUE"""),"株式会社ブリッジ代表取締役 橋")</f>
        <v>株式会社ブリッジ代表取締役 橋</v>
      </c>
      <c r="D152" s="4"/>
      <c r="E152" s="4">
        <f>IFERROR(__xludf.DUMMYFUNCTION("""COMPUTED_VALUE"""),97152.0)</f>
        <v>97152</v>
      </c>
      <c r="F152" s="4" t="str">
        <f>IFERROR(__xludf.DUMMYFUNCTION("""COMPUTED_VALUE"""),"未照合")</f>
        <v>未照合</v>
      </c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 t="str">
        <f>IFERROR(__xludf.DUMMYFUNCTION("""COMPUTED_VALUE"""),"株式会社 高木")</f>
        <v>株式会社 高木</v>
      </c>
      <c r="D153" s="4"/>
      <c r="E153" s="4">
        <f>IFERROR(__xludf.DUMMYFUNCTION("""COMPUTED_VALUE"""),77682.0)</f>
        <v>77682</v>
      </c>
      <c r="F153" s="4" t="str">
        <f>IFERROR(__xludf.DUMMYFUNCTION("""COMPUTED_VALUE"""),"未照合")</f>
        <v>未照合</v>
      </c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 t="str">
        <f>IFERROR(__xludf.DUMMYFUNCTION("""COMPUTED_VALUE"""),"平山 八広")</f>
        <v>平山 八広</v>
      </c>
      <c r="D154" s="4"/>
      <c r="E154" s="4">
        <f>IFERROR(__xludf.DUMMYFUNCTION("""COMPUTED_VALUE"""),84480.0)</f>
        <v>84480</v>
      </c>
      <c r="F154" s="4" t="str">
        <f>IFERROR(__xludf.DUMMYFUNCTION("""COMPUTED_VALUE"""),"未照合")</f>
        <v>未照合</v>
      </c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 t="str">
        <f>IFERROR(__xludf.DUMMYFUNCTION("""COMPUTED_VALUE"""),"島田 伸也")</f>
        <v>島田 伸也</v>
      </c>
      <c r="D155" s="4"/>
      <c r="E155" s="4">
        <f>IFERROR(__xludf.DUMMYFUNCTION("""COMPUTED_VALUE"""),271480.0)</f>
        <v>271480</v>
      </c>
      <c r="F155" s="4" t="str">
        <f>IFERROR(__xludf.DUMMYFUNCTION("""COMPUTED_VALUE"""),"未照合")</f>
        <v>未照合</v>
      </c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 t="str">
        <f>IFERROR(__xludf.DUMMYFUNCTION("""COMPUTED_VALUE"""),"株式会社J's company")</f>
        <v>株式会社J's company</v>
      </c>
      <c r="D156" s="4"/>
      <c r="E156" s="4">
        <f>IFERROR(__xludf.DUMMYFUNCTION("""COMPUTED_VALUE"""),10340.0)</f>
        <v>10340</v>
      </c>
      <c r="F156" s="4" t="str">
        <f>IFERROR(__xludf.DUMMYFUNCTION("""COMPUTED_VALUE"""),"未照合")</f>
        <v>未照合</v>
      </c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 t="str">
        <f>IFERROR(__xludf.DUMMYFUNCTION("""COMPUTED_VALUE"""),"森 祐司")</f>
        <v>森 祐司</v>
      </c>
      <c r="D157" s="4"/>
      <c r="E157" s="4">
        <f>IFERROR(__xludf.DUMMYFUNCTION("""COMPUTED_VALUE"""),91080.0)</f>
        <v>91080</v>
      </c>
      <c r="F157" s="4" t="str">
        <f>IFERROR(__xludf.DUMMYFUNCTION("""COMPUTED_VALUE"""),"未照合")</f>
        <v>未照合</v>
      </c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 t="str">
        <f>IFERROR(__xludf.DUMMYFUNCTION("""COMPUTED_VALUE"""),"株式会社J's company")</f>
        <v>株式会社J's company</v>
      </c>
      <c r="D158" s="4"/>
      <c r="E158" s="4">
        <f>IFERROR(__xludf.DUMMYFUNCTION("""COMPUTED_VALUE"""),122386.0)</f>
        <v>122386</v>
      </c>
      <c r="F158" s="4" t="str">
        <f>IFERROR(__xludf.DUMMYFUNCTION("""COMPUTED_VALUE"""),"未照合")</f>
        <v>未照合</v>
      </c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 t="str">
        <f>IFERROR(__xludf.DUMMYFUNCTION("""COMPUTED_VALUE"""),"株式会社J's company")</f>
        <v>株式会社J's company</v>
      </c>
      <c r="D159" s="4"/>
      <c r="E159" s="4">
        <f>IFERROR(__xludf.DUMMYFUNCTION("""COMPUTED_VALUE"""),616.0)</f>
        <v>616</v>
      </c>
      <c r="F159" s="4" t="str">
        <f>IFERROR(__xludf.DUMMYFUNCTION("""COMPUTED_VALUE"""),"未照合")</f>
        <v>未照合</v>
      </c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 t="str">
        <f>IFERROR(__xludf.DUMMYFUNCTION("""COMPUTED_VALUE"""),"株式会社一真代表取締役 眞田")</f>
        <v>株式会社一真代表取締役 眞田</v>
      </c>
      <c r="D160" s="4"/>
      <c r="E160" s="4">
        <f>IFERROR(__xludf.DUMMYFUNCTION("""COMPUTED_VALUE"""),0.0)</f>
        <v>0</v>
      </c>
      <c r="F160" s="4" t="str">
        <f>IFERROR(__xludf.DUMMYFUNCTION("""COMPUTED_VALUE"""),"未照合")</f>
        <v>未照合</v>
      </c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 t="str">
        <f>IFERROR(__xludf.DUMMYFUNCTION("""COMPUTED_VALUE"""),"廣岡 孝彦")</f>
        <v>廣岡 孝彦</v>
      </c>
      <c r="D161" s="4"/>
      <c r="E161" s="4">
        <f>IFERROR(__xludf.DUMMYFUNCTION("""COMPUTED_VALUE"""),660.0)</f>
        <v>660</v>
      </c>
      <c r="F161" s="4" t="str">
        <f>IFERROR(__xludf.DUMMYFUNCTION("""COMPUTED_VALUE"""),"未照合")</f>
        <v>未照合</v>
      </c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 t="str">
        <f>IFERROR(__xludf.DUMMYFUNCTION("""COMPUTED_VALUE"""),"医療法人 徹慈会 堀病院理事")</f>
        <v>医療法人 徹慈会 堀病院理事</v>
      </c>
      <c r="D162" s="4"/>
      <c r="E162" s="4">
        <f>IFERROR(__xludf.DUMMYFUNCTION("""COMPUTED_VALUE"""),660.0)</f>
        <v>660</v>
      </c>
      <c r="F162" s="4" t="str">
        <f>IFERROR(__xludf.DUMMYFUNCTION("""COMPUTED_VALUE"""),"未照合")</f>
        <v>未照合</v>
      </c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 t="str">
        <f>IFERROR(__xludf.DUMMYFUNCTION("""COMPUTED_VALUE"""),"小俣 英夫")</f>
        <v>小俣 英夫</v>
      </c>
      <c r="D163" s="4"/>
      <c r="E163" s="4">
        <f>IFERROR(__xludf.DUMMYFUNCTION("""COMPUTED_VALUE"""),284020.0)</f>
        <v>284020</v>
      </c>
      <c r="F163" s="4" t="str">
        <f>IFERROR(__xludf.DUMMYFUNCTION("""COMPUTED_VALUE"""),"未照合")</f>
        <v>未照合</v>
      </c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 t="str">
        <f>IFERROR(__xludf.DUMMYFUNCTION("""COMPUTED_VALUE"""),"株式会社T企画代表取締役 富")</f>
        <v>株式会社T企画代表取締役 富</v>
      </c>
      <c r="D164" s="4"/>
      <c r="E164" s="4">
        <f>IFERROR(__xludf.DUMMYFUNCTION("""COMPUTED_VALUE"""),270820.0)</f>
        <v>270820</v>
      </c>
      <c r="F164" s="4" t="str">
        <f>IFERROR(__xludf.DUMMYFUNCTION("""COMPUTED_VALUE"""),"未照合")</f>
        <v>未照合</v>
      </c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 t="str">
        <f>IFERROR(__xludf.DUMMYFUNCTION("""COMPUTED_VALUE"""),"青地耳鼻咽喉科院長 青地 克也")</f>
        <v>青地耳鼻咽喉科院長 青地 克也</v>
      </c>
      <c r="D165" s="4"/>
      <c r="E165" s="4">
        <f>IFERROR(__xludf.DUMMYFUNCTION("""COMPUTED_VALUE"""),353925.0)</f>
        <v>353925</v>
      </c>
      <c r="F165" s="4" t="str">
        <f>IFERROR(__xludf.DUMMYFUNCTION("""COMPUTED_VALUE"""),"未照合")</f>
        <v>未照合</v>
      </c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 t="str">
        <f>IFERROR(__xludf.DUMMYFUNCTION("""COMPUTED_VALUE"""),"株式会社一真代表取締役 眞田")</f>
        <v>株式会社一真代表取締役 眞田</v>
      </c>
      <c r="D166" s="4"/>
      <c r="E166" s="4">
        <f>IFERROR(__xludf.DUMMYFUNCTION("""COMPUTED_VALUE"""),141416.0)</f>
        <v>141416</v>
      </c>
      <c r="F166" s="4" t="str">
        <f>IFERROR(__xludf.DUMMYFUNCTION("""COMPUTED_VALUE"""),"未照合")</f>
        <v>未照合</v>
      </c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 t="str">
        <f>IFERROR(__xludf.DUMMYFUNCTION("""COMPUTED_VALUE"""),"株式会社一真代表取締役 眞田")</f>
        <v>株式会社一真代表取締役 眞田</v>
      </c>
      <c r="D167" s="4"/>
      <c r="E167" s="4">
        <f>IFERROR(__xludf.DUMMYFUNCTION("""COMPUTED_VALUE"""),3080.0)</f>
        <v>3080</v>
      </c>
      <c r="F167" s="4" t="str">
        <f>IFERROR(__xludf.DUMMYFUNCTION("""COMPUTED_VALUE"""),"未照合")</f>
        <v>未照合</v>
      </c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 t="str">
        <f>IFERROR(__xludf.DUMMYFUNCTION("""COMPUTED_VALUE"""),"株式会社一真代表取締役 眞田")</f>
        <v>株式会社一真代表取締役 眞田</v>
      </c>
      <c r="D168" s="4"/>
      <c r="E168" s="4">
        <f>IFERROR(__xludf.DUMMYFUNCTION("""COMPUTED_VALUE"""),616.0)</f>
        <v>616</v>
      </c>
      <c r="F168" s="4" t="str">
        <f>IFERROR(__xludf.DUMMYFUNCTION("""COMPUTED_VALUE"""),"未照合")</f>
        <v>未照合</v>
      </c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 t="str">
        <f>IFERROR(__xludf.DUMMYFUNCTION("""COMPUTED_VALUE"""),"青地耳鼻咽喉科院長 青地 克也")</f>
        <v>青地耳鼻咽喉科院長 青地 克也</v>
      </c>
      <c r="D169" s="4"/>
      <c r="E169" s="4">
        <f>IFERROR(__xludf.DUMMYFUNCTION("""COMPUTED_VALUE"""),124740.0)</f>
        <v>124740</v>
      </c>
      <c r="F169" s="4" t="str">
        <f>IFERROR(__xludf.DUMMYFUNCTION("""COMPUTED_VALUE"""),"未照合")</f>
        <v>未照合</v>
      </c>
      <c r="G169" s="4"/>
      <c r="H169" s="4"/>
      <c r="I169" s="4"/>
      <c r="J169" s="4"/>
      <c r="K169" s="4"/>
      <c r="L169" s="4"/>
    </row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2:J1000">
    <cfRule type="cellIs" dxfId="18" priority="1" stopIfTrue="1" operator="equal">
      <formula>"未入金"</formula>
    </cfRule>
  </conditionalFormatting>
  <conditionalFormatting sqref="J2:J1000">
    <cfRule type="cellIs" dxfId="16" priority="2" stopIfTrue="1" operator="equal">
      <formula>"要確認"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C98E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8.88"/>
  </cols>
  <sheetData>
    <row r="1" ht="15.75" customHeight="1">
      <c r="A1" s="71" t="str">
        <f>IFERROR(__xludf.DUMMYFUNCTION("LET(src,'振込入金リスト一覧'!A:FB,h,'振込入金リスト一覧'!1:1,gyomu,INDEX(src,,MATCH(""業務№"",h,0)),kokyakuNo,INDEX(src,,MATCH(""顧客№"",h,0)),kokyaku,INDEX(src,,MATCH(""顧客名"",h,0)),seikyu,INDEX(src,,MATCH(""請求先名"",h,0)),total,INDEX(src,,MATCH(""売上総計"",h,0)),status,INDEX(src,,"&amp;"MATCH(""ステータス"",h,0)),method,INDEX(src,,MATCH(""入金方法"",h,0)),paid,INDEX(src,,MATCH(""入金累計"",h,0)),remain,INDEX(src,,MATCH(""未入金額"",h,0)),paystat,INDEX(src,,MATCH(""入金状況"",h,0)),alert,INDEX(src,,MATCH(""アラート"",h,0)),memo,INDEX(src,,MATCH(""確認メモ"",h,0)),{"""&amp;"業務No"",""顧客No"",""顧客名"",""請求先名"",""売上総計"",""ステータス"",""入金方法"",""入金累計"",""未入金額"",""入金状況"",""アラート"",""確認メモ"";IFERROR(FILTER({gyomu,kokyakuNo,kokyaku,seikyu,total,status,method,paid,remain,paystat,alert,memo},(kokyaku&lt;&gt;"""")*(((status=""自動消込"")+(status=""手動消込"&amp;""")+(paystat=""入金済""))&gt;0)),{"""","""","""","""","""","""","""","""","""","""","""",""""})})"),"業務No")</f>
        <v>業務No</v>
      </c>
      <c r="B1" s="71" t="str">
        <f>IFERROR(__xludf.DUMMYFUNCTION("""COMPUTED_VALUE"""),"顧客No")</f>
        <v>顧客No</v>
      </c>
      <c r="C1" s="71" t="str">
        <f>IFERROR(__xludf.DUMMYFUNCTION("""COMPUTED_VALUE"""),"顧客名")</f>
        <v>顧客名</v>
      </c>
      <c r="D1" s="71" t="str">
        <f>IFERROR(__xludf.DUMMYFUNCTION("""COMPUTED_VALUE"""),"請求先名")</f>
        <v>請求先名</v>
      </c>
      <c r="E1" s="71" t="str">
        <f>IFERROR(__xludf.DUMMYFUNCTION("""COMPUTED_VALUE"""),"売上総計")</f>
        <v>売上総計</v>
      </c>
      <c r="F1" s="71" t="str">
        <f>IFERROR(__xludf.DUMMYFUNCTION("""COMPUTED_VALUE"""),"ステータス")</f>
        <v>ステータス</v>
      </c>
      <c r="G1" s="71" t="str">
        <f>IFERROR(__xludf.DUMMYFUNCTION("""COMPUTED_VALUE"""),"入金方法")</f>
        <v>入金方法</v>
      </c>
      <c r="H1" s="71" t="str">
        <f>IFERROR(__xludf.DUMMYFUNCTION("""COMPUTED_VALUE"""),"入金累計")</f>
        <v>入金累計</v>
      </c>
      <c r="I1" s="71" t="str">
        <f>IFERROR(__xludf.DUMMYFUNCTION("""COMPUTED_VALUE"""),"未入金額")</f>
        <v>未入金額</v>
      </c>
      <c r="J1" s="71" t="str">
        <f>IFERROR(__xludf.DUMMYFUNCTION("""COMPUTED_VALUE"""),"入金状況")</f>
        <v>入金状況</v>
      </c>
      <c r="K1" s="71" t="str">
        <f>IFERROR(__xludf.DUMMYFUNCTION("""COMPUTED_VALUE"""),"アラート")</f>
        <v>アラート</v>
      </c>
      <c r="L1" s="71" t="str">
        <f>IFERROR(__xludf.DUMMYFUNCTION("""COMPUTED_VALUE"""),"確認メモ")</f>
        <v>確認メモ</v>
      </c>
    </row>
    <row r="2" ht="15.75" customHeight="1">
      <c r="A2" s="4" t="str">
        <f>IFERROR(__xludf.DUMMYFUNCTION("""COMPUTED_VALUE"""),"SB00024484")</f>
        <v>SB00024484</v>
      </c>
      <c r="B2" s="4" t="str">
        <f>IFERROR(__xludf.DUMMYFUNCTION("""COMPUTED_VALUE"""),"KK00003353")</f>
        <v>KK00003353</v>
      </c>
      <c r="C2" s="4" t="str">
        <f>IFERROR(__xludf.DUMMYFUNCTION("""COMPUTED_VALUE"""),"(有)ユナイテッドクローバーズ代表取締役　竹本　博一")</f>
        <v>(有)ユナイテッドクローバーズ代表取締役　竹本　博一</v>
      </c>
      <c r="D2" s="4"/>
      <c r="E2" s="4">
        <f>IFERROR(__xludf.DUMMYFUNCTION("""COMPUTED_VALUE"""),27280.0)</f>
        <v>27280</v>
      </c>
      <c r="F2" s="4" t="str">
        <f>IFERROR(__xludf.DUMMYFUNCTION("""COMPUTED_VALUE"""),"自動消込")</f>
        <v>自動消込</v>
      </c>
      <c r="G2" s="4" t="str">
        <f>IFERROR(__xludf.DUMMYFUNCTION("""COMPUTED_VALUE"""),"振り込み")</f>
        <v>振り込み</v>
      </c>
      <c r="H2" s="4"/>
      <c r="I2" s="4" t="str">
        <f>IFERROR(__xludf.DUMMYFUNCTION("""COMPUTED_VALUE"""),"")</f>
        <v/>
      </c>
      <c r="J2" s="4"/>
      <c r="K2" s="4" t="str">
        <f>IFERROR(__xludf.DUMMYFUNCTION("""COMPUTED_VALUE"""),"")</f>
        <v/>
      </c>
      <c r="L2" s="4"/>
    </row>
    <row r="3" ht="15.75" customHeight="1">
      <c r="A3" s="4" t="str">
        <f>IFERROR(__xludf.DUMMYFUNCTION("""COMPUTED_VALUE"""),"SB00024486")</f>
        <v>SB00024486</v>
      </c>
      <c r="B3" s="4" t="str">
        <f>IFERROR(__xludf.DUMMYFUNCTION("""COMPUTED_VALUE"""),"KK00001662")</f>
        <v>KK00001662</v>
      </c>
      <c r="C3" s="4" t="str">
        <f>IFERROR(__xludf.DUMMYFUNCTION("""COMPUTED_VALUE"""),"株式会社 ｳｪﾙﾃｯｸ代表取締役　 山本 裕子")</f>
        <v>株式会社 ｳｪﾙﾃｯｸ代表取締役　 山本 裕子</v>
      </c>
      <c r="D3" s="4"/>
      <c r="E3" s="4">
        <f>IFERROR(__xludf.DUMMYFUNCTION("""COMPUTED_VALUE"""),104643.0)</f>
        <v>104643</v>
      </c>
      <c r="F3" s="4" t="str">
        <f>IFERROR(__xludf.DUMMYFUNCTION("""COMPUTED_VALUE"""),"自動消込")</f>
        <v>自動消込</v>
      </c>
      <c r="G3" s="4" t="str">
        <f>IFERROR(__xludf.DUMMYFUNCTION("""COMPUTED_VALUE"""),"振り込み")</f>
        <v>振り込み</v>
      </c>
      <c r="H3" s="4"/>
      <c r="I3" s="4" t="str">
        <f>IFERROR(__xludf.DUMMYFUNCTION("""COMPUTED_VALUE"""),"")</f>
        <v/>
      </c>
      <c r="J3" s="4"/>
      <c r="K3" s="4" t="str">
        <f>IFERROR(__xludf.DUMMYFUNCTION("""COMPUTED_VALUE"""),"")</f>
        <v/>
      </c>
      <c r="L3" s="4"/>
    </row>
    <row r="4" ht="15.75" customHeight="1">
      <c r="A4" s="4" t="str">
        <f>IFERROR(__xludf.DUMMYFUNCTION("""COMPUTED_VALUE"""),"SB00024510")</f>
        <v>SB00024510</v>
      </c>
      <c r="B4" s="4" t="str">
        <f>IFERROR(__xludf.DUMMYFUNCTION("""COMPUTED_VALUE"""),"KK00006243")</f>
        <v>KK00006243</v>
      </c>
      <c r="C4" s="4" t="str">
        <f>IFERROR(__xludf.DUMMYFUNCTION("""COMPUTED_VALUE"""),"株式会社　円福寺代表取締役社長　円福寺雅之")</f>
        <v>株式会社　円福寺代表取締役社長　円福寺雅之</v>
      </c>
      <c r="D4" s="4"/>
      <c r="E4" s="4">
        <f>IFERROR(__xludf.DUMMYFUNCTION("""COMPUTED_VALUE"""),3850.0)</f>
        <v>3850</v>
      </c>
      <c r="F4" s="4" t="str">
        <f>IFERROR(__xludf.DUMMYFUNCTION("""COMPUTED_VALUE"""),"自動消込")</f>
        <v>自動消込</v>
      </c>
      <c r="G4" s="4" t="str">
        <f>IFERROR(__xludf.DUMMYFUNCTION("""COMPUTED_VALUE"""),"振り込み")</f>
        <v>振り込み</v>
      </c>
      <c r="H4" s="4">
        <f>IFERROR(__xludf.DUMMYFUNCTION("""COMPUTED_VALUE"""),3850.0)</f>
        <v>3850</v>
      </c>
      <c r="I4" s="4">
        <f>IFERROR(__xludf.DUMMYFUNCTION("""COMPUTED_VALUE"""),0.0)</f>
        <v>0</v>
      </c>
      <c r="J4" s="4" t="str">
        <f>IFERROR(__xludf.DUMMYFUNCTION("""COMPUTED_VALUE"""),"入金済")</f>
        <v>入金済</v>
      </c>
      <c r="K4" s="4"/>
      <c r="L4" s="4" t="str">
        <f>IFERROR(__xludf.DUMMYFUNCTION("""COMPUTED_VALUE"""),"銀行入金 2026/04/30 3,850")</f>
        <v>銀行入金 2026/04/30 3,850</v>
      </c>
    </row>
    <row r="5" ht="15.75" customHeight="1">
      <c r="A5" s="4" t="str">
        <f>IFERROR(__xludf.DUMMYFUNCTION("""COMPUTED_VALUE"""),"SB00024547")</f>
        <v>SB00024547</v>
      </c>
      <c r="B5" s="4" t="str">
        <f>IFERROR(__xludf.DUMMYFUNCTION("""COMPUTED_VALUE"""),"KK00001702")</f>
        <v>KK00001702</v>
      </c>
      <c r="C5" s="4" t="str">
        <f>IFERROR(__xludf.DUMMYFUNCTION("""COMPUTED_VALUE"""),"株式会社 ﾙｯｸ　代表取締役社長 　岡崎芳明")</f>
        <v>株式会社 ﾙｯｸ　代表取締役社長 　岡崎芳明</v>
      </c>
      <c r="D5" s="4"/>
      <c r="E5" s="4">
        <f>IFERROR(__xludf.DUMMYFUNCTION("""COMPUTED_VALUE"""),137410.0)</f>
        <v>137410</v>
      </c>
      <c r="F5" s="4" t="str">
        <f>IFERROR(__xludf.DUMMYFUNCTION("""COMPUTED_VALUE"""),"自動消込")</f>
        <v>自動消込</v>
      </c>
      <c r="G5" s="4" t="str">
        <f>IFERROR(__xludf.DUMMYFUNCTION("""COMPUTED_VALUE"""),"振り込み")</f>
        <v>振り込み</v>
      </c>
      <c r="H5" s="4">
        <f>IFERROR(__xludf.DUMMYFUNCTION("""COMPUTED_VALUE"""),137410.0)</f>
        <v>137410</v>
      </c>
      <c r="I5" s="4">
        <f>IFERROR(__xludf.DUMMYFUNCTION("""COMPUTED_VALUE"""),0.0)</f>
        <v>0</v>
      </c>
      <c r="J5" s="4" t="str">
        <f>IFERROR(__xludf.DUMMYFUNCTION("""COMPUTED_VALUE"""),"入金済")</f>
        <v>入金済</v>
      </c>
      <c r="K5" s="4"/>
      <c r="L5" s="4" t="str">
        <f>IFERROR(__xludf.DUMMYFUNCTION("""COMPUTED_VALUE"""),"銀行入金 2026/04/30 137,410")</f>
        <v>銀行入金 2026/04/30 137,410</v>
      </c>
    </row>
    <row r="6" ht="15.75" customHeight="1">
      <c r="A6" s="4" t="str">
        <f>IFERROR(__xludf.DUMMYFUNCTION("""COMPUTED_VALUE"""),"SB00024553")</f>
        <v>SB00024553</v>
      </c>
      <c r="B6" s="4" t="str">
        <f>IFERROR(__xludf.DUMMYFUNCTION("""COMPUTED_VALUE"""),"KK00000935")</f>
        <v>KK00000935</v>
      </c>
      <c r="C6" s="4" t="str">
        <f>IFERROR(__xludf.DUMMYFUNCTION("""COMPUTED_VALUE"""),"医療法人　徹慈会　　堀病院理事長　宇高毅")</f>
        <v>医療法人　徹慈会　　堀病院理事長　宇高毅</v>
      </c>
      <c r="D6" s="4" t="str">
        <f>IFERROR(__xludf.DUMMYFUNCTION("""COMPUTED_VALUE"""),"東京海上日動火災保険株式会社")</f>
        <v>東京海上日動火災保険株式会社</v>
      </c>
      <c r="E6" s="4">
        <f>IFERROR(__xludf.DUMMYFUNCTION("""COMPUTED_VALUE"""),1132941.0)</f>
        <v>1132941</v>
      </c>
      <c r="F6" s="4" t="str">
        <f>IFERROR(__xludf.DUMMYFUNCTION("""COMPUTED_VALUE"""),"自動消込")</f>
        <v>自動消込</v>
      </c>
      <c r="G6" s="4" t="str">
        <f>IFERROR(__xludf.DUMMYFUNCTION("""COMPUTED_VALUE"""),"振り込み")</f>
        <v>振り込み</v>
      </c>
      <c r="H6" s="4"/>
      <c r="I6" s="4" t="str">
        <f>IFERROR(__xludf.DUMMYFUNCTION("""COMPUTED_VALUE"""),"")</f>
        <v/>
      </c>
      <c r="J6" s="4"/>
      <c r="K6" s="4" t="str">
        <f>IFERROR(__xludf.DUMMYFUNCTION("""COMPUTED_VALUE"""),"")</f>
        <v/>
      </c>
      <c r="L6" s="4"/>
    </row>
    <row r="7" ht="15.75" customHeight="1">
      <c r="A7" s="4" t="str">
        <f>IFERROR(__xludf.DUMMYFUNCTION("""COMPUTED_VALUE"""),"SB00024545")</f>
        <v>SB00024545</v>
      </c>
      <c r="B7" s="4" t="str">
        <f>IFERROR(__xludf.DUMMYFUNCTION("""COMPUTED_VALUE"""),"KK00006641")</f>
        <v>KK00006641</v>
      </c>
      <c r="C7" s="4" t="str">
        <f>IFERROR(__xludf.DUMMYFUNCTION("""COMPUTED_VALUE"""),"李　樹人")</f>
        <v>李　樹人</v>
      </c>
      <c r="D7" s="4"/>
      <c r="E7" s="4">
        <f>IFERROR(__xludf.DUMMYFUNCTION("""COMPUTED_VALUE"""),268985.0)</f>
        <v>268985</v>
      </c>
      <c r="F7" s="4" t="str">
        <f>IFERROR(__xludf.DUMMYFUNCTION("""COMPUTED_VALUE"""),"自動消込")</f>
        <v>自動消込</v>
      </c>
      <c r="G7" s="4" t="str">
        <f>IFERROR(__xludf.DUMMYFUNCTION("""COMPUTED_VALUE"""),"VISA")</f>
        <v>VISA</v>
      </c>
      <c r="H7" s="4"/>
      <c r="I7" s="4" t="str">
        <f>IFERROR(__xludf.DUMMYFUNCTION("""COMPUTED_VALUE"""),"")</f>
        <v/>
      </c>
      <c r="J7" s="4"/>
      <c r="K7" s="4" t="str">
        <f>IFERROR(__xludf.DUMMYFUNCTION("""COMPUTED_VALUE"""),"")</f>
        <v/>
      </c>
      <c r="L7" s="4"/>
    </row>
    <row r="8" ht="15.75" customHeight="1">
      <c r="A8" s="4" t="str">
        <f>IFERROR(__xludf.DUMMYFUNCTION("""COMPUTED_VALUE"""),"SB00024559")</f>
        <v>SB00024559</v>
      </c>
      <c r="B8" s="4" t="str">
        <f>IFERROR(__xludf.DUMMYFUNCTION("""COMPUTED_VALUE"""),"KK00001837")</f>
        <v>KK00001837</v>
      </c>
      <c r="C8" s="4" t="str">
        <f>IFERROR(__xludf.DUMMYFUNCTION("""COMPUTED_VALUE"""),"有限会社エル・グレコ代表取締役 長沼　眞智子")</f>
        <v>有限会社エル・グレコ代表取締役 長沼　眞智子</v>
      </c>
      <c r="D8" s="4" t="str">
        <f>IFERROR(__xludf.DUMMYFUNCTION("""COMPUTED_VALUE"""),"三井住友海上火災保険　株式会社")</f>
        <v>三井住友海上火災保険　株式会社</v>
      </c>
      <c r="E8" s="4">
        <f>IFERROR(__xludf.DUMMYFUNCTION("""COMPUTED_VALUE"""),210000.0)</f>
        <v>210000</v>
      </c>
      <c r="F8" s="4" t="str">
        <f>IFERROR(__xludf.DUMMYFUNCTION("""COMPUTED_VALUE"""),"自動消込")</f>
        <v>自動消込</v>
      </c>
      <c r="G8" s="4" t="str">
        <f>IFERROR(__xludf.DUMMYFUNCTION("""COMPUTED_VALUE"""),"振り込み")</f>
        <v>振り込み</v>
      </c>
      <c r="H8" s="4"/>
      <c r="I8" s="4" t="str">
        <f>IFERROR(__xludf.DUMMYFUNCTION("""COMPUTED_VALUE"""),"")</f>
        <v/>
      </c>
      <c r="J8" s="4"/>
      <c r="K8" s="4" t="str">
        <f>IFERROR(__xludf.DUMMYFUNCTION("""COMPUTED_VALUE"""),"")</f>
        <v/>
      </c>
      <c r="L8" s="4"/>
    </row>
    <row r="9" ht="15.75" customHeight="1">
      <c r="A9" s="4" t="str">
        <f>IFERROR(__xludf.DUMMYFUNCTION("""COMPUTED_VALUE"""),"SB00024563")</f>
        <v>SB00024563</v>
      </c>
      <c r="B9" s="4" t="str">
        <f>IFERROR(__xludf.DUMMYFUNCTION("""COMPUTED_VALUE"""),"KK00007251")</f>
        <v>KK00007251</v>
      </c>
      <c r="C9" s="4" t="str">
        <f>IFERROR(__xludf.DUMMYFUNCTION("""COMPUTED_VALUE"""),"原　保香")</f>
        <v>原　保香</v>
      </c>
      <c r="D9" s="4"/>
      <c r="E9" s="4">
        <f>IFERROR(__xludf.DUMMYFUNCTION("""COMPUTED_VALUE"""),32780.0)</f>
        <v>32780</v>
      </c>
      <c r="F9" s="4" t="str">
        <f>IFERROR(__xludf.DUMMYFUNCTION("""COMPUTED_VALUE"""),"自動消込")</f>
        <v>自動消込</v>
      </c>
      <c r="G9" s="4" t="str">
        <f>IFERROR(__xludf.DUMMYFUNCTION("""COMPUTED_VALUE"""),"VISA")</f>
        <v>VISA</v>
      </c>
      <c r="H9" s="4"/>
      <c r="I9" s="4" t="str">
        <f>IFERROR(__xludf.DUMMYFUNCTION("""COMPUTED_VALUE"""),"")</f>
        <v/>
      </c>
      <c r="J9" s="4"/>
      <c r="K9" s="4" t="str">
        <f>IFERROR(__xludf.DUMMYFUNCTION("""COMPUTED_VALUE"""),"")</f>
        <v/>
      </c>
      <c r="L9" s="4"/>
    </row>
    <row r="10" ht="15.75" customHeight="1">
      <c r="A10" s="4" t="str">
        <f>IFERROR(__xludf.DUMMYFUNCTION("""COMPUTED_VALUE"""),"SB00024564")</f>
        <v>SB00024564</v>
      </c>
      <c r="B10" s="4" t="str">
        <f>IFERROR(__xludf.DUMMYFUNCTION("""COMPUTED_VALUE"""),"KK00000241")</f>
        <v>KK00000241</v>
      </c>
      <c r="C10" s="4" t="str">
        <f>IFERROR(__xludf.DUMMYFUNCTION("""COMPUTED_VALUE"""),"三栄石油株式会社代表取締役　三好浩章")</f>
        <v>三栄石油株式会社代表取締役　三好浩章</v>
      </c>
      <c r="D10" s="4" t="str">
        <f>IFERROR(__xludf.DUMMYFUNCTION("""COMPUTED_VALUE"""),"損害保険ジャパン株式会社")</f>
        <v>損害保険ジャパン株式会社</v>
      </c>
      <c r="E10" s="4">
        <f>IFERROR(__xludf.DUMMYFUNCTION("""COMPUTED_VALUE"""),75000.0)</f>
        <v>75000</v>
      </c>
      <c r="F10" s="4" t="str">
        <f>IFERROR(__xludf.DUMMYFUNCTION("""COMPUTED_VALUE"""),"自動消込")</f>
        <v>自動消込</v>
      </c>
      <c r="G10" s="4" t="str">
        <f>IFERROR(__xludf.DUMMYFUNCTION("""COMPUTED_VALUE"""),"振り込み")</f>
        <v>振り込み</v>
      </c>
      <c r="H10" s="4"/>
      <c r="I10" s="4" t="str">
        <f>IFERROR(__xludf.DUMMYFUNCTION("""COMPUTED_VALUE"""),"")</f>
        <v/>
      </c>
      <c r="J10" s="4"/>
      <c r="K10" s="4" t="str">
        <f>IFERROR(__xludf.DUMMYFUNCTION("""COMPUTED_VALUE"""),"")</f>
        <v/>
      </c>
      <c r="L10" s="4"/>
    </row>
    <row r="11" ht="15.75" customHeight="1">
      <c r="A11" s="4" t="str">
        <f>IFERROR(__xludf.DUMMYFUNCTION("""COMPUTED_VALUE"""),"SB00024581")</f>
        <v>SB00024581</v>
      </c>
      <c r="B11" s="4" t="str">
        <f>IFERROR(__xludf.DUMMYFUNCTION("""COMPUTED_VALUE"""),"KK00002157")</f>
        <v>KK00002157</v>
      </c>
      <c r="C11" s="4" t="str">
        <f>IFERROR(__xludf.DUMMYFUNCTION("""COMPUTED_VALUE"""),"猪口智典")</f>
        <v>猪口智典</v>
      </c>
      <c r="D11" s="4"/>
      <c r="E11" s="4">
        <f>IFERROR(__xludf.DUMMYFUNCTION("""COMPUTED_VALUE"""),55000.0)</f>
        <v>55000</v>
      </c>
      <c r="F11" s="4" t="str">
        <f>IFERROR(__xludf.DUMMYFUNCTION("""COMPUTED_VALUE"""),"自動消込")</f>
        <v>自動消込</v>
      </c>
      <c r="G11" s="4" t="str">
        <f>IFERROR(__xludf.DUMMYFUNCTION("""COMPUTED_VALUE"""),"MASTER")</f>
        <v>MASTER</v>
      </c>
      <c r="H11" s="4"/>
      <c r="I11" s="4" t="str">
        <f>IFERROR(__xludf.DUMMYFUNCTION("""COMPUTED_VALUE"""),"")</f>
        <v/>
      </c>
      <c r="J11" s="4"/>
      <c r="K11" s="4" t="str">
        <f>IFERROR(__xludf.DUMMYFUNCTION("""COMPUTED_VALUE"""),"")</f>
        <v/>
      </c>
      <c r="L11" s="4"/>
    </row>
    <row r="12" ht="15.75" customHeight="1">
      <c r="A12" s="4" t="str">
        <f>IFERROR(__xludf.DUMMYFUNCTION("""COMPUTED_VALUE"""),"SB00024583")</f>
        <v>SB00024583</v>
      </c>
      <c r="B12" s="4" t="str">
        <f>IFERROR(__xludf.DUMMYFUNCTION("""COMPUTED_VALUE"""),"KK00000935")</f>
        <v>KK00000935</v>
      </c>
      <c r="C12" s="4" t="str">
        <f>IFERROR(__xludf.DUMMYFUNCTION("""COMPUTED_VALUE"""),"医療法人　徹慈会　　堀病院理事長　宇高毅")</f>
        <v>医療法人　徹慈会　　堀病院理事長　宇高毅</v>
      </c>
      <c r="D12" s="4"/>
      <c r="E12" s="4">
        <f>IFERROR(__xludf.DUMMYFUNCTION("""COMPUTED_VALUE"""),29040.0)</f>
        <v>29040</v>
      </c>
      <c r="F12" s="4" t="str">
        <f>IFERROR(__xludf.DUMMYFUNCTION("""COMPUTED_VALUE"""),"自動消込")</f>
        <v>自動消込</v>
      </c>
      <c r="G12" s="4" t="str">
        <f>IFERROR(__xludf.DUMMYFUNCTION("""COMPUTED_VALUE"""),"JCB")</f>
        <v>JCB</v>
      </c>
      <c r="H12" s="4"/>
      <c r="I12" s="4" t="str">
        <f>IFERROR(__xludf.DUMMYFUNCTION("""COMPUTED_VALUE"""),"")</f>
        <v/>
      </c>
      <c r="J12" s="4"/>
      <c r="K12" s="4" t="str">
        <f>IFERROR(__xludf.DUMMYFUNCTION("""COMPUTED_VALUE"""),"")</f>
        <v/>
      </c>
      <c r="L12" s="4"/>
    </row>
    <row r="13" ht="15.75" customHeight="1">
      <c r="A13" s="4" t="str">
        <f>IFERROR(__xludf.DUMMYFUNCTION("""COMPUTED_VALUE"""),"SB00024587")</f>
        <v>SB00024587</v>
      </c>
      <c r="B13" s="4" t="str">
        <f>IFERROR(__xludf.DUMMYFUNCTION("""COMPUTED_VALUE"""),"KK00001694")</f>
        <v>KK00001694</v>
      </c>
      <c r="C13" s="4" t="str">
        <f>IFERROR(__xludf.DUMMYFUNCTION("""COMPUTED_VALUE"""),"株式会社 ｻﾝｴｽ　代表取締役社長 佐藤卓己")</f>
        <v>株式会社 ｻﾝｴｽ　代表取締役社長 佐藤卓己</v>
      </c>
      <c r="D13" s="4"/>
      <c r="E13" s="4">
        <f>IFERROR(__xludf.DUMMYFUNCTION("""COMPUTED_VALUE"""),200000.0)</f>
        <v>200000</v>
      </c>
      <c r="F13" s="4" t="str">
        <f>IFERROR(__xludf.DUMMYFUNCTION("""COMPUTED_VALUE"""),"自動消込")</f>
        <v>自動消込</v>
      </c>
      <c r="G13" s="4" t="str">
        <f>IFERROR(__xludf.DUMMYFUNCTION("""COMPUTED_VALUE"""),"振り込み")</f>
        <v>振り込み</v>
      </c>
      <c r="H13" s="4"/>
      <c r="I13" s="4" t="str">
        <f>IFERROR(__xludf.DUMMYFUNCTION("""COMPUTED_VALUE"""),"")</f>
        <v/>
      </c>
      <c r="J13" s="4"/>
      <c r="K13" s="4" t="str">
        <f>IFERROR(__xludf.DUMMYFUNCTION("""COMPUTED_VALUE"""),"")</f>
        <v/>
      </c>
      <c r="L13" s="4"/>
    </row>
    <row r="14" ht="15.75" customHeight="1">
      <c r="A14" s="4"/>
      <c r="B14" s="4"/>
      <c r="C14" s="4" t="str">
        <f>IFERROR(__xludf.DUMMYFUNCTION("""COMPUTED_VALUE"""),"ｽﾄﾛﾝｸﾞﾏｳﾝﾃﾝ㈱")</f>
        <v>ｽﾄﾛﾝｸﾞﾏｳﾝﾃﾝ㈱</v>
      </c>
      <c r="D14" s="4"/>
      <c r="E14" s="4">
        <f>IFERROR(__xludf.DUMMYFUNCTION("""COMPUTED_VALUE"""),8439760.0)</f>
        <v>8439760</v>
      </c>
      <c r="F14" s="4" t="str">
        <f>IFERROR(__xludf.DUMMYFUNCTION("""COMPUTED_VALUE"""),"自動消込")</f>
        <v>自動消込</v>
      </c>
      <c r="G14" s="4" t="str">
        <f>IFERROR(__xludf.DUMMYFUNCTION("""COMPUTED_VALUE"""),"振り込み")</f>
        <v>振り込み</v>
      </c>
      <c r="H14" s="4"/>
      <c r="I14" s="4" t="str">
        <f>IFERROR(__xludf.DUMMYFUNCTION("""COMPUTED_VALUE"""),"")</f>
        <v/>
      </c>
      <c r="J14" s="4"/>
      <c r="K14" s="4" t="str">
        <f>IFERROR(__xludf.DUMMYFUNCTION("""COMPUTED_VALUE"""),"")</f>
        <v/>
      </c>
      <c r="L14" s="4"/>
    </row>
    <row r="15" ht="15.75" customHeight="1">
      <c r="A15" s="4" t="str">
        <f>IFERROR(__xludf.DUMMYFUNCTION("""COMPUTED_VALUE"""),"SB00024524")</f>
        <v>SB00024524</v>
      </c>
      <c r="B15" s="4" t="str">
        <f>IFERROR(__xludf.DUMMYFUNCTION("""COMPUTED_VALUE"""),"KK00000660")</f>
        <v>KK00000660</v>
      </c>
      <c r="C15" s="4" t="str">
        <f>IFERROR(__xludf.DUMMYFUNCTION("""COMPUTED_VALUE"""),"関根　わかな")</f>
        <v>関根　わかな</v>
      </c>
      <c r="D15" s="4"/>
      <c r="E15" s="4">
        <f>IFERROR(__xludf.DUMMYFUNCTION("""COMPUTED_VALUE"""),93720.0)</f>
        <v>93720</v>
      </c>
      <c r="F15" s="4" t="str">
        <f>IFERROR(__xludf.DUMMYFUNCTION("""COMPUTED_VALUE"""),"自動消込")</f>
        <v>自動消込</v>
      </c>
      <c r="G15" s="4" t="str">
        <f>IFERROR(__xludf.DUMMYFUNCTION("""COMPUTED_VALUE"""),"振り込み")</f>
        <v>振り込み</v>
      </c>
      <c r="H15" s="4">
        <f>IFERROR(__xludf.DUMMYFUNCTION("""COMPUTED_VALUE"""),93720.0)</f>
        <v>93720</v>
      </c>
      <c r="I15" s="4">
        <f>IFERROR(__xludf.DUMMYFUNCTION("""COMPUTED_VALUE"""),0.0)</f>
        <v>0</v>
      </c>
      <c r="J15" s="4" t="str">
        <f>IFERROR(__xludf.DUMMYFUNCTION("""COMPUTED_VALUE"""),"入金済")</f>
        <v>入金済</v>
      </c>
      <c r="K15" s="4"/>
      <c r="L15" s="4" t="str">
        <f>IFERROR(__xludf.DUMMYFUNCTION("""COMPUTED_VALUE"""),"銀行入金 2026/04/28 93,720")</f>
        <v>銀行入金 2026/04/28 93,720</v>
      </c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J2:J1000">
    <cfRule type="cellIs" dxfId="17" priority="1" stopIfTrue="1" operator="equal">
      <formula>"入金済"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75" t="str">
        <f>IFERROR(__xludf.DUMMYFUNCTION("{""取引日"",""取引先"",""伝票番号"",""合計"",""入金予定日"",""ステータス"",""入金累計"",""未入金額"",""入金状況"",""アラート"",""確認メモ"";IFERROR(FILTER({'請求書発行'!A2:A400,'請求書発行'!B2:B400,'請求書発行'!C2:C400,'請求書発行'!F2:F400,'請求書発行'!G2:G400,'請求書発行'!N2:N400,'請求書発行'!P2:P400,'請求書発行'!Q2:Q400,'請求書発行'!R2:R4"&amp;"00,'請求書発行'!S2:S400,'請求書発行'!T2:T400},('請求書発行'!B2:B400&lt;&gt;"""")*(('請求書発行'!N2:N400=""未照合"")+('請求書発行'!N2:N400=""要確認"")+('請求書発行'!R2:R400=""未入金"")+('請求書発行'!R2:R400=""一部入金"")+('請求書発行'!R2:R400=""要確認"")+('請求書発行'!S2:S400=""期限超過""))),{"""","""","""","""","""","""","""&amp;""","""","""","""",""""})}"),"取引日")</f>
        <v>取引日</v>
      </c>
      <c r="B1" s="75" t="str">
        <f>IFERROR(__xludf.DUMMYFUNCTION("""COMPUTED_VALUE"""),"取引先")</f>
        <v>取引先</v>
      </c>
      <c r="C1" s="75" t="str">
        <f>IFERROR(__xludf.DUMMYFUNCTION("""COMPUTED_VALUE"""),"伝票番号")</f>
        <v>伝票番号</v>
      </c>
      <c r="D1" s="75" t="str">
        <f>IFERROR(__xludf.DUMMYFUNCTION("""COMPUTED_VALUE"""),"合計")</f>
        <v>合計</v>
      </c>
      <c r="E1" s="75" t="str">
        <f>IFERROR(__xludf.DUMMYFUNCTION("""COMPUTED_VALUE"""),"入金予定日")</f>
        <v>入金予定日</v>
      </c>
      <c r="F1" s="75" t="str">
        <f>IFERROR(__xludf.DUMMYFUNCTION("""COMPUTED_VALUE"""),"ステータス")</f>
        <v>ステータス</v>
      </c>
      <c r="G1" s="75" t="str">
        <f>IFERROR(__xludf.DUMMYFUNCTION("""COMPUTED_VALUE"""),"入金累計")</f>
        <v>入金累計</v>
      </c>
      <c r="H1" s="75" t="str">
        <f>IFERROR(__xludf.DUMMYFUNCTION("""COMPUTED_VALUE"""),"未入金額")</f>
        <v>未入金額</v>
      </c>
      <c r="I1" s="75" t="str">
        <f>IFERROR(__xludf.DUMMYFUNCTION("""COMPUTED_VALUE"""),"入金状況")</f>
        <v>入金状況</v>
      </c>
      <c r="J1" s="75" t="str">
        <f>IFERROR(__xludf.DUMMYFUNCTION("""COMPUTED_VALUE"""),"アラート")</f>
        <v>アラート</v>
      </c>
      <c r="K1" s="75" t="str">
        <f>IFERROR(__xludf.DUMMYFUNCTION("""COMPUTED_VALUE"""),"確認メモ")</f>
        <v>確認メモ</v>
      </c>
    </row>
    <row r="2" ht="15.75" customHeight="1">
      <c r="A2" s="4">
        <f>IFERROR(__xludf.DUMMYFUNCTION("""COMPUTED_VALUE"""),46112.0)</f>
        <v>46112</v>
      </c>
      <c r="B2" s="4" t="str">
        <f>IFERROR(__xludf.DUMMYFUNCTION("""COMPUTED_VALUE"""),"株式会社 コンクエスト")</f>
        <v>株式会社 コンクエスト</v>
      </c>
      <c r="C2" s="4"/>
      <c r="D2" s="4">
        <f>IFERROR(__xludf.DUMMYFUNCTION("""COMPUTED_VALUE"""),1940997.0)</f>
        <v>1940997</v>
      </c>
      <c r="E2" s="4"/>
      <c r="F2" s="4" t="str">
        <f>IFERROR(__xludf.DUMMYFUNCTION("""COMPUTED_VALUE"""),"未照合")</f>
        <v>未照合</v>
      </c>
      <c r="G2" s="4"/>
      <c r="H2" s="4" t="str">
        <f>IFERROR(__xludf.DUMMYFUNCTION("""COMPUTED_VALUE"""),"")</f>
        <v/>
      </c>
      <c r="I2" s="4"/>
      <c r="J2" s="4" t="str">
        <f>IFERROR(__xludf.DUMMYFUNCTION("""COMPUTED_VALUE"""),"")</f>
        <v/>
      </c>
      <c r="K2" s="4"/>
    </row>
    <row r="3" ht="15.75" customHeight="1">
      <c r="A3" s="4">
        <f>IFERROR(__xludf.DUMMYFUNCTION("""COMPUTED_VALUE"""),46128.0)</f>
        <v>46128</v>
      </c>
      <c r="B3" s="4" t="str">
        <f>IFERROR(__xludf.DUMMYFUNCTION("""COMPUTED_VALUE"""),"株式会社 コンクエスト")</f>
        <v>株式会社 コンクエスト</v>
      </c>
      <c r="C3" s="4">
        <f>IFERROR(__xludf.DUMMYFUNCTION("""COMPUTED_VALUE"""),33.0)</f>
        <v>33</v>
      </c>
      <c r="D3" s="4">
        <f>IFERROR(__xludf.DUMMYFUNCTION("""COMPUTED_VALUE"""),-83000.0)</f>
        <v>-83000</v>
      </c>
      <c r="E3" s="4"/>
      <c r="F3" s="4" t="str">
        <f>IFERROR(__xludf.DUMMYFUNCTION("""COMPUTED_VALUE"""),"未照合")</f>
        <v>未照合</v>
      </c>
      <c r="G3" s="4"/>
      <c r="H3" s="4" t="str">
        <f>IFERROR(__xludf.DUMMYFUNCTION("""COMPUTED_VALUE"""),"")</f>
        <v/>
      </c>
      <c r="I3" s="4"/>
      <c r="J3" s="4" t="str">
        <f>IFERROR(__xludf.DUMMYFUNCTION("""COMPUTED_VALUE"""),"")</f>
        <v/>
      </c>
      <c r="K3" s="4"/>
    </row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75" t="str">
        <f>IFERROR(__xludf.DUMMYFUNCTION("{""処理ID"",""取込日時"",""ファイル名"",""結果"",""失敗理由"",""移動先"",""再実行状況"";IFERROR(FILTER({'取込履歴'!A2:A400,'取込履歴'!B2:B400,'取込履歴'!C2:C400,'取込履歴'!I2:I400,'取込履歴'!J2:J400,'取込履歴'!K2:K400,'取込履歴'!L2:L400},'取込履歴'!I2:I400=""失敗""),{"""","""","""","""","""","""",""""})}"),"処理ID")</f>
        <v>処理ID</v>
      </c>
      <c r="B1" s="75" t="str">
        <f>IFERROR(__xludf.DUMMYFUNCTION("""COMPUTED_VALUE"""),"取込日時")</f>
        <v>取込日時</v>
      </c>
      <c r="C1" s="75" t="str">
        <f>IFERROR(__xludf.DUMMYFUNCTION("""COMPUTED_VALUE"""),"ファイル名")</f>
        <v>ファイル名</v>
      </c>
      <c r="D1" s="75" t="str">
        <f>IFERROR(__xludf.DUMMYFUNCTION("""COMPUTED_VALUE"""),"結果")</f>
        <v>結果</v>
      </c>
      <c r="E1" s="75" t="str">
        <f>IFERROR(__xludf.DUMMYFUNCTION("""COMPUTED_VALUE"""),"失敗理由")</f>
        <v>失敗理由</v>
      </c>
      <c r="F1" s="75" t="str">
        <f>IFERROR(__xludf.DUMMYFUNCTION("""COMPUTED_VALUE"""),"移動先")</f>
        <v>移動先</v>
      </c>
      <c r="G1" s="75" t="str">
        <f>IFERROR(__xludf.DUMMYFUNCTION("""COMPUTED_VALUE"""),"再実行状況")</f>
        <v>再実行状況</v>
      </c>
    </row>
    <row r="2" ht="15.75" customHeight="1">
      <c r="A2" s="4" t="str">
        <f>IFERROR(__xludf.DUMMYFUNCTION("""COMPUTED_VALUE"""),"BANK_20260509_131438_1aLiphjg")</f>
        <v>BANK_20260509_131438_1aLiphjg</v>
      </c>
      <c r="B2" s="4">
        <f>IFERROR(__xludf.DUMMYFUNCTION("""COMPUTED_VALUE"""),46151.551828703705)</f>
        <v>46151.55183</v>
      </c>
      <c r="C2" s="4" t="str">
        <f>IFERROR(__xludf.DUMMYFUNCTION("""COMPUTED_VALUE"""),"20260507.1hori .xlsx.csv")</f>
        <v>20260507.1hori .xlsx.csv</v>
      </c>
      <c r="D2" s="4" t="str">
        <f>IFERROR(__xludf.DUMMYFUNCTION("""COMPUTED_VALUE"""),"失敗")</f>
        <v>失敗</v>
      </c>
      <c r="E2" s="4" t="str">
        <f>IFERROR(__xludf.DUMMYFUNCTION("""COMPUTED_VALUE"""),"重複取込の疑い")</f>
        <v>重複取込の疑い</v>
      </c>
      <c r="F2" s="4" t="str">
        <f>IFERROR(__xludf.DUMMYFUNCTION("""COMPUTED_VALUE"""),"エラー")</f>
        <v>エラー</v>
      </c>
      <c r="G2" s="4" t="str">
        <f>IFERROR(__xludf.DUMMYFUNCTION("""COMPUTED_VALUE"""),"再実行待ち")</f>
        <v>再実行待ち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2.63" defaultRowHeight="15.0"/>
  <cols>
    <col customWidth="1" min="1" max="1" width="10.63"/>
    <col customWidth="1" min="2" max="4" width="14.75"/>
    <col customWidth="1" min="5" max="5" width="22.38"/>
    <col customWidth="1" min="6" max="6" width="46.38"/>
    <col customWidth="1" hidden="1" min="7" max="7" width="14.75"/>
    <col customWidth="1" min="8" max="8" width="14.75"/>
    <col customWidth="1" hidden="1" min="9" max="27" width="14.75"/>
    <col customWidth="1" min="28" max="29" width="14.75"/>
    <col customWidth="1" hidden="1" min="30" max="33" width="14.75"/>
    <col customWidth="1" min="34" max="34" width="14.75"/>
    <col customWidth="1" hidden="1" min="35" max="113" width="14.75"/>
    <col customWidth="1" min="114" max="114" width="14.75"/>
    <col customWidth="1" hidden="1" min="115" max="143" width="14.75"/>
    <col customWidth="1" min="144" max="158" width="14.75"/>
  </cols>
  <sheetData>
    <row r="1" ht="15.75" customHeight="1">
      <c r="A1" s="76" t="s">
        <v>350</v>
      </c>
      <c r="B1" s="76" t="s">
        <v>351</v>
      </c>
      <c r="C1" s="76" t="s">
        <v>352</v>
      </c>
      <c r="D1" s="76" t="s">
        <v>61</v>
      </c>
      <c r="E1" s="76" t="s">
        <v>117</v>
      </c>
      <c r="F1" s="76" t="s">
        <v>118</v>
      </c>
      <c r="G1" s="76" t="s">
        <v>353</v>
      </c>
      <c r="H1" s="76" t="s">
        <v>354</v>
      </c>
      <c r="I1" s="76" t="s">
        <v>355</v>
      </c>
      <c r="J1" s="76" t="s">
        <v>356</v>
      </c>
      <c r="K1" s="76" t="s">
        <v>357</v>
      </c>
      <c r="L1" s="76" t="s">
        <v>358</v>
      </c>
      <c r="M1" s="76" t="s">
        <v>359</v>
      </c>
      <c r="N1" s="76" t="s">
        <v>360</v>
      </c>
      <c r="O1" s="76" t="s">
        <v>361</v>
      </c>
      <c r="P1" s="76" t="s">
        <v>362</v>
      </c>
      <c r="Q1" s="76" t="s">
        <v>363</v>
      </c>
      <c r="R1" s="76" t="s">
        <v>364</v>
      </c>
      <c r="S1" s="76" t="s">
        <v>365</v>
      </c>
      <c r="T1" s="76" t="s">
        <v>366</v>
      </c>
      <c r="U1" s="76" t="s">
        <v>367</v>
      </c>
      <c r="V1" s="76" t="s">
        <v>368</v>
      </c>
      <c r="W1" s="76" t="s">
        <v>369</v>
      </c>
      <c r="X1" s="76" t="s">
        <v>370</v>
      </c>
      <c r="Y1" s="76" t="s">
        <v>371</v>
      </c>
      <c r="Z1" s="76" t="s">
        <v>372</v>
      </c>
      <c r="AA1" s="76" t="s">
        <v>373</v>
      </c>
      <c r="AB1" s="76" t="s">
        <v>374</v>
      </c>
      <c r="AC1" s="76" t="s">
        <v>375</v>
      </c>
      <c r="AD1" s="76" t="s">
        <v>376</v>
      </c>
      <c r="AE1" s="76" t="s">
        <v>377</v>
      </c>
      <c r="AF1" s="76" t="s">
        <v>378</v>
      </c>
      <c r="AG1" s="76" t="s">
        <v>379</v>
      </c>
      <c r="AH1" s="77" t="s">
        <v>120</v>
      </c>
      <c r="AI1" s="76"/>
      <c r="AJ1" s="76" t="s">
        <v>380</v>
      </c>
      <c r="AK1" s="76" t="s">
        <v>381</v>
      </c>
      <c r="AL1" s="76" t="s">
        <v>382</v>
      </c>
      <c r="AM1" s="76" t="s">
        <v>383</v>
      </c>
      <c r="AN1" s="76" t="s">
        <v>384</v>
      </c>
      <c r="AO1" s="76" t="s">
        <v>385</v>
      </c>
      <c r="AP1" s="76" t="s">
        <v>386</v>
      </c>
      <c r="AQ1" s="76" t="s">
        <v>387</v>
      </c>
      <c r="AR1" s="76" t="s">
        <v>388</v>
      </c>
      <c r="AS1" s="76" t="s">
        <v>389</v>
      </c>
      <c r="AT1" s="76" t="s">
        <v>390</v>
      </c>
      <c r="AU1" s="76" t="s">
        <v>391</v>
      </c>
      <c r="AV1" s="76" t="s">
        <v>392</v>
      </c>
      <c r="AW1" s="76" t="s">
        <v>393</v>
      </c>
      <c r="AX1" s="76" t="s">
        <v>394</v>
      </c>
      <c r="AY1" s="76" t="s">
        <v>395</v>
      </c>
      <c r="AZ1" s="76" t="s">
        <v>396</v>
      </c>
      <c r="BA1" s="76" t="s">
        <v>397</v>
      </c>
      <c r="BB1" s="76" t="s">
        <v>398</v>
      </c>
      <c r="BC1" s="76" t="s">
        <v>399</v>
      </c>
      <c r="BD1" s="76" t="s">
        <v>400</v>
      </c>
      <c r="BE1" s="76" t="s">
        <v>401</v>
      </c>
      <c r="BF1" s="76" t="s">
        <v>402</v>
      </c>
      <c r="BG1" s="76" t="s">
        <v>403</v>
      </c>
      <c r="BH1" s="76" t="s">
        <v>404</v>
      </c>
      <c r="BI1" s="76" t="s">
        <v>405</v>
      </c>
      <c r="BJ1" s="76" t="s">
        <v>406</v>
      </c>
      <c r="BK1" s="76" t="s">
        <v>407</v>
      </c>
      <c r="BL1" s="76" t="s">
        <v>408</v>
      </c>
      <c r="BM1" s="76" t="s">
        <v>409</v>
      </c>
      <c r="BN1" s="76" t="s">
        <v>410</v>
      </c>
      <c r="BO1" s="76" t="s">
        <v>411</v>
      </c>
      <c r="BP1" s="76" t="s">
        <v>412</v>
      </c>
      <c r="BQ1" s="76" t="s">
        <v>413</v>
      </c>
      <c r="BR1" s="76" t="s">
        <v>414</v>
      </c>
      <c r="BS1" s="76" t="s">
        <v>415</v>
      </c>
      <c r="BT1" s="76" t="s">
        <v>416</v>
      </c>
      <c r="BU1" s="76" t="s">
        <v>417</v>
      </c>
      <c r="BV1" s="76" t="s">
        <v>418</v>
      </c>
      <c r="BW1" s="76" t="s">
        <v>419</v>
      </c>
      <c r="BX1" s="76" t="s">
        <v>420</v>
      </c>
      <c r="BY1" s="76" t="s">
        <v>421</v>
      </c>
      <c r="BZ1" s="76" t="s">
        <v>422</v>
      </c>
      <c r="CA1" s="76" t="s">
        <v>423</v>
      </c>
      <c r="CB1" s="76" t="s">
        <v>424</v>
      </c>
      <c r="CC1" s="76" t="s">
        <v>425</v>
      </c>
      <c r="CD1" s="76" t="s">
        <v>426</v>
      </c>
      <c r="CE1" s="76" t="s">
        <v>427</v>
      </c>
      <c r="CF1" s="76" t="s">
        <v>428</v>
      </c>
      <c r="CG1" s="76" t="s">
        <v>429</v>
      </c>
      <c r="CH1" s="76" t="s">
        <v>430</v>
      </c>
      <c r="CI1" s="76" t="s">
        <v>431</v>
      </c>
      <c r="CJ1" s="76" t="s">
        <v>432</v>
      </c>
      <c r="CK1" s="76" t="s">
        <v>433</v>
      </c>
      <c r="CL1" s="76" t="s">
        <v>434</v>
      </c>
      <c r="CM1" s="76" t="s">
        <v>435</v>
      </c>
      <c r="CN1" s="76" t="s">
        <v>436</v>
      </c>
      <c r="CO1" s="76" t="s">
        <v>437</v>
      </c>
      <c r="CP1" s="76" t="s">
        <v>438</v>
      </c>
      <c r="CQ1" s="76" t="s">
        <v>439</v>
      </c>
      <c r="CR1" s="76" t="s">
        <v>440</v>
      </c>
      <c r="CS1" s="76" t="s">
        <v>441</v>
      </c>
      <c r="CT1" s="76" t="s">
        <v>442</v>
      </c>
      <c r="CU1" s="76" t="s">
        <v>443</v>
      </c>
      <c r="CV1" s="76" t="s">
        <v>444</v>
      </c>
      <c r="CW1" s="76" t="s">
        <v>445</v>
      </c>
      <c r="CX1" s="76" t="s">
        <v>446</v>
      </c>
      <c r="CY1" s="76" t="s">
        <v>447</v>
      </c>
      <c r="CZ1" s="76" t="s">
        <v>448</v>
      </c>
      <c r="DA1" s="76" t="s">
        <v>449</v>
      </c>
      <c r="DB1" s="76" t="s">
        <v>450</v>
      </c>
      <c r="DC1" s="76" t="s">
        <v>451</v>
      </c>
      <c r="DD1" s="76" t="s">
        <v>452</v>
      </c>
      <c r="DE1" s="76" t="s">
        <v>453</v>
      </c>
      <c r="DF1" s="76" t="s">
        <v>454</v>
      </c>
      <c r="DG1" s="76" t="s">
        <v>455</v>
      </c>
      <c r="DH1" s="76" t="s">
        <v>456</v>
      </c>
      <c r="DI1" s="76" t="s">
        <v>457</v>
      </c>
      <c r="DJ1" s="76" t="s">
        <v>458</v>
      </c>
      <c r="DK1" s="76" t="s">
        <v>459</v>
      </c>
      <c r="DL1" s="76" t="s">
        <v>460</v>
      </c>
      <c r="DM1" s="76" t="s">
        <v>461</v>
      </c>
      <c r="DN1" s="76" t="s">
        <v>462</v>
      </c>
      <c r="DO1" s="76" t="s">
        <v>463</v>
      </c>
      <c r="DP1" s="76" t="s">
        <v>464</v>
      </c>
      <c r="DQ1" s="76" t="s">
        <v>465</v>
      </c>
      <c r="DR1" s="76" t="s">
        <v>466</v>
      </c>
      <c r="DS1" s="76" t="s">
        <v>467</v>
      </c>
      <c r="DT1" s="76" t="s">
        <v>49</v>
      </c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 t="s">
        <v>68</v>
      </c>
      <c r="EO1" s="76" t="s">
        <v>122</v>
      </c>
      <c r="EP1" s="76" t="s">
        <v>123</v>
      </c>
      <c r="EQ1" s="76" t="s">
        <v>124</v>
      </c>
      <c r="ER1" s="76" t="s">
        <v>125</v>
      </c>
      <c r="ES1" s="76" t="s">
        <v>126</v>
      </c>
      <c r="ET1" s="76" t="s">
        <v>127</v>
      </c>
      <c r="EU1" s="76" t="s">
        <v>82</v>
      </c>
      <c r="EV1" s="76"/>
      <c r="EW1" s="76"/>
      <c r="EX1" s="76"/>
      <c r="EY1" s="76"/>
      <c r="EZ1" s="76"/>
      <c r="FA1" s="76"/>
      <c r="FB1" s="76"/>
    </row>
    <row r="2" ht="15.75" customHeight="1">
      <c r="A2" s="19"/>
      <c r="B2" s="4" t="s">
        <v>468</v>
      </c>
      <c r="C2" s="4" t="s">
        <v>469</v>
      </c>
      <c r="D2" s="78">
        <v>46054.0</v>
      </c>
      <c r="E2" s="4" t="s">
        <v>470</v>
      </c>
      <c r="F2" s="19"/>
      <c r="AH2" s="23">
        <v>3.449784E7</v>
      </c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4" t="s">
        <v>79</v>
      </c>
      <c r="EO2" s="19"/>
      <c r="EP2" s="17"/>
      <c r="EQ2" s="23"/>
      <c r="ER2" s="23" t="str">
        <f t="shared" ref="ER2:ER38" si="1">IF(AND($AH2&lt;&gt;"",$EQ2&lt;&gt;""),$AH2-$EQ2,"")</f>
        <v/>
      </c>
      <c r="ES2" s="19"/>
      <c r="ET2" s="19" t="str">
        <f t="shared" ref="ET2:ET38" si="2">IF($ES2="入金済","",IF($EP2="","",IF(TODAY()&gt;$EP2,"期限超過",IF(TODAY()&gt;=$EP2-3,"期限間近",""))))</f>
        <v/>
      </c>
      <c r="EU2" s="19"/>
      <c r="EV2" s="19"/>
      <c r="EW2" s="19"/>
      <c r="EX2" s="19"/>
      <c r="EY2" s="19"/>
      <c r="EZ2" s="19"/>
      <c r="FA2" s="19"/>
      <c r="FB2" s="19"/>
    </row>
    <row r="3" ht="15.75" customHeight="1">
      <c r="A3" s="19"/>
      <c r="B3" s="4" t="s">
        <v>468</v>
      </c>
      <c r="C3" s="4" t="s">
        <v>469</v>
      </c>
      <c r="D3" s="78">
        <v>46057.0</v>
      </c>
      <c r="E3" s="4" t="s">
        <v>471</v>
      </c>
      <c r="F3" s="19"/>
      <c r="AH3" s="23">
        <v>6408438.0</v>
      </c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4" t="s">
        <v>79</v>
      </c>
      <c r="EO3" s="19"/>
      <c r="EP3" s="17"/>
      <c r="EQ3" s="23"/>
      <c r="ER3" s="23" t="str">
        <f t="shared" si="1"/>
        <v/>
      </c>
      <c r="ES3" s="19"/>
      <c r="ET3" s="19" t="str">
        <f t="shared" si="2"/>
        <v/>
      </c>
      <c r="EU3" s="19"/>
      <c r="EV3" s="19"/>
      <c r="EW3" s="19"/>
      <c r="EX3" s="19"/>
      <c r="EY3" s="19"/>
      <c r="EZ3" s="19"/>
      <c r="FA3" s="19"/>
      <c r="FB3" s="19"/>
    </row>
    <row r="4" ht="15.75" customHeight="1">
      <c r="A4" s="19"/>
      <c r="B4" s="4" t="s">
        <v>468</v>
      </c>
      <c r="C4" s="4" t="s">
        <v>469</v>
      </c>
      <c r="D4" s="78">
        <v>46060.0</v>
      </c>
      <c r="E4" s="4" t="s">
        <v>472</v>
      </c>
      <c r="F4" s="19"/>
      <c r="AH4" s="23">
        <v>1.032278E7</v>
      </c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4" t="s">
        <v>79</v>
      </c>
      <c r="EO4" s="19"/>
      <c r="EP4" s="17"/>
      <c r="EQ4" s="23"/>
      <c r="ER4" s="23" t="str">
        <f t="shared" si="1"/>
        <v/>
      </c>
      <c r="ES4" s="19"/>
      <c r="ET4" s="19" t="str">
        <f t="shared" si="2"/>
        <v/>
      </c>
      <c r="EU4" s="19"/>
      <c r="EV4" s="19"/>
      <c r="EW4" s="19"/>
      <c r="EX4" s="19"/>
      <c r="EY4" s="19"/>
      <c r="EZ4" s="19"/>
      <c r="FA4" s="19"/>
      <c r="FB4" s="19"/>
    </row>
    <row r="5" ht="15.75" customHeight="1">
      <c r="A5" s="19"/>
      <c r="B5" s="4" t="s">
        <v>468</v>
      </c>
      <c r="C5" s="4" t="s">
        <v>469</v>
      </c>
      <c r="D5" s="78">
        <v>46065.0</v>
      </c>
      <c r="E5" s="4" t="s">
        <v>473</v>
      </c>
      <c r="F5" s="19"/>
      <c r="AH5" s="23">
        <v>261190.0</v>
      </c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4" t="s">
        <v>79</v>
      </c>
      <c r="EO5" s="19"/>
      <c r="EP5" s="17"/>
      <c r="EQ5" s="23"/>
      <c r="ER5" s="23" t="str">
        <f t="shared" si="1"/>
        <v/>
      </c>
      <c r="ES5" s="19"/>
      <c r="ET5" s="19" t="str">
        <f t="shared" si="2"/>
        <v/>
      </c>
      <c r="EU5" s="19"/>
      <c r="EV5" s="19"/>
      <c r="EW5" s="19"/>
      <c r="EX5" s="19"/>
      <c r="EY5" s="19"/>
      <c r="EZ5" s="19"/>
      <c r="FA5" s="19"/>
      <c r="FB5" s="19"/>
    </row>
    <row r="6" ht="15.75" customHeight="1">
      <c r="A6" s="79" t="s">
        <v>474</v>
      </c>
      <c r="B6" s="79" t="s">
        <v>475</v>
      </c>
      <c r="C6" s="79" t="s">
        <v>476</v>
      </c>
      <c r="D6" s="80">
        <v>46082.0</v>
      </c>
      <c r="E6" s="79" t="s">
        <v>477</v>
      </c>
      <c r="F6" s="79"/>
      <c r="G6" s="79" t="s">
        <v>478</v>
      </c>
      <c r="H6" s="79" t="s">
        <v>479</v>
      </c>
      <c r="I6" s="79" t="s">
        <v>480</v>
      </c>
      <c r="J6" s="79" t="s">
        <v>481</v>
      </c>
      <c r="K6" s="79">
        <v>2000.0</v>
      </c>
      <c r="L6" s="79" t="s">
        <v>482</v>
      </c>
      <c r="M6" s="79" t="s">
        <v>483</v>
      </c>
      <c r="N6" s="79"/>
      <c r="O6" s="79" t="s">
        <v>484</v>
      </c>
      <c r="P6" s="79" t="s">
        <v>485</v>
      </c>
      <c r="Q6" s="79"/>
      <c r="R6" s="79"/>
      <c r="S6" s="79"/>
      <c r="T6" s="79">
        <v>77308.0</v>
      </c>
      <c r="U6" s="79"/>
      <c r="V6" s="79"/>
      <c r="W6" s="80">
        <v>46079.0</v>
      </c>
      <c r="X6" s="79"/>
      <c r="Y6" s="79"/>
      <c r="Z6" s="79" t="s">
        <v>486</v>
      </c>
      <c r="AA6" s="79" t="s">
        <v>487</v>
      </c>
      <c r="AB6" s="79" t="s">
        <v>486</v>
      </c>
      <c r="AC6" s="79" t="s">
        <v>488</v>
      </c>
      <c r="AD6" s="79">
        <v>20000.0</v>
      </c>
      <c r="AE6" s="79">
        <v>0.0</v>
      </c>
      <c r="AF6" s="79">
        <v>0.0</v>
      </c>
      <c r="AG6" s="79">
        <v>2000.0</v>
      </c>
      <c r="AH6" s="81">
        <v>22000.0</v>
      </c>
      <c r="AI6" s="79"/>
      <c r="AJ6" s="79">
        <v>0.0</v>
      </c>
      <c r="AK6" s="79">
        <v>0.0</v>
      </c>
      <c r="AL6" s="79">
        <v>0.0</v>
      </c>
      <c r="AM6" s="79">
        <v>0.0</v>
      </c>
      <c r="AN6" s="79">
        <v>0.0</v>
      </c>
      <c r="AO6" s="79">
        <v>0.0</v>
      </c>
      <c r="AP6" s="79">
        <v>0.0</v>
      </c>
      <c r="AQ6" s="79">
        <v>20000.0</v>
      </c>
      <c r="AR6" s="79" t="s">
        <v>489</v>
      </c>
      <c r="AS6" s="79">
        <v>0.0</v>
      </c>
      <c r="AT6" s="79" t="s">
        <v>490</v>
      </c>
      <c r="AU6" s="79" t="s">
        <v>491</v>
      </c>
      <c r="AV6" s="79">
        <v>0.0</v>
      </c>
      <c r="AW6" s="79"/>
      <c r="AX6" s="79">
        <v>0.0</v>
      </c>
      <c r="AY6" s="79" t="s">
        <v>492</v>
      </c>
      <c r="AZ6" s="79">
        <v>0.0</v>
      </c>
      <c r="BA6" s="79"/>
      <c r="BB6" s="79">
        <v>0.0</v>
      </c>
      <c r="BC6" s="79"/>
      <c r="BD6" s="79">
        <v>0.0</v>
      </c>
      <c r="BE6" s="79"/>
      <c r="BF6" s="79">
        <v>0.0</v>
      </c>
      <c r="BG6" s="79"/>
      <c r="BH6" s="79">
        <v>0.0</v>
      </c>
      <c r="BI6" s="79" t="s">
        <v>493</v>
      </c>
      <c r="BJ6" s="79">
        <v>0.0</v>
      </c>
      <c r="BK6" s="79" t="s">
        <v>494</v>
      </c>
      <c r="BL6" s="79">
        <v>0.0</v>
      </c>
      <c r="BM6" s="79" t="s">
        <v>495</v>
      </c>
      <c r="BN6" s="79">
        <v>0.0</v>
      </c>
      <c r="BO6" s="79" t="s">
        <v>496</v>
      </c>
      <c r="BP6" s="79">
        <v>0.0</v>
      </c>
      <c r="BQ6" s="79"/>
      <c r="BR6" s="79">
        <v>0.0</v>
      </c>
      <c r="BS6" s="79"/>
      <c r="BT6" s="79">
        <v>0.0</v>
      </c>
      <c r="BU6" s="79"/>
      <c r="BV6" s="79">
        <v>0.0</v>
      </c>
      <c r="BW6" s="79"/>
      <c r="BX6" s="79">
        <v>0.0</v>
      </c>
      <c r="BY6" s="79">
        <v>0.0</v>
      </c>
      <c r="BZ6" s="79" t="s">
        <v>491</v>
      </c>
      <c r="CA6" s="79">
        <v>0.0</v>
      </c>
      <c r="CB6" s="79" t="s">
        <v>490</v>
      </c>
      <c r="CC6" s="79"/>
      <c r="CD6" s="79">
        <v>0.0</v>
      </c>
      <c r="CE6" s="79" t="s">
        <v>492</v>
      </c>
      <c r="CF6" s="79">
        <v>0.0</v>
      </c>
      <c r="CG6" s="79"/>
      <c r="CH6" s="79">
        <v>0.0</v>
      </c>
      <c r="CI6" s="79"/>
      <c r="CJ6" s="79">
        <v>0.0</v>
      </c>
      <c r="CK6" s="79"/>
      <c r="CL6" s="79">
        <v>0.0</v>
      </c>
      <c r="CM6" s="79"/>
      <c r="CN6" s="79">
        <v>0.0</v>
      </c>
      <c r="CO6" s="79" t="s">
        <v>493</v>
      </c>
      <c r="CP6" s="79">
        <v>0.0</v>
      </c>
      <c r="CQ6" s="79" t="s">
        <v>494</v>
      </c>
      <c r="CR6" s="79">
        <v>0.0</v>
      </c>
      <c r="CS6" s="79" t="s">
        <v>495</v>
      </c>
      <c r="CT6" s="79">
        <v>0.0</v>
      </c>
      <c r="CU6" s="79" t="s">
        <v>496</v>
      </c>
      <c r="CV6" s="79">
        <v>0.0</v>
      </c>
      <c r="CW6" s="79"/>
      <c r="CX6" s="79">
        <v>0.0</v>
      </c>
      <c r="CY6" s="79"/>
      <c r="CZ6" s="79">
        <v>0.0</v>
      </c>
      <c r="DA6" s="79"/>
      <c r="DB6" s="79">
        <v>0.0</v>
      </c>
      <c r="DC6" s="79"/>
      <c r="DD6" s="79">
        <v>0.0</v>
      </c>
      <c r="DE6" s="79">
        <v>20000.0</v>
      </c>
      <c r="DF6" s="79">
        <v>0.0</v>
      </c>
      <c r="DG6" s="79">
        <v>0.0</v>
      </c>
      <c r="DH6" s="79">
        <v>0.0</v>
      </c>
      <c r="DI6" s="79">
        <v>0.0</v>
      </c>
      <c r="DJ6" s="79" t="s">
        <v>497</v>
      </c>
      <c r="DK6" s="79" t="s">
        <v>498</v>
      </c>
      <c r="DL6" s="79" t="s">
        <v>499</v>
      </c>
      <c r="DM6" s="79" t="s">
        <v>500</v>
      </c>
      <c r="DN6" s="79" t="s">
        <v>501</v>
      </c>
      <c r="DO6" s="79"/>
      <c r="DP6" s="79"/>
      <c r="DQ6" s="79"/>
      <c r="DR6" s="79"/>
      <c r="DS6" s="79"/>
      <c r="DT6" s="82"/>
      <c r="DU6" s="79"/>
      <c r="DV6" s="82"/>
      <c r="DW6" s="79"/>
      <c r="DX6" s="79"/>
      <c r="DY6" s="79"/>
      <c r="DZ6" s="79"/>
      <c r="EA6" s="79"/>
      <c r="EB6" s="79"/>
      <c r="EC6" s="79"/>
      <c r="ED6" s="79"/>
      <c r="EE6" s="79"/>
      <c r="EF6" s="82"/>
      <c r="EG6" s="79"/>
      <c r="EH6" s="82"/>
      <c r="EI6" s="79"/>
      <c r="EJ6" s="82"/>
      <c r="EK6" s="79"/>
      <c r="EL6" s="82"/>
      <c r="EM6" s="79"/>
      <c r="EN6" s="79" t="s">
        <v>79</v>
      </c>
      <c r="EO6" s="79"/>
      <c r="EP6" s="80"/>
      <c r="EQ6" s="83"/>
      <c r="ER6" s="83" t="str">
        <f t="shared" si="1"/>
        <v/>
      </c>
      <c r="ES6" s="79"/>
      <c r="ET6" s="79" t="str">
        <f t="shared" si="2"/>
        <v/>
      </c>
      <c r="EU6" s="79"/>
      <c r="EV6" s="82"/>
      <c r="EW6" s="82"/>
      <c r="EX6" s="82"/>
      <c r="EY6" s="82"/>
      <c r="EZ6" s="82"/>
      <c r="FA6" s="82"/>
      <c r="FB6" s="82"/>
    </row>
    <row r="7" ht="15.75" customHeight="1">
      <c r="A7" s="79" t="s">
        <v>502</v>
      </c>
      <c r="B7" s="79" t="s">
        <v>475</v>
      </c>
      <c r="C7" s="79" t="s">
        <v>476</v>
      </c>
      <c r="D7" s="80">
        <v>46082.0</v>
      </c>
      <c r="E7" s="79" t="s">
        <v>503</v>
      </c>
      <c r="F7" s="79"/>
      <c r="G7" s="79" t="s">
        <v>504</v>
      </c>
      <c r="H7" s="79" t="s">
        <v>479</v>
      </c>
      <c r="I7" s="79"/>
      <c r="J7" s="79" t="s">
        <v>505</v>
      </c>
      <c r="K7" s="79">
        <v>0.0</v>
      </c>
      <c r="L7" s="79"/>
      <c r="M7" s="79" t="s">
        <v>506</v>
      </c>
      <c r="N7" s="79"/>
      <c r="O7" s="79"/>
      <c r="P7" s="79"/>
      <c r="Q7" s="79"/>
      <c r="R7" s="80">
        <v>46476.0</v>
      </c>
      <c r="S7" s="79"/>
      <c r="T7" s="79">
        <v>12531.0</v>
      </c>
      <c r="U7" s="79"/>
      <c r="V7" s="79"/>
      <c r="W7" s="80">
        <v>46082.0</v>
      </c>
      <c r="X7" s="79"/>
      <c r="Y7" s="80">
        <v>46082.0</v>
      </c>
      <c r="Z7" s="79" t="s">
        <v>486</v>
      </c>
      <c r="AA7" s="79" t="s">
        <v>487</v>
      </c>
      <c r="AB7" s="79" t="s">
        <v>486</v>
      </c>
      <c r="AC7" s="79" t="s">
        <v>488</v>
      </c>
      <c r="AD7" s="79">
        <v>24800.0</v>
      </c>
      <c r="AE7" s="79">
        <v>0.0</v>
      </c>
      <c r="AF7" s="79">
        <v>0.0</v>
      </c>
      <c r="AG7" s="79">
        <v>2480.0</v>
      </c>
      <c r="AH7" s="81">
        <v>27280.0</v>
      </c>
      <c r="AI7" s="79"/>
      <c r="AJ7" s="79">
        <v>0.0</v>
      </c>
      <c r="AK7" s="79">
        <v>7680.0</v>
      </c>
      <c r="AL7" s="79">
        <v>0.0</v>
      </c>
      <c r="AM7" s="79">
        <v>0.0</v>
      </c>
      <c r="AN7" s="79">
        <v>768.0</v>
      </c>
      <c r="AO7" s="79">
        <v>8448.0</v>
      </c>
      <c r="AP7" s="79">
        <v>0.0</v>
      </c>
      <c r="AQ7" s="79">
        <v>17120.0</v>
      </c>
      <c r="AR7" s="79" t="s">
        <v>489</v>
      </c>
      <c r="AS7" s="79">
        <v>0.0</v>
      </c>
      <c r="AT7" s="79" t="s">
        <v>507</v>
      </c>
      <c r="AU7" s="79" t="s">
        <v>491</v>
      </c>
      <c r="AV7" s="79">
        <v>0.0</v>
      </c>
      <c r="AW7" s="79" t="s">
        <v>508</v>
      </c>
      <c r="AX7" s="79">
        <v>0.0</v>
      </c>
      <c r="AY7" s="79"/>
      <c r="AZ7" s="79">
        <v>0.0</v>
      </c>
      <c r="BA7" s="79"/>
      <c r="BB7" s="79">
        <v>0.0</v>
      </c>
      <c r="BC7" s="79"/>
      <c r="BD7" s="79">
        <v>0.0</v>
      </c>
      <c r="BE7" s="79"/>
      <c r="BF7" s="79">
        <v>0.0</v>
      </c>
      <c r="BG7" s="79"/>
      <c r="BH7" s="79">
        <v>0.0</v>
      </c>
      <c r="BI7" s="79" t="s">
        <v>493</v>
      </c>
      <c r="BJ7" s="79">
        <v>0.0</v>
      </c>
      <c r="BK7" s="79" t="s">
        <v>494</v>
      </c>
      <c r="BL7" s="79">
        <v>0.0</v>
      </c>
      <c r="BM7" s="79" t="s">
        <v>495</v>
      </c>
      <c r="BN7" s="79">
        <v>0.0</v>
      </c>
      <c r="BO7" s="79" t="s">
        <v>496</v>
      </c>
      <c r="BP7" s="79">
        <v>0.0</v>
      </c>
      <c r="BQ7" s="79"/>
      <c r="BR7" s="79">
        <v>0.0</v>
      </c>
      <c r="BS7" s="79"/>
      <c r="BT7" s="79">
        <v>0.0</v>
      </c>
      <c r="BU7" s="79"/>
      <c r="BV7" s="79">
        <v>0.0</v>
      </c>
      <c r="BW7" s="79"/>
      <c r="BX7" s="79">
        <v>0.0</v>
      </c>
      <c r="BY7" s="79">
        <v>0.0</v>
      </c>
      <c r="BZ7" s="79" t="s">
        <v>491</v>
      </c>
      <c r="CA7" s="79">
        <v>0.0</v>
      </c>
      <c r="CB7" s="79" t="s">
        <v>507</v>
      </c>
      <c r="CC7" s="79" t="s">
        <v>508</v>
      </c>
      <c r="CD7" s="79">
        <v>0.0</v>
      </c>
      <c r="CE7" s="79"/>
      <c r="CF7" s="79">
        <v>0.0</v>
      </c>
      <c r="CG7" s="79"/>
      <c r="CH7" s="79">
        <v>0.0</v>
      </c>
      <c r="CI7" s="79"/>
      <c r="CJ7" s="79">
        <v>0.0</v>
      </c>
      <c r="CK7" s="79"/>
      <c r="CL7" s="79">
        <v>0.0</v>
      </c>
      <c r="CM7" s="79"/>
      <c r="CN7" s="79">
        <v>0.0</v>
      </c>
      <c r="CO7" s="79" t="s">
        <v>493</v>
      </c>
      <c r="CP7" s="79">
        <v>0.0</v>
      </c>
      <c r="CQ7" s="79" t="s">
        <v>494</v>
      </c>
      <c r="CR7" s="79">
        <v>0.0</v>
      </c>
      <c r="CS7" s="79" t="s">
        <v>495</v>
      </c>
      <c r="CT7" s="79">
        <v>0.0</v>
      </c>
      <c r="CU7" s="79" t="s">
        <v>496</v>
      </c>
      <c r="CV7" s="79">
        <v>0.0</v>
      </c>
      <c r="CW7" s="79"/>
      <c r="CX7" s="79">
        <v>0.0</v>
      </c>
      <c r="CY7" s="79"/>
      <c r="CZ7" s="79">
        <v>0.0</v>
      </c>
      <c r="DA7" s="79"/>
      <c r="DB7" s="79">
        <v>0.0</v>
      </c>
      <c r="DC7" s="79"/>
      <c r="DD7" s="79">
        <v>0.0</v>
      </c>
      <c r="DE7" s="79">
        <v>15200.0</v>
      </c>
      <c r="DF7" s="79">
        <v>9600.0</v>
      </c>
      <c r="DG7" s="79">
        <v>0.0</v>
      </c>
      <c r="DH7" s="79">
        <v>0.0</v>
      </c>
      <c r="DI7" s="79">
        <v>7680.0</v>
      </c>
      <c r="DJ7" s="79" t="s">
        <v>509</v>
      </c>
      <c r="DK7" s="79" t="s">
        <v>486</v>
      </c>
      <c r="DL7" s="79" t="s">
        <v>487</v>
      </c>
      <c r="DM7" s="79" t="s">
        <v>510</v>
      </c>
      <c r="DN7" s="79" t="s">
        <v>511</v>
      </c>
      <c r="DO7" s="79" t="s">
        <v>512</v>
      </c>
      <c r="DP7" s="79"/>
      <c r="DQ7" s="79"/>
      <c r="DR7" s="79"/>
      <c r="DS7" s="79"/>
      <c r="DT7" s="82"/>
      <c r="DU7" s="79"/>
      <c r="DV7" s="82"/>
      <c r="DW7" s="79"/>
      <c r="DX7" s="79"/>
      <c r="DY7" s="79"/>
      <c r="DZ7" s="79"/>
      <c r="EA7" s="79"/>
      <c r="EB7" s="79"/>
      <c r="EC7" s="79"/>
      <c r="ED7" s="79"/>
      <c r="EE7" s="79"/>
      <c r="EF7" s="82"/>
      <c r="EG7" s="79"/>
      <c r="EH7" s="82"/>
      <c r="EI7" s="79"/>
      <c r="EJ7" s="82"/>
      <c r="EK7" s="79"/>
      <c r="EL7" s="82"/>
      <c r="EM7" s="79"/>
      <c r="EN7" s="79" t="s">
        <v>156</v>
      </c>
      <c r="EO7" s="79" t="s">
        <v>48</v>
      </c>
      <c r="EP7" s="80"/>
      <c r="EQ7" s="83"/>
      <c r="ER7" s="83" t="str">
        <f t="shared" si="1"/>
        <v/>
      </c>
      <c r="ES7" s="79"/>
      <c r="ET7" s="79" t="str">
        <f t="shared" si="2"/>
        <v/>
      </c>
      <c r="EU7" s="79"/>
      <c r="EV7" s="82"/>
      <c r="EW7" s="82"/>
      <c r="EX7" s="82"/>
      <c r="EY7" s="82"/>
      <c r="EZ7" s="82"/>
      <c r="FA7" s="82"/>
      <c r="FB7" s="82"/>
    </row>
    <row r="8" ht="15.75" customHeight="1">
      <c r="A8" s="19"/>
      <c r="B8" s="4" t="s">
        <v>468</v>
      </c>
      <c r="C8" s="4" t="s">
        <v>469</v>
      </c>
      <c r="D8" s="78">
        <v>46082.0</v>
      </c>
      <c r="E8" s="4" t="s">
        <v>513</v>
      </c>
      <c r="F8" s="19"/>
      <c r="AH8" s="23">
        <v>253439.0</v>
      </c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1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4" t="s">
        <v>79</v>
      </c>
      <c r="EO8" s="19"/>
      <c r="EP8" s="17"/>
      <c r="EQ8" s="23"/>
      <c r="ER8" s="23" t="str">
        <f t="shared" si="1"/>
        <v/>
      </c>
      <c r="ES8" s="19"/>
      <c r="ET8" s="19" t="str">
        <f t="shared" si="2"/>
        <v/>
      </c>
      <c r="EU8" s="19"/>
      <c r="EV8" s="19"/>
      <c r="EW8" s="19"/>
      <c r="EX8" s="19"/>
      <c r="EY8" s="19"/>
      <c r="EZ8" s="19"/>
      <c r="FA8" s="19"/>
      <c r="FB8" s="19"/>
    </row>
    <row r="9" ht="15.75" customHeight="1">
      <c r="A9" s="79" t="s">
        <v>514</v>
      </c>
      <c r="B9" s="79" t="s">
        <v>515</v>
      </c>
      <c r="C9" s="79" t="s">
        <v>476</v>
      </c>
      <c r="D9" s="80">
        <v>46083.0</v>
      </c>
      <c r="E9" s="79" t="s">
        <v>516</v>
      </c>
      <c r="F9" s="79"/>
      <c r="G9" s="79" t="s">
        <v>517</v>
      </c>
      <c r="H9" s="79" t="s">
        <v>518</v>
      </c>
      <c r="I9" s="79" t="s">
        <v>480</v>
      </c>
      <c r="J9" s="79" t="s">
        <v>519</v>
      </c>
      <c r="K9" s="79">
        <v>3000.0</v>
      </c>
      <c r="L9" s="79" t="s">
        <v>482</v>
      </c>
      <c r="M9" s="79" t="s">
        <v>520</v>
      </c>
      <c r="N9" s="79" t="s">
        <v>521</v>
      </c>
      <c r="O9" s="79" t="s">
        <v>484</v>
      </c>
      <c r="P9" s="79" t="s">
        <v>522</v>
      </c>
      <c r="Q9" s="79" t="s">
        <v>523</v>
      </c>
      <c r="R9" s="80">
        <v>46392.0</v>
      </c>
      <c r="S9" s="79"/>
      <c r="T9" s="79">
        <v>45536.0</v>
      </c>
      <c r="U9" s="79"/>
      <c r="V9" s="79"/>
      <c r="W9" s="80">
        <v>46079.0</v>
      </c>
      <c r="X9" s="79"/>
      <c r="Y9" s="80">
        <v>46083.0</v>
      </c>
      <c r="Z9" s="79" t="s">
        <v>486</v>
      </c>
      <c r="AA9" s="79" t="s">
        <v>487</v>
      </c>
      <c r="AB9" s="79" t="s">
        <v>524</v>
      </c>
      <c r="AC9" s="79" t="s">
        <v>488</v>
      </c>
      <c r="AD9" s="79">
        <v>109130.0</v>
      </c>
      <c r="AE9" s="79">
        <v>0.0</v>
      </c>
      <c r="AF9" s="79">
        <v>0.0</v>
      </c>
      <c r="AG9" s="79">
        <v>10913.0</v>
      </c>
      <c r="AH9" s="81">
        <v>120043.0</v>
      </c>
      <c r="AI9" s="79"/>
      <c r="AJ9" s="79">
        <v>0.0</v>
      </c>
      <c r="AK9" s="79">
        <v>28613.0</v>
      </c>
      <c r="AL9" s="79">
        <v>0.0</v>
      </c>
      <c r="AM9" s="79">
        <v>0.0</v>
      </c>
      <c r="AN9" s="79">
        <v>2861.0</v>
      </c>
      <c r="AO9" s="79">
        <v>31474.0</v>
      </c>
      <c r="AP9" s="79">
        <v>0.0</v>
      </c>
      <c r="AQ9" s="79">
        <v>80517.0</v>
      </c>
      <c r="AR9" s="79" t="s">
        <v>525</v>
      </c>
      <c r="AS9" s="79">
        <v>0.0</v>
      </c>
      <c r="AT9" s="79" t="s">
        <v>490</v>
      </c>
      <c r="AU9" s="79" t="s">
        <v>491</v>
      </c>
      <c r="AV9" s="79">
        <v>0.0</v>
      </c>
      <c r="AW9" s="79" t="s">
        <v>508</v>
      </c>
      <c r="AX9" s="79">
        <v>0.0</v>
      </c>
      <c r="AY9" s="79"/>
      <c r="AZ9" s="79">
        <v>0.0</v>
      </c>
      <c r="BA9" s="79"/>
      <c r="BB9" s="79">
        <v>0.0</v>
      </c>
      <c r="BC9" s="79"/>
      <c r="BD9" s="79">
        <v>0.0</v>
      </c>
      <c r="BE9" s="79"/>
      <c r="BF9" s="79">
        <v>0.0</v>
      </c>
      <c r="BG9" s="79"/>
      <c r="BH9" s="79">
        <v>0.0</v>
      </c>
      <c r="BI9" s="79" t="s">
        <v>493</v>
      </c>
      <c r="BJ9" s="79">
        <v>0.0</v>
      </c>
      <c r="BK9" s="79" t="s">
        <v>494</v>
      </c>
      <c r="BL9" s="79">
        <v>0.0</v>
      </c>
      <c r="BM9" s="79" t="s">
        <v>495</v>
      </c>
      <c r="BN9" s="79">
        <v>0.0</v>
      </c>
      <c r="BO9" s="79" t="s">
        <v>496</v>
      </c>
      <c r="BP9" s="79">
        <v>0.0</v>
      </c>
      <c r="BQ9" s="79"/>
      <c r="BR9" s="79">
        <v>0.0</v>
      </c>
      <c r="BS9" s="79"/>
      <c r="BT9" s="79">
        <v>0.0</v>
      </c>
      <c r="BU9" s="79"/>
      <c r="BV9" s="79">
        <v>0.0</v>
      </c>
      <c r="BW9" s="79"/>
      <c r="BX9" s="79">
        <v>0.0</v>
      </c>
      <c r="BY9" s="79">
        <v>0.0</v>
      </c>
      <c r="BZ9" s="79" t="s">
        <v>491</v>
      </c>
      <c r="CA9" s="79">
        <v>0.0</v>
      </c>
      <c r="CB9" s="79" t="s">
        <v>490</v>
      </c>
      <c r="CC9" s="79" t="s">
        <v>508</v>
      </c>
      <c r="CD9" s="79">
        <v>0.0</v>
      </c>
      <c r="CE9" s="79"/>
      <c r="CF9" s="79">
        <v>0.0</v>
      </c>
      <c r="CG9" s="79"/>
      <c r="CH9" s="79">
        <v>0.0</v>
      </c>
      <c r="CI9" s="79"/>
      <c r="CJ9" s="79">
        <v>0.0</v>
      </c>
      <c r="CK9" s="79"/>
      <c r="CL9" s="79">
        <v>0.0</v>
      </c>
      <c r="CM9" s="79"/>
      <c r="CN9" s="79">
        <v>0.0</v>
      </c>
      <c r="CO9" s="79" t="s">
        <v>493</v>
      </c>
      <c r="CP9" s="79">
        <v>0.0</v>
      </c>
      <c r="CQ9" s="79" t="s">
        <v>494</v>
      </c>
      <c r="CR9" s="79">
        <v>0.0</v>
      </c>
      <c r="CS9" s="79" t="s">
        <v>495</v>
      </c>
      <c r="CT9" s="79">
        <v>0.0</v>
      </c>
      <c r="CU9" s="79" t="s">
        <v>496</v>
      </c>
      <c r="CV9" s="79">
        <v>0.0</v>
      </c>
      <c r="CW9" s="79"/>
      <c r="CX9" s="79">
        <v>0.0</v>
      </c>
      <c r="CY9" s="79"/>
      <c r="CZ9" s="79">
        <v>0.0</v>
      </c>
      <c r="DA9" s="79"/>
      <c r="DB9" s="79">
        <v>0.0</v>
      </c>
      <c r="DC9" s="79"/>
      <c r="DD9" s="79">
        <v>0.0</v>
      </c>
      <c r="DE9" s="79">
        <v>56700.0</v>
      </c>
      <c r="DF9" s="79">
        <v>52430.0</v>
      </c>
      <c r="DG9" s="79">
        <v>0.0</v>
      </c>
      <c r="DH9" s="79">
        <v>0.0</v>
      </c>
      <c r="DI9" s="79">
        <v>28613.0</v>
      </c>
      <c r="DJ9" s="79" t="s">
        <v>526</v>
      </c>
      <c r="DK9" s="79"/>
      <c r="DL9" s="79" t="s">
        <v>487</v>
      </c>
      <c r="DM9" s="79" t="s">
        <v>527</v>
      </c>
      <c r="DN9" s="79"/>
      <c r="DO9" s="79" t="s">
        <v>528</v>
      </c>
      <c r="DP9" s="79"/>
      <c r="DQ9" s="79"/>
      <c r="DR9" s="79"/>
      <c r="DS9" s="79"/>
      <c r="DT9" s="82"/>
      <c r="DU9" s="79"/>
      <c r="DV9" s="82"/>
      <c r="DW9" s="79"/>
      <c r="DX9" s="79"/>
      <c r="DY9" s="79"/>
      <c r="DZ9" s="79"/>
      <c r="EA9" s="79"/>
      <c r="EB9" s="79"/>
      <c r="EC9" s="79"/>
      <c r="ED9" s="79"/>
      <c r="EE9" s="79"/>
      <c r="EF9" s="82"/>
      <c r="EG9" s="79"/>
      <c r="EH9" s="82"/>
      <c r="EI9" s="79"/>
      <c r="EJ9" s="82"/>
      <c r="EK9" s="79"/>
      <c r="EL9" s="82"/>
      <c r="EM9" s="79"/>
      <c r="EN9" s="79" t="s">
        <v>79</v>
      </c>
      <c r="EO9" s="79"/>
      <c r="EP9" s="80"/>
      <c r="EQ9" s="83"/>
      <c r="ER9" s="83" t="str">
        <f t="shared" si="1"/>
        <v/>
      </c>
      <c r="ES9" s="79"/>
      <c r="ET9" s="79" t="str">
        <f t="shared" si="2"/>
        <v/>
      </c>
      <c r="EU9" s="79"/>
      <c r="EV9" s="79"/>
      <c r="EW9" s="82"/>
      <c r="EX9" s="82"/>
      <c r="EY9" s="82"/>
      <c r="EZ9" s="82"/>
      <c r="FA9" s="82"/>
      <c r="FB9" s="82"/>
    </row>
    <row r="10" ht="15.75" customHeight="1">
      <c r="A10" s="79" t="s">
        <v>529</v>
      </c>
      <c r="B10" s="79" t="s">
        <v>530</v>
      </c>
      <c r="C10" s="79" t="s">
        <v>476</v>
      </c>
      <c r="D10" s="80">
        <v>46083.0</v>
      </c>
      <c r="E10" s="79" t="s">
        <v>531</v>
      </c>
      <c r="F10" s="79" t="s">
        <v>532</v>
      </c>
      <c r="G10" s="79" t="s">
        <v>533</v>
      </c>
      <c r="H10" s="79" t="s">
        <v>534</v>
      </c>
      <c r="I10" s="79"/>
      <c r="J10" s="79" t="s">
        <v>535</v>
      </c>
      <c r="K10" s="79">
        <v>0.0</v>
      </c>
      <c r="L10" s="79"/>
      <c r="M10" s="79" t="s">
        <v>536</v>
      </c>
      <c r="N10" s="79"/>
      <c r="O10" s="79"/>
      <c r="P10" s="79"/>
      <c r="Q10" s="79"/>
      <c r="R10" s="80">
        <v>46160.0</v>
      </c>
      <c r="S10" s="79"/>
      <c r="T10" s="79">
        <v>23228.0</v>
      </c>
      <c r="U10" s="79"/>
      <c r="V10" s="79"/>
      <c r="W10" s="80">
        <v>46074.0</v>
      </c>
      <c r="X10" s="79"/>
      <c r="Y10" s="79"/>
      <c r="Z10" s="79" t="s">
        <v>486</v>
      </c>
      <c r="AA10" s="79" t="s">
        <v>537</v>
      </c>
      <c r="AB10" s="79" t="s">
        <v>486</v>
      </c>
      <c r="AC10" s="79" t="s">
        <v>488</v>
      </c>
      <c r="AD10" s="79">
        <v>259800.0</v>
      </c>
      <c r="AE10" s="79">
        <v>0.0</v>
      </c>
      <c r="AF10" s="79">
        <v>0.0</v>
      </c>
      <c r="AG10" s="79">
        <v>25980.0</v>
      </c>
      <c r="AH10" s="81">
        <v>285780.0</v>
      </c>
      <c r="AI10" s="79"/>
      <c r="AJ10" s="79">
        <v>0.0</v>
      </c>
      <c r="AK10" s="79">
        <v>187440.0</v>
      </c>
      <c r="AL10" s="79">
        <v>0.0</v>
      </c>
      <c r="AM10" s="79">
        <v>0.0</v>
      </c>
      <c r="AN10" s="79">
        <v>18744.0</v>
      </c>
      <c r="AO10" s="79">
        <v>206184.0</v>
      </c>
      <c r="AP10" s="79">
        <v>0.0</v>
      </c>
      <c r="AQ10" s="79">
        <v>72360.0</v>
      </c>
      <c r="AR10" s="79" t="s">
        <v>489</v>
      </c>
      <c r="AS10" s="79">
        <v>0.0</v>
      </c>
      <c r="AT10" s="79" t="s">
        <v>490</v>
      </c>
      <c r="AU10" s="79" t="s">
        <v>491</v>
      </c>
      <c r="AV10" s="79">
        <v>0.0</v>
      </c>
      <c r="AW10" s="79" t="s">
        <v>508</v>
      </c>
      <c r="AX10" s="79">
        <v>0.0</v>
      </c>
      <c r="AY10" s="79"/>
      <c r="AZ10" s="79">
        <v>0.0</v>
      </c>
      <c r="BA10" s="79"/>
      <c r="BB10" s="79">
        <v>0.0</v>
      </c>
      <c r="BC10" s="79"/>
      <c r="BD10" s="79">
        <v>0.0</v>
      </c>
      <c r="BE10" s="79"/>
      <c r="BF10" s="79">
        <v>0.0</v>
      </c>
      <c r="BG10" s="79"/>
      <c r="BH10" s="79">
        <v>0.0</v>
      </c>
      <c r="BI10" s="79" t="s">
        <v>493</v>
      </c>
      <c r="BJ10" s="79">
        <v>0.0</v>
      </c>
      <c r="BK10" s="79" t="s">
        <v>494</v>
      </c>
      <c r="BL10" s="79">
        <v>0.0</v>
      </c>
      <c r="BM10" s="79" t="s">
        <v>495</v>
      </c>
      <c r="BN10" s="79">
        <v>0.0</v>
      </c>
      <c r="BO10" s="79" t="s">
        <v>496</v>
      </c>
      <c r="BP10" s="79">
        <v>0.0</v>
      </c>
      <c r="BQ10" s="79"/>
      <c r="BR10" s="79">
        <v>0.0</v>
      </c>
      <c r="BS10" s="79"/>
      <c r="BT10" s="79">
        <v>0.0</v>
      </c>
      <c r="BU10" s="79"/>
      <c r="BV10" s="79">
        <v>0.0</v>
      </c>
      <c r="BW10" s="79"/>
      <c r="BX10" s="79">
        <v>0.0</v>
      </c>
      <c r="BY10" s="79">
        <v>0.0</v>
      </c>
      <c r="BZ10" s="79" t="s">
        <v>491</v>
      </c>
      <c r="CA10" s="79">
        <v>0.0</v>
      </c>
      <c r="CB10" s="79" t="s">
        <v>490</v>
      </c>
      <c r="CC10" s="79" t="s">
        <v>508</v>
      </c>
      <c r="CD10" s="79">
        <v>0.0</v>
      </c>
      <c r="CE10" s="79"/>
      <c r="CF10" s="79">
        <v>0.0</v>
      </c>
      <c r="CG10" s="79"/>
      <c r="CH10" s="79">
        <v>0.0</v>
      </c>
      <c r="CI10" s="79"/>
      <c r="CJ10" s="79">
        <v>0.0</v>
      </c>
      <c r="CK10" s="79"/>
      <c r="CL10" s="79">
        <v>0.0</v>
      </c>
      <c r="CM10" s="79"/>
      <c r="CN10" s="79">
        <v>0.0</v>
      </c>
      <c r="CO10" s="79" t="s">
        <v>493</v>
      </c>
      <c r="CP10" s="79">
        <v>0.0</v>
      </c>
      <c r="CQ10" s="79" t="s">
        <v>494</v>
      </c>
      <c r="CR10" s="79">
        <v>0.0</v>
      </c>
      <c r="CS10" s="79" t="s">
        <v>495</v>
      </c>
      <c r="CT10" s="79">
        <v>0.0</v>
      </c>
      <c r="CU10" s="79" t="s">
        <v>496</v>
      </c>
      <c r="CV10" s="79">
        <v>0.0</v>
      </c>
      <c r="CW10" s="79"/>
      <c r="CX10" s="79">
        <v>0.0</v>
      </c>
      <c r="CY10" s="79"/>
      <c r="CZ10" s="79">
        <v>0.0</v>
      </c>
      <c r="DA10" s="79"/>
      <c r="DB10" s="79">
        <v>0.0</v>
      </c>
      <c r="DC10" s="79"/>
      <c r="DD10" s="79">
        <v>0.0</v>
      </c>
      <c r="DE10" s="79">
        <v>25500.0</v>
      </c>
      <c r="DF10" s="79">
        <v>234300.0</v>
      </c>
      <c r="DG10" s="79">
        <v>0.0</v>
      </c>
      <c r="DH10" s="79">
        <v>0.0</v>
      </c>
      <c r="DI10" s="79">
        <v>187440.0</v>
      </c>
      <c r="DJ10" s="79" t="s">
        <v>538</v>
      </c>
      <c r="DK10" s="79" t="s">
        <v>486</v>
      </c>
      <c r="DL10" s="79" t="s">
        <v>537</v>
      </c>
      <c r="DM10" s="79" t="s">
        <v>539</v>
      </c>
      <c r="DN10" s="79" t="s">
        <v>540</v>
      </c>
      <c r="DO10" s="79" t="s">
        <v>541</v>
      </c>
      <c r="DP10" s="79"/>
      <c r="DQ10" s="79"/>
      <c r="DR10" s="79"/>
      <c r="DS10" s="79"/>
      <c r="DT10" s="82"/>
      <c r="DU10" s="79"/>
      <c r="DV10" s="82"/>
      <c r="DW10" s="79"/>
      <c r="DX10" s="79"/>
      <c r="DY10" s="79"/>
      <c r="DZ10" s="79"/>
      <c r="EA10" s="79"/>
      <c r="EB10" s="79"/>
      <c r="EC10" s="79"/>
      <c r="ED10" s="82"/>
      <c r="EE10" s="79"/>
      <c r="EF10" s="82"/>
      <c r="EG10" s="79"/>
      <c r="EH10" s="82"/>
      <c r="EI10" s="79"/>
      <c r="EJ10" s="82"/>
      <c r="EK10" s="79"/>
      <c r="EL10" s="82"/>
      <c r="EM10" s="79"/>
      <c r="EN10" s="79" t="s">
        <v>79</v>
      </c>
      <c r="EO10" s="79"/>
      <c r="EP10" s="80"/>
      <c r="EQ10" s="83"/>
      <c r="ER10" s="83" t="str">
        <f t="shared" si="1"/>
        <v/>
      </c>
      <c r="ES10" s="82"/>
      <c r="ET10" s="79" t="str">
        <f t="shared" si="2"/>
        <v/>
      </c>
      <c r="EU10" s="79"/>
      <c r="EV10" s="79"/>
      <c r="EW10" s="82"/>
      <c r="EX10" s="82"/>
      <c r="EY10" s="82"/>
      <c r="EZ10" s="82"/>
      <c r="FA10" s="82"/>
      <c r="FB10" s="82"/>
    </row>
    <row r="11" ht="15.75" customHeight="1">
      <c r="A11" s="79" t="s">
        <v>542</v>
      </c>
      <c r="B11" s="79" t="s">
        <v>543</v>
      </c>
      <c r="C11" s="79" t="s">
        <v>476</v>
      </c>
      <c r="D11" s="80">
        <v>46083.0</v>
      </c>
      <c r="E11" s="79" t="s">
        <v>531</v>
      </c>
      <c r="F11" s="79" t="s">
        <v>532</v>
      </c>
      <c r="G11" s="79" t="s">
        <v>533</v>
      </c>
      <c r="H11" s="79" t="s">
        <v>534</v>
      </c>
      <c r="I11" s="79"/>
      <c r="J11" s="79" t="s">
        <v>535</v>
      </c>
      <c r="K11" s="79">
        <v>0.0</v>
      </c>
      <c r="L11" s="79"/>
      <c r="M11" s="79" t="s">
        <v>536</v>
      </c>
      <c r="N11" s="79"/>
      <c r="O11" s="79"/>
      <c r="P11" s="79"/>
      <c r="Q11" s="79"/>
      <c r="R11" s="80">
        <v>46160.0</v>
      </c>
      <c r="S11" s="79"/>
      <c r="T11" s="79">
        <v>23228.0</v>
      </c>
      <c r="U11" s="79"/>
      <c r="V11" s="79"/>
      <c r="W11" s="80">
        <v>46074.0</v>
      </c>
      <c r="X11" s="79"/>
      <c r="Y11" s="79"/>
      <c r="Z11" s="79" t="s">
        <v>486</v>
      </c>
      <c r="AA11" s="79" t="s">
        <v>537</v>
      </c>
      <c r="AB11" s="79" t="s">
        <v>486</v>
      </c>
      <c r="AC11" s="79" t="s">
        <v>488</v>
      </c>
      <c r="AD11" s="79">
        <v>72727.0</v>
      </c>
      <c r="AE11" s="79">
        <v>0.0</v>
      </c>
      <c r="AF11" s="79">
        <v>0.0</v>
      </c>
      <c r="AG11" s="79">
        <v>7273.0</v>
      </c>
      <c r="AH11" s="81">
        <v>80000.0</v>
      </c>
      <c r="AI11" s="79"/>
      <c r="AJ11" s="79">
        <v>0.0</v>
      </c>
      <c r="AK11" s="79">
        <v>0.0</v>
      </c>
      <c r="AL11" s="79">
        <v>0.0</v>
      </c>
      <c r="AM11" s="79">
        <v>0.0</v>
      </c>
      <c r="AN11" s="79">
        <v>0.0</v>
      </c>
      <c r="AO11" s="79">
        <v>0.0</v>
      </c>
      <c r="AP11" s="79">
        <v>0.0</v>
      </c>
      <c r="AQ11" s="79">
        <v>72727.0</v>
      </c>
      <c r="AR11" s="79" t="s">
        <v>489</v>
      </c>
      <c r="AS11" s="79">
        <v>0.0</v>
      </c>
      <c r="AT11" s="79" t="s">
        <v>490</v>
      </c>
      <c r="AU11" s="79" t="s">
        <v>491</v>
      </c>
      <c r="AV11" s="79">
        <v>0.0</v>
      </c>
      <c r="AW11" s="79" t="s">
        <v>508</v>
      </c>
      <c r="AX11" s="79">
        <v>0.0</v>
      </c>
      <c r="AY11" s="79"/>
      <c r="AZ11" s="79">
        <v>0.0</v>
      </c>
      <c r="BA11" s="79"/>
      <c r="BB11" s="79">
        <v>0.0</v>
      </c>
      <c r="BC11" s="79"/>
      <c r="BD11" s="79">
        <v>0.0</v>
      </c>
      <c r="BE11" s="79"/>
      <c r="BF11" s="79">
        <v>0.0</v>
      </c>
      <c r="BG11" s="79"/>
      <c r="BH11" s="79">
        <v>0.0</v>
      </c>
      <c r="BI11" s="79" t="s">
        <v>493</v>
      </c>
      <c r="BJ11" s="79">
        <v>0.0</v>
      </c>
      <c r="BK11" s="79" t="s">
        <v>494</v>
      </c>
      <c r="BL11" s="79">
        <v>0.0</v>
      </c>
      <c r="BM11" s="79" t="s">
        <v>495</v>
      </c>
      <c r="BN11" s="79">
        <v>0.0</v>
      </c>
      <c r="BO11" s="79" t="s">
        <v>496</v>
      </c>
      <c r="BP11" s="79">
        <v>0.0</v>
      </c>
      <c r="BQ11" s="79"/>
      <c r="BR11" s="79">
        <v>0.0</v>
      </c>
      <c r="BS11" s="79"/>
      <c r="BT11" s="79">
        <v>0.0</v>
      </c>
      <c r="BU11" s="79"/>
      <c r="BV11" s="79">
        <v>0.0</v>
      </c>
      <c r="BW11" s="79"/>
      <c r="BX11" s="79">
        <v>0.0</v>
      </c>
      <c r="BY11" s="79">
        <v>0.0</v>
      </c>
      <c r="BZ11" s="79" t="s">
        <v>491</v>
      </c>
      <c r="CA11" s="79">
        <v>0.0</v>
      </c>
      <c r="CB11" s="79" t="s">
        <v>490</v>
      </c>
      <c r="CC11" s="79" t="s">
        <v>508</v>
      </c>
      <c r="CD11" s="79">
        <v>0.0</v>
      </c>
      <c r="CE11" s="79"/>
      <c r="CF11" s="79">
        <v>0.0</v>
      </c>
      <c r="CG11" s="79"/>
      <c r="CH11" s="79">
        <v>0.0</v>
      </c>
      <c r="CI11" s="79"/>
      <c r="CJ11" s="79">
        <v>0.0</v>
      </c>
      <c r="CK11" s="79"/>
      <c r="CL11" s="79">
        <v>0.0</v>
      </c>
      <c r="CM11" s="79"/>
      <c r="CN11" s="79">
        <v>0.0</v>
      </c>
      <c r="CO11" s="79" t="s">
        <v>493</v>
      </c>
      <c r="CP11" s="79">
        <v>0.0</v>
      </c>
      <c r="CQ11" s="79" t="s">
        <v>494</v>
      </c>
      <c r="CR11" s="79">
        <v>0.0</v>
      </c>
      <c r="CS11" s="79" t="s">
        <v>495</v>
      </c>
      <c r="CT11" s="79">
        <v>0.0</v>
      </c>
      <c r="CU11" s="79" t="s">
        <v>496</v>
      </c>
      <c r="CV11" s="79">
        <v>0.0</v>
      </c>
      <c r="CW11" s="79"/>
      <c r="CX11" s="79">
        <v>0.0</v>
      </c>
      <c r="CY11" s="79"/>
      <c r="CZ11" s="79">
        <v>0.0</v>
      </c>
      <c r="DA11" s="79"/>
      <c r="DB11" s="79">
        <v>0.0</v>
      </c>
      <c r="DC11" s="79"/>
      <c r="DD11" s="79">
        <v>0.0</v>
      </c>
      <c r="DE11" s="79">
        <v>0.0</v>
      </c>
      <c r="DF11" s="79">
        <v>72727.0</v>
      </c>
      <c r="DG11" s="79">
        <v>0.0</v>
      </c>
      <c r="DH11" s="79">
        <v>0.0</v>
      </c>
      <c r="DI11" s="79">
        <v>0.0</v>
      </c>
      <c r="DJ11" s="79" t="s">
        <v>538</v>
      </c>
      <c r="DK11" s="79" t="s">
        <v>486</v>
      </c>
      <c r="DL11" s="79" t="s">
        <v>537</v>
      </c>
      <c r="DM11" s="79" t="s">
        <v>539</v>
      </c>
      <c r="DN11" s="79" t="s">
        <v>540</v>
      </c>
      <c r="DO11" s="79" t="s">
        <v>541</v>
      </c>
      <c r="DP11" s="79"/>
      <c r="DQ11" s="79"/>
      <c r="DR11" s="79"/>
      <c r="DS11" s="79"/>
      <c r="DT11" s="82"/>
      <c r="DU11" s="79"/>
      <c r="DV11" s="82"/>
      <c r="DW11" s="79"/>
      <c r="DX11" s="79"/>
      <c r="DY11" s="79"/>
      <c r="DZ11" s="79"/>
      <c r="EA11" s="79"/>
      <c r="EB11" s="79"/>
      <c r="EC11" s="79"/>
      <c r="ED11" s="79"/>
      <c r="EE11" s="79"/>
      <c r="EF11" s="82"/>
      <c r="EG11" s="79"/>
      <c r="EH11" s="82"/>
      <c r="EI11" s="79"/>
      <c r="EJ11" s="82"/>
      <c r="EK11" s="79"/>
      <c r="EL11" s="82"/>
      <c r="EM11" s="79"/>
      <c r="EN11" s="79" t="s">
        <v>79</v>
      </c>
      <c r="EO11" s="79"/>
      <c r="EP11" s="80"/>
      <c r="EQ11" s="83"/>
      <c r="ER11" s="83" t="str">
        <f t="shared" si="1"/>
        <v/>
      </c>
      <c r="ES11" s="82"/>
      <c r="ET11" s="79" t="str">
        <f t="shared" si="2"/>
        <v/>
      </c>
      <c r="EU11" s="79"/>
      <c r="EV11" s="79"/>
      <c r="EW11" s="82"/>
      <c r="EX11" s="82"/>
      <c r="EY11" s="82"/>
      <c r="EZ11" s="82"/>
      <c r="FA11" s="82"/>
      <c r="FB11" s="82"/>
    </row>
    <row r="12" ht="15.75" customHeight="1">
      <c r="A12" s="79" t="s">
        <v>544</v>
      </c>
      <c r="B12" s="79" t="s">
        <v>475</v>
      </c>
      <c r="C12" s="79" t="s">
        <v>476</v>
      </c>
      <c r="D12" s="80">
        <v>46083.0</v>
      </c>
      <c r="E12" s="79" t="s">
        <v>545</v>
      </c>
      <c r="F12" s="79"/>
      <c r="G12" s="79" t="s">
        <v>517</v>
      </c>
      <c r="H12" s="79" t="s">
        <v>546</v>
      </c>
      <c r="I12" s="79" t="s">
        <v>547</v>
      </c>
      <c r="J12" s="79" t="s">
        <v>548</v>
      </c>
      <c r="K12" s="79">
        <v>660.0</v>
      </c>
      <c r="L12" s="79" t="s">
        <v>549</v>
      </c>
      <c r="M12" s="79" t="s">
        <v>550</v>
      </c>
      <c r="N12" s="79"/>
      <c r="O12" s="79" t="s">
        <v>551</v>
      </c>
      <c r="P12" s="79" t="s">
        <v>552</v>
      </c>
      <c r="Q12" s="79" t="s">
        <v>553</v>
      </c>
      <c r="R12" s="80">
        <v>46722.0</v>
      </c>
      <c r="S12" s="79"/>
      <c r="T12" s="79">
        <v>66509.0</v>
      </c>
      <c r="U12" s="79"/>
      <c r="V12" s="79"/>
      <c r="W12" s="80">
        <v>46083.0</v>
      </c>
      <c r="X12" s="79"/>
      <c r="Y12" s="79"/>
      <c r="Z12" s="79" t="s">
        <v>554</v>
      </c>
      <c r="AA12" s="79" t="s">
        <v>555</v>
      </c>
      <c r="AB12" s="79" t="s">
        <v>554</v>
      </c>
      <c r="AC12" s="79" t="s">
        <v>488</v>
      </c>
      <c r="AD12" s="79">
        <v>4400.0</v>
      </c>
      <c r="AE12" s="79">
        <v>0.0</v>
      </c>
      <c r="AF12" s="79">
        <v>0.0</v>
      </c>
      <c r="AG12" s="79">
        <v>440.0</v>
      </c>
      <c r="AH12" s="81">
        <v>4840.0</v>
      </c>
      <c r="AI12" s="79"/>
      <c r="AJ12" s="79">
        <v>0.0</v>
      </c>
      <c r="AK12" s="79">
        <v>1422.0</v>
      </c>
      <c r="AL12" s="79">
        <v>0.0</v>
      </c>
      <c r="AM12" s="79">
        <v>0.0</v>
      </c>
      <c r="AN12" s="79">
        <v>142.0</v>
      </c>
      <c r="AO12" s="79">
        <v>1564.0</v>
      </c>
      <c r="AP12" s="79">
        <v>0.0</v>
      </c>
      <c r="AQ12" s="79">
        <v>2978.0</v>
      </c>
      <c r="AR12" s="79" t="s">
        <v>556</v>
      </c>
      <c r="AS12" s="79">
        <v>0.0</v>
      </c>
      <c r="AT12" s="79" t="s">
        <v>507</v>
      </c>
      <c r="AU12" s="79" t="s">
        <v>491</v>
      </c>
      <c r="AV12" s="79">
        <v>0.0</v>
      </c>
      <c r="AW12" s="79" t="s">
        <v>508</v>
      </c>
      <c r="AX12" s="79">
        <v>0.0</v>
      </c>
      <c r="AY12" s="79"/>
      <c r="AZ12" s="79">
        <v>0.0</v>
      </c>
      <c r="BA12" s="79"/>
      <c r="BB12" s="79">
        <v>0.0</v>
      </c>
      <c r="BC12" s="79"/>
      <c r="BD12" s="79">
        <v>0.0</v>
      </c>
      <c r="BE12" s="79"/>
      <c r="BF12" s="79">
        <v>0.0</v>
      </c>
      <c r="BG12" s="79"/>
      <c r="BH12" s="79">
        <v>0.0</v>
      </c>
      <c r="BI12" s="79" t="s">
        <v>493</v>
      </c>
      <c r="BJ12" s="79">
        <v>0.0</v>
      </c>
      <c r="BK12" s="79" t="s">
        <v>494</v>
      </c>
      <c r="BL12" s="79">
        <v>0.0</v>
      </c>
      <c r="BM12" s="79" t="s">
        <v>495</v>
      </c>
      <c r="BN12" s="79">
        <v>0.0</v>
      </c>
      <c r="BO12" s="79" t="s">
        <v>496</v>
      </c>
      <c r="BP12" s="79">
        <v>0.0</v>
      </c>
      <c r="BQ12" s="79"/>
      <c r="BR12" s="79">
        <v>0.0</v>
      </c>
      <c r="BS12" s="79"/>
      <c r="BT12" s="79">
        <v>0.0</v>
      </c>
      <c r="BU12" s="79"/>
      <c r="BV12" s="79">
        <v>0.0</v>
      </c>
      <c r="BW12" s="79"/>
      <c r="BX12" s="79">
        <v>0.0</v>
      </c>
      <c r="BY12" s="79">
        <v>0.0</v>
      </c>
      <c r="BZ12" s="79" t="s">
        <v>491</v>
      </c>
      <c r="CA12" s="79">
        <v>0.0</v>
      </c>
      <c r="CB12" s="79" t="s">
        <v>507</v>
      </c>
      <c r="CC12" s="79" t="s">
        <v>508</v>
      </c>
      <c r="CD12" s="79">
        <v>0.0</v>
      </c>
      <c r="CE12" s="79"/>
      <c r="CF12" s="79">
        <v>0.0</v>
      </c>
      <c r="CG12" s="79"/>
      <c r="CH12" s="79">
        <v>0.0</v>
      </c>
      <c r="CI12" s="79"/>
      <c r="CJ12" s="79">
        <v>0.0</v>
      </c>
      <c r="CK12" s="79"/>
      <c r="CL12" s="79">
        <v>0.0</v>
      </c>
      <c r="CM12" s="79"/>
      <c r="CN12" s="79">
        <v>0.0</v>
      </c>
      <c r="CO12" s="79" t="s">
        <v>493</v>
      </c>
      <c r="CP12" s="79">
        <v>0.0</v>
      </c>
      <c r="CQ12" s="79" t="s">
        <v>494</v>
      </c>
      <c r="CR12" s="79">
        <v>0.0</v>
      </c>
      <c r="CS12" s="79" t="s">
        <v>495</v>
      </c>
      <c r="CT12" s="79">
        <v>0.0</v>
      </c>
      <c r="CU12" s="79" t="s">
        <v>496</v>
      </c>
      <c r="CV12" s="79">
        <v>0.0</v>
      </c>
      <c r="CW12" s="79"/>
      <c r="CX12" s="79">
        <v>0.0</v>
      </c>
      <c r="CY12" s="79"/>
      <c r="CZ12" s="79">
        <v>0.0</v>
      </c>
      <c r="DA12" s="79"/>
      <c r="DB12" s="79">
        <v>0.0</v>
      </c>
      <c r="DC12" s="79"/>
      <c r="DD12" s="79">
        <v>0.0</v>
      </c>
      <c r="DE12" s="79">
        <v>2000.0</v>
      </c>
      <c r="DF12" s="79">
        <v>2400.0</v>
      </c>
      <c r="DG12" s="79">
        <v>0.0</v>
      </c>
      <c r="DH12" s="79">
        <v>0.0</v>
      </c>
      <c r="DI12" s="79">
        <v>1422.0</v>
      </c>
      <c r="DJ12" s="79" t="s">
        <v>325</v>
      </c>
      <c r="DK12" s="79" t="s">
        <v>557</v>
      </c>
      <c r="DL12" s="79" t="s">
        <v>555</v>
      </c>
      <c r="DM12" s="79" t="s">
        <v>558</v>
      </c>
      <c r="DN12" s="79" t="s">
        <v>559</v>
      </c>
      <c r="DO12" s="79"/>
      <c r="DP12" s="79"/>
      <c r="DQ12" s="79"/>
      <c r="DR12" s="79"/>
      <c r="DS12" s="79"/>
      <c r="DT12" s="82"/>
      <c r="DU12" s="79"/>
      <c r="DV12" s="82"/>
      <c r="DW12" s="79"/>
      <c r="DX12" s="79"/>
      <c r="DY12" s="79"/>
      <c r="DZ12" s="79"/>
      <c r="EA12" s="79"/>
      <c r="EB12" s="79"/>
      <c r="EC12" s="79"/>
      <c r="ED12" s="79"/>
      <c r="EE12" s="79"/>
      <c r="EF12" s="82"/>
      <c r="EG12" s="79"/>
      <c r="EH12" s="82"/>
      <c r="EI12" s="79"/>
      <c r="EJ12" s="82"/>
      <c r="EK12" s="79"/>
      <c r="EL12" s="82"/>
      <c r="EM12" s="79"/>
      <c r="EN12" s="79" t="s">
        <v>79</v>
      </c>
      <c r="EO12" s="79"/>
      <c r="EP12" s="80"/>
      <c r="EQ12" s="83"/>
      <c r="ER12" s="83" t="str">
        <f t="shared" si="1"/>
        <v/>
      </c>
      <c r="ES12" s="82"/>
      <c r="ET12" s="79" t="str">
        <f t="shared" si="2"/>
        <v/>
      </c>
      <c r="EU12" s="79"/>
      <c r="EV12" s="79"/>
      <c r="EW12" s="82"/>
      <c r="EX12" s="82"/>
      <c r="EY12" s="82"/>
      <c r="EZ12" s="82"/>
      <c r="FA12" s="82"/>
      <c r="FB12" s="82" t="s">
        <v>560</v>
      </c>
    </row>
    <row r="13" ht="15.75" customHeight="1">
      <c r="A13" s="79" t="s">
        <v>561</v>
      </c>
      <c r="B13" s="79" t="s">
        <v>475</v>
      </c>
      <c r="C13" s="79" t="s">
        <v>476</v>
      </c>
      <c r="D13" s="80">
        <v>46086.0</v>
      </c>
      <c r="E13" s="79" t="s">
        <v>545</v>
      </c>
      <c r="F13" s="79" t="s">
        <v>562</v>
      </c>
      <c r="G13" s="79" t="s">
        <v>563</v>
      </c>
      <c r="H13" s="79" t="s">
        <v>546</v>
      </c>
      <c r="I13" s="79"/>
      <c r="J13" s="79" t="s">
        <v>564</v>
      </c>
      <c r="K13" s="79">
        <v>0.0</v>
      </c>
      <c r="L13" s="79"/>
      <c r="M13" s="79" t="s">
        <v>565</v>
      </c>
      <c r="N13" s="79"/>
      <c r="O13" s="79"/>
      <c r="P13" s="79"/>
      <c r="Q13" s="79"/>
      <c r="R13" s="80">
        <v>46364.0</v>
      </c>
      <c r="S13" s="79"/>
      <c r="T13" s="79">
        <v>39499.0</v>
      </c>
      <c r="U13" s="79"/>
      <c r="V13" s="79"/>
      <c r="W13" s="80">
        <v>46086.0</v>
      </c>
      <c r="X13" s="79"/>
      <c r="Y13" s="80">
        <v>46086.0</v>
      </c>
      <c r="Z13" s="79" t="s">
        <v>557</v>
      </c>
      <c r="AA13" s="79" t="s">
        <v>555</v>
      </c>
      <c r="AB13" s="79" t="s">
        <v>554</v>
      </c>
      <c r="AC13" s="79" t="s">
        <v>488</v>
      </c>
      <c r="AD13" s="79">
        <v>4400.0</v>
      </c>
      <c r="AE13" s="79">
        <v>0.0</v>
      </c>
      <c r="AF13" s="79">
        <v>0.0</v>
      </c>
      <c r="AG13" s="79">
        <v>440.0</v>
      </c>
      <c r="AH13" s="81">
        <v>4840.0</v>
      </c>
      <c r="AI13" s="79"/>
      <c r="AJ13" s="79">
        <v>0.0</v>
      </c>
      <c r="AK13" s="79">
        <v>1422.0</v>
      </c>
      <c r="AL13" s="79">
        <v>0.0</v>
      </c>
      <c r="AM13" s="79">
        <v>0.0</v>
      </c>
      <c r="AN13" s="79">
        <v>142.0</v>
      </c>
      <c r="AO13" s="79">
        <v>1564.0</v>
      </c>
      <c r="AP13" s="79">
        <v>0.0</v>
      </c>
      <c r="AQ13" s="79">
        <v>2978.0</v>
      </c>
      <c r="AR13" s="79" t="s">
        <v>556</v>
      </c>
      <c r="AS13" s="79">
        <v>0.0</v>
      </c>
      <c r="AT13" s="79" t="s">
        <v>490</v>
      </c>
      <c r="AU13" s="79" t="s">
        <v>491</v>
      </c>
      <c r="AV13" s="79">
        <v>0.0</v>
      </c>
      <c r="AW13" s="79" t="s">
        <v>508</v>
      </c>
      <c r="AX13" s="79">
        <v>0.0</v>
      </c>
      <c r="AY13" s="79"/>
      <c r="AZ13" s="79">
        <v>0.0</v>
      </c>
      <c r="BA13" s="79"/>
      <c r="BB13" s="79">
        <v>0.0</v>
      </c>
      <c r="BC13" s="79"/>
      <c r="BD13" s="79">
        <v>0.0</v>
      </c>
      <c r="BE13" s="79"/>
      <c r="BF13" s="79">
        <v>0.0</v>
      </c>
      <c r="BG13" s="79"/>
      <c r="BH13" s="79">
        <v>0.0</v>
      </c>
      <c r="BI13" s="79" t="s">
        <v>493</v>
      </c>
      <c r="BJ13" s="79">
        <v>0.0</v>
      </c>
      <c r="BK13" s="79" t="s">
        <v>494</v>
      </c>
      <c r="BL13" s="79">
        <v>0.0</v>
      </c>
      <c r="BM13" s="79" t="s">
        <v>495</v>
      </c>
      <c r="BN13" s="79">
        <v>0.0</v>
      </c>
      <c r="BO13" s="79" t="s">
        <v>496</v>
      </c>
      <c r="BP13" s="79">
        <v>0.0</v>
      </c>
      <c r="BQ13" s="79"/>
      <c r="BR13" s="79">
        <v>0.0</v>
      </c>
      <c r="BS13" s="79"/>
      <c r="BT13" s="79">
        <v>0.0</v>
      </c>
      <c r="BU13" s="79"/>
      <c r="BV13" s="79">
        <v>0.0</v>
      </c>
      <c r="BW13" s="79"/>
      <c r="BX13" s="79">
        <v>0.0</v>
      </c>
      <c r="BY13" s="79">
        <v>0.0</v>
      </c>
      <c r="BZ13" s="79" t="s">
        <v>491</v>
      </c>
      <c r="CA13" s="79">
        <v>0.0</v>
      </c>
      <c r="CB13" s="79" t="s">
        <v>490</v>
      </c>
      <c r="CC13" s="79" t="s">
        <v>508</v>
      </c>
      <c r="CD13" s="79">
        <v>0.0</v>
      </c>
      <c r="CE13" s="79"/>
      <c r="CF13" s="79">
        <v>0.0</v>
      </c>
      <c r="CG13" s="79"/>
      <c r="CH13" s="79">
        <v>0.0</v>
      </c>
      <c r="CI13" s="79"/>
      <c r="CJ13" s="79">
        <v>0.0</v>
      </c>
      <c r="CK13" s="79"/>
      <c r="CL13" s="79">
        <v>0.0</v>
      </c>
      <c r="CM13" s="79"/>
      <c r="CN13" s="79">
        <v>0.0</v>
      </c>
      <c r="CO13" s="79" t="s">
        <v>493</v>
      </c>
      <c r="CP13" s="79">
        <v>0.0</v>
      </c>
      <c r="CQ13" s="79" t="s">
        <v>494</v>
      </c>
      <c r="CR13" s="79">
        <v>0.0</v>
      </c>
      <c r="CS13" s="79" t="s">
        <v>495</v>
      </c>
      <c r="CT13" s="79">
        <v>0.0</v>
      </c>
      <c r="CU13" s="79" t="s">
        <v>496</v>
      </c>
      <c r="CV13" s="79">
        <v>0.0</v>
      </c>
      <c r="CW13" s="79"/>
      <c r="CX13" s="79">
        <v>0.0</v>
      </c>
      <c r="CY13" s="79"/>
      <c r="CZ13" s="79">
        <v>0.0</v>
      </c>
      <c r="DA13" s="79"/>
      <c r="DB13" s="79">
        <v>0.0</v>
      </c>
      <c r="DC13" s="79"/>
      <c r="DD13" s="79">
        <v>0.0</v>
      </c>
      <c r="DE13" s="79">
        <v>2000.0</v>
      </c>
      <c r="DF13" s="79">
        <v>2400.0</v>
      </c>
      <c r="DG13" s="79">
        <v>0.0</v>
      </c>
      <c r="DH13" s="79">
        <v>0.0</v>
      </c>
      <c r="DI13" s="79">
        <v>1422.0</v>
      </c>
      <c r="DJ13" s="79" t="s">
        <v>325</v>
      </c>
      <c r="DK13" s="79" t="s">
        <v>557</v>
      </c>
      <c r="DL13" s="79" t="s">
        <v>555</v>
      </c>
      <c r="DM13" s="79" t="s">
        <v>558</v>
      </c>
      <c r="DN13" s="79" t="s">
        <v>559</v>
      </c>
      <c r="DO13" s="79"/>
      <c r="DP13" s="79"/>
      <c r="DQ13" s="79"/>
      <c r="DR13" s="79"/>
      <c r="DS13" s="79"/>
      <c r="DT13" s="82"/>
      <c r="DU13" s="79"/>
      <c r="DV13" s="82"/>
      <c r="DW13" s="79"/>
      <c r="DX13" s="79"/>
      <c r="DY13" s="79"/>
      <c r="DZ13" s="79"/>
      <c r="EA13" s="79"/>
      <c r="EB13" s="79"/>
      <c r="EC13" s="79"/>
      <c r="ED13" s="79"/>
      <c r="EE13" s="79"/>
      <c r="EF13" s="82"/>
      <c r="EG13" s="79"/>
      <c r="EH13" s="82"/>
      <c r="EI13" s="79"/>
      <c r="EJ13" s="82"/>
      <c r="EK13" s="79"/>
      <c r="EL13" s="82"/>
      <c r="EM13" s="79"/>
      <c r="EN13" s="79" t="s">
        <v>79</v>
      </c>
      <c r="EO13" s="79"/>
      <c r="EP13" s="80"/>
      <c r="EQ13" s="83"/>
      <c r="ER13" s="83" t="str">
        <f t="shared" si="1"/>
        <v/>
      </c>
      <c r="ES13" s="79"/>
      <c r="ET13" s="79" t="str">
        <f t="shared" si="2"/>
        <v/>
      </c>
      <c r="EU13" s="79"/>
      <c r="EV13" s="79"/>
      <c r="EW13" s="82"/>
      <c r="EX13" s="82"/>
      <c r="EY13" s="82"/>
      <c r="EZ13" s="82"/>
      <c r="FA13" s="82"/>
      <c r="FB13" s="82" t="s">
        <v>560</v>
      </c>
    </row>
    <row r="14" ht="15.75" customHeight="1">
      <c r="A14" s="79" t="s">
        <v>566</v>
      </c>
      <c r="B14" s="79" t="s">
        <v>515</v>
      </c>
      <c r="C14" s="79" t="s">
        <v>476</v>
      </c>
      <c r="D14" s="80">
        <v>46086.0</v>
      </c>
      <c r="E14" s="79" t="s">
        <v>567</v>
      </c>
      <c r="F14" s="79" t="s">
        <v>568</v>
      </c>
      <c r="G14" s="79" t="s">
        <v>569</v>
      </c>
      <c r="H14" s="79" t="s">
        <v>479</v>
      </c>
      <c r="I14" s="79"/>
      <c r="J14" s="79" t="s">
        <v>570</v>
      </c>
      <c r="K14" s="79">
        <v>0.0</v>
      </c>
      <c r="L14" s="79"/>
      <c r="M14" s="79" t="s">
        <v>571</v>
      </c>
      <c r="N14" s="79" t="s">
        <v>572</v>
      </c>
      <c r="O14" s="79" t="s">
        <v>573</v>
      </c>
      <c r="P14" s="79"/>
      <c r="Q14" s="79" t="s">
        <v>574</v>
      </c>
      <c r="R14" s="80">
        <v>46837.0</v>
      </c>
      <c r="S14" s="79"/>
      <c r="T14" s="79">
        <v>11964.0</v>
      </c>
      <c r="U14" s="79"/>
      <c r="V14" s="79"/>
      <c r="W14" s="80">
        <v>46086.0</v>
      </c>
      <c r="X14" s="79"/>
      <c r="Y14" s="80">
        <v>46086.0</v>
      </c>
      <c r="Z14" s="79" t="s">
        <v>486</v>
      </c>
      <c r="AA14" s="79" t="s">
        <v>555</v>
      </c>
      <c r="AB14" s="79" t="s">
        <v>486</v>
      </c>
      <c r="AC14" s="79" t="s">
        <v>488</v>
      </c>
      <c r="AD14" s="79">
        <v>19235.0</v>
      </c>
      <c r="AE14" s="79">
        <v>0.0</v>
      </c>
      <c r="AF14" s="79">
        <v>0.0</v>
      </c>
      <c r="AG14" s="79">
        <v>1924.0</v>
      </c>
      <c r="AH14" s="81">
        <v>21159.0</v>
      </c>
      <c r="AI14" s="79"/>
      <c r="AJ14" s="79">
        <v>0.0</v>
      </c>
      <c r="AK14" s="79">
        <v>1300.0</v>
      </c>
      <c r="AL14" s="79">
        <v>0.0</v>
      </c>
      <c r="AM14" s="79">
        <v>0.0</v>
      </c>
      <c r="AN14" s="79">
        <v>130.0</v>
      </c>
      <c r="AO14" s="79">
        <v>1430.0</v>
      </c>
      <c r="AP14" s="79">
        <v>0.0</v>
      </c>
      <c r="AQ14" s="79">
        <v>17935.0</v>
      </c>
      <c r="AR14" s="79" t="s">
        <v>489</v>
      </c>
      <c r="AS14" s="79">
        <v>0.0</v>
      </c>
      <c r="AT14" s="79" t="s">
        <v>490</v>
      </c>
      <c r="AU14" s="79" t="s">
        <v>491</v>
      </c>
      <c r="AV14" s="79">
        <v>0.0</v>
      </c>
      <c r="AW14" s="79" t="s">
        <v>508</v>
      </c>
      <c r="AX14" s="79">
        <v>0.0</v>
      </c>
      <c r="AY14" s="79"/>
      <c r="AZ14" s="79">
        <v>0.0</v>
      </c>
      <c r="BA14" s="79"/>
      <c r="BB14" s="79">
        <v>0.0</v>
      </c>
      <c r="BC14" s="79"/>
      <c r="BD14" s="79">
        <v>0.0</v>
      </c>
      <c r="BE14" s="79"/>
      <c r="BF14" s="79">
        <v>0.0</v>
      </c>
      <c r="BG14" s="79"/>
      <c r="BH14" s="79">
        <v>0.0</v>
      </c>
      <c r="BI14" s="79" t="s">
        <v>493</v>
      </c>
      <c r="BJ14" s="79">
        <v>0.0</v>
      </c>
      <c r="BK14" s="79" t="s">
        <v>494</v>
      </c>
      <c r="BL14" s="79">
        <v>0.0</v>
      </c>
      <c r="BM14" s="79" t="s">
        <v>495</v>
      </c>
      <c r="BN14" s="79">
        <v>0.0</v>
      </c>
      <c r="BO14" s="79" t="s">
        <v>496</v>
      </c>
      <c r="BP14" s="79">
        <v>0.0</v>
      </c>
      <c r="BQ14" s="79"/>
      <c r="BR14" s="79">
        <v>0.0</v>
      </c>
      <c r="BS14" s="79"/>
      <c r="BT14" s="79">
        <v>0.0</v>
      </c>
      <c r="BU14" s="79"/>
      <c r="BV14" s="79">
        <v>0.0</v>
      </c>
      <c r="BW14" s="79"/>
      <c r="BX14" s="79">
        <v>0.0</v>
      </c>
      <c r="BY14" s="79">
        <v>0.0</v>
      </c>
      <c r="BZ14" s="79" t="s">
        <v>491</v>
      </c>
      <c r="CA14" s="79">
        <v>0.0</v>
      </c>
      <c r="CB14" s="79" t="s">
        <v>490</v>
      </c>
      <c r="CC14" s="79" t="s">
        <v>508</v>
      </c>
      <c r="CD14" s="79">
        <v>0.0</v>
      </c>
      <c r="CE14" s="79"/>
      <c r="CF14" s="79">
        <v>0.0</v>
      </c>
      <c r="CG14" s="79"/>
      <c r="CH14" s="79">
        <v>0.0</v>
      </c>
      <c r="CI14" s="79"/>
      <c r="CJ14" s="79">
        <v>0.0</v>
      </c>
      <c r="CK14" s="79"/>
      <c r="CL14" s="79">
        <v>0.0</v>
      </c>
      <c r="CM14" s="79"/>
      <c r="CN14" s="79">
        <v>0.0</v>
      </c>
      <c r="CO14" s="79" t="s">
        <v>493</v>
      </c>
      <c r="CP14" s="79">
        <v>0.0</v>
      </c>
      <c r="CQ14" s="79" t="s">
        <v>494</v>
      </c>
      <c r="CR14" s="79">
        <v>0.0</v>
      </c>
      <c r="CS14" s="79" t="s">
        <v>495</v>
      </c>
      <c r="CT14" s="79">
        <v>0.0</v>
      </c>
      <c r="CU14" s="79" t="s">
        <v>496</v>
      </c>
      <c r="CV14" s="79">
        <v>0.0</v>
      </c>
      <c r="CW14" s="79"/>
      <c r="CX14" s="79">
        <v>0.0</v>
      </c>
      <c r="CY14" s="79"/>
      <c r="CZ14" s="79">
        <v>0.0</v>
      </c>
      <c r="DA14" s="79"/>
      <c r="DB14" s="79">
        <v>0.0</v>
      </c>
      <c r="DC14" s="79"/>
      <c r="DD14" s="79">
        <v>0.0</v>
      </c>
      <c r="DE14" s="79">
        <v>16435.0</v>
      </c>
      <c r="DF14" s="79">
        <v>2800.0</v>
      </c>
      <c r="DG14" s="79">
        <v>0.0</v>
      </c>
      <c r="DH14" s="79">
        <v>0.0</v>
      </c>
      <c r="DI14" s="79">
        <v>1300.0</v>
      </c>
      <c r="DJ14" s="79" t="s">
        <v>575</v>
      </c>
      <c r="DK14" s="79" t="s">
        <v>486</v>
      </c>
      <c r="DL14" s="79" t="s">
        <v>555</v>
      </c>
      <c r="DM14" s="79" t="s">
        <v>576</v>
      </c>
      <c r="DN14" s="79"/>
      <c r="DO14" s="79" t="s">
        <v>577</v>
      </c>
      <c r="DP14" s="79"/>
      <c r="DQ14" s="79"/>
      <c r="DR14" s="79"/>
      <c r="DS14" s="79"/>
      <c r="DT14" s="82"/>
      <c r="DU14" s="79"/>
      <c r="DV14" s="82"/>
      <c r="DW14" s="79"/>
      <c r="DX14" s="79"/>
      <c r="DY14" s="79"/>
      <c r="DZ14" s="79"/>
      <c r="EA14" s="79"/>
      <c r="EB14" s="79"/>
      <c r="EC14" s="79"/>
      <c r="ED14" s="79"/>
      <c r="EE14" s="79"/>
      <c r="EF14" s="82"/>
      <c r="EG14" s="79"/>
      <c r="EH14" s="82"/>
      <c r="EI14" s="79"/>
      <c r="EJ14" s="82"/>
      <c r="EK14" s="79"/>
      <c r="EL14" s="82"/>
      <c r="EM14" s="79"/>
      <c r="EN14" s="79" t="s">
        <v>79</v>
      </c>
      <c r="EO14" s="79"/>
      <c r="EP14" s="80"/>
      <c r="EQ14" s="83"/>
      <c r="ER14" s="83" t="str">
        <f t="shared" si="1"/>
        <v/>
      </c>
      <c r="ES14" s="82"/>
      <c r="ET14" s="79" t="str">
        <f t="shared" si="2"/>
        <v/>
      </c>
      <c r="EU14" s="79"/>
      <c r="EV14" s="79"/>
      <c r="EW14" s="82"/>
      <c r="EX14" s="82"/>
      <c r="EY14" s="82"/>
      <c r="EZ14" s="82"/>
      <c r="FA14" s="82"/>
      <c r="FB14" s="82"/>
    </row>
    <row r="15" ht="15.75" customHeight="1">
      <c r="A15" s="79" t="s">
        <v>578</v>
      </c>
      <c r="B15" s="79" t="s">
        <v>475</v>
      </c>
      <c r="C15" s="79" t="s">
        <v>476</v>
      </c>
      <c r="D15" s="80">
        <v>46086.0</v>
      </c>
      <c r="E15" s="79" t="s">
        <v>579</v>
      </c>
      <c r="F15" s="79"/>
      <c r="G15" s="79" t="s">
        <v>580</v>
      </c>
      <c r="H15" s="79" t="s">
        <v>581</v>
      </c>
      <c r="I15" s="79"/>
      <c r="J15" s="79" t="s">
        <v>582</v>
      </c>
      <c r="K15" s="79">
        <v>3980.0</v>
      </c>
      <c r="L15" s="79"/>
      <c r="M15" s="79" t="s">
        <v>583</v>
      </c>
      <c r="N15" s="79" t="s">
        <v>572</v>
      </c>
      <c r="O15" s="79" t="s">
        <v>484</v>
      </c>
      <c r="P15" s="79"/>
      <c r="Q15" s="79" t="s">
        <v>584</v>
      </c>
      <c r="R15" s="79" t="s">
        <v>585</v>
      </c>
      <c r="S15" s="79"/>
      <c r="T15" s="79"/>
      <c r="U15" s="79"/>
      <c r="V15" s="79"/>
      <c r="W15" s="79"/>
      <c r="X15" s="79"/>
      <c r="Y15" s="79"/>
      <c r="Z15" s="79" t="s">
        <v>557</v>
      </c>
      <c r="AA15" s="79" t="s">
        <v>487</v>
      </c>
      <c r="AB15" s="79" t="s">
        <v>557</v>
      </c>
      <c r="AC15" s="79" t="s">
        <v>488</v>
      </c>
      <c r="AD15" s="79">
        <v>85000.0</v>
      </c>
      <c r="AE15" s="79">
        <v>0.0</v>
      </c>
      <c r="AF15" s="79">
        <v>0.0</v>
      </c>
      <c r="AG15" s="79">
        <v>8500.0</v>
      </c>
      <c r="AH15" s="81">
        <v>93500.0</v>
      </c>
      <c r="AI15" s="79"/>
      <c r="AJ15" s="79">
        <v>0.0</v>
      </c>
      <c r="AK15" s="79">
        <v>40360.0</v>
      </c>
      <c r="AL15" s="79">
        <v>0.0</v>
      </c>
      <c r="AM15" s="79">
        <v>0.0</v>
      </c>
      <c r="AN15" s="79">
        <v>4036.0</v>
      </c>
      <c r="AO15" s="79">
        <v>44396.0</v>
      </c>
      <c r="AP15" s="79">
        <v>0.0</v>
      </c>
      <c r="AQ15" s="79">
        <v>44640.0</v>
      </c>
      <c r="AR15" s="79" t="s">
        <v>525</v>
      </c>
      <c r="AS15" s="79">
        <v>0.0</v>
      </c>
      <c r="AT15" s="79" t="s">
        <v>507</v>
      </c>
      <c r="AU15" s="79" t="s">
        <v>491</v>
      </c>
      <c r="AV15" s="79">
        <v>0.0</v>
      </c>
      <c r="AW15" s="79" t="s">
        <v>508</v>
      </c>
      <c r="AX15" s="79">
        <v>0.0</v>
      </c>
      <c r="AY15" s="79"/>
      <c r="AZ15" s="79">
        <v>0.0</v>
      </c>
      <c r="BA15" s="79"/>
      <c r="BB15" s="79">
        <v>0.0</v>
      </c>
      <c r="BC15" s="79"/>
      <c r="BD15" s="79">
        <v>0.0</v>
      </c>
      <c r="BE15" s="79"/>
      <c r="BF15" s="79">
        <v>0.0</v>
      </c>
      <c r="BG15" s="79"/>
      <c r="BH15" s="79">
        <v>0.0</v>
      </c>
      <c r="BI15" s="79" t="s">
        <v>493</v>
      </c>
      <c r="BJ15" s="79">
        <v>0.0</v>
      </c>
      <c r="BK15" s="79" t="s">
        <v>494</v>
      </c>
      <c r="BL15" s="79">
        <v>0.0</v>
      </c>
      <c r="BM15" s="79" t="s">
        <v>495</v>
      </c>
      <c r="BN15" s="79">
        <v>0.0</v>
      </c>
      <c r="BO15" s="79" t="s">
        <v>496</v>
      </c>
      <c r="BP15" s="79">
        <v>0.0</v>
      </c>
      <c r="BQ15" s="79"/>
      <c r="BR15" s="79">
        <v>0.0</v>
      </c>
      <c r="BS15" s="79"/>
      <c r="BT15" s="79">
        <v>0.0</v>
      </c>
      <c r="BU15" s="79"/>
      <c r="BV15" s="79">
        <v>0.0</v>
      </c>
      <c r="BW15" s="79"/>
      <c r="BX15" s="79">
        <v>0.0</v>
      </c>
      <c r="BY15" s="79">
        <v>0.0</v>
      </c>
      <c r="BZ15" s="79" t="s">
        <v>491</v>
      </c>
      <c r="CA15" s="79">
        <v>0.0</v>
      </c>
      <c r="CB15" s="79" t="s">
        <v>507</v>
      </c>
      <c r="CC15" s="79" t="s">
        <v>508</v>
      </c>
      <c r="CD15" s="79">
        <v>0.0</v>
      </c>
      <c r="CE15" s="79"/>
      <c r="CF15" s="79">
        <v>0.0</v>
      </c>
      <c r="CG15" s="79"/>
      <c r="CH15" s="79">
        <v>0.0</v>
      </c>
      <c r="CI15" s="79"/>
      <c r="CJ15" s="79">
        <v>0.0</v>
      </c>
      <c r="CK15" s="79"/>
      <c r="CL15" s="79">
        <v>0.0</v>
      </c>
      <c r="CM15" s="79"/>
      <c r="CN15" s="79">
        <v>0.0</v>
      </c>
      <c r="CO15" s="79" t="s">
        <v>493</v>
      </c>
      <c r="CP15" s="79">
        <v>0.0</v>
      </c>
      <c r="CQ15" s="79" t="s">
        <v>494</v>
      </c>
      <c r="CR15" s="79">
        <v>0.0</v>
      </c>
      <c r="CS15" s="79" t="s">
        <v>495</v>
      </c>
      <c r="CT15" s="79">
        <v>0.0</v>
      </c>
      <c r="CU15" s="79" t="s">
        <v>496</v>
      </c>
      <c r="CV15" s="79">
        <v>0.0</v>
      </c>
      <c r="CW15" s="79"/>
      <c r="CX15" s="79">
        <v>0.0</v>
      </c>
      <c r="CY15" s="79"/>
      <c r="CZ15" s="79">
        <v>0.0</v>
      </c>
      <c r="DA15" s="79"/>
      <c r="DB15" s="79">
        <v>0.0</v>
      </c>
      <c r="DC15" s="79"/>
      <c r="DD15" s="79">
        <v>0.0</v>
      </c>
      <c r="DE15" s="79">
        <v>35000.0</v>
      </c>
      <c r="DF15" s="79">
        <v>50000.0</v>
      </c>
      <c r="DG15" s="79">
        <v>0.0</v>
      </c>
      <c r="DH15" s="79">
        <v>0.0</v>
      </c>
      <c r="DI15" s="79">
        <v>40360.0</v>
      </c>
      <c r="DJ15" s="79" t="s">
        <v>586</v>
      </c>
      <c r="DK15" s="79" t="s">
        <v>557</v>
      </c>
      <c r="DL15" s="79" t="s">
        <v>487</v>
      </c>
      <c r="DM15" s="79" t="s">
        <v>587</v>
      </c>
      <c r="DN15" s="79" t="s">
        <v>588</v>
      </c>
      <c r="DO15" s="79" t="s">
        <v>589</v>
      </c>
      <c r="DP15" s="79"/>
      <c r="DQ15" s="79"/>
      <c r="DR15" s="79"/>
      <c r="DS15" s="79"/>
      <c r="DT15" s="82"/>
      <c r="DU15" s="79"/>
      <c r="DV15" s="82"/>
      <c r="DW15" s="79"/>
      <c r="DX15" s="79"/>
      <c r="DY15" s="79"/>
      <c r="DZ15" s="79"/>
      <c r="EA15" s="79"/>
      <c r="EB15" s="79"/>
      <c r="EC15" s="79"/>
      <c r="ED15" s="79"/>
      <c r="EE15" s="79"/>
      <c r="EF15" s="82"/>
      <c r="EG15" s="79"/>
      <c r="EH15" s="82"/>
      <c r="EI15" s="79"/>
      <c r="EJ15" s="82"/>
      <c r="EK15" s="79"/>
      <c r="EL15" s="82"/>
      <c r="EM15" s="79"/>
      <c r="EN15" s="79" t="s">
        <v>79</v>
      </c>
      <c r="EO15" s="79"/>
      <c r="EP15" s="80"/>
      <c r="EQ15" s="83"/>
      <c r="ER15" s="83" t="str">
        <f t="shared" si="1"/>
        <v/>
      </c>
      <c r="ES15" s="79"/>
      <c r="ET15" s="79" t="str">
        <f t="shared" si="2"/>
        <v/>
      </c>
      <c r="EU15" s="79"/>
      <c r="EV15" s="79"/>
      <c r="EW15" s="82"/>
      <c r="EX15" s="82"/>
      <c r="EY15" s="82"/>
      <c r="EZ15" s="82"/>
      <c r="FA15" s="82"/>
      <c r="FB15" s="82"/>
    </row>
    <row r="16" ht="15.75" customHeight="1">
      <c r="A16" s="4" t="s">
        <v>590</v>
      </c>
      <c r="B16" s="4" t="s">
        <v>591</v>
      </c>
      <c r="C16" s="4" t="s">
        <v>476</v>
      </c>
      <c r="D16" s="78">
        <v>46086.0</v>
      </c>
      <c r="E16" s="4" t="s">
        <v>592</v>
      </c>
      <c r="F16" s="19"/>
      <c r="G16" s="4" t="s">
        <v>593</v>
      </c>
      <c r="H16" s="4" t="s">
        <v>594</v>
      </c>
      <c r="R16" s="4" t="s">
        <v>595</v>
      </c>
      <c r="Y16" s="4" t="s">
        <v>596</v>
      </c>
      <c r="Z16" s="4" t="s">
        <v>597</v>
      </c>
      <c r="AB16" s="4" t="s">
        <v>597</v>
      </c>
      <c r="AH16" s="23">
        <v>172788.0</v>
      </c>
      <c r="AL16" s="19"/>
      <c r="AM16" s="19"/>
      <c r="AN16" s="19"/>
      <c r="AO16" s="19"/>
      <c r="AP16" s="19"/>
      <c r="AQ16" s="4">
        <v>139130.0</v>
      </c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4" t="s">
        <v>79</v>
      </c>
      <c r="EO16" s="19"/>
      <c r="EP16" s="17"/>
      <c r="EQ16" s="23"/>
      <c r="ER16" s="23" t="str">
        <f t="shared" si="1"/>
        <v/>
      </c>
      <c r="ES16" s="19"/>
      <c r="ET16" s="19" t="str">
        <f t="shared" si="2"/>
        <v/>
      </c>
      <c r="EU16" s="19"/>
      <c r="EV16" s="19"/>
      <c r="EW16" s="19"/>
      <c r="EX16" s="19"/>
      <c r="EY16" s="19"/>
      <c r="EZ16" s="82"/>
      <c r="FA16" s="82"/>
      <c r="FB16" s="82"/>
    </row>
    <row r="17" ht="15.75" customHeight="1">
      <c r="A17" s="4" t="s">
        <v>598</v>
      </c>
      <c r="B17" s="4" t="s">
        <v>591</v>
      </c>
      <c r="C17" s="4" t="s">
        <v>476</v>
      </c>
      <c r="D17" s="78">
        <v>46086.0</v>
      </c>
      <c r="E17" s="4" t="s">
        <v>599</v>
      </c>
      <c r="F17" s="19"/>
      <c r="G17" s="4" t="s">
        <v>600</v>
      </c>
      <c r="H17" s="4" t="s">
        <v>601</v>
      </c>
      <c r="R17" s="4" t="s">
        <v>602</v>
      </c>
      <c r="Y17" s="4" t="s">
        <v>603</v>
      </c>
      <c r="Z17" s="4" t="s">
        <v>597</v>
      </c>
      <c r="AB17" s="4" t="s">
        <v>597</v>
      </c>
      <c r="AH17" s="23">
        <v>194000.0</v>
      </c>
      <c r="AL17" s="19"/>
      <c r="AM17" s="19"/>
      <c r="AN17" s="19"/>
      <c r="AO17" s="19"/>
      <c r="AP17" s="19"/>
      <c r="AQ17" s="4">
        <v>121199.0</v>
      </c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4" t="s">
        <v>79</v>
      </c>
      <c r="EO17" s="19"/>
      <c r="EP17" s="17"/>
      <c r="EQ17" s="23"/>
      <c r="ER17" s="23" t="str">
        <f t="shared" si="1"/>
        <v/>
      </c>
      <c r="ES17" s="19"/>
      <c r="ET17" s="19" t="str">
        <f t="shared" si="2"/>
        <v/>
      </c>
      <c r="EU17" s="19"/>
      <c r="EV17" s="19"/>
      <c r="EW17" s="19"/>
      <c r="EX17" s="19"/>
      <c r="EY17" s="19"/>
      <c r="EZ17" s="79"/>
      <c r="FA17" s="79"/>
      <c r="FB17" s="79"/>
    </row>
    <row r="18" ht="15.75" customHeight="1">
      <c r="A18" s="4" t="s">
        <v>604</v>
      </c>
      <c r="B18" s="4" t="s">
        <v>605</v>
      </c>
      <c r="C18" s="4" t="s">
        <v>476</v>
      </c>
      <c r="D18" s="78">
        <v>46086.0</v>
      </c>
      <c r="E18" s="4" t="s">
        <v>599</v>
      </c>
      <c r="F18" s="4" t="s">
        <v>606</v>
      </c>
      <c r="G18" s="4" t="s">
        <v>600</v>
      </c>
      <c r="H18" s="4" t="s">
        <v>601</v>
      </c>
      <c r="R18" s="4" t="s">
        <v>602</v>
      </c>
      <c r="V18" s="4" t="s">
        <v>607</v>
      </c>
      <c r="Y18" s="4" t="s">
        <v>603</v>
      </c>
      <c r="Z18" s="4" t="s">
        <v>597</v>
      </c>
      <c r="AB18" s="4" t="s">
        <v>597</v>
      </c>
      <c r="AH18" s="23">
        <v>69769.0</v>
      </c>
      <c r="AL18" s="19"/>
      <c r="AM18" s="19"/>
      <c r="AN18" s="19"/>
      <c r="AO18" s="19"/>
      <c r="AP18" s="19"/>
      <c r="AQ18" s="4">
        <v>34870.0</v>
      </c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19"/>
      <c r="EG18" s="19"/>
      <c r="EH18" s="19"/>
      <c r="EI18" s="19"/>
      <c r="EJ18" s="19"/>
      <c r="EK18" s="19"/>
      <c r="EL18" s="19"/>
      <c r="EM18" s="19"/>
      <c r="EN18" s="4" t="s">
        <v>79</v>
      </c>
      <c r="EO18" s="19"/>
      <c r="EP18" s="17"/>
      <c r="EQ18" s="23"/>
      <c r="ER18" s="23" t="str">
        <f t="shared" si="1"/>
        <v/>
      </c>
      <c r="ES18" s="19"/>
      <c r="ET18" s="19" t="str">
        <f t="shared" si="2"/>
        <v/>
      </c>
      <c r="EU18" s="19"/>
      <c r="EV18" s="19"/>
      <c r="EW18" s="19"/>
      <c r="EX18" s="19"/>
      <c r="EY18" s="19"/>
      <c r="EZ18" s="82"/>
      <c r="FA18" s="82"/>
      <c r="FB18" s="82"/>
    </row>
    <row r="19" ht="15.75" customHeight="1">
      <c r="A19" s="4" t="s">
        <v>608</v>
      </c>
      <c r="B19" s="4" t="s">
        <v>605</v>
      </c>
      <c r="C19" s="4" t="s">
        <v>476</v>
      </c>
      <c r="D19" s="78">
        <v>46086.0</v>
      </c>
      <c r="E19" s="4" t="s">
        <v>599</v>
      </c>
      <c r="F19" s="4" t="s">
        <v>606</v>
      </c>
      <c r="G19" s="4" t="s">
        <v>600</v>
      </c>
      <c r="H19" s="4" t="s">
        <v>601</v>
      </c>
      <c r="R19" s="4" t="s">
        <v>602</v>
      </c>
      <c r="V19" s="4" t="s">
        <v>607</v>
      </c>
      <c r="Y19" s="4" t="s">
        <v>603</v>
      </c>
      <c r="Z19" s="4" t="s">
        <v>597</v>
      </c>
      <c r="AB19" s="4" t="s">
        <v>597</v>
      </c>
      <c r="AH19" s="23">
        <v>116597.0</v>
      </c>
      <c r="AL19" s="19"/>
      <c r="AM19" s="19"/>
      <c r="AN19" s="19"/>
      <c r="AO19" s="19"/>
      <c r="AP19" s="19"/>
      <c r="AQ19" s="4">
        <v>29678.0</v>
      </c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19"/>
      <c r="CY19" s="19"/>
      <c r="CZ19" s="1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19"/>
      <c r="DP19" s="19"/>
      <c r="DQ19" s="1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19"/>
      <c r="EG19" s="19"/>
      <c r="EH19" s="19"/>
      <c r="EI19" s="19"/>
      <c r="EJ19" s="19"/>
      <c r="EK19" s="19"/>
      <c r="EL19" s="19"/>
      <c r="EM19" s="19"/>
      <c r="EN19" s="4" t="s">
        <v>79</v>
      </c>
      <c r="EO19" s="19"/>
      <c r="EP19" s="17"/>
      <c r="EQ19" s="23"/>
      <c r="ER19" s="23" t="str">
        <f t="shared" si="1"/>
        <v/>
      </c>
      <c r="ES19" s="19"/>
      <c r="ET19" s="19" t="str">
        <f t="shared" si="2"/>
        <v/>
      </c>
      <c r="EU19" s="19"/>
      <c r="EV19" s="19"/>
      <c r="EW19" s="19"/>
      <c r="EX19" s="19"/>
      <c r="EY19" s="19"/>
      <c r="EZ19" s="82"/>
      <c r="FA19" s="82"/>
      <c r="FB19" s="82"/>
    </row>
    <row r="20" ht="15.75" customHeight="1">
      <c r="A20" s="79" t="s">
        <v>609</v>
      </c>
      <c r="B20" s="79" t="s">
        <v>515</v>
      </c>
      <c r="C20" s="79" t="s">
        <v>476</v>
      </c>
      <c r="D20" s="80">
        <v>46089.0</v>
      </c>
      <c r="E20" s="79" t="s">
        <v>610</v>
      </c>
      <c r="F20" s="79" t="s">
        <v>568</v>
      </c>
      <c r="G20" s="79" t="s">
        <v>569</v>
      </c>
      <c r="H20" s="79" t="s">
        <v>611</v>
      </c>
      <c r="I20" s="79"/>
      <c r="J20" s="79" t="s">
        <v>612</v>
      </c>
      <c r="K20" s="79">
        <v>0.0</v>
      </c>
      <c r="L20" s="79"/>
      <c r="M20" s="79" t="s">
        <v>613</v>
      </c>
      <c r="N20" s="79"/>
      <c r="O20" s="79"/>
      <c r="P20" s="79"/>
      <c r="Q20" s="79"/>
      <c r="R20" s="80">
        <v>46838.0</v>
      </c>
      <c r="S20" s="79"/>
      <c r="T20" s="79">
        <v>11417.0</v>
      </c>
      <c r="U20" s="79"/>
      <c r="V20" s="79"/>
      <c r="W20" s="80">
        <v>46089.0</v>
      </c>
      <c r="X20" s="79"/>
      <c r="Y20" s="80">
        <v>46089.0</v>
      </c>
      <c r="Z20" s="79" t="s">
        <v>486</v>
      </c>
      <c r="AA20" s="79" t="s">
        <v>555</v>
      </c>
      <c r="AB20" s="79" t="s">
        <v>486</v>
      </c>
      <c r="AC20" s="79" t="s">
        <v>488</v>
      </c>
      <c r="AD20" s="79">
        <v>19875.0</v>
      </c>
      <c r="AE20" s="79">
        <v>0.0</v>
      </c>
      <c r="AF20" s="79">
        <v>0.0</v>
      </c>
      <c r="AG20" s="79">
        <v>1988.0</v>
      </c>
      <c r="AH20" s="81">
        <v>21863.0</v>
      </c>
      <c r="AI20" s="79"/>
      <c r="AJ20" s="79">
        <v>0.0</v>
      </c>
      <c r="AK20" s="79">
        <v>1736.0</v>
      </c>
      <c r="AL20" s="79">
        <v>0.0</v>
      </c>
      <c r="AM20" s="79">
        <v>0.0</v>
      </c>
      <c r="AN20" s="79">
        <v>174.0</v>
      </c>
      <c r="AO20" s="79">
        <v>1910.0</v>
      </c>
      <c r="AP20" s="79">
        <v>0.0</v>
      </c>
      <c r="AQ20" s="79">
        <v>18139.0</v>
      </c>
      <c r="AR20" s="79" t="s">
        <v>489</v>
      </c>
      <c r="AS20" s="79">
        <v>0.0</v>
      </c>
      <c r="AT20" s="79" t="s">
        <v>490</v>
      </c>
      <c r="AU20" s="79" t="s">
        <v>491</v>
      </c>
      <c r="AV20" s="79">
        <v>0.0</v>
      </c>
      <c r="AW20" s="79" t="s">
        <v>508</v>
      </c>
      <c r="AX20" s="79">
        <v>0.0</v>
      </c>
      <c r="AY20" s="79"/>
      <c r="AZ20" s="79">
        <v>0.0</v>
      </c>
      <c r="BA20" s="79"/>
      <c r="BB20" s="79">
        <v>0.0</v>
      </c>
      <c r="BC20" s="79"/>
      <c r="BD20" s="79">
        <v>0.0</v>
      </c>
      <c r="BE20" s="79"/>
      <c r="BF20" s="79">
        <v>0.0</v>
      </c>
      <c r="BG20" s="79"/>
      <c r="BH20" s="79">
        <v>0.0</v>
      </c>
      <c r="BI20" s="79" t="s">
        <v>493</v>
      </c>
      <c r="BJ20" s="79">
        <v>0.0</v>
      </c>
      <c r="BK20" s="79" t="s">
        <v>494</v>
      </c>
      <c r="BL20" s="79">
        <v>0.0</v>
      </c>
      <c r="BM20" s="79" t="s">
        <v>495</v>
      </c>
      <c r="BN20" s="79">
        <v>0.0</v>
      </c>
      <c r="BO20" s="79" t="s">
        <v>496</v>
      </c>
      <c r="BP20" s="79">
        <v>0.0</v>
      </c>
      <c r="BQ20" s="79"/>
      <c r="BR20" s="79">
        <v>0.0</v>
      </c>
      <c r="BS20" s="79"/>
      <c r="BT20" s="79">
        <v>0.0</v>
      </c>
      <c r="BU20" s="79"/>
      <c r="BV20" s="79">
        <v>0.0</v>
      </c>
      <c r="BW20" s="79"/>
      <c r="BX20" s="79">
        <v>0.0</v>
      </c>
      <c r="BY20" s="79">
        <v>0.0</v>
      </c>
      <c r="BZ20" s="79" t="s">
        <v>491</v>
      </c>
      <c r="CA20" s="79">
        <v>0.0</v>
      </c>
      <c r="CB20" s="79" t="s">
        <v>490</v>
      </c>
      <c r="CC20" s="79" t="s">
        <v>508</v>
      </c>
      <c r="CD20" s="79">
        <v>0.0</v>
      </c>
      <c r="CE20" s="79"/>
      <c r="CF20" s="79">
        <v>0.0</v>
      </c>
      <c r="CG20" s="79"/>
      <c r="CH20" s="79">
        <v>0.0</v>
      </c>
      <c r="CI20" s="79"/>
      <c r="CJ20" s="79">
        <v>0.0</v>
      </c>
      <c r="CK20" s="79"/>
      <c r="CL20" s="79">
        <v>0.0</v>
      </c>
      <c r="CM20" s="79"/>
      <c r="CN20" s="79">
        <v>0.0</v>
      </c>
      <c r="CO20" s="79" t="s">
        <v>493</v>
      </c>
      <c r="CP20" s="79">
        <v>0.0</v>
      </c>
      <c r="CQ20" s="79" t="s">
        <v>494</v>
      </c>
      <c r="CR20" s="79">
        <v>0.0</v>
      </c>
      <c r="CS20" s="79" t="s">
        <v>495</v>
      </c>
      <c r="CT20" s="79">
        <v>0.0</v>
      </c>
      <c r="CU20" s="79" t="s">
        <v>496</v>
      </c>
      <c r="CV20" s="79">
        <v>0.0</v>
      </c>
      <c r="CW20" s="79"/>
      <c r="CX20" s="79">
        <v>0.0</v>
      </c>
      <c r="CY20" s="79"/>
      <c r="CZ20" s="79">
        <v>0.0</v>
      </c>
      <c r="DA20" s="79"/>
      <c r="DB20" s="79">
        <v>0.0</v>
      </c>
      <c r="DC20" s="79"/>
      <c r="DD20" s="79">
        <v>0.0</v>
      </c>
      <c r="DE20" s="79">
        <v>17575.0</v>
      </c>
      <c r="DF20" s="79">
        <v>2300.0</v>
      </c>
      <c r="DG20" s="79">
        <v>0.0</v>
      </c>
      <c r="DH20" s="79">
        <v>0.0</v>
      </c>
      <c r="DI20" s="79">
        <v>1736.0</v>
      </c>
      <c r="DJ20" s="79" t="s">
        <v>614</v>
      </c>
      <c r="DK20" s="79" t="s">
        <v>486</v>
      </c>
      <c r="DL20" s="79" t="s">
        <v>555</v>
      </c>
      <c r="DM20" s="79" t="s">
        <v>615</v>
      </c>
      <c r="DN20" s="79"/>
      <c r="DO20" s="79" t="s">
        <v>616</v>
      </c>
      <c r="DP20" s="79"/>
      <c r="DQ20" s="79"/>
      <c r="DR20" s="79"/>
      <c r="DS20" s="79"/>
      <c r="DT20" s="82"/>
      <c r="DU20" s="79"/>
      <c r="DV20" s="82"/>
      <c r="DW20" s="79"/>
      <c r="DX20" s="79"/>
      <c r="DY20" s="79"/>
      <c r="DZ20" s="79"/>
      <c r="EA20" s="79"/>
      <c r="EB20" s="79"/>
      <c r="EC20" s="79"/>
      <c r="ED20" s="79"/>
      <c r="EE20" s="79"/>
      <c r="EF20" s="82"/>
      <c r="EG20" s="79"/>
      <c r="EH20" s="82"/>
      <c r="EI20" s="79"/>
      <c r="EJ20" s="82"/>
      <c r="EK20" s="79"/>
      <c r="EL20" s="82"/>
      <c r="EM20" s="79"/>
      <c r="EN20" s="79" t="s">
        <v>79</v>
      </c>
      <c r="EO20" s="79"/>
      <c r="EP20" s="80"/>
      <c r="EQ20" s="83"/>
      <c r="ER20" s="83" t="str">
        <f t="shared" si="1"/>
        <v/>
      </c>
      <c r="ES20" s="79"/>
      <c r="ET20" s="79" t="str">
        <f t="shared" si="2"/>
        <v/>
      </c>
      <c r="EU20" s="79"/>
      <c r="EV20" s="79"/>
      <c r="EW20" s="82"/>
      <c r="EX20" s="82"/>
      <c r="EY20" s="82"/>
      <c r="EZ20" s="82"/>
      <c r="FA20" s="82"/>
      <c r="FB20" s="82"/>
    </row>
    <row r="21" ht="15.75" customHeight="1">
      <c r="A21" s="79" t="s">
        <v>617</v>
      </c>
      <c r="B21" s="79" t="s">
        <v>591</v>
      </c>
      <c r="C21" s="79" t="s">
        <v>476</v>
      </c>
      <c r="D21" s="80">
        <v>46089.0</v>
      </c>
      <c r="E21" s="79" t="s">
        <v>618</v>
      </c>
      <c r="F21" s="79"/>
      <c r="G21" s="79" t="s">
        <v>619</v>
      </c>
      <c r="H21" s="79" t="s">
        <v>620</v>
      </c>
      <c r="I21" s="79" t="s">
        <v>621</v>
      </c>
      <c r="J21" s="79" t="s">
        <v>622</v>
      </c>
      <c r="K21" s="79">
        <v>3800.0</v>
      </c>
      <c r="L21" s="79" t="s">
        <v>623</v>
      </c>
      <c r="M21" s="79" t="s">
        <v>624</v>
      </c>
      <c r="N21" s="79" t="s">
        <v>521</v>
      </c>
      <c r="O21" s="79" t="s">
        <v>484</v>
      </c>
      <c r="P21" s="79" t="s">
        <v>625</v>
      </c>
      <c r="Q21" s="79" t="s">
        <v>626</v>
      </c>
      <c r="R21" s="80">
        <v>46822.0</v>
      </c>
      <c r="S21" s="79"/>
      <c r="T21" s="79">
        <v>34767.0</v>
      </c>
      <c r="U21" s="79"/>
      <c r="V21" s="79"/>
      <c r="W21" s="80">
        <v>46079.0</v>
      </c>
      <c r="X21" s="79"/>
      <c r="Y21" s="80">
        <v>46090.0</v>
      </c>
      <c r="Z21" s="79" t="s">
        <v>557</v>
      </c>
      <c r="AA21" s="79" t="s">
        <v>627</v>
      </c>
      <c r="AB21" s="79" t="s">
        <v>557</v>
      </c>
      <c r="AC21" s="79" t="s">
        <v>488</v>
      </c>
      <c r="AD21" s="79">
        <v>304100.0</v>
      </c>
      <c r="AE21" s="79">
        <v>11227.0</v>
      </c>
      <c r="AF21" s="79">
        <v>52750.0</v>
      </c>
      <c r="AG21" s="79">
        <v>31533.0</v>
      </c>
      <c r="AH21" s="81">
        <v>399610.0</v>
      </c>
      <c r="AI21" s="79"/>
      <c r="AJ21" s="79">
        <v>0.0</v>
      </c>
      <c r="AK21" s="79">
        <v>67480.0</v>
      </c>
      <c r="AL21" s="79">
        <v>0.0</v>
      </c>
      <c r="AM21" s="79">
        <v>52750.0</v>
      </c>
      <c r="AN21" s="79">
        <v>6749.0</v>
      </c>
      <c r="AO21" s="79">
        <v>126979.0</v>
      </c>
      <c r="AP21" s="79">
        <v>0.0</v>
      </c>
      <c r="AQ21" s="79">
        <v>247847.0</v>
      </c>
      <c r="AR21" s="79" t="s">
        <v>525</v>
      </c>
      <c r="AS21" s="79">
        <v>10000.0</v>
      </c>
      <c r="AT21" s="79" t="s">
        <v>490</v>
      </c>
      <c r="AU21" s="79" t="s">
        <v>491</v>
      </c>
      <c r="AV21" s="79">
        <v>1227.0</v>
      </c>
      <c r="AW21" s="79"/>
      <c r="AX21" s="79">
        <v>0.0</v>
      </c>
      <c r="AY21" s="79"/>
      <c r="AZ21" s="79">
        <v>0.0</v>
      </c>
      <c r="BA21" s="79"/>
      <c r="BB21" s="79">
        <v>0.0</v>
      </c>
      <c r="BC21" s="79"/>
      <c r="BD21" s="79">
        <v>0.0</v>
      </c>
      <c r="BE21" s="79"/>
      <c r="BF21" s="79">
        <v>0.0</v>
      </c>
      <c r="BG21" s="79"/>
      <c r="BH21" s="79">
        <v>0.0</v>
      </c>
      <c r="BI21" s="79" t="s">
        <v>493</v>
      </c>
      <c r="BJ21" s="79">
        <v>17650.0</v>
      </c>
      <c r="BK21" s="79" t="s">
        <v>494</v>
      </c>
      <c r="BL21" s="79">
        <v>32800.0</v>
      </c>
      <c r="BM21" s="79" t="s">
        <v>495</v>
      </c>
      <c r="BN21" s="79">
        <v>2300.0</v>
      </c>
      <c r="BO21" s="79"/>
      <c r="BP21" s="79">
        <v>0.0</v>
      </c>
      <c r="BQ21" s="79"/>
      <c r="BR21" s="79">
        <v>0.0</v>
      </c>
      <c r="BS21" s="79"/>
      <c r="BT21" s="79">
        <v>0.0</v>
      </c>
      <c r="BU21" s="79"/>
      <c r="BV21" s="79">
        <v>0.0</v>
      </c>
      <c r="BW21" s="79"/>
      <c r="BX21" s="79">
        <v>0.0</v>
      </c>
      <c r="BY21" s="79">
        <v>0.0</v>
      </c>
      <c r="BZ21" s="79" t="s">
        <v>491</v>
      </c>
      <c r="CA21" s="79">
        <v>0.0</v>
      </c>
      <c r="CB21" s="79" t="s">
        <v>490</v>
      </c>
      <c r="CC21" s="79"/>
      <c r="CD21" s="79">
        <v>0.0</v>
      </c>
      <c r="CE21" s="79"/>
      <c r="CF21" s="79">
        <v>0.0</v>
      </c>
      <c r="CG21" s="79"/>
      <c r="CH21" s="79">
        <v>0.0</v>
      </c>
      <c r="CI21" s="79"/>
      <c r="CJ21" s="79">
        <v>0.0</v>
      </c>
      <c r="CK21" s="79"/>
      <c r="CL21" s="79">
        <v>0.0</v>
      </c>
      <c r="CM21" s="79"/>
      <c r="CN21" s="79">
        <v>0.0</v>
      </c>
      <c r="CO21" s="79" t="s">
        <v>493</v>
      </c>
      <c r="CP21" s="79">
        <v>17650.0</v>
      </c>
      <c r="CQ21" s="79" t="s">
        <v>494</v>
      </c>
      <c r="CR21" s="79">
        <v>32800.0</v>
      </c>
      <c r="CS21" s="79" t="s">
        <v>495</v>
      </c>
      <c r="CT21" s="79">
        <v>2300.0</v>
      </c>
      <c r="CU21" s="79"/>
      <c r="CV21" s="79">
        <v>0.0</v>
      </c>
      <c r="CW21" s="79"/>
      <c r="CX21" s="79">
        <v>0.0</v>
      </c>
      <c r="CY21" s="79"/>
      <c r="CZ21" s="79">
        <v>0.0</v>
      </c>
      <c r="DA21" s="79"/>
      <c r="DB21" s="79">
        <v>0.0</v>
      </c>
      <c r="DC21" s="79"/>
      <c r="DD21" s="79">
        <v>0.0</v>
      </c>
      <c r="DE21" s="79">
        <v>150000.0</v>
      </c>
      <c r="DF21" s="79">
        <v>154100.0</v>
      </c>
      <c r="DG21" s="79">
        <v>0.0</v>
      </c>
      <c r="DH21" s="79">
        <v>0.0</v>
      </c>
      <c r="DI21" s="79">
        <v>67480.0</v>
      </c>
      <c r="DJ21" s="79" t="s">
        <v>628</v>
      </c>
      <c r="DK21" s="79" t="s">
        <v>557</v>
      </c>
      <c r="DL21" s="79" t="s">
        <v>627</v>
      </c>
      <c r="DM21" s="79" t="s">
        <v>629</v>
      </c>
      <c r="DN21" s="79" t="s">
        <v>630</v>
      </c>
      <c r="DO21" s="79">
        <v>9.037442434E9</v>
      </c>
      <c r="DP21" s="79"/>
      <c r="DQ21" s="79"/>
      <c r="DR21" s="79"/>
      <c r="DS21" s="79"/>
      <c r="DT21" s="82"/>
      <c r="DU21" s="79"/>
      <c r="DV21" s="82"/>
      <c r="DW21" s="79"/>
      <c r="DX21" s="79"/>
      <c r="DY21" s="79"/>
      <c r="DZ21" s="79"/>
      <c r="EA21" s="79"/>
      <c r="EB21" s="79"/>
      <c r="EC21" s="79"/>
      <c r="ED21" s="79"/>
      <c r="EE21" s="79"/>
      <c r="EF21" s="82"/>
      <c r="EG21" s="79"/>
      <c r="EH21" s="82"/>
      <c r="EI21" s="79"/>
      <c r="EJ21" s="82"/>
      <c r="EK21" s="79"/>
      <c r="EL21" s="82"/>
      <c r="EM21" s="79"/>
      <c r="EN21" s="79" t="s">
        <v>79</v>
      </c>
      <c r="EO21" s="79"/>
      <c r="EP21" s="80"/>
      <c r="EQ21" s="83"/>
      <c r="ER21" s="83" t="str">
        <f t="shared" si="1"/>
        <v/>
      </c>
      <c r="ES21" s="82"/>
      <c r="ET21" s="79" t="str">
        <f t="shared" si="2"/>
        <v/>
      </c>
      <c r="EU21" s="79"/>
      <c r="EV21" s="82"/>
      <c r="EW21" s="82"/>
      <c r="EX21" s="82"/>
      <c r="EY21" s="82"/>
      <c r="EZ21" s="82"/>
      <c r="FA21" s="82"/>
      <c r="FB21" s="82"/>
    </row>
    <row r="22" ht="15.75" customHeight="1">
      <c r="A22" s="79" t="s">
        <v>631</v>
      </c>
      <c r="B22" s="79" t="s">
        <v>475</v>
      </c>
      <c r="C22" s="79" t="s">
        <v>476</v>
      </c>
      <c r="D22" s="80">
        <v>46089.0</v>
      </c>
      <c r="E22" s="79" t="s">
        <v>610</v>
      </c>
      <c r="F22" s="79" t="s">
        <v>568</v>
      </c>
      <c r="G22" s="79" t="s">
        <v>569</v>
      </c>
      <c r="H22" s="79" t="s">
        <v>611</v>
      </c>
      <c r="I22" s="79"/>
      <c r="J22" s="79" t="s">
        <v>612</v>
      </c>
      <c r="K22" s="79">
        <v>0.0</v>
      </c>
      <c r="L22" s="79"/>
      <c r="M22" s="79" t="s">
        <v>613</v>
      </c>
      <c r="N22" s="79"/>
      <c r="O22" s="79"/>
      <c r="P22" s="79"/>
      <c r="Q22" s="79"/>
      <c r="R22" s="80">
        <v>46838.0</v>
      </c>
      <c r="S22" s="79"/>
      <c r="T22" s="79">
        <v>11417.0</v>
      </c>
      <c r="U22" s="79"/>
      <c r="V22" s="79"/>
      <c r="W22" s="80">
        <v>46089.0</v>
      </c>
      <c r="X22" s="79"/>
      <c r="Y22" s="80">
        <v>46089.0</v>
      </c>
      <c r="Z22" s="79" t="s">
        <v>486</v>
      </c>
      <c r="AA22" s="79" t="s">
        <v>555</v>
      </c>
      <c r="AB22" s="79" t="s">
        <v>486</v>
      </c>
      <c r="AC22" s="79" t="s">
        <v>488</v>
      </c>
      <c r="AD22" s="79">
        <v>14000.0</v>
      </c>
      <c r="AE22" s="79">
        <v>0.0</v>
      </c>
      <c r="AF22" s="79">
        <v>0.0</v>
      </c>
      <c r="AG22" s="79">
        <v>1400.0</v>
      </c>
      <c r="AH22" s="81">
        <v>15400.0</v>
      </c>
      <c r="AI22" s="79"/>
      <c r="AJ22" s="79">
        <v>0.0</v>
      </c>
      <c r="AK22" s="79">
        <v>0.0</v>
      </c>
      <c r="AL22" s="79">
        <v>0.0</v>
      </c>
      <c r="AM22" s="79">
        <v>0.0</v>
      </c>
      <c r="AN22" s="79">
        <v>0.0</v>
      </c>
      <c r="AO22" s="79">
        <v>0.0</v>
      </c>
      <c r="AP22" s="79">
        <v>0.0</v>
      </c>
      <c r="AQ22" s="79">
        <v>14000.0</v>
      </c>
      <c r="AR22" s="79" t="s">
        <v>489</v>
      </c>
      <c r="AS22" s="79">
        <v>0.0</v>
      </c>
      <c r="AT22" s="79" t="s">
        <v>490</v>
      </c>
      <c r="AU22" s="79" t="s">
        <v>491</v>
      </c>
      <c r="AV22" s="79">
        <v>0.0</v>
      </c>
      <c r="AW22" s="79" t="s">
        <v>508</v>
      </c>
      <c r="AX22" s="79">
        <v>0.0</v>
      </c>
      <c r="AY22" s="79"/>
      <c r="AZ22" s="79">
        <v>0.0</v>
      </c>
      <c r="BA22" s="79"/>
      <c r="BB22" s="79">
        <v>0.0</v>
      </c>
      <c r="BC22" s="79"/>
      <c r="BD22" s="79">
        <v>0.0</v>
      </c>
      <c r="BE22" s="79"/>
      <c r="BF22" s="79">
        <v>0.0</v>
      </c>
      <c r="BG22" s="79"/>
      <c r="BH22" s="79">
        <v>0.0</v>
      </c>
      <c r="BI22" s="79" t="s">
        <v>493</v>
      </c>
      <c r="BJ22" s="79">
        <v>0.0</v>
      </c>
      <c r="BK22" s="79" t="s">
        <v>494</v>
      </c>
      <c r="BL22" s="79">
        <v>0.0</v>
      </c>
      <c r="BM22" s="79" t="s">
        <v>495</v>
      </c>
      <c r="BN22" s="79">
        <v>0.0</v>
      </c>
      <c r="BO22" s="79" t="s">
        <v>496</v>
      </c>
      <c r="BP22" s="79">
        <v>0.0</v>
      </c>
      <c r="BQ22" s="79"/>
      <c r="BR22" s="79">
        <v>0.0</v>
      </c>
      <c r="BS22" s="79"/>
      <c r="BT22" s="79">
        <v>0.0</v>
      </c>
      <c r="BU22" s="79"/>
      <c r="BV22" s="79">
        <v>0.0</v>
      </c>
      <c r="BW22" s="79"/>
      <c r="BX22" s="79">
        <v>0.0</v>
      </c>
      <c r="BY22" s="79">
        <v>0.0</v>
      </c>
      <c r="BZ22" s="79" t="s">
        <v>491</v>
      </c>
      <c r="CA22" s="79">
        <v>0.0</v>
      </c>
      <c r="CB22" s="79" t="s">
        <v>490</v>
      </c>
      <c r="CC22" s="79" t="s">
        <v>508</v>
      </c>
      <c r="CD22" s="79">
        <v>0.0</v>
      </c>
      <c r="CE22" s="79"/>
      <c r="CF22" s="79">
        <v>0.0</v>
      </c>
      <c r="CG22" s="79"/>
      <c r="CH22" s="79">
        <v>0.0</v>
      </c>
      <c r="CI22" s="79"/>
      <c r="CJ22" s="79">
        <v>0.0</v>
      </c>
      <c r="CK22" s="79"/>
      <c r="CL22" s="79">
        <v>0.0</v>
      </c>
      <c r="CM22" s="79"/>
      <c r="CN22" s="79">
        <v>0.0</v>
      </c>
      <c r="CO22" s="79" t="s">
        <v>493</v>
      </c>
      <c r="CP22" s="79">
        <v>0.0</v>
      </c>
      <c r="CQ22" s="79" t="s">
        <v>494</v>
      </c>
      <c r="CR22" s="79">
        <v>0.0</v>
      </c>
      <c r="CS22" s="79" t="s">
        <v>495</v>
      </c>
      <c r="CT22" s="79">
        <v>0.0</v>
      </c>
      <c r="CU22" s="79" t="s">
        <v>496</v>
      </c>
      <c r="CV22" s="79">
        <v>0.0</v>
      </c>
      <c r="CW22" s="79"/>
      <c r="CX22" s="79">
        <v>0.0</v>
      </c>
      <c r="CY22" s="79"/>
      <c r="CZ22" s="79">
        <v>0.0</v>
      </c>
      <c r="DA22" s="79"/>
      <c r="DB22" s="79">
        <v>0.0</v>
      </c>
      <c r="DC22" s="79"/>
      <c r="DD22" s="79">
        <v>0.0</v>
      </c>
      <c r="DE22" s="79">
        <v>14000.0</v>
      </c>
      <c r="DF22" s="79">
        <v>0.0</v>
      </c>
      <c r="DG22" s="79">
        <v>0.0</v>
      </c>
      <c r="DH22" s="79">
        <v>0.0</v>
      </c>
      <c r="DI22" s="79">
        <v>0.0</v>
      </c>
      <c r="DJ22" s="79" t="s">
        <v>614</v>
      </c>
      <c r="DK22" s="79" t="s">
        <v>486</v>
      </c>
      <c r="DL22" s="79" t="s">
        <v>555</v>
      </c>
      <c r="DM22" s="79" t="s">
        <v>615</v>
      </c>
      <c r="DN22" s="79"/>
      <c r="DO22" s="79" t="s">
        <v>616</v>
      </c>
      <c r="DP22" s="79"/>
      <c r="DQ22" s="79"/>
      <c r="DR22" s="79"/>
      <c r="DS22" s="79"/>
      <c r="DT22" s="82"/>
      <c r="DU22" s="79"/>
      <c r="DV22" s="82"/>
      <c r="DW22" s="79"/>
      <c r="DX22" s="79"/>
      <c r="DY22" s="79"/>
      <c r="DZ22" s="79"/>
      <c r="EA22" s="79"/>
      <c r="EB22" s="79"/>
      <c r="EC22" s="79"/>
      <c r="ED22" s="79"/>
      <c r="EE22" s="79"/>
      <c r="EF22" s="82"/>
      <c r="EG22" s="79"/>
      <c r="EH22" s="82"/>
      <c r="EI22" s="79"/>
      <c r="EJ22" s="82"/>
      <c r="EK22" s="79"/>
      <c r="EL22" s="82"/>
      <c r="EM22" s="79"/>
      <c r="EN22" s="79" t="s">
        <v>79</v>
      </c>
      <c r="EO22" s="79"/>
      <c r="EP22" s="80"/>
      <c r="EQ22" s="83"/>
      <c r="ER22" s="83" t="str">
        <f t="shared" si="1"/>
        <v/>
      </c>
      <c r="ES22" s="79"/>
      <c r="ET22" s="79" t="str">
        <f t="shared" si="2"/>
        <v/>
      </c>
      <c r="EU22" s="79"/>
      <c r="EV22" s="79"/>
      <c r="EW22" s="82"/>
      <c r="EX22" s="82"/>
      <c r="EY22" s="82"/>
      <c r="EZ22" s="82"/>
      <c r="FA22" s="82"/>
      <c r="FB22" s="82"/>
    </row>
    <row r="23" ht="15.75" customHeight="1">
      <c r="A23" s="79" t="s">
        <v>632</v>
      </c>
      <c r="B23" s="79" t="s">
        <v>530</v>
      </c>
      <c r="C23" s="79" t="s">
        <v>476</v>
      </c>
      <c r="D23" s="80">
        <v>46089.0</v>
      </c>
      <c r="E23" s="79" t="s">
        <v>633</v>
      </c>
      <c r="F23" s="79" t="s">
        <v>634</v>
      </c>
      <c r="G23" s="79" t="s">
        <v>635</v>
      </c>
      <c r="H23" s="79" t="s">
        <v>636</v>
      </c>
      <c r="I23" s="79" t="s">
        <v>480</v>
      </c>
      <c r="J23" s="79" t="s">
        <v>637</v>
      </c>
      <c r="K23" s="79">
        <v>3000.0</v>
      </c>
      <c r="L23" s="79"/>
      <c r="M23" s="79" t="s">
        <v>613</v>
      </c>
      <c r="N23" s="79" t="s">
        <v>638</v>
      </c>
      <c r="O23" s="79" t="s">
        <v>573</v>
      </c>
      <c r="P23" s="79"/>
      <c r="Q23" s="79" t="s">
        <v>639</v>
      </c>
      <c r="R23" s="80">
        <v>47147.0</v>
      </c>
      <c r="S23" s="79"/>
      <c r="T23" s="79"/>
      <c r="U23" s="79"/>
      <c r="V23" s="79"/>
      <c r="W23" s="79"/>
      <c r="X23" s="79"/>
      <c r="Y23" s="79"/>
      <c r="Z23" s="79" t="s">
        <v>486</v>
      </c>
      <c r="AA23" s="79" t="s">
        <v>537</v>
      </c>
      <c r="AB23" s="79" t="s">
        <v>486</v>
      </c>
      <c r="AC23" s="79" t="s">
        <v>488</v>
      </c>
      <c r="AD23" s="79">
        <v>272727.0</v>
      </c>
      <c r="AE23" s="79">
        <v>0.0</v>
      </c>
      <c r="AF23" s="79">
        <v>0.0</v>
      </c>
      <c r="AG23" s="79">
        <v>27273.0</v>
      </c>
      <c r="AH23" s="81">
        <v>300000.0</v>
      </c>
      <c r="AI23" s="79"/>
      <c r="AJ23" s="79">
        <v>0.0</v>
      </c>
      <c r="AK23" s="79">
        <v>190424.0</v>
      </c>
      <c r="AL23" s="79">
        <v>0.0</v>
      </c>
      <c r="AM23" s="79">
        <v>0.0</v>
      </c>
      <c r="AN23" s="79">
        <v>19042.0</v>
      </c>
      <c r="AO23" s="79">
        <v>209466.0</v>
      </c>
      <c r="AP23" s="79">
        <v>0.0</v>
      </c>
      <c r="AQ23" s="79">
        <v>82303.0</v>
      </c>
      <c r="AR23" s="79" t="s">
        <v>489</v>
      </c>
      <c r="AS23" s="79">
        <v>0.0</v>
      </c>
      <c r="AT23" s="79" t="s">
        <v>507</v>
      </c>
      <c r="AU23" s="79" t="s">
        <v>491</v>
      </c>
      <c r="AV23" s="79">
        <v>0.0</v>
      </c>
      <c r="AW23" s="79" t="s">
        <v>508</v>
      </c>
      <c r="AX23" s="79">
        <v>0.0</v>
      </c>
      <c r="AY23" s="79"/>
      <c r="AZ23" s="79">
        <v>0.0</v>
      </c>
      <c r="BA23" s="79"/>
      <c r="BB23" s="79">
        <v>0.0</v>
      </c>
      <c r="BC23" s="79"/>
      <c r="BD23" s="79">
        <v>0.0</v>
      </c>
      <c r="BE23" s="79"/>
      <c r="BF23" s="79">
        <v>0.0</v>
      </c>
      <c r="BG23" s="79"/>
      <c r="BH23" s="79">
        <v>0.0</v>
      </c>
      <c r="BI23" s="79" t="s">
        <v>493</v>
      </c>
      <c r="BJ23" s="79">
        <v>0.0</v>
      </c>
      <c r="BK23" s="79" t="s">
        <v>494</v>
      </c>
      <c r="BL23" s="79">
        <v>0.0</v>
      </c>
      <c r="BM23" s="79" t="s">
        <v>495</v>
      </c>
      <c r="BN23" s="79">
        <v>0.0</v>
      </c>
      <c r="BO23" s="79" t="s">
        <v>496</v>
      </c>
      <c r="BP23" s="79">
        <v>0.0</v>
      </c>
      <c r="BQ23" s="79"/>
      <c r="BR23" s="79">
        <v>0.0</v>
      </c>
      <c r="BS23" s="79"/>
      <c r="BT23" s="79">
        <v>0.0</v>
      </c>
      <c r="BU23" s="79"/>
      <c r="BV23" s="79">
        <v>0.0</v>
      </c>
      <c r="BW23" s="79"/>
      <c r="BX23" s="79">
        <v>0.0</v>
      </c>
      <c r="BY23" s="79">
        <v>0.0</v>
      </c>
      <c r="BZ23" s="79" t="s">
        <v>491</v>
      </c>
      <c r="CA23" s="79">
        <v>0.0</v>
      </c>
      <c r="CB23" s="79" t="s">
        <v>507</v>
      </c>
      <c r="CC23" s="79" t="s">
        <v>508</v>
      </c>
      <c r="CD23" s="79">
        <v>0.0</v>
      </c>
      <c r="CE23" s="79"/>
      <c r="CF23" s="79">
        <v>0.0</v>
      </c>
      <c r="CG23" s="79"/>
      <c r="CH23" s="79">
        <v>0.0</v>
      </c>
      <c r="CI23" s="79"/>
      <c r="CJ23" s="79">
        <v>0.0</v>
      </c>
      <c r="CK23" s="79"/>
      <c r="CL23" s="79">
        <v>0.0</v>
      </c>
      <c r="CM23" s="79"/>
      <c r="CN23" s="79">
        <v>0.0</v>
      </c>
      <c r="CO23" s="79" t="s">
        <v>493</v>
      </c>
      <c r="CP23" s="79">
        <v>0.0</v>
      </c>
      <c r="CQ23" s="79" t="s">
        <v>494</v>
      </c>
      <c r="CR23" s="79">
        <v>0.0</v>
      </c>
      <c r="CS23" s="79" t="s">
        <v>495</v>
      </c>
      <c r="CT23" s="79">
        <v>0.0</v>
      </c>
      <c r="CU23" s="79" t="s">
        <v>496</v>
      </c>
      <c r="CV23" s="79">
        <v>0.0</v>
      </c>
      <c r="CW23" s="79"/>
      <c r="CX23" s="79">
        <v>0.0</v>
      </c>
      <c r="CY23" s="79"/>
      <c r="CZ23" s="79">
        <v>0.0</v>
      </c>
      <c r="DA23" s="79"/>
      <c r="DB23" s="79">
        <v>0.0</v>
      </c>
      <c r="DC23" s="79"/>
      <c r="DD23" s="79">
        <v>0.0</v>
      </c>
      <c r="DE23" s="79">
        <v>11407.0</v>
      </c>
      <c r="DF23" s="79">
        <v>261320.0</v>
      </c>
      <c r="DG23" s="79">
        <v>0.0</v>
      </c>
      <c r="DH23" s="79">
        <v>33560.0</v>
      </c>
      <c r="DI23" s="79">
        <v>156864.0</v>
      </c>
      <c r="DJ23" s="79" t="s">
        <v>640</v>
      </c>
      <c r="DK23" s="79" t="s">
        <v>486</v>
      </c>
      <c r="DL23" s="79" t="s">
        <v>537</v>
      </c>
      <c r="DM23" s="79" t="s">
        <v>641</v>
      </c>
      <c r="DN23" s="79"/>
      <c r="DO23" s="79" t="s">
        <v>642</v>
      </c>
      <c r="DP23" s="79"/>
      <c r="DQ23" s="79"/>
      <c r="DR23" s="79"/>
      <c r="DS23" s="79"/>
      <c r="DT23" s="82"/>
      <c r="DU23" s="79"/>
      <c r="DV23" s="82"/>
      <c r="DW23" s="79"/>
      <c r="DX23" s="79"/>
      <c r="DY23" s="79"/>
      <c r="DZ23" s="79"/>
      <c r="EA23" s="79"/>
      <c r="EB23" s="79"/>
      <c r="EC23" s="79"/>
      <c r="ED23" s="79"/>
      <c r="EE23" s="79"/>
      <c r="EF23" s="82"/>
      <c r="EG23" s="79"/>
      <c r="EH23" s="82"/>
      <c r="EI23" s="79"/>
      <c r="EJ23" s="82"/>
      <c r="EK23" s="79"/>
      <c r="EL23" s="82"/>
      <c r="EM23" s="79"/>
      <c r="EN23" s="79" t="s">
        <v>57</v>
      </c>
      <c r="EO23" s="79" t="s">
        <v>48</v>
      </c>
      <c r="EP23" s="80"/>
      <c r="EQ23" s="83"/>
      <c r="ER23" s="83" t="str">
        <f t="shared" si="1"/>
        <v/>
      </c>
      <c r="ES23" s="82"/>
      <c r="ET23" s="79" t="str">
        <f t="shared" si="2"/>
        <v/>
      </c>
      <c r="EU23" s="79"/>
      <c r="EV23" s="82"/>
      <c r="EW23" s="82"/>
      <c r="EX23" s="82"/>
      <c r="EY23" s="82"/>
      <c r="EZ23" s="82"/>
      <c r="FA23" s="82"/>
      <c r="FB23" s="82"/>
    </row>
    <row r="24" ht="15.75" customHeight="1">
      <c r="A24" s="79" t="s">
        <v>643</v>
      </c>
      <c r="B24" s="79" t="s">
        <v>475</v>
      </c>
      <c r="C24" s="79" t="s">
        <v>476</v>
      </c>
      <c r="D24" s="80">
        <v>46089.0</v>
      </c>
      <c r="E24" s="79" t="s">
        <v>644</v>
      </c>
      <c r="F24" s="79" t="s">
        <v>568</v>
      </c>
      <c r="G24" s="79" t="s">
        <v>600</v>
      </c>
      <c r="H24" s="79" t="s">
        <v>611</v>
      </c>
      <c r="I24" s="79"/>
      <c r="J24" s="79" t="s">
        <v>645</v>
      </c>
      <c r="K24" s="79">
        <v>0.0</v>
      </c>
      <c r="L24" s="79"/>
      <c r="M24" s="79" t="s">
        <v>613</v>
      </c>
      <c r="N24" s="79" t="s">
        <v>646</v>
      </c>
      <c r="O24" s="79"/>
      <c r="P24" s="79"/>
      <c r="Q24" s="79" t="s">
        <v>647</v>
      </c>
      <c r="R24" s="80">
        <v>46108.0</v>
      </c>
      <c r="S24" s="79"/>
      <c r="T24" s="79">
        <v>12219.0</v>
      </c>
      <c r="U24" s="79"/>
      <c r="V24" s="79"/>
      <c r="W24" s="80">
        <v>46086.0</v>
      </c>
      <c r="X24" s="79"/>
      <c r="Y24" s="80">
        <v>46093.0</v>
      </c>
      <c r="Z24" s="79" t="s">
        <v>486</v>
      </c>
      <c r="AA24" s="79" t="s">
        <v>487</v>
      </c>
      <c r="AB24" s="79" t="s">
        <v>486</v>
      </c>
      <c r="AC24" s="79" t="s">
        <v>488</v>
      </c>
      <c r="AD24" s="79">
        <v>31000.0</v>
      </c>
      <c r="AE24" s="79">
        <v>0.0</v>
      </c>
      <c r="AF24" s="79">
        <v>0.0</v>
      </c>
      <c r="AG24" s="79">
        <v>3100.0</v>
      </c>
      <c r="AH24" s="81">
        <v>34100.0</v>
      </c>
      <c r="AI24" s="79"/>
      <c r="AJ24" s="79">
        <v>0.0</v>
      </c>
      <c r="AK24" s="79">
        <v>0.0</v>
      </c>
      <c r="AL24" s="79">
        <v>0.0</v>
      </c>
      <c r="AM24" s="79">
        <v>0.0</v>
      </c>
      <c r="AN24" s="79">
        <v>0.0</v>
      </c>
      <c r="AO24" s="79">
        <v>0.0</v>
      </c>
      <c r="AP24" s="79">
        <v>0.0</v>
      </c>
      <c r="AQ24" s="79">
        <v>31000.0</v>
      </c>
      <c r="AR24" s="79" t="s">
        <v>489</v>
      </c>
      <c r="AS24" s="79">
        <v>0.0</v>
      </c>
      <c r="AT24" s="79" t="s">
        <v>490</v>
      </c>
      <c r="AU24" s="79" t="s">
        <v>491</v>
      </c>
      <c r="AV24" s="79">
        <v>0.0</v>
      </c>
      <c r="AW24" s="79"/>
      <c r="AX24" s="79">
        <v>0.0</v>
      </c>
      <c r="AY24" s="79" t="s">
        <v>492</v>
      </c>
      <c r="AZ24" s="79">
        <v>0.0</v>
      </c>
      <c r="BA24" s="79"/>
      <c r="BB24" s="79">
        <v>0.0</v>
      </c>
      <c r="BC24" s="79"/>
      <c r="BD24" s="79">
        <v>0.0</v>
      </c>
      <c r="BE24" s="79"/>
      <c r="BF24" s="79">
        <v>0.0</v>
      </c>
      <c r="BG24" s="79"/>
      <c r="BH24" s="79">
        <v>0.0</v>
      </c>
      <c r="BI24" s="79" t="s">
        <v>493</v>
      </c>
      <c r="BJ24" s="79">
        <v>0.0</v>
      </c>
      <c r="BK24" s="79" t="s">
        <v>494</v>
      </c>
      <c r="BL24" s="79">
        <v>0.0</v>
      </c>
      <c r="BM24" s="79" t="s">
        <v>495</v>
      </c>
      <c r="BN24" s="79">
        <v>0.0</v>
      </c>
      <c r="BO24" s="79" t="s">
        <v>496</v>
      </c>
      <c r="BP24" s="79">
        <v>0.0</v>
      </c>
      <c r="BQ24" s="79"/>
      <c r="BR24" s="79">
        <v>0.0</v>
      </c>
      <c r="BS24" s="79"/>
      <c r="BT24" s="79">
        <v>0.0</v>
      </c>
      <c r="BU24" s="79"/>
      <c r="BV24" s="79">
        <v>0.0</v>
      </c>
      <c r="BW24" s="79"/>
      <c r="BX24" s="79">
        <v>0.0</v>
      </c>
      <c r="BY24" s="79">
        <v>0.0</v>
      </c>
      <c r="BZ24" s="79" t="s">
        <v>491</v>
      </c>
      <c r="CA24" s="79">
        <v>0.0</v>
      </c>
      <c r="CB24" s="79" t="s">
        <v>490</v>
      </c>
      <c r="CC24" s="79"/>
      <c r="CD24" s="79">
        <v>0.0</v>
      </c>
      <c r="CE24" s="79" t="s">
        <v>492</v>
      </c>
      <c r="CF24" s="79">
        <v>0.0</v>
      </c>
      <c r="CG24" s="79"/>
      <c r="CH24" s="79">
        <v>0.0</v>
      </c>
      <c r="CI24" s="79"/>
      <c r="CJ24" s="79">
        <v>0.0</v>
      </c>
      <c r="CK24" s="79"/>
      <c r="CL24" s="79">
        <v>0.0</v>
      </c>
      <c r="CM24" s="79"/>
      <c r="CN24" s="79">
        <v>0.0</v>
      </c>
      <c r="CO24" s="79" t="s">
        <v>493</v>
      </c>
      <c r="CP24" s="79">
        <v>0.0</v>
      </c>
      <c r="CQ24" s="79" t="s">
        <v>494</v>
      </c>
      <c r="CR24" s="79">
        <v>0.0</v>
      </c>
      <c r="CS24" s="79" t="s">
        <v>495</v>
      </c>
      <c r="CT24" s="79">
        <v>0.0</v>
      </c>
      <c r="CU24" s="79" t="s">
        <v>496</v>
      </c>
      <c r="CV24" s="79">
        <v>0.0</v>
      </c>
      <c r="CW24" s="79"/>
      <c r="CX24" s="79">
        <v>0.0</v>
      </c>
      <c r="CY24" s="79"/>
      <c r="CZ24" s="79">
        <v>0.0</v>
      </c>
      <c r="DA24" s="79"/>
      <c r="DB24" s="79">
        <v>0.0</v>
      </c>
      <c r="DC24" s="79"/>
      <c r="DD24" s="79">
        <v>0.0</v>
      </c>
      <c r="DE24" s="79">
        <v>28000.0</v>
      </c>
      <c r="DF24" s="79">
        <v>3000.0</v>
      </c>
      <c r="DG24" s="79">
        <v>0.0</v>
      </c>
      <c r="DH24" s="79">
        <v>0.0</v>
      </c>
      <c r="DI24" s="79">
        <v>0.0</v>
      </c>
      <c r="DJ24" s="79" t="s">
        <v>648</v>
      </c>
      <c r="DK24" s="79" t="s">
        <v>486</v>
      </c>
      <c r="DL24" s="79" t="s">
        <v>487</v>
      </c>
      <c r="DM24" s="79" t="s">
        <v>649</v>
      </c>
      <c r="DN24" s="79" t="s">
        <v>650</v>
      </c>
      <c r="DO24" s="79" t="s">
        <v>651</v>
      </c>
      <c r="DP24" s="79"/>
      <c r="DQ24" s="79"/>
      <c r="DR24" s="79"/>
      <c r="DS24" s="79"/>
      <c r="DT24" s="82"/>
      <c r="DU24" s="79"/>
      <c r="DV24" s="82"/>
      <c r="DW24" s="79"/>
      <c r="DX24" s="79"/>
      <c r="DY24" s="79"/>
      <c r="DZ24" s="79"/>
      <c r="EA24" s="79"/>
      <c r="EB24" s="79"/>
      <c r="EC24" s="79"/>
      <c r="ED24" s="79"/>
      <c r="EE24" s="79"/>
      <c r="EF24" s="82"/>
      <c r="EG24" s="79"/>
      <c r="EH24" s="82"/>
      <c r="EI24" s="79"/>
      <c r="EJ24" s="82"/>
      <c r="EK24" s="79"/>
      <c r="EL24" s="82"/>
      <c r="EM24" s="79"/>
      <c r="EN24" s="79" t="s">
        <v>79</v>
      </c>
      <c r="EO24" s="79"/>
      <c r="EP24" s="80"/>
      <c r="EQ24" s="83"/>
      <c r="ER24" s="83" t="str">
        <f t="shared" si="1"/>
        <v/>
      </c>
      <c r="ES24" s="82"/>
      <c r="ET24" s="79" t="str">
        <f t="shared" si="2"/>
        <v/>
      </c>
      <c r="EU24" s="79"/>
      <c r="EV24" s="82"/>
      <c r="EW24" s="82"/>
      <c r="EX24" s="82"/>
      <c r="EY24" s="82"/>
      <c r="EZ24" s="82"/>
      <c r="FA24" s="82"/>
      <c r="FB24" s="82"/>
    </row>
    <row r="25" ht="15.75" customHeight="1">
      <c r="A25" s="79" t="s">
        <v>652</v>
      </c>
      <c r="B25" s="79" t="s">
        <v>530</v>
      </c>
      <c r="C25" s="79" t="s">
        <v>476</v>
      </c>
      <c r="D25" s="80">
        <v>46089.0</v>
      </c>
      <c r="E25" s="79" t="s">
        <v>633</v>
      </c>
      <c r="F25" s="79" t="s">
        <v>568</v>
      </c>
      <c r="G25" s="79" t="s">
        <v>635</v>
      </c>
      <c r="H25" s="79" t="s">
        <v>636</v>
      </c>
      <c r="I25" s="79" t="s">
        <v>480</v>
      </c>
      <c r="J25" s="79" t="s">
        <v>637</v>
      </c>
      <c r="K25" s="79">
        <v>3000.0</v>
      </c>
      <c r="L25" s="79"/>
      <c r="M25" s="79" t="s">
        <v>613</v>
      </c>
      <c r="N25" s="79" t="s">
        <v>638</v>
      </c>
      <c r="O25" s="79" t="s">
        <v>573</v>
      </c>
      <c r="P25" s="79"/>
      <c r="Q25" s="79" t="s">
        <v>639</v>
      </c>
      <c r="R25" s="80">
        <v>47147.0</v>
      </c>
      <c r="S25" s="79"/>
      <c r="T25" s="79"/>
      <c r="U25" s="79"/>
      <c r="V25" s="79"/>
      <c r="W25" s="79"/>
      <c r="X25" s="79"/>
      <c r="Y25" s="79"/>
      <c r="Z25" s="79" t="s">
        <v>486</v>
      </c>
      <c r="AA25" s="79" t="s">
        <v>537</v>
      </c>
      <c r="AB25" s="79" t="s">
        <v>486</v>
      </c>
      <c r="AC25" s="79" t="s">
        <v>488</v>
      </c>
      <c r="AD25" s="79">
        <v>80000.0</v>
      </c>
      <c r="AE25" s="79">
        <v>0.0</v>
      </c>
      <c r="AF25" s="79">
        <v>0.0</v>
      </c>
      <c r="AG25" s="79">
        <v>8000.0</v>
      </c>
      <c r="AH25" s="83">
        <v>88000.0</v>
      </c>
      <c r="AI25" s="79"/>
      <c r="AJ25" s="79">
        <v>0.0</v>
      </c>
      <c r="AK25" s="79">
        <v>0.0</v>
      </c>
      <c r="AL25" s="83">
        <v>0.0</v>
      </c>
      <c r="AM25" s="79">
        <v>0.0</v>
      </c>
      <c r="AN25" s="79">
        <v>0.0</v>
      </c>
      <c r="AO25" s="79">
        <v>0.0</v>
      </c>
      <c r="AP25" s="79">
        <v>0.0</v>
      </c>
      <c r="AQ25" s="79">
        <v>80000.0</v>
      </c>
      <c r="AR25" s="79" t="s">
        <v>489</v>
      </c>
      <c r="AS25" s="79">
        <v>0.0</v>
      </c>
      <c r="AT25" s="79" t="s">
        <v>507</v>
      </c>
      <c r="AU25" s="79" t="s">
        <v>491</v>
      </c>
      <c r="AV25" s="79">
        <v>0.0</v>
      </c>
      <c r="AW25" s="79" t="s">
        <v>508</v>
      </c>
      <c r="AX25" s="79">
        <v>0.0</v>
      </c>
      <c r="AY25" s="79"/>
      <c r="AZ25" s="79">
        <v>0.0</v>
      </c>
      <c r="BA25" s="82"/>
      <c r="BB25" s="79">
        <v>0.0</v>
      </c>
      <c r="BC25" s="82"/>
      <c r="BD25" s="79">
        <v>0.0</v>
      </c>
      <c r="BE25" s="82"/>
      <c r="BF25" s="79">
        <v>0.0</v>
      </c>
      <c r="BG25" s="79"/>
      <c r="BH25" s="79">
        <v>0.0</v>
      </c>
      <c r="BI25" s="79" t="s">
        <v>493</v>
      </c>
      <c r="BJ25" s="79">
        <v>0.0</v>
      </c>
      <c r="BK25" s="79" t="s">
        <v>494</v>
      </c>
      <c r="BL25" s="79">
        <v>0.0</v>
      </c>
      <c r="BM25" s="79" t="s">
        <v>495</v>
      </c>
      <c r="BN25" s="79">
        <v>0.0</v>
      </c>
      <c r="BO25" s="79" t="s">
        <v>496</v>
      </c>
      <c r="BP25" s="79">
        <v>0.0</v>
      </c>
      <c r="BQ25" s="79"/>
      <c r="BR25" s="79">
        <v>0.0</v>
      </c>
      <c r="BS25" s="79"/>
      <c r="BT25" s="79">
        <v>0.0</v>
      </c>
      <c r="BU25" s="79"/>
      <c r="BV25" s="79">
        <v>0.0</v>
      </c>
      <c r="BW25" s="79"/>
      <c r="BX25" s="79">
        <v>0.0</v>
      </c>
      <c r="BY25" s="79">
        <v>0.0</v>
      </c>
      <c r="BZ25" s="79" t="s">
        <v>491</v>
      </c>
      <c r="CA25" s="79">
        <v>0.0</v>
      </c>
      <c r="CB25" s="79" t="s">
        <v>507</v>
      </c>
      <c r="CC25" s="79" t="s">
        <v>508</v>
      </c>
      <c r="CD25" s="79">
        <v>0.0</v>
      </c>
      <c r="CE25" s="79"/>
      <c r="CF25" s="79">
        <v>0.0</v>
      </c>
      <c r="CG25" s="79"/>
      <c r="CH25" s="79">
        <v>0.0</v>
      </c>
      <c r="CI25" s="79"/>
      <c r="CJ25" s="79">
        <v>0.0</v>
      </c>
      <c r="CK25" s="79"/>
      <c r="CL25" s="79">
        <v>0.0</v>
      </c>
      <c r="CM25" s="79"/>
      <c r="CN25" s="79">
        <v>0.0</v>
      </c>
      <c r="CO25" s="79" t="s">
        <v>493</v>
      </c>
      <c r="CP25" s="79">
        <v>0.0</v>
      </c>
      <c r="CQ25" s="79" t="s">
        <v>494</v>
      </c>
      <c r="CR25" s="79">
        <v>0.0</v>
      </c>
      <c r="CS25" s="79" t="s">
        <v>495</v>
      </c>
      <c r="CT25" s="79">
        <v>0.0</v>
      </c>
      <c r="CU25" s="79" t="s">
        <v>496</v>
      </c>
      <c r="CV25" s="79">
        <v>0.0</v>
      </c>
      <c r="CW25" s="79"/>
      <c r="CX25" s="79">
        <v>0.0</v>
      </c>
      <c r="CY25" s="79"/>
      <c r="CZ25" s="79">
        <v>0.0</v>
      </c>
      <c r="DA25" s="79"/>
      <c r="DB25" s="79">
        <v>0.0</v>
      </c>
      <c r="DC25" s="79"/>
      <c r="DD25" s="79">
        <v>0.0</v>
      </c>
      <c r="DE25" s="79">
        <v>80000.0</v>
      </c>
      <c r="DF25" s="79">
        <v>0.0</v>
      </c>
      <c r="DG25" s="79">
        <v>0.0</v>
      </c>
      <c r="DH25" s="79">
        <v>0.0</v>
      </c>
      <c r="DI25" s="79">
        <v>0.0</v>
      </c>
      <c r="DJ25" s="79" t="s">
        <v>640</v>
      </c>
      <c r="DK25" s="79" t="s">
        <v>486</v>
      </c>
      <c r="DL25" s="79" t="s">
        <v>537</v>
      </c>
      <c r="DM25" s="79" t="s">
        <v>641</v>
      </c>
      <c r="DN25" s="82"/>
      <c r="DO25" s="79" t="s">
        <v>642</v>
      </c>
      <c r="DP25" s="82"/>
      <c r="DQ25" s="79"/>
      <c r="DR25" s="82"/>
      <c r="DS25" s="79"/>
      <c r="DT25" s="82"/>
      <c r="DU25" s="79"/>
      <c r="DV25" s="82"/>
      <c r="DW25" s="79"/>
      <c r="DX25" s="79"/>
      <c r="DY25" s="79"/>
      <c r="DZ25" s="79"/>
      <c r="EA25" s="79"/>
      <c r="EB25" s="79"/>
      <c r="EC25" s="79"/>
      <c r="ED25" s="79"/>
      <c r="EE25" s="79"/>
      <c r="EF25" s="82"/>
      <c r="EG25" s="79"/>
      <c r="EH25" s="82"/>
      <c r="EI25" s="79"/>
      <c r="EJ25" s="82"/>
      <c r="EK25" s="79"/>
      <c r="EL25" s="82"/>
      <c r="EM25" s="79"/>
      <c r="EN25" s="79" t="s">
        <v>79</v>
      </c>
      <c r="EO25" s="79"/>
      <c r="EP25" s="80"/>
      <c r="EQ25" s="83"/>
      <c r="ER25" s="83" t="str">
        <f t="shared" si="1"/>
        <v/>
      </c>
      <c r="ES25" s="82"/>
      <c r="ET25" s="79" t="str">
        <f t="shared" si="2"/>
        <v/>
      </c>
      <c r="EU25" s="79"/>
      <c r="EV25" s="79"/>
      <c r="EW25" s="82"/>
      <c r="EX25" s="82"/>
      <c r="EY25" s="82"/>
      <c r="EZ25" s="82"/>
      <c r="FA25" s="82"/>
      <c r="FB25" s="82"/>
    </row>
    <row r="26" ht="15.75" customHeight="1">
      <c r="A26" s="79" t="s">
        <v>653</v>
      </c>
      <c r="B26" s="79" t="s">
        <v>654</v>
      </c>
      <c r="C26" s="79" t="s">
        <v>476</v>
      </c>
      <c r="D26" s="80">
        <v>46089.0</v>
      </c>
      <c r="E26" s="79"/>
      <c r="F26" s="82"/>
      <c r="G26" s="79" t="s">
        <v>655</v>
      </c>
      <c r="H26" s="79" t="s">
        <v>611</v>
      </c>
      <c r="I26" s="79"/>
      <c r="J26" s="79" t="s">
        <v>656</v>
      </c>
      <c r="K26" s="79">
        <v>2000.0</v>
      </c>
      <c r="L26" s="79"/>
      <c r="M26" s="79" t="s">
        <v>657</v>
      </c>
      <c r="N26" s="79" t="s">
        <v>658</v>
      </c>
      <c r="O26" s="79" t="s">
        <v>573</v>
      </c>
      <c r="P26" s="79"/>
      <c r="Q26" s="79" t="s">
        <v>659</v>
      </c>
      <c r="R26" s="80">
        <v>46293.0</v>
      </c>
      <c r="S26" s="79"/>
      <c r="T26" s="79">
        <v>16852.0</v>
      </c>
      <c r="U26" s="79"/>
      <c r="V26" s="79"/>
      <c r="W26" s="79"/>
      <c r="X26" s="79"/>
      <c r="Y26" s="79"/>
      <c r="Z26" s="79" t="s">
        <v>524</v>
      </c>
      <c r="AA26" s="79" t="s">
        <v>487</v>
      </c>
      <c r="AB26" s="79" t="s">
        <v>486</v>
      </c>
      <c r="AC26" s="79" t="s">
        <v>488</v>
      </c>
      <c r="AD26" s="79">
        <v>8000.0</v>
      </c>
      <c r="AE26" s="79">
        <v>0.0</v>
      </c>
      <c r="AF26" s="79">
        <v>0.0</v>
      </c>
      <c r="AG26" s="79">
        <v>800.0</v>
      </c>
      <c r="AH26" s="83">
        <v>8800.0</v>
      </c>
      <c r="AI26" s="79"/>
      <c r="AJ26" s="79">
        <v>0.0</v>
      </c>
      <c r="AK26" s="79">
        <v>0.0</v>
      </c>
      <c r="AL26" s="83">
        <v>0.0</v>
      </c>
      <c r="AM26" s="79">
        <v>0.0</v>
      </c>
      <c r="AN26" s="79">
        <v>0.0</v>
      </c>
      <c r="AO26" s="79">
        <v>0.0</v>
      </c>
      <c r="AP26" s="79">
        <v>0.0</v>
      </c>
      <c r="AQ26" s="79">
        <v>8000.0</v>
      </c>
      <c r="AR26" s="79" t="s">
        <v>489</v>
      </c>
      <c r="AS26" s="79">
        <v>0.0</v>
      </c>
      <c r="AT26" s="79" t="s">
        <v>490</v>
      </c>
      <c r="AU26" s="79" t="s">
        <v>491</v>
      </c>
      <c r="AV26" s="79">
        <v>0.0</v>
      </c>
      <c r="AW26" s="79"/>
      <c r="AX26" s="79">
        <v>0.0</v>
      </c>
      <c r="AY26" s="79" t="s">
        <v>492</v>
      </c>
      <c r="AZ26" s="79">
        <v>0.0</v>
      </c>
      <c r="BA26" s="79"/>
      <c r="BB26" s="79">
        <v>0.0</v>
      </c>
      <c r="BC26" s="82"/>
      <c r="BD26" s="79">
        <v>0.0</v>
      </c>
      <c r="BE26" s="82"/>
      <c r="BF26" s="79">
        <v>0.0</v>
      </c>
      <c r="BG26" s="82"/>
      <c r="BH26" s="79">
        <v>0.0</v>
      </c>
      <c r="BI26" s="79" t="s">
        <v>493</v>
      </c>
      <c r="BJ26" s="79">
        <v>0.0</v>
      </c>
      <c r="BK26" s="79" t="s">
        <v>494</v>
      </c>
      <c r="BL26" s="79">
        <v>0.0</v>
      </c>
      <c r="BM26" s="79" t="s">
        <v>495</v>
      </c>
      <c r="BN26" s="79">
        <v>0.0</v>
      </c>
      <c r="BO26" s="79" t="s">
        <v>496</v>
      </c>
      <c r="BP26" s="79">
        <v>0.0</v>
      </c>
      <c r="BQ26" s="79"/>
      <c r="BR26" s="79">
        <v>0.0</v>
      </c>
      <c r="BS26" s="79"/>
      <c r="BT26" s="79">
        <v>0.0</v>
      </c>
      <c r="BU26" s="79"/>
      <c r="BV26" s="79">
        <v>0.0</v>
      </c>
      <c r="BW26" s="79"/>
      <c r="BX26" s="79">
        <v>0.0</v>
      </c>
      <c r="BY26" s="79">
        <v>0.0</v>
      </c>
      <c r="BZ26" s="79" t="s">
        <v>491</v>
      </c>
      <c r="CA26" s="79">
        <v>0.0</v>
      </c>
      <c r="CB26" s="79" t="s">
        <v>490</v>
      </c>
      <c r="CC26" s="79"/>
      <c r="CD26" s="79">
        <v>0.0</v>
      </c>
      <c r="CE26" s="79" t="s">
        <v>492</v>
      </c>
      <c r="CF26" s="79">
        <v>0.0</v>
      </c>
      <c r="CG26" s="79"/>
      <c r="CH26" s="79">
        <v>0.0</v>
      </c>
      <c r="CI26" s="79"/>
      <c r="CJ26" s="79">
        <v>0.0</v>
      </c>
      <c r="CK26" s="79"/>
      <c r="CL26" s="79">
        <v>0.0</v>
      </c>
      <c r="CM26" s="79"/>
      <c r="CN26" s="79">
        <v>0.0</v>
      </c>
      <c r="CO26" s="79" t="s">
        <v>493</v>
      </c>
      <c r="CP26" s="79">
        <v>0.0</v>
      </c>
      <c r="CQ26" s="79" t="s">
        <v>494</v>
      </c>
      <c r="CR26" s="79">
        <v>0.0</v>
      </c>
      <c r="CS26" s="79" t="s">
        <v>495</v>
      </c>
      <c r="CT26" s="79">
        <v>0.0</v>
      </c>
      <c r="CU26" s="79" t="s">
        <v>496</v>
      </c>
      <c r="CV26" s="79">
        <v>0.0</v>
      </c>
      <c r="CW26" s="79"/>
      <c r="CX26" s="79">
        <v>0.0</v>
      </c>
      <c r="CY26" s="79"/>
      <c r="CZ26" s="79">
        <v>0.0</v>
      </c>
      <c r="DA26" s="79"/>
      <c r="DB26" s="79">
        <v>0.0</v>
      </c>
      <c r="DC26" s="79"/>
      <c r="DD26" s="79">
        <v>0.0</v>
      </c>
      <c r="DE26" s="79">
        <v>8000.0</v>
      </c>
      <c r="DF26" s="79">
        <v>0.0</v>
      </c>
      <c r="DG26" s="79">
        <v>0.0</v>
      </c>
      <c r="DH26" s="79">
        <v>0.0</v>
      </c>
      <c r="DI26" s="79">
        <v>0.0</v>
      </c>
      <c r="DJ26" s="79"/>
      <c r="DK26" s="79"/>
      <c r="DL26" s="79"/>
      <c r="DM26" s="79"/>
      <c r="DN26" s="82"/>
      <c r="DO26" s="79"/>
      <c r="DP26" s="82"/>
      <c r="DQ26" s="79"/>
      <c r="DR26" s="82"/>
      <c r="DS26" s="79"/>
      <c r="DT26" s="82"/>
      <c r="DU26" s="79"/>
      <c r="DV26" s="82"/>
      <c r="DW26" s="79"/>
      <c r="DX26" s="79"/>
      <c r="DY26" s="79"/>
      <c r="DZ26" s="79"/>
      <c r="EA26" s="79"/>
      <c r="EB26" s="79"/>
      <c r="EC26" s="79"/>
      <c r="ED26" s="79"/>
      <c r="EE26" s="79"/>
      <c r="EF26" s="82"/>
      <c r="EG26" s="79"/>
      <c r="EH26" s="82"/>
      <c r="EI26" s="79"/>
      <c r="EJ26" s="82"/>
      <c r="EK26" s="79"/>
      <c r="EL26" s="82"/>
      <c r="EM26" s="79"/>
      <c r="EN26" s="79" t="s">
        <v>79</v>
      </c>
      <c r="EO26" s="79"/>
      <c r="EP26" s="80"/>
      <c r="EQ26" s="83"/>
      <c r="ER26" s="83" t="str">
        <f t="shared" si="1"/>
        <v/>
      </c>
      <c r="ES26" s="82"/>
      <c r="ET26" s="79" t="str">
        <f t="shared" si="2"/>
        <v/>
      </c>
      <c r="EU26" s="79"/>
      <c r="EV26" s="79"/>
      <c r="EW26" s="82"/>
      <c r="EX26" s="82"/>
      <c r="EY26" s="82"/>
      <c r="EZ26" s="82"/>
      <c r="FA26" s="82"/>
      <c r="FB26" s="82"/>
    </row>
    <row r="27" ht="15.75" customHeight="1">
      <c r="A27" s="79" t="s">
        <v>660</v>
      </c>
      <c r="B27" s="79" t="s">
        <v>475</v>
      </c>
      <c r="C27" s="79" t="s">
        <v>476</v>
      </c>
      <c r="D27" s="80">
        <v>46090.0</v>
      </c>
      <c r="E27" s="79" t="s">
        <v>661</v>
      </c>
      <c r="F27" s="79" t="s">
        <v>568</v>
      </c>
      <c r="G27" s="79" t="s">
        <v>662</v>
      </c>
      <c r="H27" s="79" t="s">
        <v>611</v>
      </c>
      <c r="I27" s="79"/>
      <c r="J27" s="79" t="s">
        <v>663</v>
      </c>
      <c r="K27" s="79">
        <v>0.0</v>
      </c>
      <c r="L27" s="79"/>
      <c r="M27" s="79"/>
      <c r="N27" s="79"/>
      <c r="O27" s="79"/>
      <c r="P27" s="79"/>
      <c r="Q27" s="79"/>
      <c r="R27" s="80">
        <v>46295.0</v>
      </c>
      <c r="S27" s="79"/>
      <c r="T27" s="79">
        <v>78788.0</v>
      </c>
      <c r="U27" s="79"/>
      <c r="V27" s="79"/>
      <c r="W27" s="80">
        <v>46090.0</v>
      </c>
      <c r="X27" s="79"/>
      <c r="Y27" s="80">
        <v>46090.0</v>
      </c>
      <c r="Z27" s="79" t="s">
        <v>486</v>
      </c>
      <c r="AA27" s="79" t="s">
        <v>487</v>
      </c>
      <c r="AB27" s="79" t="s">
        <v>486</v>
      </c>
      <c r="AC27" s="79" t="s">
        <v>488</v>
      </c>
      <c r="AD27" s="79">
        <v>23000.0</v>
      </c>
      <c r="AE27" s="79">
        <v>0.0</v>
      </c>
      <c r="AF27" s="79">
        <v>0.0</v>
      </c>
      <c r="AG27" s="79">
        <v>2300.0</v>
      </c>
      <c r="AH27" s="81">
        <v>25300.0</v>
      </c>
      <c r="AI27" s="79"/>
      <c r="AJ27" s="79">
        <v>0.0</v>
      </c>
      <c r="AK27" s="79">
        <v>0.0</v>
      </c>
      <c r="AL27" s="79">
        <v>0.0</v>
      </c>
      <c r="AM27" s="79">
        <v>0.0</v>
      </c>
      <c r="AN27" s="79">
        <v>0.0</v>
      </c>
      <c r="AO27" s="79">
        <v>0.0</v>
      </c>
      <c r="AP27" s="79">
        <v>0.0</v>
      </c>
      <c r="AQ27" s="79">
        <v>23000.0</v>
      </c>
      <c r="AR27" s="79" t="s">
        <v>489</v>
      </c>
      <c r="AS27" s="79">
        <v>0.0</v>
      </c>
      <c r="AT27" s="79" t="s">
        <v>507</v>
      </c>
      <c r="AU27" s="79" t="s">
        <v>491</v>
      </c>
      <c r="AV27" s="79">
        <v>0.0</v>
      </c>
      <c r="AW27" s="79" t="s">
        <v>508</v>
      </c>
      <c r="AX27" s="79">
        <v>0.0</v>
      </c>
      <c r="AY27" s="79"/>
      <c r="AZ27" s="79">
        <v>0.0</v>
      </c>
      <c r="BA27" s="79"/>
      <c r="BB27" s="79">
        <v>0.0</v>
      </c>
      <c r="BC27" s="79"/>
      <c r="BD27" s="79">
        <v>0.0</v>
      </c>
      <c r="BE27" s="79"/>
      <c r="BF27" s="79">
        <v>0.0</v>
      </c>
      <c r="BG27" s="79"/>
      <c r="BH27" s="79">
        <v>0.0</v>
      </c>
      <c r="BI27" s="79" t="s">
        <v>493</v>
      </c>
      <c r="BJ27" s="79">
        <v>0.0</v>
      </c>
      <c r="BK27" s="79" t="s">
        <v>494</v>
      </c>
      <c r="BL27" s="79">
        <v>0.0</v>
      </c>
      <c r="BM27" s="79" t="s">
        <v>495</v>
      </c>
      <c r="BN27" s="79">
        <v>0.0</v>
      </c>
      <c r="BO27" s="79" t="s">
        <v>496</v>
      </c>
      <c r="BP27" s="79">
        <v>0.0</v>
      </c>
      <c r="BQ27" s="79"/>
      <c r="BR27" s="79">
        <v>0.0</v>
      </c>
      <c r="BS27" s="79"/>
      <c r="BT27" s="79">
        <v>0.0</v>
      </c>
      <c r="BU27" s="79"/>
      <c r="BV27" s="79">
        <v>0.0</v>
      </c>
      <c r="BW27" s="79"/>
      <c r="BX27" s="79">
        <v>0.0</v>
      </c>
      <c r="BY27" s="79">
        <v>0.0</v>
      </c>
      <c r="BZ27" s="79" t="s">
        <v>491</v>
      </c>
      <c r="CA27" s="79">
        <v>0.0</v>
      </c>
      <c r="CB27" s="79" t="s">
        <v>507</v>
      </c>
      <c r="CC27" s="79" t="s">
        <v>508</v>
      </c>
      <c r="CD27" s="79">
        <v>0.0</v>
      </c>
      <c r="CE27" s="79"/>
      <c r="CF27" s="79">
        <v>0.0</v>
      </c>
      <c r="CG27" s="79"/>
      <c r="CH27" s="79">
        <v>0.0</v>
      </c>
      <c r="CI27" s="79"/>
      <c r="CJ27" s="79">
        <v>0.0</v>
      </c>
      <c r="CK27" s="79"/>
      <c r="CL27" s="79">
        <v>0.0</v>
      </c>
      <c r="CM27" s="79"/>
      <c r="CN27" s="79">
        <v>0.0</v>
      </c>
      <c r="CO27" s="79" t="s">
        <v>493</v>
      </c>
      <c r="CP27" s="79">
        <v>0.0</v>
      </c>
      <c r="CQ27" s="79" t="s">
        <v>494</v>
      </c>
      <c r="CR27" s="79">
        <v>0.0</v>
      </c>
      <c r="CS27" s="79" t="s">
        <v>495</v>
      </c>
      <c r="CT27" s="79">
        <v>0.0</v>
      </c>
      <c r="CU27" s="79" t="s">
        <v>496</v>
      </c>
      <c r="CV27" s="79">
        <v>0.0</v>
      </c>
      <c r="CW27" s="79"/>
      <c r="CX27" s="79">
        <v>0.0</v>
      </c>
      <c r="CY27" s="79"/>
      <c r="CZ27" s="79">
        <v>0.0</v>
      </c>
      <c r="DA27" s="79"/>
      <c r="DB27" s="79">
        <v>0.0</v>
      </c>
      <c r="DC27" s="79"/>
      <c r="DD27" s="79">
        <v>0.0</v>
      </c>
      <c r="DE27" s="79">
        <v>23000.0</v>
      </c>
      <c r="DF27" s="79">
        <v>0.0</v>
      </c>
      <c r="DG27" s="79">
        <v>0.0</v>
      </c>
      <c r="DH27" s="79">
        <v>0.0</v>
      </c>
      <c r="DI27" s="79">
        <v>0.0</v>
      </c>
      <c r="DJ27" s="79" t="s">
        <v>664</v>
      </c>
      <c r="DK27" s="79" t="s">
        <v>486</v>
      </c>
      <c r="DL27" s="79" t="s">
        <v>487</v>
      </c>
      <c r="DM27" s="79" t="s">
        <v>665</v>
      </c>
      <c r="DN27" s="79" t="s">
        <v>666</v>
      </c>
      <c r="DO27" s="79" t="s">
        <v>667</v>
      </c>
      <c r="DP27" s="79"/>
      <c r="DQ27" s="79"/>
      <c r="DR27" s="79"/>
      <c r="DS27" s="79"/>
      <c r="DT27" s="82"/>
      <c r="DU27" s="79"/>
      <c r="DV27" s="82"/>
      <c r="DW27" s="79"/>
      <c r="DX27" s="79"/>
      <c r="DY27" s="79"/>
      <c r="DZ27" s="79"/>
      <c r="EA27" s="79"/>
      <c r="EB27" s="79"/>
      <c r="EC27" s="79"/>
      <c r="ED27" s="82"/>
      <c r="EE27" s="79"/>
      <c r="EF27" s="82"/>
      <c r="EG27" s="79"/>
      <c r="EH27" s="82"/>
      <c r="EI27" s="79"/>
      <c r="EJ27" s="82"/>
      <c r="EK27" s="79"/>
      <c r="EL27" s="82"/>
      <c r="EM27" s="79"/>
      <c r="EN27" s="79" t="s">
        <v>79</v>
      </c>
      <c r="EO27" s="79"/>
      <c r="EP27" s="80"/>
      <c r="EQ27" s="83"/>
      <c r="ER27" s="83" t="str">
        <f t="shared" si="1"/>
        <v/>
      </c>
      <c r="ES27" s="79"/>
      <c r="ET27" s="79" t="str">
        <f t="shared" si="2"/>
        <v/>
      </c>
      <c r="EU27" s="79"/>
      <c r="EV27" s="79"/>
      <c r="EW27" s="82"/>
      <c r="EX27" s="82"/>
      <c r="EY27" s="82"/>
      <c r="EZ27" s="82"/>
      <c r="FA27" s="82"/>
      <c r="FB27" s="82"/>
    </row>
    <row r="28" ht="15.75" customHeight="1">
      <c r="A28" s="79" t="s">
        <v>668</v>
      </c>
      <c r="B28" s="79" t="s">
        <v>515</v>
      </c>
      <c r="C28" s="79" t="s">
        <v>476</v>
      </c>
      <c r="D28" s="80">
        <v>46090.0</v>
      </c>
      <c r="E28" s="79" t="s">
        <v>669</v>
      </c>
      <c r="F28" s="79" t="s">
        <v>568</v>
      </c>
      <c r="G28" s="79" t="s">
        <v>569</v>
      </c>
      <c r="H28" s="79" t="s">
        <v>534</v>
      </c>
      <c r="I28" s="79"/>
      <c r="J28" s="79" t="s">
        <v>670</v>
      </c>
      <c r="K28" s="79">
        <v>0.0</v>
      </c>
      <c r="L28" s="79"/>
      <c r="M28" s="79" t="s">
        <v>671</v>
      </c>
      <c r="N28" s="79"/>
      <c r="O28" s="79"/>
      <c r="P28" s="79"/>
      <c r="Q28" s="79"/>
      <c r="R28" s="80">
        <v>46842.0</v>
      </c>
      <c r="S28" s="79"/>
      <c r="T28" s="79">
        <v>7240.0</v>
      </c>
      <c r="U28" s="79"/>
      <c r="V28" s="79"/>
      <c r="W28" s="80">
        <v>46090.0</v>
      </c>
      <c r="X28" s="79"/>
      <c r="Y28" s="80">
        <v>46090.0</v>
      </c>
      <c r="Z28" s="79" t="s">
        <v>486</v>
      </c>
      <c r="AA28" s="79" t="s">
        <v>555</v>
      </c>
      <c r="AB28" s="79" t="s">
        <v>486</v>
      </c>
      <c r="AC28" s="79" t="s">
        <v>488</v>
      </c>
      <c r="AD28" s="79">
        <v>19375.0</v>
      </c>
      <c r="AE28" s="79">
        <v>0.0</v>
      </c>
      <c r="AF28" s="79">
        <v>0.0</v>
      </c>
      <c r="AG28" s="79">
        <v>1938.0</v>
      </c>
      <c r="AH28" s="81">
        <v>21313.0</v>
      </c>
      <c r="AI28" s="79"/>
      <c r="AJ28" s="79">
        <v>0.0</v>
      </c>
      <c r="AK28" s="79">
        <v>0.0</v>
      </c>
      <c r="AL28" s="79">
        <v>0.0</v>
      </c>
      <c r="AM28" s="79">
        <v>0.0</v>
      </c>
      <c r="AN28" s="79">
        <v>0.0</v>
      </c>
      <c r="AO28" s="79">
        <v>0.0</v>
      </c>
      <c r="AP28" s="79">
        <v>0.0</v>
      </c>
      <c r="AQ28" s="79">
        <v>19375.0</v>
      </c>
      <c r="AR28" s="79" t="s">
        <v>489</v>
      </c>
      <c r="AS28" s="79">
        <v>0.0</v>
      </c>
      <c r="AT28" s="79" t="s">
        <v>507</v>
      </c>
      <c r="AU28" s="79" t="s">
        <v>491</v>
      </c>
      <c r="AV28" s="79">
        <v>0.0</v>
      </c>
      <c r="AW28" s="79" t="s">
        <v>508</v>
      </c>
      <c r="AX28" s="79">
        <v>0.0</v>
      </c>
      <c r="AY28" s="79"/>
      <c r="AZ28" s="79">
        <v>0.0</v>
      </c>
      <c r="BA28" s="79"/>
      <c r="BB28" s="79">
        <v>0.0</v>
      </c>
      <c r="BC28" s="79"/>
      <c r="BD28" s="79">
        <v>0.0</v>
      </c>
      <c r="BE28" s="79"/>
      <c r="BF28" s="79">
        <v>0.0</v>
      </c>
      <c r="BG28" s="79"/>
      <c r="BH28" s="79">
        <v>0.0</v>
      </c>
      <c r="BI28" s="79" t="s">
        <v>493</v>
      </c>
      <c r="BJ28" s="79">
        <v>0.0</v>
      </c>
      <c r="BK28" s="79" t="s">
        <v>494</v>
      </c>
      <c r="BL28" s="79">
        <v>0.0</v>
      </c>
      <c r="BM28" s="79" t="s">
        <v>495</v>
      </c>
      <c r="BN28" s="79">
        <v>0.0</v>
      </c>
      <c r="BO28" s="79" t="s">
        <v>496</v>
      </c>
      <c r="BP28" s="79">
        <v>0.0</v>
      </c>
      <c r="BQ28" s="79"/>
      <c r="BR28" s="79">
        <v>0.0</v>
      </c>
      <c r="BS28" s="79"/>
      <c r="BT28" s="79">
        <v>0.0</v>
      </c>
      <c r="BU28" s="79"/>
      <c r="BV28" s="79">
        <v>0.0</v>
      </c>
      <c r="BW28" s="79"/>
      <c r="BX28" s="79">
        <v>0.0</v>
      </c>
      <c r="BY28" s="79">
        <v>0.0</v>
      </c>
      <c r="BZ28" s="79" t="s">
        <v>491</v>
      </c>
      <c r="CA28" s="79">
        <v>0.0</v>
      </c>
      <c r="CB28" s="79" t="s">
        <v>507</v>
      </c>
      <c r="CC28" s="79" t="s">
        <v>508</v>
      </c>
      <c r="CD28" s="79">
        <v>0.0</v>
      </c>
      <c r="CE28" s="79"/>
      <c r="CF28" s="79">
        <v>0.0</v>
      </c>
      <c r="CG28" s="79"/>
      <c r="CH28" s="79">
        <v>0.0</v>
      </c>
      <c r="CI28" s="79"/>
      <c r="CJ28" s="79">
        <v>0.0</v>
      </c>
      <c r="CK28" s="79"/>
      <c r="CL28" s="79">
        <v>0.0</v>
      </c>
      <c r="CM28" s="79"/>
      <c r="CN28" s="79">
        <v>0.0</v>
      </c>
      <c r="CO28" s="79" t="s">
        <v>493</v>
      </c>
      <c r="CP28" s="79">
        <v>0.0</v>
      </c>
      <c r="CQ28" s="79" t="s">
        <v>494</v>
      </c>
      <c r="CR28" s="79">
        <v>0.0</v>
      </c>
      <c r="CS28" s="79" t="s">
        <v>495</v>
      </c>
      <c r="CT28" s="79">
        <v>0.0</v>
      </c>
      <c r="CU28" s="79" t="s">
        <v>496</v>
      </c>
      <c r="CV28" s="79">
        <v>0.0</v>
      </c>
      <c r="CW28" s="79"/>
      <c r="CX28" s="79">
        <v>0.0</v>
      </c>
      <c r="CY28" s="79"/>
      <c r="CZ28" s="79">
        <v>0.0</v>
      </c>
      <c r="DA28" s="79"/>
      <c r="DB28" s="79">
        <v>0.0</v>
      </c>
      <c r="DC28" s="79"/>
      <c r="DD28" s="79">
        <v>0.0</v>
      </c>
      <c r="DE28" s="79">
        <v>17575.0</v>
      </c>
      <c r="DF28" s="79">
        <v>1800.0</v>
      </c>
      <c r="DG28" s="79">
        <v>0.0</v>
      </c>
      <c r="DH28" s="79">
        <v>0.0</v>
      </c>
      <c r="DI28" s="79">
        <v>0.0</v>
      </c>
      <c r="DJ28" s="79" t="s">
        <v>672</v>
      </c>
      <c r="DK28" s="79" t="s">
        <v>486</v>
      </c>
      <c r="DL28" s="79" t="s">
        <v>555</v>
      </c>
      <c r="DM28" s="79" t="s">
        <v>673</v>
      </c>
      <c r="DN28" s="79" t="s">
        <v>674</v>
      </c>
      <c r="DO28" s="79" t="s">
        <v>675</v>
      </c>
      <c r="DP28" s="79"/>
      <c r="DQ28" s="79"/>
      <c r="DR28" s="79"/>
      <c r="DS28" s="79"/>
      <c r="DT28" s="82"/>
      <c r="DU28" s="79"/>
      <c r="DV28" s="82"/>
      <c r="DW28" s="79"/>
      <c r="DX28" s="79"/>
      <c r="DY28" s="79"/>
      <c r="DZ28" s="79"/>
      <c r="EA28" s="79"/>
      <c r="EB28" s="79"/>
      <c r="EC28" s="79"/>
      <c r="ED28" s="79"/>
      <c r="EE28" s="79"/>
      <c r="EF28" s="82"/>
      <c r="EG28" s="79"/>
      <c r="EH28" s="82"/>
      <c r="EI28" s="79"/>
      <c r="EJ28" s="82"/>
      <c r="EK28" s="79"/>
      <c r="EL28" s="82"/>
      <c r="EM28" s="79"/>
      <c r="EN28" s="79" t="s">
        <v>79</v>
      </c>
      <c r="EO28" s="79"/>
      <c r="EP28" s="80"/>
      <c r="EQ28" s="83"/>
      <c r="ER28" s="83" t="str">
        <f t="shared" si="1"/>
        <v/>
      </c>
      <c r="ES28" s="82"/>
      <c r="ET28" s="82" t="str">
        <f t="shared" si="2"/>
        <v/>
      </c>
      <c r="EU28" s="79"/>
      <c r="EV28" s="82"/>
      <c r="EW28" s="82"/>
      <c r="EX28" s="82"/>
      <c r="EY28" s="82"/>
      <c r="EZ28" s="82"/>
      <c r="FA28" s="82"/>
      <c r="FB28" s="82"/>
    </row>
    <row r="29" ht="15.75" customHeight="1">
      <c r="A29" s="4" t="s">
        <v>676</v>
      </c>
      <c r="B29" s="4" t="s">
        <v>475</v>
      </c>
      <c r="C29" s="4" t="s">
        <v>476</v>
      </c>
      <c r="D29" s="78">
        <v>46090.0</v>
      </c>
      <c r="E29" s="4" t="s">
        <v>677</v>
      </c>
      <c r="F29" s="19"/>
      <c r="G29" s="4" t="s">
        <v>678</v>
      </c>
      <c r="H29" s="4" t="s">
        <v>679</v>
      </c>
      <c r="I29" s="4"/>
      <c r="J29" s="4"/>
      <c r="K29" s="4"/>
      <c r="L29" s="4"/>
      <c r="M29" s="4"/>
      <c r="N29" s="4"/>
      <c r="O29" s="4"/>
      <c r="P29" s="4"/>
      <c r="Q29" s="4"/>
      <c r="R29" s="4" t="s">
        <v>680</v>
      </c>
      <c r="S29" s="4"/>
      <c r="T29" s="4"/>
      <c r="U29" s="4"/>
      <c r="V29" s="4" t="s">
        <v>681</v>
      </c>
      <c r="W29" s="4"/>
      <c r="X29" s="4"/>
      <c r="Y29" s="4" t="s">
        <v>682</v>
      </c>
      <c r="Z29" s="4" t="s">
        <v>597</v>
      </c>
      <c r="AA29" s="4"/>
      <c r="AB29" s="4" t="s">
        <v>597</v>
      </c>
      <c r="AC29" s="4"/>
      <c r="AD29" s="4"/>
      <c r="AE29" s="4"/>
      <c r="AF29" s="4"/>
      <c r="AG29" s="4"/>
      <c r="AH29" s="23">
        <v>100000.0</v>
      </c>
      <c r="AI29" s="4"/>
      <c r="AJ29" s="4"/>
      <c r="AK29" s="4"/>
      <c r="AL29" s="19"/>
      <c r="AM29" s="19"/>
      <c r="AN29" s="19"/>
      <c r="AO29" s="19"/>
      <c r="AP29" s="19"/>
      <c r="AQ29" s="4">
        <v>90909.0</v>
      </c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19"/>
      <c r="DP29" s="19"/>
      <c r="DQ29" s="1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4" t="s">
        <v>57</v>
      </c>
      <c r="EO29" s="19"/>
      <c r="EP29" s="17"/>
      <c r="EQ29" s="23"/>
      <c r="ER29" s="23" t="str">
        <f t="shared" si="1"/>
        <v/>
      </c>
      <c r="ES29" s="19"/>
      <c r="ET29" s="19" t="str">
        <f t="shared" si="2"/>
        <v/>
      </c>
      <c r="EU29" s="19"/>
      <c r="EV29" s="19"/>
      <c r="EW29" s="19"/>
      <c r="EX29" s="19"/>
      <c r="EY29" s="19"/>
      <c r="EZ29" s="82"/>
      <c r="FA29" s="82"/>
      <c r="FB29" s="82"/>
    </row>
    <row r="30" ht="15.75" customHeight="1">
      <c r="A30" s="79" t="s">
        <v>683</v>
      </c>
      <c r="B30" s="79" t="s">
        <v>515</v>
      </c>
      <c r="C30" s="79" t="s">
        <v>476</v>
      </c>
      <c r="D30" s="80">
        <v>46093.0</v>
      </c>
      <c r="E30" s="79" t="s">
        <v>684</v>
      </c>
      <c r="F30" s="79"/>
      <c r="G30" s="79" t="s">
        <v>685</v>
      </c>
      <c r="H30" s="79" t="s">
        <v>686</v>
      </c>
      <c r="I30" s="79"/>
      <c r="J30" s="79" t="s">
        <v>687</v>
      </c>
      <c r="K30" s="79">
        <v>3000.0</v>
      </c>
      <c r="L30" s="79"/>
      <c r="M30" s="79" t="s">
        <v>688</v>
      </c>
      <c r="N30" s="79" t="s">
        <v>689</v>
      </c>
      <c r="O30" s="79" t="s">
        <v>484</v>
      </c>
      <c r="P30" s="79"/>
      <c r="Q30" s="79" t="s">
        <v>690</v>
      </c>
      <c r="R30" s="80">
        <v>46495.0</v>
      </c>
      <c r="S30" s="79"/>
      <c r="T30" s="79">
        <v>72830.0</v>
      </c>
      <c r="U30" s="79"/>
      <c r="V30" s="79"/>
      <c r="W30" s="80">
        <v>46093.0</v>
      </c>
      <c r="X30" s="79"/>
      <c r="Y30" s="80">
        <v>46095.0</v>
      </c>
      <c r="Z30" s="79" t="s">
        <v>557</v>
      </c>
      <c r="AA30" s="79" t="s">
        <v>487</v>
      </c>
      <c r="AB30" s="79" t="s">
        <v>557</v>
      </c>
      <c r="AC30" s="79" t="s">
        <v>488</v>
      </c>
      <c r="AD30" s="79">
        <v>95130.0</v>
      </c>
      <c r="AE30" s="79">
        <v>0.0</v>
      </c>
      <c r="AF30" s="79">
        <v>0.0</v>
      </c>
      <c r="AG30" s="79">
        <v>9513.0</v>
      </c>
      <c r="AH30" s="81">
        <v>104643.0</v>
      </c>
      <c r="AI30" s="79"/>
      <c r="AJ30" s="79">
        <v>0.0</v>
      </c>
      <c r="AK30" s="79">
        <v>25842.0</v>
      </c>
      <c r="AL30" s="79">
        <v>0.0</v>
      </c>
      <c r="AM30" s="79">
        <v>0.0</v>
      </c>
      <c r="AN30" s="79">
        <v>2584.0</v>
      </c>
      <c r="AO30" s="79">
        <v>28426.0</v>
      </c>
      <c r="AP30" s="79">
        <v>0.0</v>
      </c>
      <c r="AQ30" s="79">
        <v>69288.0</v>
      </c>
      <c r="AR30" s="79" t="s">
        <v>525</v>
      </c>
      <c r="AS30" s="79">
        <v>0.0</v>
      </c>
      <c r="AT30" s="79" t="s">
        <v>507</v>
      </c>
      <c r="AU30" s="79" t="s">
        <v>491</v>
      </c>
      <c r="AV30" s="79">
        <v>0.0</v>
      </c>
      <c r="AW30" s="79" t="s">
        <v>508</v>
      </c>
      <c r="AX30" s="79">
        <v>0.0</v>
      </c>
      <c r="AY30" s="79"/>
      <c r="AZ30" s="79">
        <v>0.0</v>
      </c>
      <c r="BA30" s="79"/>
      <c r="BB30" s="79">
        <v>0.0</v>
      </c>
      <c r="BC30" s="79"/>
      <c r="BD30" s="79">
        <v>0.0</v>
      </c>
      <c r="BE30" s="79"/>
      <c r="BF30" s="79">
        <v>0.0</v>
      </c>
      <c r="BG30" s="79"/>
      <c r="BH30" s="79">
        <v>0.0</v>
      </c>
      <c r="BI30" s="79" t="s">
        <v>493</v>
      </c>
      <c r="BJ30" s="79">
        <v>0.0</v>
      </c>
      <c r="BK30" s="79" t="s">
        <v>494</v>
      </c>
      <c r="BL30" s="79">
        <v>0.0</v>
      </c>
      <c r="BM30" s="79" t="s">
        <v>495</v>
      </c>
      <c r="BN30" s="79">
        <v>0.0</v>
      </c>
      <c r="BO30" s="79" t="s">
        <v>496</v>
      </c>
      <c r="BP30" s="79">
        <v>0.0</v>
      </c>
      <c r="BQ30" s="79"/>
      <c r="BR30" s="79">
        <v>0.0</v>
      </c>
      <c r="BS30" s="79"/>
      <c r="BT30" s="79">
        <v>0.0</v>
      </c>
      <c r="BU30" s="79"/>
      <c r="BV30" s="79">
        <v>0.0</v>
      </c>
      <c r="BW30" s="79"/>
      <c r="BX30" s="79">
        <v>0.0</v>
      </c>
      <c r="BY30" s="79">
        <v>0.0</v>
      </c>
      <c r="BZ30" s="79" t="s">
        <v>491</v>
      </c>
      <c r="CA30" s="79">
        <v>0.0</v>
      </c>
      <c r="CB30" s="79" t="s">
        <v>507</v>
      </c>
      <c r="CC30" s="79" t="s">
        <v>508</v>
      </c>
      <c r="CD30" s="79">
        <v>0.0</v>
      </c>
      <c r="CE30" s="79"/>
      <c r="CF30" s="79">
        <v>0.0</v>
      </c>
      <c r="CG30" s="79"/>
      <c r="CH30" s="79">
        <v>0.0</v>
      </c>
      <c r="CI30" s="79"/>
      <c r="CJ30" s="79">
        <v>0.0</v>
      </c>
      <c r="CK30" s="79"/>
      <c r="CL30" s="79">
        <v>0.0</v>
      </c>
      <c r="CM30" s="79"/>
      <c r="CN30" s="79">
        <v>0.0</v>
      </c>
      <c r="CO30" s="79" t="s">
        <v>493</v>
      </c>
      <c r="CP30" s="79">
        <v>0.0</v>
      </c>
      <c r="CQ30" s="79" t="s">
        <v>494</v>
      </c>
      <c r="CR30" s="79">
        <v>0.0</v>
      </c>
      <c r="CS30" s="79" t="s">
        <v>495</v>
      </c>
      <c r="CT30" s="79">
        <v>0.0</v>
      </c>
      <c r="CU30" s="79" t="s">
        <v>496</v>
      </c>
      <c r="CV30" s="79">
        <v>0.0</v>
      </c>
      <c r="CW30" s="79"/>
      <c r="CX30" s="79">
        <v>0.0</v>
      </c>
      <c r="CY30" s="79"/>
      <c r="CZ30" s="79">
        <v>0.0</v>
      </c>
      <c r="DA30" s="79"/>
      <c r="DB30" s="79">
        <v>0.0</v>
      </c>
      <c r="DC30" s="79"/>
      <c r="DD30" s="79">
        <v>0.0</v>
      </c>
      <c r="DE30" s="79">
        <v>52600.0</v>
      </c>
      <c r="DF30" s="79">
        <v>42530.0</v>
      </c>
      <c r="DG30" s="79">
        <v>0.0</v>
      </c>
      <c r="DH30" s="79">
        <v>0.0</v>
      </c>
      <c r="DI30" s="79">
        <v>25842.0</v>
      </c>
      <c r="DJ30" s="79" t="s">
        <v>691</v>
      </c>
      <c r="DK30" s="79" t="s">
        <v>692</v>
      </c>
      <c r="DL30" s="79" t="s">
        <v>487</v>
      </c>
      <c r="DM30" s="79" t="s">
        <v>693</v>
      </c>
      <c r="DN30" s="79" t="s">
        <v>694</v>
      </c>
      <c r="DO30" s="79" t="s">
        <v>695</v>
      </c>
      <c r="DP30" s="79"/>
      <c r="DQ30" s="79"/>
      <c r="DR30" s="79"/>
      <c r="DS30" s="79"/>
      <c r="DT30" s="82"/>
      <c r="DU30" s="79"/>
      <c r="DV30" s="82"/>
      <c r="DW30" s="79"/>
      <c r="DX30" s="79"/>
      <c r="DY30" s="79"/>
      <c r="DZ30" s="79"/>
      <c r="EA30" s="79"/>
      <c r="EB30" s="79"/>
      <c r="EC30" s="79"/>
      <c r="ED30" s="79"/>
      <c r="EE30" s="79"/>
      <c r="EF30" s="82"/>
      <c r="EG30" s="79"/>
      <c r="EH30" s="82"/>
      <c r="EI30" s="79"/>
      <c r="EJ30" s="82"/>
      <c r="EK30" s="79"/>
      <c r="EL30" s="82"/>
      <c r="EM30" s="79"/>
      <c r="EN30" s="79" t="s">
        <v>156</v>
      </c>
      <c r="EO30" s="79" t="s">
        <v>48</v>
      </c>
      <c r="EP30" s="80"/>
      <c r="EQ30" s="83"/>
      <c r="ER30" s="83" t="str">
        <f t="shared" si="1"/>
        <v/>
      </c>
      <c r="ES30" s="79"/>
      <c r="ET30" s="79" t="str">
        <f t="shared" si="2"/>
        <v/>
      </c>
      <c r="EU30" s="79"/>
      <c r="EV30" s="79"/>
      <c r="EW30" s="82"/>
      <c r="EX30" s="82"/>
      <c r="EY30" s="82"/>
      <c r="EZ30" s="82"/>
      <c r="FA30" s="82"/>
      <c r="FB30" s="82"/>
    </row>
    <row r="31" ht="15.75" customHeight="1">
      <c r="A31" s="79" t="s">
        <v>696</v>
      </c>
      <c r="B31" s="79" t="s">
        <v>475</v>
      </c>
      <c r="C31" s="79" t="s">
        <v>476</v>
      </c>
      <c r="D31" s="80">
        <v>46093.0</v>
      </c>
      <c r="E31" s="79" t="s">
        <v>545</v>
      </c>
      <c r="F31" s="79" t="s">
        <v>562</v>
      </c>
      <c r="G31" s="79" t="s">
        <v>697</v>
      </c>
      <c r="H31" s="79" t="s">
        <v>698</v>
      </c>
      <c r="I31" s="79" t="s">
        <v>699</v>
      </c>
      <c r="J31" s="79" t="s">
        <v>700</v>
      </c>
      <c r="K31" s="79">
        <v>660.0</v>
      </c>
      <c r="L31" s="79" t="s">
        <v>549</v>
      </c>
      <c r="M31" s="79" t="s">
        <v>701</v>
      </c>
      <c r="N31" s="79"/>
      <c r="O31" s="79" t="s">
        <v>551</v>
      </c>
      <c r="P31" s="79" t="s">
        <v>702</v>
      </c>
      <c r="Q31" s="79" t="s">
        <v>703</v>
      </c>
      <c r="R31" s="80">
        <v>46585.0</v>
      </c>
      <c r="S31" s="79"/>
      <c r="T31" s="79">
        <v>78060.0</v>
      </c>
      <c r="U31" s="79"/>
      <c r="V31" s="79"/>
      <c r="W31" s="80">
        <v>46093.0</v>
      </c>
      <c r="X31" s="79"/>
      <c r="Y31" s="80">
        <v>46093.0</v>
      </c>
      <c r="Z31" s="79" t="s">
        <v>557</v>
      </c>
      <c r="AA31" s="79" t="s">
        <v>555</v>
      </c>
      <c r="AB31" s="79" t="s">
        <v>554</v>
      </c>
      <c r="AC31" s="79" t="s">
        <v>488</v>
      </c>
      <c r="AD31" s="79">
        <v>4400.0</v>
      </c>
      <c r="AE31" s="79">
        <v>0.0</v>
      </c>
      <c r="AF31" s="79">
        <v>0.0</v>
      </c>
      <c r="AG31" s="79">
        <v>440.0</v>
      </c>
      <c r="AH31" s="81">
        <v>4840.0</v>
      </c>
      <c r="AI31" s="79"/>
      <c r="AJ31" s="79">
        <v>0.0</v>
      </c>
      <c r="AK31" s="79">
        <v>1422.0</v>
      </c>
      <c r="AL31" s="79">
        <v>0.0</v>
      </c>
      <c r="AM31" s="79">
        <v>0.0</v>
      </c>
      <c r="AN31" s="79">
        <v>142.0</v>
      </c>
      <c r="AO31" s="79">
        <v>1564.0</v>
      </c>
      <c r="AP31" s="79">
        <v>0.0</v>
      </c>
      <c r="AQ31" s="79">
        <v>2978.0</v>
      </c>
      <c r="AR31" s="79" t="s">
        <v>556</v>
      </c>
      <c r="AS31" s="79">
        <v>0.0</v>
      </c>
      <c r="AT31" s="79" t="s">
        <v>507</v>
      </c>
      <c r="AU31" s="79" t="s">
        <v>491</v>
      </c>
      <c r="AV31" s="79">
        <v>0.0</v>
      </c>
      <c r="AW31" s="79" t="s">
        <v>508</v>
      </c>
      <c r="AX31" s="79">
        <v>0.0</v>
      </c>
      <c r="AY31" s="79"/>
      <c r="AZ31" s="79">
        <v>0.0</v>
      </c>
      <c r="BA31" s="79"/>
      <c r="BB31" s="79">
        <v>0.0</v>
      </c>
      <c r="BC31" s="79"/>
      <c r="BD31" s="79">
        <v>0.0</v>
      </c>
      <c r="BE31" s="79"/>
      <c r="BF31" s="79">
        <v>0.0</v>
      </c>
      <c r="BG31" s="79"/>
      <c r="BH31" s="79">
        <v>0.0</v>
      </c>
      <c r="BI31" s="79" t="s">
        <v>493</v>
      </c>
      <c r="BJ31" s="79">
        <v>0.0</v>
      </c>
      <c r="BK31" s="79" t="s">
        <v>494</v>
      </c>
      <c r="BL31" s="79">
        <v>0.0</v>
      </c>
      <c r="BM31" s="79" t="s">
        <v>495</v>
      </c>
      <c r="BN31" s="79">
        <v>0.0</v>
      </c>
      <c r="BO31" s="79" t="s">
        <v>496</v>
      </c>
      <c r="BP31" s="79">
        <v>0.0</v>
      </c>
      <c r="BQ31" s="79"/>
      <c r="BR31" s="79">
        <v>0.0</v>
      </c>
      <c r="BS31" s="79"/>
      <c r="BT31" s="79">
        <v>0.0</v>
      </c>
      <c r="BU31" s="79"/>
      <c r="BV31" s="79">
        <v>0.0</v>
      </c>
      <c r="BW31" s="79"/>
      <c r="BX31" s="79">
        <v>0.0</v>
      </c>
      <c r="BY31" s="79">
        <v>0.0</v>
      </c>
      <c r="BZ31" s="79" t="s">
        <v>491</v>
      </c>
      <c r="CA31" s="79">
        <v>0.0</v>
      </c>
      <c r="CB31" s="79" t="s">
        <v>507</v>
      </c>
      <c r="CC31" s="79" t="s">
        <v>508</v>
      </c>
      <c r="CD31" s="79">
        <v>0.0</v>
      </c>
      <c r="CE31" s="79"/>
      <c r="CF31" s="79">
        <v>0.0</v>
      </c>
      <c r="CG31" s="79"/>
      <c r="CH31" s="79">
        <v>0.0</v>
      </c>
      <c r="CI31" s="79"/>
      <c r="CJ31" s="79">
        <v>0.0</v>
      </c>
      <c r="CK31" s="79"/>
      <c r="CL31" s="79">
        <v>0.0</v>
      </c>
      <c r="CM31" s="79"/>
      <c r="CN31" s="79">
        <v>0.0</v>
      </c>
      <c r="CO31" s="79" t="s">
        <v>493</v>
      </c>
      <c r="CP31" s="79">
        <v>0.0</v>
      </c>
      <c r="CQ31" s="79" t="s">
        <v>494</v>
      </c>
      <c r="CR31" s="79">
        <v>0.0</v>
      </c>
      <c r="CS31" s="79" t="s">
        <v>495</v>
      </c>
      <c r="CT31" s="79">
        <v>0.0</v>
      </c>
      <c r="CU31" s="79" t="s">
        <v>496</v>
      </c>
      <c r="CV31" s="79">
        <v>0.0</v>
      </c>
      <c r="CW31" s="79"/>
      <c r="CX31" s="79">
        <v>0.0</v>
      </c>
      <c r="CY31" s="79"/>
      <c r="CZ31" s="79">
        <v>0.0</v>
      </c>
      <c r="DA31" s="79"/>
      <c r="DB31" s="79">
        <v>0.0</v>
      </c>
      <c r="DC31" s="79"/>
      <c r="DD31" s="79">
        <v>0.0</v>
      </c>
      <c r="DE31" s="79">
        <v>2000.0</v>
      </c>
      <c r="DF31" s="79">
        <v>2400.0</v>
      </c>
      <c r="DG31" s="79">
        <v>0.0</v>
      </c>
      <c r="DH31" s="79">
        <v>0.0</v>
      </c>
      <c r="DI31" s="79">
        <v>1422.0</v>
      </c>
      <c r="DJ31" s="79" t="s">
        <v>325</v>
      </c>
      <c r="DK31" s="79" t="s">
        <v>557</v>
      </c>
      <c r="DL31" s="79" t="s">
        <v>555</v>
      </c>
      <c r="DM31" s="79" t="s">
        <v>558</v>
      </c>
      <c r="DN31" s="79" t="s">
        <v>559</v>
      </c>
      <c r="DO31" s="79"/>
      <c r="DP31" s="79"/>
      <c r="DQ31" s="79"/>
      <c r="DR31" s="79"/>
      <c r="DS31" s="79"/>
      <c r="DT31" s="82"/>
      <c r="DU31" s="79"/>
      <c r="DV31" s="82"/>
      <c r="DW31" s="79"/>
      <c r="DX31" s="79"/>
      <c r="DY31" s="79"/>
      <c r="DZ31" s="79"/>
      <c r="EA31" s="79"/>
      <c r="EB31" s="79"/>
      <c r="EC31" s="79"/>
      <c r="ED31" s="79"/>
      <c r="EE31" s="79"/>
      <c r="EF31" s="82"/>
      <c r="EG31" s="79"/>
      <c r="EH31" s="82"/>
      <c r="EI31" s="79"/>
      <c r="EJ31" s="82"/>
      <c r="EK31" s="79"/>
      <c r="EL31" s="82"/>
      <c r="EM31" s="79"/>
      <c r="EN31" s="79" t="s">
        <v>79</v>
      </c>
      <c r="EO31" s="79"/>
      <c r="EP31" s="80"/>
      <c r="EQ31" s="83"/>
      <c r="ER31" s="83" t="str">
        <f t="shared" si="1"/>
        <v/>
      </c>
      <c r="ES31" s="79"/>
      <c r="ET31" s="79" t="str">
        <f t="shared" si="2"/>
        <v/>
      </c>
      <c r="EU31" s="79"/>
      <c r="EV31" s="79"/>
      <c r="EW31" s="82"/>
      <c r="EX31" s="82"/>
      <c r="EY31" s="82"/>
      <c r="EZ31" s="82"/>
      <c r="FA31" s="82"/>
      <c r="FB31" s="82" t="s">
        <v>560</v>
      </c>
    </row>
    <row r="32" ht="15.75" customHeight="1">
      <c r="A32" s="79" t="s">
        <v>704</v>
      </c>
      <c r="B32" s="79" t="s">
        <v>475</v>
      </c>
      <c r="C32" s="79" t="s">
        <v>476</v>
      </c>
      <c r="D32" s="80">
        <v>46093.0</v>
      </c>
      <c r="E32" s="79" t="s">
        <v>705</v>
      </c>
      <c r="F32" s="79" t="s">
        <v>706</v>
      </c>
      <c r="G32" s="79" t="s">
        <v>707</v>
      </c>
      <c r="H32" s="79" t="s">
        <v>534</v>
      </c>
      <c r="I32" s="79"/>
      <c r="J32" s="79" t="s">
        <v>708</v>
      </c>
      <c r="K32" s="79">
        <v>3000.0</v>
      </c>
      <c r="L32" s="79"/>
      <c r="M32" s="79" t="s">
        <v>709</v>
      </c>
      <c r="N32" s="79" t="s">
        <v>710</v>
      </c>
      <c r="O32" s="79"/>
      <c r="P32" s="79"/>
      <c r="Q32" s="79" t="s">
        <v>711</v>
      </c>
      <c r="R32" s="80">
        <v>46101.0</v>
      </c>
      <c r="S32" s="79"/>
      <c r="T32" s="79">
        <v>26353.0</v>
      </c>
      <c r="U32" s="79"/>
      <c r="V32" s="79"/>
      <c r="W32" s="80">
        <v>46093.0</v>
      </c>
      <c r="X32" s="79"/>
      <c r="Y32" s="80">
        <v>46093.0</v>
      </c>
      <c r="Z32" s="79" t="s">
        <v>486</v>
      </c>
      <c r="AA32" s="79" t="s">
        <v>487</v>
      </c>
      <c r="AB32" s="79" t="s">
        <v>486</v>
      </c>
      <c r="AC32" s="79" t="s">
        <v>488</v>
      </c>
      <c r="AD32" s="79">
        <v>8500.0</v>
      </c>
      <c r="AE32" s="79">
        <v>0.0</v>
      </c>
      <c r="AF32" s="79">
        <v>0.0</v>
      </c>
      <c r="AG32" s="79">
        <v>850.0</v>
      </c>
      <c r="AH32" s="81">
        <v>9350.0</v>
      </c>
      <c r="AI32" s="79"/>
      <c r="AJ32" s="79">
        <v>0.0</v>
      </c>
      <c r="AK32" s="79">
        <v>0.0</v>
      </c>
      <c r="AL32" s="79">
        <v>0.0</v>
      </c>
      <c r="AM32" s="79">
        <v>0.0</v>
      </c>
      <c r="AN32" s="79">
        <v>0.0</v>
      </c>
      <c r="AO32" s="79">
        <v>0.0</v>
      </c>
      <c r="AP32" s="79">
        <v>0.0</v>
      </c>
      <c r="AQ32" s="79">
        <v>8500.0</v>
      </c>
      <c r="AR32" s="79" t="s">
        <v>489</v>
      </c>
      <c r="AS32" s="79">
        <v>0.0</v>
      </c>
      <c r="AT32" s="79" t="s">
        <v>490</v>
      </c>
      <c r="AU32" s="79" t="s">
        <v>491</v>
      </c>
      <c r="AV32" s="79">
        <v>0.0</v>
      </c>
      <c r="AW32" s="79"/>
      <c r="AX32" s="79">
        <v>0.0</v>
      </c>
      <c r="AY32" s="79" t="s">
        <v>492</v>
      </c>
      <c r="AZ32" s="79">
        <v>0.0</v>
      </c>
      <c r="BA32" s="79"/>
      <c r="BB32" s="79">
        <v>0.0</v>
      </c>
      <c r="BC32" s="79"/>
      <c r="BD32" s="79">
        <v>0.0</v>
      </c>
      <c r="BE32" s="79"/>
      <c r="BF32" s="79">
        <v>0.0</v>
      </c>
      <c r="BG32" s="79"/>
      <c r="BH32" s="79">
        <v>0.0</v>
      </c>
      <c r="BI32" s="79" t="s">
        <v>493</v>
      </c>
      <c r="BJ32" s="79">
        <v>0.0</v>
      </c>
      <c r="BK32" s="79" t="s">
        <v>494</v>
      </c>
      <c r="BL32" s="79">
        <v>0.0</v>
      </c>
      <c r="BM32" s="79" t="s">
        <v>495</v>
      </c>
      <c r="BN32" s="79">
        <v>0.0</v>
      </c>
      <c r="BO32" s="79" t="s">
        <v>496</v>
      </c>
      <c r="BP32" s="79">
        <v>0.0</v>
      </c>
      <c r="BQ32" s="79"/>
      <c r="BR32" s="79">
        <v>0.0</v>
      </c>
      <c r="BS32" s="79"/>
      <c r="BT32" s="79">
        <v>0.0</v>
      </c>
      <c r="BU32" s="79"/>
      <c r="BV32" s="79">
        <v>0.0</v>
      </c>
      <c r="BW32" s="79"/>
      <c r="BX32" s="79">
        <v>0.0</v>
      </c>
      <c r="BY32" s="79">
        <v>0.0</v>
      </c>
      <c r="BZ32" s="79" t="s">
        <v>491</v>
      </c>
      <c r="CA32" s="79">
        <v>0.0</v>
      </c>
      <c r="CB32" s="79" t="s">
        <v>490</v>
      </c>
      <c r="CC32" s="79"/>
      <c r="CD32" s="79">
        <v>0.0</v>
      </c>
      <c r="CE32" s="79" t="s">
        <v>492</v>
      </c>
      <c r="CF32" s="79">
        <v>0.0</v>
      </c>
      <c r="CG32" s="79"/>
      <c r="CH32" s="79">
        <v>0.0</v>
      </c>
      <c r="CI32" s="79"/>
      <c r="CJ32" s="79">
        <v>0.0</v>
      </c>
      <c r="CK32" s="79"/>
      <c r="CL32" s="79">
        <v>0.0</v>
      </c>
      <c r="CM32" s="79"/>
      <c r="CN32" s="79">
        <v>0.0</v>
      </c>
      <c r="CO32" s="79" t="s">
        <v>493</v>
      </c>
      <c r="CP32" s="79">
        <v>0.0</v>
      </c>
      <c r="CQ32" s="79" t="s">
        <v>494</v>
      </c>
      <c r="CR32" s="79">
        <v>0.0</v>
      </c>
      <c r="CS32" s="79" t="s">
        <v>495</v>
      </c>
      <c r="CT32" s="79">
        <v>0.0</v>
      </c>
      <c r="CU32" s="79" t="s">
        <v>496</v>
      </c>
      <c r="CV32" s="79">
        <v>0.0</v>
      </c>
      <c r="CW32" s="79"/>
      <c r="CX32" s="79">
        <v>0.0</v>
      </c>
      <c r="CY32" s="79"/>
      <c r="CZ32" s="79">
        <v>0.0</v>
      </c>
      <c r="DA32" s="79"/>
      <c r="DB32" s="79">
        <v>0.0</v>
      </c>
      <c r="DC32" s="79"/>
      <c r="DD32" s="79">
        <v>0.0</v>
      </c>
      <c r="DE32" s="79">
        <v>8500.0</v>
      </c>
      <c r="DF32" s="79">
        <v>0.0</v>
      </c>
      <c r="DG32" s="79">
        <v>0.0</v>
      </c>
      <c r="DH32" s="79">
        <v>0.0</v>
      </c>
      <c r="DI32" s="79">
        <v>0.0</v>
      </c>
      <c r="DJ32" s="79" t="s">
        <v>712</v>
      </c>
      <c r="DK32" s="79" t="s">
        <v>486</v>
      </c>
      <c r="DL32" s="79" t="s">
        <v>713</v>
      </c>
      <c r="DM32" s="79" t="s">
        <v>714</v>
      </c>
      <c r="DN32" s="79"/>
      <c r="DO32" s="79" t="s">
        <v>715</v>
      </c>
      <c r="DP32" s="79"/>
      <c r="DQ32" s="79"/>
      <c r="DR32" s="79"/>
      <c r="DS32" s="79"/>
      <c r="DT32" s="82"/>
      <c r="DU32" s="79"/>
      <c r="DV32" s="82"/>
      <c r="DW32" s="79"/>
      <c r="DX32" s="79"/>
      <c r="DY32" s="79"/>
      <c r="DZ32" s="79"/>
      <c r="EA32" s="79"/>
      <c r="EB32" s="79"/>
      <c r="EC32" s="79"/>
      <c r="ED32" s="79"/>
      <c r="EE32" s="79"/>
      <c r="EF32" s="82"/>
      <c r="EG32" s="79"/>
      <c r="EH32" s="82"/>
      <c r="EI32" s="79"/>
      <c r="EJ32" s="82"/>
      <c r="EK32" s="79"/>
      <c r="EL32" s="82"/>
      <c r="EM32" s="79"/>
      <c r="EN32" s="79" t="s">
        <v>79</v>
      </c>
      <c r="EO32" s="79"/>
      <c r="EP32" s="80"/>
      <c r="EQ32" s="83"/>
      <c r="ER32" s="83" t="str">
        <f t="shared" si="1"/>
        <v/>
      </c>
      <c r="ES32" s="79"/>
      <c r="ET32" s="79" t="str">
        <f t="shared" si="2"/>
        <v/>
      </c>
      <c r="EU32" s="79"/>
      <c r="EV32" s="79"/>
      <c r="EW32" s="82"/>
      <c r="EX32" s="82"/>
      <c r="EY32" s="82"/>
      <c r="EZ32" s="82"/>
      <c r="FA32" s="82"/>
      <c r="FB32" s="82"/>
    </row>
    <row r="33" ht="15.75" customHeight="1">
      <c r="A33" s="79" t="s">
        <v>716</v>
      </c>
      <c r="B33" s="79" t="s">
        <v>475</v>
      </c>
      <c r="C33" s="79" t="s">
        <v>476</v>
      </c>
      <c r="D33" s="80">
        <v>46094.0</v>
      </c>
      <c r="E33" s="79" t="s">
        <v>717</v>
      </c>
      <c r="F33" s="79"/>
      <c r="G33" s="79" t="s">
        <v>718</v>
      </c>
      <c r="H33" s="79" t="s">
        <v>611</v>
      </c>
      <c r="I33" s="79"/>
      <c r="J33" s="79" t="s">
        <v>719</v>
      </c>
      <c r="K33" s="79">
        <v>0.0</v>
      </c>
      <c r="L33" s="79"/>
      <c r="M33" s="79" t="s">
        <v>613</v>
      </c>
      <c r="N33" s="79"/>
      <c r="O33" s="79"/>
      <c r="P33" s="79"/>
      <c r="Q33" s="79"/>
      <c r="R33" s="80">
        <v>46567.0</v>
      </c>
      <c r="S33" s="79"/>
      <c r="T33" s="79">
        <v>70458.0</v>
      </c>
      <c r="U33" s="79"/>
      <c r="V33" s="79"/>
      <c r="W33" s="79"/>
      <c r="X33" s="79"/>
      <c r="Y33" s="79"/>
      <c r="Z33" s="79" t="s">
        <v>486</v>
      </c>
      <c r="AA33" s="79" t="s">
        <v>487</v>
      </c>
      <c r="AB33" s="79" t="s">
        <v>486</v>
      </c>
      <c r="AC33" s="79" t="s">
        <v>488</v>
      </c>
      <c r="AD33" s="79">
        <v>219800.0</v>
      </c>
      <c r="AE33" s="79">
        <v>0.0</v>
      </c>
      <c r="AF33" s="79">
        <v>0.0</v>
      </c>
      <c r="AG33" s="79">
        <v>21980.0</v>
      </c>
      <c r="AH33" s="81">
        <v>241780.0</v>
      </c>
      <c r="AI33" s="79"/>
      <c r="AJ33" s="79">
        <v>0.0</v>
      </c>
      <c r="AK33" s="79">
        <v>111500.0</v>
      </c>
      <c r="AL33" s="79">
        <v>0.0</v>
      </c>
      <c r="AM33" s="79">
        <v>0.0</v>
      </c>
      <c r="AN33" s="79">
        <v>11150.0</v>
      </c>
      <c r="AO33" s="79">
        <v>122650.0</v>
      </c>
      <c r="AP33" s="79">
        <v>0.0</v>
      </c>
      <c r="AQ33" s="79">
        <v>108300.0</v>
      </c>
      <c r="AR33" s="79" t="s">
        <v>489</v>
      </c>
      <c r="AS33" s="79">
        <v>0.0</v>
      </c>
      <c r="AT33" s="79" t="s">
        <v>490</v>
      </c>
      <c r="AU33" s="79" t="s">
        <v>491</v>
      </c>
      <c r="AV33" s="79">
        <v>0.0</v>
      </c>
      <c r="AW33" s="79"/>
      <c r="AX33" s="79">
        <v>0.0</v>
      </c>
      <c r="AY33" s="79" t="s">
        <v>492</v>
      </c>
      <c r="AZ33" s="79">
        <v>0.0</v>
      </c>
      <c r="BA33" s="79"/>
      <c r="BB33" s="79">
        <v>0.0</v>
      </c>
      <c r="BC33" s="79"/>
      <c r="BD33" s="79">
        <v>0.0</v>
      </c>
      <c r="BE33" s="79"/>
      <c r="BF33" s="79">
        <v>0.0</v>
      </c>
      <c r="BG33" s="79"/>
      <c r="BH33" s="79">
        <v>0.0</v>
      </c>
      <c r="BI33" s="79" t="s">
        <v>493</v>
      </c>
      <c r="BJ33" s="79">
        <v>0.0</v>
      </c>
      <c r="BK33" s="79" t="s">
        <v>494</v>
      </c>
      <c r="BL33" s="79">
        <v>0.0</v>
      </c>
      <c r="BM33" s="79" t="s">
        <v>495</v>
      </c>
      <c r="BN33" s="79">
        <v>0.0</v>
      </c>
      <c r="BO33" s="79" t="s">
        <v>496</v>
      </c>
      <c r="BP33" s="79">
        <v>0.0</v>
      </c>
      <c r="BQ33" s="79"/>
      <c r="BR33" s="79">
        <v>0.0</v>
      </c>
      <c r="BS33" s="79"/>
      <c r="BT33" s="79">
        <v>0.0</v>
      </c>
      <c r="BU33" s="79"/>
      <c r="BV33" s="79">
        <v>0.0</v>
      </c>
      <c r="BW33" s="79"/>
      <c r="BX33" s="79">
        <v>0.0</v>
      </c>
      <c r="BY33" s="79">
        <v>0.0</v>
      </c>
      <c r="BZ33" s="79" t="s">
        <v>491</v>
      </c>
      <c r="CA33" s="79">
        <v>0.0</v>
      </c>
      <c r="CB33" s="79" t="s">
        <v>490</v>
      </c>
      <c r="CC33" s="79"/>
      <c r="CD33" s="79">
        <v>0.0</v>
      </c>
      <c r="CE33" s="79" t="s">
        <v>492</v>
      </c>
      <c r="CF33" s="79">
        <v>0.0</v>
      </c>
      <c r="CG33" s="79"/>
      <c r="CH33" s="79">
        <v>0.0</v>
      </c>
      <c r="CI33" s="79"/>
      <c r="CJ33" s="79">
        <v>0.0</v>
      </c>
      <c r="CK33" s="79"/>
      <c r="CL33" s="79">
        <v>0.0</v>
      </c>
      <c r="CM33" s="79"/>
      <c r="CN33" s="79">
        <v>0.0</v>
      </c>
      <c r="CO33" s="79" t="s">
        <v>493</v>
      </c>
      <c r="CP33" s="79">
        <v>0.0</v>
      </c>
      <c r="CQ33" s="79" t="s">
        <v>494</v>
      </c>
      <c r="CR33" s="79">
        <v>0.0</v>
      </c>
      <c r="CS33" s="79" t="s">
        <v>495</v>
      </c>
      <c r="CT33" s="79">
        <v>0.0</v>
      </c>
      <c r="CU33" s="79" t="s">
        <v>496</v>
      </c>
      <c r="CV33" s="79">
        <v>0.0</v>
      </c>
      <c r="CW33" s="79"/>
      <c r="CX33" s="79">
        <v>0.0</v>
      </c>
      <c r="CY33" s="79"/>
      <c r="CZ33" s="79">
        <v>0.0</v>
      </c>
      <c r="DA33" s="79"/>
      <c r="DB33" s="79">
        <v>0.0</v>
      </c>
      <c r="DC33" s="79"/>
      <c r="DD33" s="79">
        <v>0.0</v>
      </c>
      <c r="DE33" s="79">
        <v>57800.0</v>
      </c>
      <c r="DF33" s="79">
        <v>162000.0</v>
      </c>
      <c r="DG33" s="79">
        <v>0.0</v>
      </c>
      <c r="DH33" s="79">
        <v>0.0</v>
      </c>
      <c r="DI33" s="79">
        <v>111500.0</v>
      </c>
      <c r="DJ33" s="79" t="s">
        <v>720</v>
      </c>
      <c r="DK33" s="79" t="s">
        <v>486</v>
      </c>
      <c r="DL33" s="79" t="s">
        <v>487</v>
      </c>
      <c r="DM33" s="79" t="s">
        <v>721</v>
      </c>
      <c r="DN33" s="79" t="s">
        <v>722</v>
      </c>
      <c r="DO33" s="79" t="s">
        <v>723</v>
      </c>
      <c r="DP33" s="79"/>
      <c r="DQ33" s="79"/>
      <c r="DR33" s="79"/>
      <c r="DS33" s="79"/>
      <c r="DT33" s="82"/>
      <c r="DU33" s="79"/>
      <c r="DV33" s="82"/>
      <c r="DW33" s="79"/>
      <c r="DX33" s="79"/>
      <c r="DY33" s="79"/>
      <c r="DZ33" s="79"/>
      <c r="EA33" s="79"/>
      <c r="EB33" s="79"/>
      <c r="EC33" s="79"/>
      <c r="ED33" s="79"/>
      <c r="EE33" s="79"/>
      <c r="EF33" s="82"/>
      <c r="EG33" s="79"/>
      <c r="EH33" s="82"/>
      <c r="EI33" s="79"/>
      <c r="EJ33" s="82"/>
      <c r="EK33" s="79"/>
      <c r="EL33" s="82"/>
      <c r="EM33" s="79"/>
      <c r="EN33" s="79" t="s">
        <v>79</v>
      </c>
      <c r="EO33" s="79"/>
      <c r="EP33" s="80"/>
      <c r="EQ33" s="83"/>
      <c r="ER33" s="83" t="str">
        <f t="shared" si="1"/>
        <v/>
      </c>
      <c r="ES33" s="79"/>
      <c r="ET33" s="79" t="str">
        <f t="shared" si="2"/>
        <v/>
      </c>
      <c r="EU33" s="79"/>
      <c r="EV33" s="82"/>
      <c r="EW33" s="82"/>
      <c r="EX33" s="82"/>
      <c r="EY33" s="82"/>
      <c r="EZ33" s="82"/>
      <c r="FA33" s="82"/>
      <c r="FB33" s="82"/>
    </row>
    <row r="34" ht="15.75" customHeight="1">
      <c r="A34" s="79" t="s">
        <v>724</v>
      </c>
      <c r="B34" s="79" t="s">
        <v>591</v>
      </c>
      <c r="C34" s="79" t="s">
        <v>476</v>
      </c>
      <c r="D34" s="80">
        <v>46094.0</v>
      </c>
      <c r="E34" s="79" t="s">
        <v>725</v>
      </c>
      <c r="F34" s="79"/>
      <c r="G34" s="79" t="s">
        <v>726</v>
      </c>
      <c r="H34" s="79" t="s">
        <v>479</v>
      </c>
      <c r="I34" s="79" t="s">
        <v>480</v>
      </c>
      <c r="J34" s="79" t="s">
        <v>727</v>
      </c>
      <c r="K34" s="79">
        <v>2000.0</v>
      </c>
      <c r="L34" s="79" t="s">
        <v>482</v>
      </c>
      <c r="M34" s="79" t="s">
        <v>483</v>
      </c>
      <c r="N34" s="79" t="s">
        <v>521</v>
      </c>
      <c r="O34" s="79" t="s">
        <v>484</v>
      </c>
      <c r="P34" s="79" t="s">
        <v>728</v>
      </c>
      <c r="Q34" s="79" t="s">
        <v>729</v>
      </c>
      <c r="R34" s="80">
        <v>46090.0</v>
      </c>
      <c r="S34" s="79"/>
      <c r="T34" s="79">
        <v>97764.0</v>
      </c>
      <c r="U34" s="79"/>
      <c r="V34" s="79"/>
      <c r="W34" s="80">
        <v>46074.0</v>
      </c>
      <c r="X34" s="79"/>
      <c r="Y34" s="80">
        <v>46081.0</v>
      </c>
      <c r="Z34" s="79" t="s">
        <v>486</v>
      </c>
      <c r="AA34" s="79" t="s">
        <v>537</v>
      </c>
      <c r="AB34" s="79" t="s">
        <v>486</v>
      </c>
      <c r="AC34" s="79" t="s">
        <v>488</v>
      </c>
      <c r="AD34" s="79">
        <v>286100.0</v>
      </c>
      <c r="AE34" s="79">
        <v>12000.0</v>
      </c>
      <c r="AF34" s="79">
        <v>65550.0</v>
      </c>
      <c r="AG34" s="79">
        <v>29810.0</v>
      </c>
      <c r="AH34" s="81">
        <v>393460.0</v>
      </c>
      <c r="AI34" s="79"/>
      <c r="AJ34" s="79">
        <v>0.0</v>
      </c>
      <c r="AK34" s="79">
        <v>87105.0</v>
      </c>
      <c r="AL34" s="79">
        <v>0.0</v>
      </c>
      <c r="AM34" s="79">
        <v>65550.0</v>
      </c>
      <c r="AN34" s="79">
        <v>8713.0</v>
      </c>
      <c r="AO34" s="79">
        <v>161368.0</v>
      </c>
      <c r="AP34" s="79">
        <v>0.0</v>
      </c>
      <c r="AQ34" s="79">
        <v>210995.0</v>
      </c>
      <c r="AR34" s="79" t="s">
        <v>489</v>
      </c>
      <c r="AS34" s="79">
        <v>12000.0</v>
      </c>
      <c r="AT34" s="79" t="s">
        <v>490</v>
      </c>
      <c r="AU34" s="79" t="s">
        <v>491</v>
      </c>
      <c r="AV34" s="79">
        <v>0.0</v>
      </c>
      <c r="AW34" s="79"/>
      <c r="AX34" s="79">
        <v>0.0</v>
      </c>
      <c r="AY34" s="79"/>
      <c r="AZ34" s="79">
        <v>0.0</v>
      </c>
      <c r="BA34" s="79"/>
      <c r="BB34" s="79">
        <v>0.0</v>
      </c>
      <c r="BC34" s="79"/>
      <c r="BD34" s="79">
        <v>0.0</v>
      </c>
      <c r="BE34" s="79"/>
      <c r="BF34" s="79">
        <v>0.0</v>
      </c>
      <c r="BG34" s="79"/>
      <c r="BH34" s="79">
        <v>0.0</v>
      </c>
      <c r="BI34" s="79" t="s">
        <v>493</v>
      </c>
      <c r="BJ34" s="79">
        <v>17650.0</v>
      </c>
      <c r="BK34" s="79" t="s">
        <v>494</v>
      </c>
      <c r="BL34" s="79">
        <v>45600.0</v>
      </c>
      <c r="BM34" s="79" t="s">
        <v>495</v>
      </c>
      <c r="BN34" s="79">
        <v>2300.0</v>
      </c>
      <c r="BO34" s="79" t="s">
        <v>496</v>
      </c>
      <c r="BP34" s="79">
        <v>0.0</v>
      </c>
      <c r="BQ34" s="79"/>
      <c r="BR34" s="79">
        <v>0.0</v>
      </c>
      <c r="BS34" s="79"/>
      <c r="BT34" s="79">
        <v>0.0</v>
      </c>
      <c r="BU34" s="79"/>
      <c r="BV34" s="79">
        <v>0.0</v>
      </c>
      <c r="BW34" s="79"/>
      <c r="BX34" s="79">
        <v>0.0</v>
      </c>
      <c r="BY34" s="79">
        <v>0.0</v>
      </c>
      <c r="BZ34" s="79" t="s">
        <v>491</v>
      </c>
      <c r="CA34" s="79">
        <v>0.0</v>
      </c>
      <c r="CB34" s="79" t="s">
        <v>490</v>
      </c>
      <c r="CC34" s="79"/>
      <c r="CD34" s="79">
        <v>0.0</v>
      </c>
      <c r="CE34" s="79"/>
      <c r="CF34" s="79">
        <v>0.0</v>
      </c>
      <c r="CG34" s="79"/>
      <c r="CH34" s="79">
        <v>0.0</v>
      </c>
      <c r="CI34" s="79"/>
      <c r="CJ34" s="79">
        <v>0.0</v>
      </c>
      <c r="CK34" s="79"/>
      <c r="CL34" s="79">
        <v>0.0</v>
      </c>
      <c r="CM34" s="79"/>
      <c r="CN34" s="79">
        <v>0.0</v>
      </c>
      <c r="CO34" s="79" t="s">
        <v>493</v>
      </c>
      <c r="CP34" s="79">
        <v>17650.0</v>
      </c>
      <c r="CQ34" s="79" t="s">
        <v>494</v>
      </c>
      <c r="CR34" s="79">
        <v>45600.0</v>
      </c>
      <c r="CS34" s="79" t="s">
        <v>495</v>
      </c>
      <c r="CT34" s="79">
        <v>2300.0</v>
      </c>
      <c r="CU34" s="79" t="s">
        <v>496</v>
      </c>
      <c r="CV34" s="79">
        <v>0.0</v>
      </c>
      <c r="CW34" s="79"/>
      <c r="CX34" s="79">
        <v>0.0</v>
      </c>
      <c r="CY34" s="79"/>
      <c r="CZ34" s="79">
        <v>0.0</v>
      </c>
      <c r="DA34" s="79"/>
      <c r="DB34" s="79">
        <v>0.0</v>
      </c>
      <c r="DC34" s="79"/>
      <c r="DD34" s="79">
        <v>0.0</v>
      </c>
      <c r="DE34" s="79">
        <v>139500.0</v>
      </c>
      <c r="DF34" s="79">
        <v>146600.0</v>
      </c>
      <c r="DG34" s="79">
        <v>0.0</v>
      </c>
      <c r="DH34" s="79">
        <v>0.0</v>
      </c>
      <c r="DI34" s="79">
        <v>87105.0</v>
      </c>
      <c r="DJ34" s="79" t="s">
        <v>730</v>
      </c>
      <c r="DK34" s="79" t="s">
        <v>486</v>
      </c>
      <c r="DL34" s="79" t="s">
        <v>537</v>
      </c>
      <c r="DM34" s="79" t="s">
        <v>731</v>
      </c>
      <c r="DN34" s="79" t="s">
        <v>732</v>
      </c>
      <c r="DO34" s="79" t="s">
        <v>733</v>
      </c>
      <c r="DP34" s="79"/>
      <c r="DQ34" s="79"/>
      <c r="DR34" s="79"/>
      <c r="DS34" s="79"/>
      <c r="DT34" s="82"/>
      <c r="DU34" s="79"/>
      <c r="DV34" s="82"/>
      <c r="DW34" s="79"/>
      <c r="DX34" s="79"/>
      <c r="DY34" s="79"/>
      <c r="DZ34" s="79"/>
      <c r="EA34" s="79"/>
      <c r="EB34" s="79"/>
      <c r="EC34" s="79"/>
      <c r="ED34" s="79"/>
      <c r="EE34" s="79"/>
      <c r="EF34" s="82"/>
      <c r="EG34" s="79"/>
      <c r="EH34" s="82"/>
      <c r="EI34" s="79"/>
      <c r="EJ34" s="82"/>
      <c r="EK34" s="79"/>
      <c r="EL34" s="82"/>
      <c r="EM34" s="79"/>
      <c r="EN34" s="79" t="s">
        <v>57</v>
      </c>
      <c r="EO34" s="79"/>
      <c r="EP34" s="80"/>
      <c r="EQ34" s="83"/>
      <c r="ER34" s="83" t="str">
        <f t="shared" si="1"/>
        <v/>
      </c>
      <c r="ES34" s="79"/>
      <c r="ET34" s="79" t="str">
        <f t="shared" si="2"/>
        <v/>
      </c>
      <c r="EU34" s="79"/>
      <c r="EV34" s="79"/>
      <c r="EW34" s="82"/>
      <c r="EX34" s="82"/>
      <c r="EY34" s="82"/>
      <c r="EZ34" s="82"/>
      <c r="FA34" s="82"/>
      <c r="FB34" s="82" t="s">
        <v>734</v>
      </c>
    </row>
    <row r="35" ht="15.75" customHeight="1">
      <c r="A35" s="79" t="s">
        <v>735</v>
      </c>
      <c r="B35" s="79" t="s">
        <v>591</v>
      </c>
      <c r="C35" s="79" t="s">
        <v>476</v>
      </c>
      <c r="D35" s="80">
        <v>46094.0</v>
      </c>
      <c r="E35" s="79" t="s">
        <v>736</v>
      </c>
      <c r="F35" s="79"/>
      <c r="G35" s="79" t="s">
        <v>600</v>
      </c>
      <c r="H35" s="79" t="s">
        <v>479</v>
      </c>
      <c r="I35" s="79" t="s">
        <v>737</v>
      </c>
      <c r="J35" s="79" t="s">
        <v>738</v>
      </c>
      <c r="K35" s="79">
        <v>1990.0</v>
      </c>
      <c r="L35" s="79"/>
      <c r="M35" s="79" t="s">
        <v>571</v>
      </c>
      <c r="N35" s="79" t="s">
        <v>739</v>
      </c>
      <c r="O35" s="79" t="s">
        <v>740</v>
      </c>
      <c r="P35" s="79"/>
      <c r="Q35" s="79"/>
      <c r="R35" s="80">
        <v>46841.0</v>
      </c>
      <c r="S35" s="79"/>
      <c r="T35" s="79">
        <v>10420.0</v>
      </c>
      <c r="U35" s="79"/>
      <c r="V35" s="79"/>
      <c r="W35" s="80">
        <v>46081.0</v>
      </c>
      <c r="X35" s="79"/>
      <c r="Y35" s="80">
        <v>46081.0</v>
      </c>
      <c r="Z35" s="79" t="s">
        <v>486</v>
      </c>
      <c r="AA35" s="79" t="s">
        <v>487</v>
      </c>
      <c r="AB35" s="79" t="s">
        <v>486</v>
      </c>
      <c r="AC35" s="79" t="s">
        <v>488</v>
      </c>
      <c r="AD35" s="79">
        <v>196200.0</v>
      </c>
      <c r="AE35" s="79">
        <v>12000.0</v>
      </c>
      <c r="AF35" s="79">
        <v>52750.0</v>
      </c>
      <c r="AG35" s="79">
        <v>20820.0</v>
      </c>
      <c r="AH35" s="81">
        <v>281770.0</v>
      </c>
      <c r="AI35" s="79"/>
      <c r="AJ35" s="79">
        <v>0.0</v>
      </c>
      <c r="AK35" s="79">
        <v>52245.0</v>
      </c>
      <c r="AL35" s="79">
        <v>800.0</v>
      </c>
      <c r="AM35" s="79">
        <v>52750.0</v>
      </c>
      <c r="AN35" s="79">
        <v>5305.0</v>
      </c>
      <c r="AO35" s="79">
        <v>111100.0</v>
      </c>
      <c r="AP35" s="79">
        <v>0.0</v>
      </c>
      <c r="AQ35" s="79">
        <v>155155.0</v>
      </c>
      <c r="AR35" s="79" t="s">
        <v>489</v>
      </c>
      <c r="AS35" s="79">
        <v>12000.0</v>
      </c>
      <c r="AT35" s="79" t="s">
        <v>490</v>
      </c>
      <c r="AU35" s="79" t="s">
        <v>491</v>
      </c>
      <c r="AV35" s="79">
        <v>0.0</v>
      </c>
      <c r="AW35" s="79"/>
      <c r="AX35" s="79">
        <v>0.0</v>
      </c>
      <c r="AY35" s="79"/>
      <c r="AZ35" s="79">
        <v>0.0</v>
      </c>
      <c r="BA35" s="79"/>
      <c r="BB35" s="79">
        <v>0.0</v>
      </c>
      <c r="BC35" s="79"/>
      <c r="BD35" s="79">
        <v>0.0</v>
      </c>
      <c r="BE35" s="79"/>
      <c r="BF35" s="79">
        <v>0.0</v>
      </c>
      <c r="BG35" s="79"/>
      <c r="BH35" s="79">
        <v>0.0</v>
      </c>
      <c r="BI35" s="79" t="s">
        <v>493</v>
      </c>
      <c r="BJ35" s="79">
        <v>17650.0</v>
      </c>
      <c r="BK35" s="79" t="s">
        <v>494</v>
      </c>
      <c r="BL35" s="79">
        <v>32800.0</v>
      </c>
      <c r="BM35" s="79" t="s">
        <v>495</v>
      </c>
      <c r="BN35" s="79">
        <v>2300.0</v>
      </c>
      <c r="BO35" s="79" t="s">
        <v>496</v>
      </c>
      <c r="BP35" s="79">
        <v>0.0</v>
      </c>
      <c r="BQ35" s="79"/>
      <c r="BR35" s="79">
        <v>0.0</v>
      </c>
      <c r="BS35" s="79"/>
      <c r="BT35" s="79">
        <v>0.0</v>
      </c>
      <c r="BU35" s="79"/>
      <c r="BV35" s="79">
        <v>0.0</v>
      </c>
      <c r="BW35" s="79"/>
      <c r="BX35" s="79">
        <v>0.0</v>
      </c>
      <c r="BY35" s="79">
        <v>800.0</v>
      </c>
      <c r="BZ35" s="79" t="s">
        <v>491</v>
      </c>
      <c r="CA35" s="79">
        <v>0.0</v>
      </c>
      <c r="CB35" s="79" t="s">
        <v>490</v>
      </c>
      <c r="CC35" s="79"/>
      <c r="CD35" s="79">
        <v>0.0</v>
      </c>
      <c r="CE35" s="79"/>
      <c r="CF35" s="79">
        <v>0.0</v>
      </c>
      <c r="CG35" s="79"/>
      <c r="CH35" s="79">
        <v>0.0</v>
      </c>
      <c r="CI35" s="79"/>
      <c r="CJ35" s="79">
        <v>0.0</v>
      </c>
      <c r="CK35" s="79"/>
      <c r="CL35" s="79">
        <v>0.0</v>
      </c>
      <c r="CM35" s="79"/>
      <c r="CN35" s="79">
        <v>0.0</v>
      </c>
      <c r="CO35" s="79" t="s">
        <v>493</v>
      </c>
      <c r="CP35" s="79">
        <v>17650.0</v>
      </c>
      <c r="CQ35" s="79" t="s">
        <v>494</v>
      </c>
      <c r="CR35" s="79">
        <v>32800.0</v>
      </c>
      <c r="CS35" s="79" t="s">
        <v>495</v>
      </c>
      <c r="CT35" s="79">
        <v>2300.0</v>
      </c>
      <c r="CU35" s="79" t="s">
        <v>496</v>
      </c>
      <c r="CV35" s="79">
        <v>0.0</v>
      </c>
      <c r="CW35" s="79"/>
      <c r="CX35" s="79">
        <v>0.0</v>
      </c>
      <c r="CY35" s="79"/>
      <c r="CZ35" s="79">
        <v>0.0</v>
      </c>
      <c r="DA35" s="79"/>
      <c r="DB35" s="79">
        <v>0.0</v>
      </c>
      <c r="DC35" s="79"/>
      <c r="DD35" s="79">
        <v>0.0</v>
      </c>
      <c r="DE35" s="79">
        <v>90200.0</v>
      </c>
      <c r="DF35" s="79">
        <v>106000.0</v>
      </c>
      <c r="DG35" s="79">
        <v>0.0</v>
      </c>
      <c r="DH35" s="79">
        <v>0.0</v>
      </c>
      <c r="DI35" s="79">
        <v>52245.0</v>
      </c>
      <c r="DJ35" s="79" t="s">
        <v>741</v>
      </c>
      <c r="DK35" s="79" t="s">
        <v>486</v>
      </c>
      <c r="DL35" s="79" t="s">
        <v>487</v>
      </c>
      <c r="DM35" s="79" t="s">
        <v>742</v>
      </c>
      <c r="DN35" s="79"/>
      <c r="DO35" s="79" t="s">
        <v>743</v>
      </c>
      <c r="DP35" s="79"/>
      <c r="DQ35" s="79"/>
      <c r="DR35" s="79"/>
      <c r="DS35" s="79"/>
      <c r="DT35" s="82"/>
      <c r="DU35" s="79"/>
      <c r="DV35" s="82"/>
      <c r="DW35" s="79"/>
      <c r="DX35" s="79"/>
      <c r="DY35" s="79"/>
      <c r="DZ35" s="79"/>
      <c r="EA35" s="79"/>
      <c r="EB35" s="79"/>
      <c r="EC35" s="79"/>
      <c r="ED35" s="79"/>
      <c r="EE35" s="79"/>
      <c r="EF35" s="82"/>
      <c r="EG35" s="79"/>
      <c r="EH35" s="82"/>
      <c r="EI35" s="79"/>
      <c r="EJ35" s="82"/>
      <c r="EK35" s="79"/>
      <c r="EL35" s="82"/>
      <c r="EM35" s="79"/>
      <c r="EN35" s="79" t="s">
        <v>79</v>
      </c>
      <c r="EO35" s="79"/>
      <c r="EP35" s="80"/>
      <c r="EQ35" s="83"/>
      <c r="ER35" s="83" t="str">
        <f t="shared" si="1"/>
        <v/>
      </c>
      <c r="ES35" s="79"/>
      <c r="ET35" s="79" t="str">
        <f t="shared" si="2"/>
        <v/>
      </c>
      <c r="EU35" s="79"/>
      <c r="EV35" s="79"/>
      <c r="EW35" s="82"/>
      <c r="EX35" s="82"/>
      <c r="EY35" s="82"/>
      <c r="EZ35" s="82"/>
      <c r="FA35" s="82"/>
      <c r="FB35" s="82"/>
    </row>
    <row r="36" ht="15.75" customHeight="1">
      <c r="A36" s="79" t="s">
        <v>312</v>
      </c>
      <c r="B36" s="79" t="s">
        <v>591</v>
      </c>
      <c r="C36" s="79" t="s">
        <v>476</v>
      </c>
      <c r="D36" s="80">
        <v>46094.0</v>
      </c>
      <c r="E36" s="79" t="s">
        <v>744</v>
      </c>
      <c r="F36" s="79"/>
      <c r="G36" s="79" t="s">
        <v>745</v>
      </c>
      <c r="H36" s="79" t="s">
        <v>746</v>
      </c>
      <c r="I36" s="79"/>
      <c r="J36" s="79" t="s">
        <v>747</v>
      </c>
      <c r="K36" s="79">
        <v>0.0</v>
      </c>
      <c r="L36" s="79"/>
      <c r="M36" s="79" t="s">
        <v>748</v>
      </c>
      <c r="N36" s="79"/>
      <c r="O36" s="79"/>
      <c r="P36" s="79"/>
      <c r="Q36" s="79"/>
      <c r="R36" s="80">
        <v>46810.0</v>
      </c>
      <c r="S36" s="79"/>
      <c r="T36" s="79">
        <v>24024.0</v>
      </c>
      <c r="U36" s="79"/>
      <c r="V36" s="79"/>
      <c r="W36" s="80">
        <v>46080.0</v>
      </c>
      <c r="X36" s="79"/>
      <c r="Y36" s="79"/>
      <c r="Z36" s="79" t="s">
        <v>486</v>
      </c>
      <c r="AA36" s="79" t="s">
        <v>487</v>
      </c>
      <c r="AB36" s="79" t="s">
        <v>486</v>
      </c>
      <c r="AC36" s="79" t="s">
        <v>488</v>
      </c>
      <c r="AD36" s="79">
        <v>183100.0</v>
      </c>
      <c r="AE36" s="79">
        <v>12000.0</v>
      </c>
      <c r="AF36" s="79">
        <v>52750.0</v>
      </c>
      <c r="AG36" s="79">
        <v>19510.0</v>
      </c>
      <c r="AH36" s="83">
        <v>267360.0</v>
      </c>
      <c r="AI36" s="79"/>
      <c r="AJ36" s="79">
        <v>0.0</v>
      </c>
      <c r="AK36" s="79">
        <v>43150.0</v>
      </c>
      <c r="AL36" s="83">
        <v>1600.0</v>
      </c>
      <c r="AM36" s="79">
        <v>52750.0</v>
      </c>
      <c r="AN36" s="79">
        <v>4475.0</v>
      </c>
      <c r="AO36" s="79">
        <v>101975.0</v>
      </c>
      <c r="AP36" s="79">
        <v>0.0</v>
      </c>
      <c r="AQ36" s="79">
        <v>150350.0</v>
      </c>
      <c r="AR36" s="79" t="s">
        <v>489</v>
      </c>
      <c r="AS36" s="79">
        <v>12000.0</v>
      </c>
      <c r="AT36" s="79" t="s">
        <v>507</v>
      </c>
      <c r="AU36" s="79" t="s">
        <v>491</v>
      </c>
      <c r="AV36" s="79">
        <v>0.0</v>
      </c>
      <c r="AW36" s="79" t="s">
        <v>508</v>
      </c>
      <c r="AX36" s="79">
        <v>0.0</v>
      </c>
      <c r="AY36" s="82"/>
      <c r="AZ36" s="79">
        <v>0.0</v>
      </c>
      <c r="BA36" s="82"/>
      <c r="BB36" s="79">
        <v>0.0</v>
      </c>
      <c r="BC36" s="82"/>
      <c r="BD36" s="79">
        <v>0.0</v>
      </c>
      <c r="BE36" s="82"/>
      <c r="BF36" s="79">
        <v>0.0</v>
      </c>
      <c r="BG36" s="79"/>
      <c r="BH36" s="79">
        <v>0.0</v>
      </c>
      <c r="BI36" s="79" t="s">
        <v>493</v>
      </c>
      <c r="BJ36" s="79">
        <v>17650.0</v>
      </c>
      <c r="BK36" s="79" t="s">
        <v>494</v>
      </c>
      <c r="BL36" s="79">
        <v>32800.0</v>
      </c>
      <c r="BM36" s="79" t="s">
        <v>495</v>
      </c>
      <c r="BN36" s="79">
        <v>2300.0</v>
      </c>
      <c r="BO36" s="79" t="s">
        <v>496</v>
      </c>
      <c r="BP36" s="79">
        <v>0.0</v>
      </c>
      <c r="BQ36" s="79"/>
      <c r="BR36" s="79">
        <v>0.0</v>
      </c>
      <c r="BS36" s="79"/>
      <c r="BT36" s="79">
        <v>0.0</v>
      </c>
      <c r="BU36" s="79"/>
      <c r="BV36" s="79">
        <v>0.0</v>
      </c>
      <c r="BW36" s="79"/>
      <c r="BX36" s="79">
        <v>0.0</v>
      </c>
      <c r="BY36" s="79">
        <v>1600.0</v>
      </c>
      <c r="BZ36" s="79" t="s">
        <v>491</v>
      </c>
      <c r="CA36" s="79">
        <v>0.0</v>
      </c>
      <c r="CB36" s="79" t="s">
        <v>507</v>
      </c>
      <c r="CC36" s="79" t="s">
        <v>508</v>
      </c>
      <c r="CD36" s="79">
        <v>0.0</v>
      </c>
      <c r="CE36" s="79"/>
      <c r="CF36" s="79">
        <v>0.0</v>
      </c>
      <c r="CG36" s="79"/>
      <c r="CH36" s="79">
        <v>0.0</v>
      </c>
      <c r="CI36" s="79"/>
      <c r="CJ36" s="79">
        <v>0.0</v>
      </c>
      <c r="CK36" s="79"/>
      <c r="CL36" s="79">
        <v>0.0</v>
      </c>
      <c r="CM36" s="79"/>
      <c r="CN36" s="79">
        <v>0.0</v>
      </c>
      <c r="CO36" s="79" t="s">
        <v>493</v>
      </c>
      <c r="CP36" s="79">
        <v>17650.0</v>
      </c>
      <c r="CQ36" s="79" t="s">
        <v>494</v>
      </c>
      <c r="CR36" s="79">
        <v>32800.0</v>
      </c>
      <c r="CS36" s="79" t="s">
        <v>495</v>
      </c>
      <c r="CT36" s="79">
        <v>2300.0</v>
      </c>
      <c r="CU36" s="79" t="s">
        <v>496</v>
      </c>
      <c r="CV36" s="79">
        <v>0.0</v>
      </c>
      <c r="CW36" s="79"/>
      <c r="CX36" s="79">
        <v>0.0</v>
      </c>
      <c r="CY36" s="79"/>
      <c r="CZ36" s="79">
        <v>0.0</v>
      </c>
      <c r="DA36" s="79"/>
      <c r="DB36" s="79">
        <v>0.0</v>
      </c>
      <c r="DC36" s="79"/>
      <c r="DD36" s="79">
        <v>0.0</v>
      </c>
      <c r="DE36" s="79">
        <v>97600.0</v>
      </c>
      <c r="DF36" s="79">
        <v>85500.0</v>
      </c>
      <c r="DG36" s="79">
        <v>0.0</v>
      </c>
      <c r="DH36" s="79">
        <v>0.0</v>
      </c>
      <c r="DI36" s="79">
        <v>43150.0</v>
      </c>
      <c r="DJ36" s="79" t="s">
        <v>313</v>
      </c>
      <c r="DK36" s="79" t="s">
        <v>486</v>
      </c>
      <c r="DL36" s="79" t="s">
        <v>487</v>
      </c>
      <c r="DM36" s="79" t="s">
        <v>749</v>
      </c>
      <c r="DN36" s="79" t="s">
        <v>750</v>
      </c>
      <c r="DO36" s="79" t="s">
        <v>751</v>
      </c>
      <c r="DP36" s="82"/>
      <c r="DQ36" s="79"/>
      <c r="DR36" s="82"/>
      <c r="DS36" s="79"/>
      <c r="DT36" s="82"/>
      <c r="DU36" s="79"/>
      <c r="DV36" s="82"/>
      <c r="DW36" s="79"/>
      <c r="DX36" s="79"/>
      <c r="DY36" s="79"/>
      <c r="DZ36" s="79"/>
      <c r="EA36" s="79"/>
      <c r="EB36" s="79"/>
      <c r="EC36" s="79"/>
      <c r="ED36" s="79"/>
      <c r="EE36" s="79"/>
      <c r="EF36" s="82"/>
      <c r="EG36" s="79"/>
      <c r="EH36" s="82"/>
      <c r="EI36" s="79"/>
      <c r="EJ36" s="82"/>
      <c r="EK36" s="79"/>
      <c r="EL36" s="82"/>
      <c r="EM36" s="79"/>
      <c r="EN36" s="79" t="s">
        <v>79</v>
      </c>
      <c r="EO36" s="79"/>
      <c r="EP36" s="80"/>
      <c r="EQ36" s="83"/>
      <c r="ER36" s="83" t="str">
        <f t="shared" si="1"/>
        <v/>
      </c>
      <c r="ES36" s="82"/>
      <c r="ET36" s="79" t="str">
        <f t="shared" si="2"/>
        <v/>
      </c>
      <c r="EU36" s="79"/>
      <c r="EV36" s="79"/>
      <c r="EW36" s="82"/>
      <c r="EX36" s="82"/>
      <c r="EY36" s="82"/>
      <c r="EZ36" s="82"/>
      <c r="FA36" s="82"/>
      <c r="FB36" s="82" t="s">
        <v>752</v>
      </c>
    </row>
    <row r="37" ht="15.75" customHeight="1">
      <c r="A37" s="79" t="s">
        <v>753</v>
      </c>
      <c r="B37" s="79" t="s">
        <v>475</v>
      </c>
      <c r="C37" s="79" t="s">
        <v>476</v>
      </c>
      <c r="D37" s="80">
        <v>46094.0</v>
      </c>
      <c r="E37" s="79" t="s">
        <v>736</v>
      </c>
      <c r="F37" s="79" t="s">
        <v>568</v>
      </c>
      <c r="G37" s="79" t="s">
        <v>600</v>
      </c>
      <c r="H37" s="79" t="s">
        <v>479</v>
      </c>
      <c r="I37" s="79" t="s">
        <v>737</v>
      </c>
      <c r="J37" s="79" t="s">
        <v>738</v>
      </c>
      <c r="K37" s="79">
        <v>1990.0</v>
      </c>
      <c r="L37" s="79"/>
      <c r="M37" s="79" t="s">
        <v>571</v>
      </c>
      <c r="N37" s="79" t="s">
        <v>739</v>
      </c>
      <c r="O37" s="79" t="s">
        <v>740</v>
      </c>
      <c r="P37" s="79"/>
      <c r="Q37" s="79"/>
      <c r="R37" s="80">
        <v>46841.0</v>
      </c>
      <c r="S37" s="79"/>
      <c r="T37" s="79">
        <v>10420.0</v>
      </c>
      <c r="U37" s="79"/>
      <c r="V37" s="79"/>
      <c r="W37" s="80">
        <v>46081.0</v>
      </c>
      <c r="X37" s="79"/>
      <c r="Y37" s="80">
        <v>46081.0</v>
      </c>
      <c r="Z37" s="79" t="s">
        <v>486</v>
      </c>
      <c r="AA37" s="79" t="s">
        <v>487</v>
      </c>
      <c r="AB37" s="79" t="s">
        <v>486</v>
      </c>
      <c r="AC37" s="79" t="s">
        <v>488</v>
      </c>
      <c r="AD37" s="79">
        <v>10000.0</v>
      </c>
      <c r="AE37" s="79">
        <v>0.0</v>
      </c>
      <c r="AF37" s="79">
        <v>0.0</v>
      </c>
      <c r="AG37" s="79">
        <v>1000.0</v>
      </c>
      <c r="AH37" s="81">
        <v>11000.0</v>
      </c>
      <c r="AI37" s="79"/>
      <c r="AJ37" s="79">
        <v>0.0</v>
      </c>
      <c r="AK37" s="79">
        <v>0.0</v>
      </c>
      <c r="AL37" s="79">
        <v>0.0</v>
      </c>
      <c r="AM37" s="79">
        <v>0.0</v>
      </c>
      <c r="AN37" s="79">
        <v>0.0</v>
      </c>
      <c r="AO37" s="79">
        <v>0.0</v>
      </c>
      <c r="AP37" s="79">
        <v>0.0</v>
      </c>
      <c r="AQ37" s="79">
        <v>10000.0</v>
      </c>
      <c r="AR37" s="79" t="s">
        <v>489</v>
      </c>
      <c r="AS37" s="79">
        <v>0.0</v>
      </c>
      <c r="AT37" s="79" t="s">
        <v>490</v>
      </c>
      <c r="AU37" s="79" t="s">
        <v>491</v>
      </c>
      <c r="AV37" s="79">
        <v>0.0</v>
      </c>
      <c r="AW37" s="79"/>
      <c r="AX37" s="79">
        <v>0.0</v>
      </c>
      <c r="AY37" s="79" t="s">
        <v>492</v>
      </c>
      <c r="AZ37" s="79">
        <v>0.0</v>
      </c>
      <c r="BA37" s="79"/>
      <c r="BB37" s="79">
        <v>0.0</v>
      </c>
      <c r="BC37" s="79"/>
      <c r="BD37" s="79">
        <v>0.0</v>
      </c>
      <c r="BE37" s="79"/>
      <c r="BF37" s="79">
        <v>0.0</v>
      </c>
      <c r="BG37" s="79"/>
      <c r="BH37" s="79">
        <v>0.0</v>
      </c>
      <c r="BI37" s="79" t="s">
        <v>493</v>
      </c>
      <c r="BJ37" s="79">
        <v>0.0</v>
      </c>
      <c r="BK37" s="79" t="s">
        <v>494</v>
      </c>
      <c r="BL37" s="79">
        <v>0.0</v>
      </c>
      <c r="BM37" s="79" t="s">
        <v>495</v>
      </c>
      <c r="BN37" s="79">
        <v>0.0</v>
      </c>
      <c r="BO37" s="79" t="s">
        <v>496</v>
      </c>
      <c r="BP37" s="79">
        <v>0.0</v>
      </c>
      <c r="BQ37" s="79"/>
      <c r="BR37" s="79">
        <v>0.0</v>
      </c>
      <c r="BS37" s="79"/>
      <c r="BT37" s="79">
        <v>0.0</v>
      </c>
      <c r="BU37" s="79"/>
      <c r="BV37" s="79">
        <v>0.0</v>
      </c>
      <c r="BW37" s="79"/>
      <c r="BX37" s="79">
        <v>0.0</v>
      </c>
      <c r="BY37" s="79">
        <v>0.0</v>
      </c>
      <c r="BZ37" s="79" t="s">
        <v>491</v>
      </c>
      <c r="CA37" s="79">
        <v>0.0</v>
      </c>
      <c r="CB37" s="79" t="s">
        <v>490</v>
      </c>
      <c r="CC37" s="79"/>
      <c r="CD37" s="79">
        <v>0.0</v>
      </c>
      <c r="CE37" s="79" t="s">
        <v>492</v>
      </c>
      <c r="CF37" s="79">
        <v>0.0</v>
      </c>
      <c r="CG37" s="79"/>
      <c r="CH37" s="79">
        <v>0.0</v>
      </c>
      <c r="CI37" s="79"/>
      <c r="CJ37" s="79">
        <v>0.0</v>
      </c>
      <c r="CK37" s="79"/>
      <c r="CL37" s="79">
        <v>0.0</v>
      </c>
      <c r="CM37" s="79"/>
      <c r="CN37" s="79">
        <v>0.0</v>
      </c>
      <c r="CO37" s="79" t="s">
        <v>493</v>
      </c>
      <c r="CP37" s="79">
        <v>0.0</v>
      </c>
      <c r="CQ37" s="79" t="s">
        <v>494</v>
      </c>
      <c r="CR37" s="79">
        <v>0.0</v>
      </c>
      <c r="CS37" s="79" t="s">
        <v>495</v>
      </c>
      <c r="CT37" s="79">
        <v>0.0</v>
      </c>
      <c r="CU37" s="79" t="s">
        <v>496</v>
      </c>
      <c r="CV37" s="79">
        <v>0.0</v>
      </c>
      <c r="CW37" s="79"/>
      <c r="CX37" s="79">
        <v>0.0</v>
      </c>
      <c r="CY37" s="79"/>
      <c r="CZ37" s="79">
        <v>0.0</v>
      </c>
      <c r="DA37" s="79"/>
      <c r="DB37" s="79">
        <v>0.0</v>
      </c>
      <c r="DC37" s="79"/>
      <c r="DD37" s="79">
        <v>0.0</v>
      </c>
      <c r="DE37" s="79">
        <v>10000.0</v>
      </c>
      <c r="DF37" s="79">
        <v>0.0</v>
      </c>
      <c r="DG37" s="79">
        <v>0.0</v>
      </c>
      <c r="DH37" s="79">
        <v>0.0</v>
      </c>
      <c r="DI37" s="79">
        <v>0.0</v>
      </c>
      <c r="DJ37" s="79" t="s">
        <v>741</v>
      </c>
      <c r="DK37" s="79" t="s">
        <v>486</v>
      </c>
      <c r="DL37" s="79" t="s">
        <v>487</v>
      </c>
      <c r="DM37" s="79" t="s">
        <v>742</v>
      </c>
      <c r="DN37" s="79"/>
      <c r="DO37" s="79" t="s">
        <v>743</v>
      </c>
      <c r="DP37" s="79"/>
      <c r="DQ37" s="79"/>
      <c r="DR37" s="79"/>
      <c r="DS37" s="79"/>
      <c r="DT37" s="82"/>
      <c r="DU37" s="79"/>
      <c r="DV37" s="82"/>
      <c r="DW37" s="79"/>
      <c r="DX37" s="79"/>
      <c r="DY37" s="79"/>
      <c r="DZ37" s="79"/>
      <c r="EA37" s="79"/>
      <c r="EB37" s="79"/>
      <c r="EC37" s="79"/>
      <c r="ED37" s="79"/>
      <c r="EE37" s="79"/>
      <c r="EF37" s="82"/>
      <c r="EG37" s="79"/>
      <c r="EH37" s="82"/>
      <c r="EI37" s="79"/>
      <c r="EJ37" s="82"/>
      <c r="EK37" s="79"/>
      <c r="EL37" s="82"/>
      <c r="EM37" s="79"/>
      <c r="EN37" s="79" t="s">
        <v>79</v>
      </c>
      <c r="EO37" s="79"/>
      <c r="EP37" s="80"/>
      <c r="EQ37" s="83"/>
      <c r="ER37" s="83" t="str">
        <f t="shared" si="1"/>
        <v/>
      </c>
      <c r="ES37" s="82"/>
      <c r="ET37" s="79" t="str">
        <f t="shared" si="2"/>
        <v/>
      </c>
      <c r="EU37" s="79"/>
      <c r="EV37" s="79"/>
      <c r="EW37" s="82"/>
      <c r="EX37" s="82"/>
      <c r="EY37" s="82"/>
      <c r="EZ37" s="82"/>
      <c r="FA37" s="82"/>
      <c r="FB37" s="82"/>
    </row>
    <row r="38" ht="15.75" customHeight="1">
      <c r="A38" s="79" t="s">
        <v>754</v>
      </c>
      <c r="B38" s="79" t="s">
        <v>475</v>
      </c>
      <c r="C38" s="79" t="s">
        <v>476</v>
      </c>
      <c r="D38" s="80">
        <v>46094.0</v>
      </c>
      <c r="E38" s="79" t="s">
        <v>736</v>
      </c>
      <c r="F38" s="79" t="s">
        <v>568</v>
      </c>
      <c r="G38" s="79" t="s">
        <v>600</v>
      </c>
      <c r="H38" s="79" t="s">
        <v>479</v>
      </c>
      <c r="I38" s="79" t="s">
        <v>737</v>
      </c>
      <c r="J38" s="79" t="s">
        <v>738</v>
      </c>
      <c r="K38" s="79">
        <v>1990.0</v>
      </c>
      <c r="L38" s="79"/>
      <c r="M38" s="79" t="s">
        <v>571</v>
      </c>
      <c r="N38" s="79" t="s">
        <v>739</v>
      </c>
      <c r="O38" s="79" t="s">
        <v>740</v>
      </c>
      <c r="P38" s="79"/>
      <c r="Q38" s="79"/>
      <c r="R38" s="80">
        <v>46841.0</v>
      </c>
      <c r="S38" s="79"/>
      <c r="T38" s="79">
        <v>10420.0</v>
      </c>
      <c r="U38" s="79"/>
      <c r="V38" s="79"/>
      <c r="W38" s="80">
        <v>46081.0</v>
      </c>
      <c r="X38" s="79"/>
      <c r="Y38" s="80">
        <v>46081.0</v>
      </c>
      <c r="Z38" s="79" t="s">
        <v>486</v>
      </c>
      <c r="AA38" s="79" t="s">
        <v>487</v>
      </c>
      <c r="AB38" s="79" t="s">
        <v>486</v>
      </c>
      <c r="AC38" s="79" t="s">
        <v>488</v>
      </c>
      <c r="AD38" s="79">
        <v>9000.0</v>
      </c>
      <c r="AE38" s="79">
        <v>0.0</v>
      </c>
      <c r="AF38" s="79">
        <v>0.0</v>
      </c>
      <c r="AG38" s="79">
        <v>900.0</v>
      </c>
      <c r="AH38" s="81">
        <v>9900.0</v>
      </c>
      <c r="AI38" s="79"/>
      <c r="AJ38" s="79">
        <v>0.0</v>
      </c>
      <c r="AK38" s="79">
        <v>0.0</v>
      </c>
      <c r="AL38" s="79">
        <v>0.0</v>
      </c>
      <c r="AM38" s="79">
        <v>0.0</v>
      </c>
      <c r="AN38" s="79">
        <v>0.0</v>
      </c>
      <c r="AO38" s="79">
        <v>0.0</v>
      </c>
      <c r="AP38" s="79">
        <v>0.0</v>
      </c>
      <c r="AQ38" s="79">
        <v>9000.0</v>
      </c>
      <c r="AR38" s="79" t="s">
        <v>489</v>
      </c>
      <c r="AS38" s="79">
        <v>0.0</v>
      </c>
      <c r="AT38" s="79" t="s">
        <v>490</v>
      </c>
      <c r="AU38" s="79" t="s">
        <v>491</v>
      </c>
      <c r="AV38" s="79">
        <v>0.0</v>
      </c>
      <c r="AW38" s="79"/>
      <c r="AX38" s="79">
        <v>0.0</v>
      </c>
      <c r="AY38" s="79" t="s">
        <v>492</v>
      </c>
      <c r="AZ38" s="79">
        <v>0.0</v>
      </c>
      <c r="BA38" s="79"/>
      <c r="BB38" s="79">
        <v>0.0</v>
      </c>
      <c r="BC38" s="79"/>
      <c r="BD38" s="79">
        <v>0.0</v>
      </c>
      <c r="BE38" s="79"/>
      <c r="BF38" s="79">
        <v>0.0</v>
      </c>
      <c r="BG38" s="79"/>
      <c r="BH38" s="79">
        <v>0.0</v>
      </c>
      <c r="BI38" s="79" t="s">
        <v>493</v>
      </c>
      <c r="BJ38" s="79">
        <v>0.0</v>
      </c>
      <c r="BK38" s="79" t="s">
        <v>494</v>
      </c>
      <c r="BL38" s="79">
        <v>0.0</v>
      </c>
      <c r="BM38" s="79" t="s">
        <v>495</v>
      </c>
      <c r="BN38" s="79">
        <v>0.0</v>
      </c>
      <c r="BO38" s="79" t="s">
        <v>496</v>
      </c>
      <c r="BP38" s="79">
        <v>0.0</v>
      </c>
      <c r="BQ38" s="79"/>
      <c r="BR38" s="79">
        <v>0.0</v>
      </c>
      <c r="BS38" s="79"/>
      <c r="BT38" s="79">
        <v>0.0</v>
      </c>
      <c r="BU38" s="79"/>
      <c r="BV38" s="79">
        <v>0.0</v>
      </c>
      <c r="BW38" s="79"/>
      <c r="BX38" s="79">
        <v>0.0</v>
      </c>
      <c r="BY38" s="79">
        <v>0.0</v>
      </c>
      <c r="BZ38" s="79" t="s">
        <v>491</v>
      </c>
      <c r="CA38" s="79">
        <v>0.0</v>
      </c>
      <c r="CB38" s="79" t="s">
        <v>490</v>
      </c>
      <c r="CC38" s="79"/>
      <c r="CD38" s="79">
        <v>0.0</v>
      </c>
      <c r="CE38" s="79" t="s">
        <v>492</v>
      </c>
      <c r="CF38" s="79">
        <v>0.0</v>
      </c>
      <c r="CG38" s="79"/>
      <c r="CH38" s="79">
        <v>0.0</v>
      </c>
      <c r="CI38" s="79"/>
      <c r="CJ38" s="79">
        <v>0.0</v>
      </c>
      <c r="CK38" s="79"/>
      <c r="CL38" s="79">
        <v>0.0</v>
      </c>
      <c r="CM38" s="79"/>
      <c r="CN38" s="79">
        <v>0.0</v>
      </c>
      <c r="CO38" s="79" t="s">
        <v>493</v>
      </c>
      <c r="CP38" s="79">
        <v>0.0</v>
      </c>
      <c r="CQ38" s="79" t="s">
        <v>494</v>
      </c>
      <c r="CR38" s="79">
        <v>0.0</v>
      </c>
      <c r="CS38" s="79" t="s">
        <v>495</v>
      </c>
      <c r="CT38" s="79">
        <v>0.0</v>
      </c>
      <c r="CU38" s="79" t="s">
        <v>496</v>
      </c>
      <c r="CV38" s="79">
        <v>0.0</v>
      </c>
      <c r="CW38" s="79"/>
      <c r="CX38" s="79">
        <v>0.0</v>
      </c>
      <c r="CY38" s="79"/>
      <c r="CZ38" s="79">
        <v>0.0</v>
      </c>
      <c r="DA38" s="79"/>
      <c r="DB38" s="79">
        <v>0.0</v>
      </c>
      <c r="DC38" s="79"/>
      <c r="DD38" s="79">
        <v>0.0</v>
      </c>
      <c r="DE38" s="79">
        <v>9000.0</v>
      </c>
      <c r="DF38" s="79">
        <v>0.0</v>
      </c>
      <c r="DG38" s="79">
        <v>0.0</v>
      </c>
      <c r="DH38" s="79">
        <v>0.0</v>
      </c>
      <c r="DI38" s="79">
        <v>0.0</v>
      </c>
      <c r="DJ38" s="79" t="s">
        <v>741</v>
      </c>
      <c r="DK38" s="79" t="s">
        <v>486</v>
      </c>
      <c r="DL38" s="79" t="s">
        <v>487</v>
      </c>
      <c r="DM38" s="79" t="s">
        <v>742</v>
      </c>
      <c r="DN38" s="79"/>
      <c r="DO38" s="79" t="s">
        <v>743</v>
      </c>
      <c r="DP38" s="79"/>
      <c r="DQ38" s="79"/>
      <c r="DR38" s="79"/>
      <c r="DS38" s="79"/>
      <c r="DT38" s="82"/>
      <c r="DU38" s="79"/>
      <c r="DV38" s="82"/>
      <c r="DW38" s="79"/>
      <c r="DX38" s="79"/>
      <c r="DY38" s="79"/>
      <c r="DZ38" s="79"/>
      <c r="EA38" s="79"/>
      <c r="EB38" s="79"/>
      <c r="EC38" s="79"/>
      <c r="ED38" s="79"/>
      <c r="EE38" s="79"/>
      <c r="EF38" s="82"/>
      <c r="EG38" s="79"/>
      <c r="EH38" s="82"/>
      <c r="EI38" s="79"/>
      <c r="EJ38" s="82"/>
      <c r="EK38" s="79"/>
      <c r="EL38" s="82"/>
      <c r="EM38" s="79"/>
      <c r="EN38" s="79" t="s">
        <v>79</v>
      </c>
      <c r="EO38" s="79"/>
      <c r="EP38" s="80"/>
      <c r="EQ38" s="83"/>
      <c r="ER38" s="83" t="str">
        <f t="shared" si="1"/>
        <v/>
      </c>
      <c r="ES38" s="82"/>
      <c r="ET38" s="79" t="str">
        <f t="shared" si="2"/>
        <v/>
      </c>
      <c r="EU38" s="79"/>
      <c r="EV38" s="79"/>
      <c r="EW38" s="82"/>
      <c r="EX38" s="82"/>
      <c r="EY38" s="82"/>
      <c r="EZ38" s="82"/>
      <c r="FA38" s="82"/>
      <c r="FB38" s="82"/>
    </row>
    <row r="39" ht="15.75" customHeight="1">
      <c r="A39" s="79" t="s">
        <v>755</v>
      </c>
      <c r="B39" s="79" t="s">
        <v>475</v>
      </c>
      <c r="C39" s="79" t="s">
        <v>476</v>
      </c>
      <c r="D39" s="80">
        <v>46094.0</v>
      </c>
      <c r="E39" s="79" t="s">
        <v>756</v>
      </c>
      <c r="F39" s="79"/>
      <c r="G39" s="79" t="s">
        <v>517</v>
      </c>
      <c r="H39" s="79" t="s">
        <v>757</v>
      </c>
      <c r="I39" s="79"/>
      <c r="J39" s="79" t="s">
        <v>758</v>
      </c>
      <c r="K39" s="79">
        <v>1984.0</v>
      </c>
      <c r="L39" s="79"/>
      <c r="M39" s="79" t="s">
        <v>759</v>
      </c>
      <c r="N39" s="79" t="s">
        <v>760</v>
      </c>
      <c r="O39" s="79" t="s">
        <v>484</v>
      </c>
      <c r="P39" s="79"/>
      <c r="Q39" s="79" t="s">
        <v>761</v>
      </c>
      <c r="R39" s="84">
        <v>46368.0</v>
      </c>
      <c r="S39" s="79"/>
      <c r="T39" s="79">
        <v>96810.0</v>
      </c>
      <c r="U39" s="79"/>
      <c r="V39" s="79"/>
      <c r="W39" s="80">
        <v>46094.0</v>
      </c>
      <c r="X39" s="79"/>
      <c r="Y39" s="80">
        <v>46094.0</v>
      </c>
      <c r="Z39" s="79" t="s">
        <v>524</v>
      </c>
      <c r="AA39" s="79" t="s">
        <v>487</v>
      </c>
      <c r="AB39" s="79" t="s">
        <v>524</v>
      </c>
      <c r="AC39" s="79" t="s">
        <v>488</v>
      </c>
      <c r="AD39" s="79">
        <v>3500.0</v>
      </c>
      <c r="AE39" s="79">
        <v>0.0</v>
      </c>
      <c r="AF39" s="79">
        <v>0.0</v>
      </c>
      <c r="AG39" s="79">
        <v>350.0</v>
      </c>
      <c r="AH39" s="81">
        <v>3850.0</v>
      </c>
      <c r="AI39" s="79"/>
      <c r="AJ39" s="79">
        <v>0.0</v>
      </c>
      <c r="AK39" s="79">
        <v>0.0</v>
      </c>
      <c r="AL39" s="79">
        <v>0.0</v>
      </c>
      <c r="AM39" s="79">
        <v>0.0</v>
      </c>
      <c r="AN39" s="79">
        <v>0.0</v>
      </c>
      <c r="AO39" s="79">
        <v>0.0</v>
      </c>
      <c r="AP39" s="79">
        <v>0.0</v>
      </c>
      <c r="AQ39" s="79">
        <v>3500.0</v>
      </c>
      <c r="AR39" s="79" t="s">
        <v>525</v>
      </c>
      <c r="AS39" s="79">
        <v>0.0</v>
      </c>
      <c r="AT39" s="79" t="s">
        <v>490</v>
      </c>
      <c r="AU39" s="79" t="s">
        <v>491</v>
      </c>
      <c r="AV39" s="79">
        <v>0.0</v>
      </c>
      <c r="AW39" s="79"/>
      <c r="AX39" s="79">
        <v>0.0</v>
      </c>
      <c r="AY39" s="79" t="s">
        <v>492</v>
      </c>
      <c r="AZ39" s="79">
        <v>0.0</v>
      </c>
      <c r="BA39" s="79"/>
      <c r="BB39" s="79">
        <v>0.0</v>
      </c>
      <c r="BC39" s="79"/>
      <c r="BD39" s="79">
        <v>0.0</v>
      </c>
      <c r="BE39" s="79"/>
      <c r="BF39" s="79">
        <v>0.0</v>
      </c>
      <c r="BG39" s="79"/>
      <c r="BH39" s="79">
        <v>0.0</v>
      </c>
      <c r="BI39" s="79" t="s">
        <v>493</v>
      </c>
      <c r="BJ39" s="79">
        <v>0.0</v>
      </c>
      <c r="BK39" s="79" t="s">
        <v>494</v>
      </c>
      <c r="BL39" s="79">
        <v>0.0</v>
      </c>
      <c r="BM39" s="79" t="s">
        <v>495</v>
      </c>
      <c r="BN39" s="79">
        <v>0.0</v>
      </c>
      <c r="BO39" s="79" t="s">
        <v>496</v>
      </c>
      <c r="BP39" s="79">
        <v>0.0</v>
      </c>
      <c r="BQ39" s="79"/>
      <c r="BR39" s="79">
        <v>0.0</v>
      </c>
      <c r="BS39" s="79"/>
      <c r="BT39" s="79">
        <v>0.0</v>
      </c>
      <c r="BU39" s="79"/>
      <c r="BV39" s="79">
        <v>0.0</v>
      </c>
      <c r="BW39" s="79"/>
      <c r="BX39" s="79">
        <v>0.0</v>
      </c>
      <c r="BY39" s="79">
        <v>0.0</v>
      </c>
      <c r="BZ39" s="79" t="s">
        <v>491</v>
      </c>
      <c r="CA39" s="79">
        <v>0.0</v>
      </c>
      <c r="CB39" s="79" t="s">
        <v>490</v>
      </c>
      <c r="CC39" s="79"/>
      <c r="CD39" s="79">
        <v>0.0</v>
      </c>
      <c r="CE39" s="79" t="s">
        <v>492</v>
      </c>
      <c r="CF39" s="79">
        <v>0.0</v>
      </c>
      <c r="CG39" s="79"/>
      <c r="CH39" s="79">
        <v>0.0</v>
      </c>
      <c r="CI39" s="79"/>
      <c r="CJ39" s="79">
        <v>0.0</v>
      </c>
      <c r="CK39" s="79"/>
      <c r="CL39" s="79">
        <v>0.0</v>
      </c>
      <c r="CM39" s="79"/>
      <c r="CN39" s="79">
        <v>0.0</v>
      </c>
      <c r="CO39" s="79" t="s">
        <v>493</v>
      </c>
      <c r="CP39" s="79">
        <v>0.0</v>
      </c>
      <c r="CQ39" s="79" t="s">
        <v>494</v>
      </c>
      <c r="CR39" s="79">
        <v>0.0</v>
      </c>
      <c r="CS39" s="79" t="s">
        <v>495</v>
      </c>
      <c r="CT39" s="79">
        <v>0.0</v>
      </c>
      <c r="CU39" s="79" t="s">
        <v>496</v>
      </c>
      <c r="CV39" s="79">
        <v>0.0</v>
      </c>
      <c r="CW39" s="79"/>
      <c r="CX39" s="79">
        <v>0.0</v>
      </c>
      <c r="CY39" s="79"/>
      <c r="CZ39" s="79">
        <v>0.0</v>
      </c>
      <c r="DA39" s="79"/>
      <c r="DB39" s="79">
        <v>0.0</v>
      </c>
      <c r="DC39" s="79"/>
      <c r="DD39" s="79">
        <v>0.0</v>
      </c>
      <c r="DE39" s="79">
        <v>3500.0</v>
      </c>
      <c r="DF39" s="79">
        <v>0.0</v>
      </c>
      <c r="DG39" s="79">
        <v>0.0</v>
      </c>
      <c r="DH39" s="79">
        <v>0.0</v>
      </c>
      <c r="DI39" s="79">
        <v>0.0</v>
      </c>
      <c r="DJ39" s="79" t="s">
        <v>762</v>
      </c>
      <c r="DK39" s="79" t="s">
        <v>524</v>
      </c>
      <c r="DL39" s="79" t="s">
        <v>487</v>
      </c>
      <c r="DM39" s="79" t="s">
        <v>763</v>
      </c>
      <c r="DN39" s="79" t="s">
        <v>764</v>
      </c>
      <c r="DO39" s="79"/>
      <c r="DP39" s="79"/>
      <c r="DQ39" s="79"/>
      <c r="DR39" s="79"/>
      <c r="DS39" s="79"/>
      <c r="DT39" s="82"/>
      <c r="DU39" s="79"/>
      <c r="DV39" s="82"/>
      <c r="DW39" s="79"/>
      <c r="DX39" s="79"/>
      <c r="DY39" s="79"/>
      <c r="DZ39" s="79"/>
      <c r="EA39" s="79"/>
      <c r="EB39" s="79"/>
      <c r="EC39" s="79"/>
      <c r="ED39" s="79"/>
      <c r="EE39" s="79"/>
      <c r="EF39" s="82"/>
      <c r="EG39" s="79"/>
      <c r="EH39" s="82"/>
      <c r="EI39" s="79"/>
      <c r="EJ39" s="82"/>
      <c r="EK39" s="79"/>
      <c r="EL39" s="82"/>
      <c r="EM39" s="79"/>
      <c r="EN39" s="79" t="s">
        <v>156</v>
      </c>
      <c r="EO39" s="79" t="s">
        <v>48</v>
      </c>
      <c r="EP39" s="80"/>
      <c r="EQ39" s="83">
        <v>3850.0</v>
      </c>
      <c r="ER39" s="83">
        <v>0.0</v>
      </c>
      <c r="ES39" s="79" t="s">
        <v>112</v>
      </c>
      <c r="ET39" s="79"/>
      <c r="EU39" s="79" t="s">
        <v>765</v>
      </c>
      <c r="EV39" s="79"/>
      <c r="EW39" s="82"/>
      <c r="EX39" s="82"/>
      <c r="EY39" s="82"/>
      <c r="EZ39" s="79"/>
      <c r="FA39" s="79"/>
      <c r="FB39" s="79"/>
    </row>
    <row r="40" ht="15.75" customHeight="1">
      <c r="A40" s="79" t="s">
        <v>766</v>
      </c>
      <c r="B40" s="79" t="s">
        <v>475</v>
      </c>
      <c r="C40" s="79" t="s">
        <v>476</v>
      </c>
      <c r="D40" s="80">
        <v>46094.0</v>
      </c>
      <c r="E40" s="79" t="s">
        <v>756</v>
      </c>
      <c r="F40" s="79"/>
      <c r="G40" s="79" t="s">
        <v>517</v>
      </c>
      <c r="H40" s="79" t="s">
        <v>757</v>
      </c>
      <c r="I40" s="79"/>
      <c r="J40" s="79" t="s">
        <v>758</v>
      </c>
      <c r="K40" s="79">
        <v>1984.0</v>
      </c>
      <c r="L40" s="79"/>
      <c r="M40" s="79" t="s">
        <v>759</v>
      </c>
      <c r="N40" s="79" t="s">
        <v>760</v>
      </c>
      <c r="O40" s="79" t="s">
        <v>484</v>
      </c>
      <c r="P40" s="79"/>
      <c r="Q40" s="79" t="s">
        <v>761</v>
      </c>
      <c r="R40" s="84">
        <v>46368.0</v>
      </c>
      <c r="S40" s="79"/>
      <c r="T40" s="79">
        <v>96810.0</v>
      </c>
      <c r="U40" s="79"/>
      <c r="V40" s="79"/>
      <c r="W40" s="79"/>
      <c r="X40" s="79"/>
      <c r="Y40" s="79"/>
      <c r="Z40" s="79" t="s">
        <v>524</v>
      </c>
      <c r="AA40" s="79" t="s">
        <v>487</v>
      </c>
      <c r="AB40" s="79" t="s">
        <v>524</v>
      </c>
      <c r="AC40" s="79" t="s">
        <v>488</v>
      </c>
      <c r="AD40" s="79">
        <v>177273.0</v>
      </c>
      <c r="AE40" s="79">
        <v>0.0</v>
      </c>
      <c r="AF40" s="79">
        <v>0.0</v>
      </c>
      <c r="AG40" s="79">
        <v>17727.0</v>
      </c>
      <c r="AH40" s="81">
        <v>195000.0</v>
      </c>
      <c r="AI40" s="79"/>
      <c r="AJ40" s="79">
        <v>0.0</v>
      </c>
      <c r="AK40" s="79">
        <v>84400.0</v>
      </c>
      <c r="AL40" s="79">
        <v>0.0</v>
      </c>
      <c r="AM40" s="79">
        <v>0.0</v>
      </c>
      <c r="AN40" s="79">
        <v>8440.0</v>
      </c>
      <c r="AO40" s="79">
        <v>92840.0</v>
      </c>
      <c r="AP40" s="79">
        <v>0.0</v>
      </c>
      <c r="AQ40" s="79">
        <v>92873.0</v>
      </c>
      <c r="AR40" s="79" t="s">
        <v>525</v>
      </c>
      <c r="AS40" s="79">
        <v>0.0</v>
      </c>
      <c r="AT40" s="79" t="s">
        <v>490</v>
      </c>
      <c r="AU40" s="79" t="s">
        <v>491</v>
      </c>
      <c r="AV40" s="79">
        <v>0.0</v>
      </c>
      <c r="AW40" s="79"/>
      <c r="AX40" s="79">
        <v>0.0</v>
      </c>
      <c r="AY40" s="79" t="s">
        <v>492</v>
      </c>
      <c r="AZ40" s="79">
        <v>0.0</v>
      </c>
      <c r="BA40" s="79"/>
      <c r="BB40" s="79">
        <v>0.0</v>
      </c>
      <c r="BC40" s="79"/>
      <c r="BD40" s="79">
        <v>0.0</v>
      </c>
      <c r="BE40" s="79"/>
      <c r="BF40" s="79">
        <v>0.0</v>
      </c>
      <c r="BG40" s="79"/>
      <c r="BH40" s="79">
        <v>0.0</v>
      </c>
      <c r="BI40" s="79" t="s">
        <v>493</v>
      </c>
      <c r="BJ40" s="79">
        <v>0.0</v>
      </c>
      <c r="BK40" s="79" t="s">
        <v>494</v>
      </c>
      <c r="BL40" s="79">
        <v>0.0</v>
      </c>
      <c r="BM40" s="79" t="s">
        <v>495</v>
      </c>
      <c r="BN40" s="79">
        <v>0.0</v>
      </c>
      <c r="BO40" s="79" t="s">
        <v>496</v>
      </c>
      <c r="BP40" s="79">
        <v>0.0</v>
      </c>
      <c r="BQ40" s="79"/>
      <c r="BR40" s="79">
        <v>0.0</v>
      </c>
      <c r="BS40" s="79"/>
      <c r="BT40" s="79">
        <v>0.0</v>
      </c>
      <c r="BU40" s="79"/>
      <c r="BV40" s="79">
        <v>0.0</v>
      </c>
      <c r="BW40" s="79"/>
      <c r="BX40" s="79">
        <v>0.0</v>
      </c>
      <c r="BY40" s="79">
        <v>0.0</v>
      </c>
      <c r="BZ40" s="79" t="s">
        <v>491</v>
      </c>
      <c r="CA40" s="79">
        <v>0.0</v>
      </c>
      <c r="CB40" s="79" t="s">
        <v>490</v>
      </c>
      <c r="CC40" s="79"/>
      <c r="CD40" s="79">
        <v>0.0</v>
      </c>
      <c r="CE40" s="79" t="s">
        <v>492</v>
      </c>
      <c r="CF40" s="79">
        <v>0.0</v>
      </c>
      <c r="CG40" s="79"/>
      <c r="CH40" s="79">
        <v>0.0</v>
      </c>
      <c r="CI40" s="79"/>
      <c r="CJ40" s="79">
        <v>0.0</v>
      </c>
      <c r="CK40" s="79"/>
      <c r="CL40" s="79">
        <v>0.0</v>
      </c>
      <c r="CM40" s="79"/>
      <c r="CN40" s="79">
        <v>0.0</v>
      </c>
      <c r="CO40" s="79" t="s">
        <v>493</v>
      </c>
      <c r="CP40" s="79">
        <v>0.0</v>
      </c>
      <c r="CQ40" s="79" t="s">
        <v>494</v>
      </c>
      <c r="CR40" s="79">
        <v>0.0</v>
      </c>
      <c r="CS40" s="79" t="s">
        <v>495</v>
      </c>
      <c r="CT40" s="79">
        <v>0.0</v>
      </c>
      <c r="CU40" s="79" t="s">
        <v>496</v>
      </c>
      <c r="CV40" s="79">
        <v>0.0</v>
      </c>
      <c r="CW40" s="79"/>
      <c r="CX40" s="79">
        <v>0.0</v>
      </c>
      <c r="CY40" s="79"/>
      <c r="CZ40" s="79">
        <v>0.0</v>
      </c>
      <c r="DA40" s="79"/>
      <c r="DB40" s="79">
        <v>0.0</v>
      </c>
      <c r="DC40" s="79"/>
      <c r="DD40" s="79">
        <v>0.0</v>
      </c>
      <c r="DE40" s="79">
        <v>18000.0</v>
      </c>
      <c r="DF40" s="79">
        <v>159273.0</v>
      </c>
      <c r="DG40" s="79">
        <v>0.0</v>
      </c>
      <c r="DH40" s="79">
        <v>0.0</v>
      </c>
      <c r="DI40" s="79">
        <v>84400.0</v>
      </c>
      <c r="DJ40" s="79" t="s">
        <v>762</v>
      </c>
      <c r="DK40" s="79" t="s">
        <v>524</v>
      </c>
      <c r="DL40" s="79" t="s">
        <v>487</v>
      </c>
      <c r="DM40" s="79" t="s">
        <v>763</v>
      </c>
      <c r="DN40" s="79" t="s">
        <v>764</v>
      </c>
      <c r="DO40" s="79"/>
      <c r="DP40" s="79"/>
      <c r="DQ40" s="79"/>
      <c r="DR40" s="79"/>
      <c r="DS40" s="79"/>
      <c r="DT40" s="82"/>
      <c r="DU40" s="79"/>
      <c r="DV40" s="82"/>
      <c r="DW40" s="79"/>
      <c r="DX40" s="79"/>
      <c r="DY40" s="79"/>
      <c r="DZ40" s="79"/>
      <c r="EA40" s="79"/>
      <c r="EB40" s="79"/>
      <c r="EC40" s="79"/>
      <c r="ED40" s="79"/>
      <c r="EE40" s="79"/>
      <c r="EF40" s="82"/>
      <c r="EG40" s="79"/>
      <c r="EH40" s="82"/>
      <c r="EI40" s="79"/>
      <c r="EJ40" s="82"/>
      <c r="EK40" s="79"/>
      <c r="EL40" s="82"/>
      <c r="EM40" s="79"/>
      <c r="EN40" s="79" t="s">
        <v>57</v>
      </c>
      <c r="EO40" s="79"/>
      <c r="EP40" s="80"/>
      <c r="EQ40" s="83"/>
      <c r="ER40" s="83" t="str">
        <f t="shared" ref="ER40:ER97" si="3">IF(AND($AH40&lt;&gt;"",$EQ40&lt;&gt;""),$AH40-$EQ40,"")</f>
        <v/>
      </c>
      <c r="ES40" s="79"/>
      <c r="ET40" s="82" t="str">
        <f t="shared" ref="ET40:ET97" si="4">IF($ES40="入金済","",IF($EP40="","",IF(TODAY()&gt;$EP40,"期限超過",IF(TODAY()&gt;=$EP40-3,"期限間近",""))))</f>
        <v/>
      </c>
      <c r="EU40" s="79"/>
      <c r="EV40" s="82"/>
      <c r="EW40" s="82"/>
      <c r="EX40" s="82"/>
      <c r="EY40" s="82"/>
      <c r="EZ40" s="79"/>
      <c r="FA40" s="79"/>
      <c r="FB40" s="79"/>
    </row>
    <row r="41" ht="15.75" customHeight="1">
      <c r="A41" s="79" t="s">
        <v>767</v>
      </c>
      <c r="B41" s="79" t="s">
        <v>768</v>
      </c>
      <c r="C41" s="79" t="s">
        <v>476</v>
      </c>
      <c r="D41" s="80">
        <v>46094.0</v>
      </c>
      <c r="E41" s="79"/>
      <c r="F41" s="82"/>
      <c r="G41" s="79" t="s">
        <v>580</v>
      </c>
      <c r="H41" s="79" t="s">
        <v>581</v>
      </c>
      <c r="I41" s="79"/>
      <c r="J41" s="79" t="s">
        <v>582</v>
      </c>
      <c r="K41" s="79">
        <v>3980.0</v>
      </c>
      <c r="L41" s="79"/>
      <c r="M41" s="79" t="s">
        <v>583</v>
      </c>
      <c r="N41" s="79" t="s">
        <v>572</v>
      </c>
      <c r="O41" s="79" t="s">
        <v>484</v>
      </c>
      <c r="P41" s="79"/>
      <c r="Q41" s="79" t="s">
        <v>584</v>
      </c>
      <c r="R41" s="79" t="s">
        <v>585</v>
      </c>
      <c r="S41" s="79"/>
      <c r="T41" s="79"/>
      <c r="U41" s="79"/>
      <c r="V41" s="79"/>
      <c r="W41" s="79"/>
      <c r="X41" s="79"/>
      <c r="Y41" s="79"/>
      <c r="Z41" s="79" t="s">
        <v>557</v>
      </c>
      <c r="AA41" s="79" t="s">
        <v>487</v>
      </c>
      <c r="AB41" s="79" t="s">
        <v>557</v>
      </c>
      <c r="AC41" s="79" t="s">
        <v>488</v>
      </c>
      <c r="AD41" s="79">
        <v>626000.0</v>
      </c>
      <c r="AE41" s="79">
        <v>0.0</v>
      </c>
      <c r="AF41" s="79">
        <v>0.0</v>
      </c>
      <c r="AG41" s="79">
        <v>62600.0</v>
      </c>
      <c r="AH41" s="83">
        <v>688600.0</v>
      </c>
      <c r="AI41" s="79"/>
      <c r="AJ41" s="79">
        <v>0.0</v>
      </c>
      <c r="AK41" s="79">
        <v>404000.0</v>
      </c>
      <c r="AL41" s="83">
        <v>0.0</v>
      </c>
      <c r="AM41" s="79">
        <v>0.0</v>
      </c>
      <c r="AN41" s="79">
        <v>40400.0</v>
      </c>
      <c r="AO41" s="79">
        <v>444400.0</v>
      </c>
      <c r="AP41" s="79">
        <v>0.0</v>
      </c>
      <c r="AQ41" s="79">
        <v>222000.0</v>
      </c>
      <c r="AR41" s="79" t="s">
        <v>525</v>
      </c>
      <c r="AS41" s="79">
        <v>0.0</v>
      </c>
      <c r="AT41" s="79" t="s">
        <v>507</v>
      </c>
      <c r="AU41" s="79" t="s">
        <v>491</v>
      </c>
      <c r="AV41" s="79">
        <v>0.0</v>
      </c>
      <c r="AW41" s="79" t="s">
        <v>508</v>
      </c>
      <c r="AX41" s="79">
        <v>0.0</v>
      </c>
      <c r="AY41" s="82"/>
      <c r="AZ41" s="79">
        <v>0.0</v>
      </c>
      <c r="BA41" s="82"/>
      <c r="BB41" s="79">
        <v>0.0</v>
      </c>
      <c r="BC41" s="82"/>
      <c r="BD41" s="79">
        <v>0.0</v>
      </c>
      <c r="BE41" s="82"/>
      <c r="BF41" s="79">
        <v>0.0</v>
      </c>
      <c r="BG41" s="82"/>
      <c r="BH41" s="79">
        <v>0.0</v>
      </c>
      <c r="BI41" s="79" t="s">
        <v>493</v>
      </c>
      <c r="BJ41" s="79">
        <v>0.0</v>
      </c>
      <c r="BK41" s="79" t="s">
        <v>494</v>
      </c>
      <c r="BL41" s="79">
        <v>0.0</v>
      </c>
      <c r="BM41" s="79" t="s">
        <v>495</v>
      </c>
      <c r="BN41" s="79">
        <v>0.0</v>
      </c>
      <c r="BO41" s="79" t="s">
        <v>496</v>
      </c>
      <c r="BP41" s="79">
        <v>0.0</v>
      </c>
      <c r="BQ41" s="79"/>
      <c r="BR41" s="79">
        <v>0.0</v>
      </c>
      <c r="BS41" s="79"/>
      <c r="BT41" s="79">
        <v>0.0</v>
      </c>
      <c r="BU41" s="79"/>
      <c r="BV41" s="79">
        <v>0.0</v>
      </c>
      <c r="BW41" s="79"/>
      <c r="BX41" s="79">
        <v>0.0</v>
      </c>
      <c r="BY41" s="79">
        <v>0.0</v>
      </c>
      <c r="BZ41" s="79" t="s">
        <v>491</v>
      </c>
      <c r="CA41" s="79">
        <v>0.0</v>
      </c>
      <c r="CB41" s="79" t="s">
        <v>507</v>
      </c>
      <c r="CC41" s="79" t="s">
        <v>508</v>
      </c>
      <c r="CD41" s="79">
        <v>0.0</v>
      </c>
      <c r="CE41" s="79"/>
      <c r="CF41" s="79">
        <v>0.0</v>
      </c>
      <c r="CG41" s="79"/>
      <c r="CH41" s="79">
        <v>0.0</v>
      </c>
      <c r="CI41" s="79"/>
      <c r="CJ41" s="79">
        <v>0.0</v>
      </c>
      <c r="CK41" s="79"/>
      <c r="CL41" s="79">
        <v>0.0</v>
      </c>
      <c r="CM41" s="79"/>
      <c r="CN41" s="79">
        <v>0.0</v>
      </c>
      <c r="CO41" s="79" t="s">
        <v>493</v>
      </c>
      <c r="CP41" s="79">
        <v>0.0</v>
      </c>
      <c r="CQ41" s="79" t="s">
        <v>494</v>
      </c>
      <c r="CR41" s="79">
        <v>0.0</v>
      </c>
      <c r="CS41" s="79" t="s">
        <v>495</v>
      </c>
      <c r="CT41" s="79">
        <v>0.0</v>
      </c>
      <c r="CU41" s="79" t="s">
        <v>496</v>
      </c>
      <c r="CV41" s="79">
        <v>0.0</v>
      </c>
      <c r="CW41" s="79"/>
      <c r="CX41" s="79">
        <v>0.0</v>
      </c>
      <c r="CY41" s="79"/>
      <c r="CZ41" s="79">
        <v>0.0</v>
      </c>
      <c r="DA41" s="79"/>
      <c r="DB41" s="79">
        <v>0.0</v>
      </c>
      <c r="DC41" s="79"/>
      <c r="DD41" s="79">
        <v>0.0</v>
      </c>
      <c r="DE41" s="79">
        <v>244000.0</v>
      </c>
      <c r="DF41" s="79">
        <v>382000.0</v>
      </c>
      <c r="DG41" s="79">
        <v>0.0</v>
      </c>
      <c r="DH41" s="79">
        <v>72000.0</v>
      </c>
      <c r="DI41" s="79">
        <v>332000.0</v>
      </c>
      <c r="DJ41" s="79"/>
      <c r="DK41" s="79"/>
      <c r="DL41" s="79"/>
      <c r="DM41" s="79"/>
      <c r="DN41" s="82"/>
      <c r="DO41" s="79"/>
      <c r="DP41" s="82"/>
      <c r="DQ41" s="79"/>
      <c r="DR41" s="82"/>
      <c r="DS41" s="79"/>
      <c r="DT41" s="82"/>
      <c r="DU41" s="79"/>
      <c r="DV41" s="82"/>
      <c r="DW41" s="79"/>
      <c r="DX41" s="79"/>
      <c r="DY41" s="79"/>
      <c r="DZ41" s="79"/>
      <c r="EA41" s="79"/>
      <c r="EB41" s="79"/>
      <c r="EC41" s="79"/>
      <c r="ED41" s="79"/>
      <c r="EE41" s="79"/>
      <c r="EF41" s="82"/>
      <c r="EG41" s="79"/>
      <c r="EH41" s="82"/>
      <c r="EI41" s="79"/>
      <c r="EJ41" s="82"/>
      <c r="EK41" s="79"/>
      <c r="EL41" s="82"/>
      <c r="EM41" s="79"/>
      <c r="EN41" s="79" t="s">
        <v>79</v>
      </c>
      <c r="EO41" s="79"/>
      <c r="EP41" s="80"/>
      <c r="EQ41" s="83"/>
      <c r="ER41" s="83" t="str">
        <f t="shared" si="3"/>
        <v/>
      </c>
      <c r="ES41" s="82"/>
      <c r="ET41" s="79" t="str">
        <f t="shared" si="4"/>
        <v/>
      </c>
      <c r="EU41" s="79"/>
      <c r="EV41" s="79"/>
      <c r="EW41" s="82"/>
      <c r="EX41" s="82"/>
      <c r="EY41" s="82"/>
      <c r="EZ41" s="19"/>
      <c r="FA41" s="19"/>
      <c r="FB41" s="19"/>
    </row>
    <row r="42" ht="15.75" customHeight="1">
      <c r="A42" s="4" t="s">
        <v>769</v>
      </c>
      <c r="B42" s="4" t="s">
        <v>475</v>
      </c>
      <c r="C42" s="4" t="s">
        <v>476</v>
      </c>
      <c r="D42" s="78">
        <v>46094.0</v>
      </c>
      <c r="E42" s="4" t="s">
        <v>770</v>
      </c>
      <c r="F42" s="1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 t="s">
        <v>597</v>
      </c>
      <c r="AA42" s="4"/>
      <c r="AB42" s="4" t="s">
        <v>597</v>
      </c>
      <c r="AC42" s="4"/>
      <c r="AD42" s="4"/>
      <c r="AE42" s="4"/>
      <c r="AF42" s="4"/>
      <c r="AG42" s="4"/>
      <c r="AH42" s="23">
        <v>17963.0</v>
      </c>
      <c r="AI42" s="4"/>
      <c r="AJ42" s="4"/>
      <c r="AK42" s="4"/>
      <c r="AL42" s="19"/>
      <c r="AM42" s="19"/>
      <c r="AN42" s="19"/>
      <c r="AO42" s="19"/>
      <c r="AP42" s="19"/>
      <c r="AQ42" s="4">
        <v>3602.0</v>
      </c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19"/>
      <c r="CI42" s="19"/>
      <c r="CJ42" s="19"/>
      <c r="CK42" s="19"/>
      <c r="CL42" s="19"/>
      <c r="CM42" s="19"/>
      <c r="CN42" s="19"/>
      <c r="CO42" s="19"/>
      <c r="CP42" s="19"/>
      <c r="CQ42" s="19"/>
      <c r="CR42" s="19"/>
      <c r="CS42" s="19"/>
      <c r="CT42" s="19"/>
      <c r="CU42" s="19"/>
      <c r="CV42" s="19"/>
      <c r="CW42" s="19"/>
      <c r="CX42" s="19"/>
      <c r="CY42" s="19"/>
      <c r="CZ42" s="19"/>
      <c r="DA42" s="19"/>
      <c r="DB42" s="19"/>
      <c r="DC42" s="19"/>
      <c r="DD42" s="19"/>
      <c r="DE42" s="19"/>
      <c r="DF42" s="19"/>
      <c r="DG42" s="19"/>
      <c r="DH42" s="19"/>
      <c r="DI42" s="19"/>
      <c r="DJ42" s="19"/>
      <c r="DK42" s="19"/>
      <c r="DL42" s="19"/>
      <c r="DM42" s="19"/>
      <c r="DN42" s="19"/>
      <c r="DO42" s="19"/>
      <c r="DP42" s="19"/>
      <c r="DQ42" s="19"/>
      <c r="DR42" s="19"/>
      <c r="DS42" s="19"/>
      <c r="DT42" s="19"/>
      <c r="DU42" s="19"/>
      <c r="DV42" s="19"/>
      <c r="DW42" s="19"/>
      <c r="DX42" s="19"/>
      <c r="DY42" s="19"/>
      <c r="DZ42" s="19"/>
      <c r="EA42" s="19"/>
      <c r="EB42" s="19"/>
      <c r="EC42" s="19"/>
      <c r="ED42" s="19"/>
      <c r="EE42" s="19"/>
      <c r="EF42" s="19"/>
      <c r="EG42" s="19"/>
      <c r="EH42" s="19"/>
      <c r="EI42" s="19"/>
      <c r="EJ42" s="19"/>
      <c r="EK42" s="19"/>
      <c r="EL42" s="19"/>
      <c r="EM42" s="19"/>
      <c r="EN42" s="4" t="s">
        <v>57</v>
      </c>
      <c r="EO42" s="19"/>
      <c r="EP42" s="17"/>
      <c r="EQ42" s="23"/>
      <c r="ER42" s="23" t="str">
        <f t="shared" si="3"/>
        <v/>
      </c>
      <c r="ES42" s="19"/>
      <c r="ET42" s="19" t="str">
        <f t="shared" si="4"/>
        <v/>
      </c>
      <c r="EU42" s="19"/>
      <c r="EV42" s="19"/>
      <c r="EW42" s="19"/>
      <c r="EX42" s="19"/>
      <c r="EY42" s="19"/>
      <c r="EZ42" s="19"/>
      <c r="FA42" s="19"/>
      <c r="FB42" s="19"/>
    </row>
    <row r="43" ht="15.75" customHeight="1">
      <c r="A43" s="79" t="s">
        <v>771</v>
      </c>
      <c r="B43" s="79" t="s">
        <v>475</v>
      </c>
      <c r="C43" s="79" t="s">
        <v>476</v>
      </c>
      <c r="D43" s="80">
        <v>46095.0</v>
      </c>
      <c r="E43" s="79" t="s">
        <v>772</v>
      </c>
      <c r="F43" s="79" t="s">
        <v>568</v>
      </c>
      <c r="G43" s="79" t="s">
        <v>655</v>
      </c>
      <c r="H43" s="79" t="s">
        <v>611</v>
      </c>
      <c r="I43" s="79"/>
      <c r="J43" s="79" t="s">
        <v>656</v>
      </c>
      <c r="K43" s="79">
        <v>2000.0</v>
      </c>
      <c r="L43" s="79"/>
      <c r="M43" s="79" t="s">
        <v>657</v>
      </c>
      <c r="N43" s="79" t="s">
        <v>658</v>
      </c>
      <c r="O43" s="79" t="s">
        <v>573</v>
      </c>
      <c r="P43" s="79"/>
      <c r="Q43" s="79" t="s">
        <v>659</v>
      </c>
      <c r="R43" s="80">
        <v>46293.0</v>
      </c>
      <c r="S43" s="79"/>
      <c r="T43" s="79">
        <v>16852.0</v>
      </c>
      <c r="U43" s="79"/>
      <c r="V43" s="79"/>
      <c r="W43" s="80">
        <v>46091.0</v>
      </c>
      <c r="X43" s="79"/>
      <c r="Y43" s="80">
        <v>46095.0</v>
      </c>
      <c r="Z43" s="79" t="s">
        <v>524</v>
      </c>
      <c r="AA43" s="79" t="s">
        <v>487</v>
      </c>
      <c r="AB43" s="79" t="s">
        <v>486</v>
      </c>
      <c r="AC43" s="79" t="s">
        <v>488</v>
      </c>
      <c r="AD43" s="79">
        <v>6000.0</v>
      </c>
      <c r="AE43" s="79">
        <v>0.0</v>
      </c>
      <c r="AF43" s="79">
        <v>0.0</v>
      </c>
      <c r="AG43" s="79">
        <v>600.0</v>
      </c>
      <c r="AH43" s="81">
        <v>6600.0</v>
      </c>
      <c r="AI43" s="79"/>
      <c r="AJ43" s="79">
        <v>0.0</v>
      </c>
      <c r="AK43" s="79">
        <v>0.0</v>
      </c>
      <c r="AL43" s="79">
        <v>0.0</v>
      </c>
      <c r="AM43" s="79">
        <v>0.0</v>
      </c>
      <c r="AN43" s="79">
        <v>0.0</v>
      </c>
      <c r="AO43" s="79">
        <v>0.0</v>
      </c>
      <c r="AP43" s="79">
        <v>0.0</v>
      </c>
      <c r="AQ43" s="79">
        <v>6000.0</v>
      </c>
      <c r="AR43" s="79" t="s">
        <v>489</v>
      </c>
      <c r="AS43" s="79">
        <v>0.0</v>
      </c>
      <c r="AT43" s="79" t="s">
        <v>490</v>
      </c>
      <c r="AU43" s="79" t="s">
        <v>491</v>
      </c>
      <c r="AV43" s="79">
        <v>0.0</v>
      </c>
      <c r="AW43" s="79"/>
      <c r="AX43" s="79">
        <v>0.0</v>
      </c>
      <c r="AY43" s="79" t="s">
        <v>492</v>
      </c>
      <c r="AZ43" s="79">
        <v>0.0</v>
      </c>
      <c r="BA43" s="79"/>
      <c r="BB43" s="79">
        <v>0.0</v>
      </c>
      <c r="BC43" s="79"/>
      <c r="BD43" s="79">
        <v>0.0</v>
      </c>
      <c r="BE43" s="79"/>
      <c r="BF43" s="79">
        <v>0.0</v>
      </c>
      <c r="BG43" s="79"/>
      <c r="BH43" s="79">
        <v>0.0</v>
      </c>
      <c r="BI43" s="79" t="s">
        <v>493</v>
      </c>
      <c r="BJ43" s="79">
        <v>0.0</v>
      </c>
      <c r="BK43" s="79" t="s">
        <v>494</v>
      </c>
      <c r="BL43" s="79">
        <v>0.0</v>
      </c>
      <c r="BM43" s="79" t="s">
        <v>495</v>
      </c>
      <c r="BN43" s="79">
        <v>0.0</v>
      </c>
      <c r="BO43" s="79" t="s">
        <v>496</v>
      </c>
      <c r="BP43" s="79">
        <v>0.0</v>
      </c>
      <c r="BQ43" s="79"/>
      <c r="BR43" s="79">
        <v>0.0</v>
      </c>
      <c r="BS43" s="79"/>
      <c r="BT43" s="79">
        <v>0.0</v>
      </c>
      <c r="BU43" s="79"/>
      <c r="BV43" s="79">
        <v>0.0</v>
      </c>
      <c r="BW43" s="79"/>
      <c r="BX43" s="79">
        <v>0.0</v>
      </c>
      <c r="BY43" s="79">
        <v>0.0</v>
      </c>
      <c r="BZ43" s="79" t="s">
        <v>491</v>
      </c>
      <c r="CA43" s="79">
        <v>0.0</v>
      </c>
      <c r="CB43" s="79" t="s">
        <v>490</v>
      </c>
      <c r="CC43" s="79"/>
      <c r="CD43" s="79">
        <v>0.0</v>
      </c>
      <c r="CE43" s="79" t="s">
        <v>492</v>
      </c>
      <c r="CF43" s="79">
        <v>0.0</v>
      </c>
      <c r="CG43" s="79"/>
      <c r="CH43" s="79">
        <v>0.0</v>
      </c>
      <c r="CI43" s="79"/>
      <c r="CJ43" s="79">
        <v>0.0</v>
      </c>
      <c r="CK43" s="79"/>
      <c r="CL43" s="79">
        <v>0.0</v>
      </c>
      <c r="CM43" s="79"/>
      <c r="CN43" s="79">
        <v>0.0</v>
      </c>
      <c r="CO43" s="79" t="s">
        <v>493</v>
      </c>
      <c r="CP43" s="79">
        <v>0.0</v>
      </c>
      <c r="CQ43" s="79" t="s">
        <v>494</v>
      </c>
      <c r="CR43" s="79">
        <v>0.0</v>
      </c>
      <c r="CS43" s="79" t="s">
        <v>495</v>
      </c>
      <c r="CT43" s="79">
        <v>0.0</v>
      </c>
      <c r="CU43" s="79" t="s">
        <v>496</v>
      </c>
      <c r="CV43" s="79">
        <v>0.0</v>
      </c>
      <c r="CW43" s="79"/>
      <c r="CX43" s="79">
        <v>0.0</v>
      </c>
      <c r="CY43" s="79"/>
      <c r="CZ43" s="79">
        <v>0.0</v>
      </c>
      <c r="DA43" s="79"/>
      <c r="DB43" s="79">
        <v>0.0</v>
      </c>
      <c r="DC43" s="79"/>
      <c r="DD43" s="79">
        <v>0.0</v>
      </c>
      <c r="DE43" s="79">
        <v>6000.0</v>
      </c>
      <c r="DF43" s="79">
        <v>0.0</v>
      </c>
      <c r="DG43" s="79">
        <v>0.0</v>
      </c>
      <c r="DH43" s="79">
        <v>0.0</v>
      </c>
      <c r="DI43" s="79">
        <v>0.0</v>
      </c>
      <c r="DJ43" s="79" t="s">
        <v>773</v>
      </c>
      <c r="DK43" s="79" t="s">
        <v>524</v>
      </c>
      <c r="DL43" s="79" t="s">
        <v>487</v>
      </c>
      <c r="DM43" s="79" t="s">
        <v>774</v>
      </c>
      <c r="DN43" s="79" t="s">
        <v>775</v>
      </c>
      <c r="DO43" s="79" t="s">
        <v>776</v>
      </c>
      <c r="DP43" s="79"/>
      <c r="DQ43" s="79"/>
      <c r="DR43" s="79"/>
      <c r="DS43" s="79"/>
      <c r="DT43" s="82"/>
      <c r="DU43" s="79"/>
      <c r="DV43" s="82"/>
      <c r="DW43" s="79"/>
      <c r="DX43" s="79"/>
      <c r="DY43" s="79"/>
      <c r="DZ43" s="79"/>
      <c r="EA43" s="79"/>
      <c r="EB43" s="79"/>
      <c r="EC43" s="79"/>
      <c r="ED43" s="79"/>
      <c r="EE43" s="79"/>
      <c r="EF43" s="82"/>
      <c r="EG43" s="79"/>
      <c r="EH43" s="82"/>
      <c r="EI43" s="79"/>
      <c r="EJ43" s="82"/>
      <c r="EK43" s="79"/>
      <c r="EL43" s="82"/>
      <c r="EM43" s="79"/>
      <c r="EN43" s="79" t="s">
        <v>79</v>
      </c>
      <c r="EO43" s="79"/>
      <c r="EP43" s="80"/>
      <c r="EQ43" s="83"/>
      <c r="ER43" s="83" t="str">
        <f t="shared" si="3"/>
        <v/>
      </c>
      <c r="ES43" s="82"/>
      <c r="ET43" s="79" t="str">
        <f t="shared" si="4"/>
        <v/>
      </c>
      <c r="EU43" s="79"/>
      <c r="EV43" s="79"/>
      <c r="EW43" s="82"/>
      <c r="EX43" s="82"/>
      <c r="EY43" s="82"/>
      <c r="EZ43" s="19"/>
      <c r="FA43" s="19"/>
      <c r="FB43" s="19"/>
    </row>
    <row r="44" ht="15.75" customHeight="1">
      <c r="A44" s="4" t="s">
        <v>777</v>
      </c>
      <c r="B44" s="4" t="s">
        <v>778</v>
      </c>
      <c r="C44" s="4" t="s">
        <v>476</v>
      </c>
      <c r="D44" s="78">
        <v>46095.0</v>
      </c>
      <c r="E44" s="4" t="s">
        <v>779</v>
      </c>
      <c r="F44" s="19"/>
      <c r="G44" s="4" t="s">
        <v>780</v>
      </c>
      <c r="H44" s="4" t="s">
        <v>781</v>
      </c>
      <c r="R44" s="4" t="s">
        <v>782</v>
      </c>
      <c r="V44" s="4" t="s">
        <v>783</v>
      </c>
      <c r="Y44" s="4" t="s">
        <v>784</v>
      </c>
      <c r="Z44" s="4" t="s">
        <v>597</v>
      </c>
      <c r="AB44" s="4" t="s">
        <v>597</v>
      </c>
      <c r="AH44" s="23">
        <v>98725.0</v>
      </c>
      <c r="AL44" s="19"/>
      <c r="AM44" s="19"/>
      <c r="AN44" s="19"/>
      <c r="AO44" s="19"/>
      <c r="AP44" s="19"/>
      <c r="AQ44" s="4">
        <v>67160.0</v>
      </c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4" t="s">
        <v>79</v>
      </c>
      <c r="EO44" s="19"/>
      <c r="EP44" s="17"/>
      <c r="EQ44" s="23"/>
      <c r="ER44" s="23" t="str">
        <f t="shared" si="3"/>
        <v/>
      </c>
      <c r="ES44" s="19"/>
      <c r="ET44" s="19" t="str">
        <f t="shared" si="4"/>
        <v/>
      </c>
      <c r="EU44" s="19"/>
      <c r="EV44" s="19"/>
      <c r="EW44" s="19"/>
      <c r="EX44" s="19"/>
      <c r="EY44" s="19"/>
      <c r="EZ44" s="79"/>
      <c r="FA44" s="79"/>
      <c r="FB44" s="79"/>
    </row>
    <row r="45" ht="15.75" customHeight="1">
      <c r="A45" s="4" t="s">
        <v>785</v>
      </c>
      <c r="B45" s="4" t="s">
        <v>475</v>
      </c>
      <c r="C45" s="4" t="s">
        <v>476</v>
      </c>
      <c r="D45" s="78">
        <v>46096.0</v>
      </c>
      <c r="E45" s="4" t="s">
        <v>786</v>
      </c>
      <c r="F45" s="19"/>
      <c r="G45" s="4" t="s">
        <v>787</v>
      </c>
      <c r="H45" s="4" t="s">
        <v>788</v>
      </c>
      <c r="R45" s="4" t="s">
        <v>789</v>
      </c>
      <c r="Z45" s="4" t="s">
        <v>597</v>
      </c>
      <c r="AB45" s="4" t="s">
        <v>597</v>
      </c>
      <c r="AH45" s="23">
        <v>175000.0</v>
      </c>
      <c r="AL45" s="19"/>
      <c r="AM45" s="19"/>
      <c r="AN45" s="19"/>
      <c r="AO45" s="19"/>
      <c r="AP45" s="19"/>
      <c r="AQ45" s="4">
        <v>73680.0</v>
      </c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  <c r="CL45" s="19"/>
      <c r="CM45" s="19"/>
      <c r="CN45" s="19"/>
      <c r="CO45" s="19"/>
      <c r="CP45" s="19"/>
      <c r="CQ45" s="19"/>
      <c r="CR45" s="19"/>
      <c r="CS45" s="19"/>
      <c r="CT45" s="19"/>
      <c r="CU45" s="19"/>
      <c r="CV45" s="19"/>
      <c r="CW45" s="19"/>
      <c r="CX45" s="19"/>
      <c r="CY45" s="19"/>
      <c r="CZ45" s="19"/>
      <c r="DA45" s="19"/>
      <c r="DB45" s="19"/>
      <c r="DC45" s="19"/>
      <c r="DD45" s="19"/>
      <c r="DE45" s="19"/>
      <c r="DF45" s="19"/>
      <c r="DG45" s="19"/>
      <c r="DH45" s="19"/>
      <c r="DI45" s="19"/>
      <c r="DJ45" s="19"/>
      <c r="DK45" s="19"/>
      <c r="DL45" s="19"/>
      <c r="DM45" s="19"/>
      <c r="DN45" s="19"/>
      <c r="DO45" s="19"/>
      <c r="DP45" s="19"/>
      <c r="DQ45" s="19"/>
      <c r="DR45" s="19"/>
      <c r="DS45" s="19"/>
      <c r="DT45" s="19"/>
      <c r="DU45" s="19"/>
      <c r="DV45" s="19"/>
      <c r="DW45" s="19"/>
      <c r="DX45" s="19"/>
      <c r="DY45" s="19"/>
      <c r="DZ45" s="19"/>
      <c r="EA45" s="19"/>
      <c r="EB45" s="19"/>
      <c r="EC45" s="19"/>
      <c r="ED45" s="19"/>
      <c r="EE45" s="19"/>
      <c r="EF45" s="19"/>
      <c r="EG45" s="19"/>
      <c r="EH45" s="19"/>
      <c r="EI45" s="19"/>
      <c r="EJ45" s="19"/>
      <c r="EK45" s="19"/>
      <c r="EL45" s="19"/>
      <c r="EM45" s="19"/>
      <c r="EN45" s="4" t="s">
        <v>79</v>
      </c>
      <c r="EO45" s="19"/>
      <c r="EP45" s="17"/>
      <c r="EQ45" s="23"/>
      <c r="ER45" s="23" t="str">
        <f t="shared" si="3"/>
        <v/>
      </c>
      <c r="ES45" s="19"/>
      <c r="ET45" s="19" t="str">
        <f t="shared" si="4"/>
        <v/>
      </c>
      <c r="EU45" s="19"/>
      <c r="EV45" s="19"/>
      <c r="EW45" s="19"/>
      <c r="EX45" s="19"/>
      <c r="EY45" s="19"/>
      <c r="EZ45" s="79"/>
      <c r="FA45" s="79"/>
      <c r="FB45" s="79"/>
    </row>
    <row r="46" ht="15.75" customHeight="1">
      <c r="A46" s="79" t="s">
        <v>790</v>
      </c>
      <c r="B46" s="79" t="s">
        <v>475</v>
      </c>
      <c r="C46" s="79" t="s">
        <v>476</v>
      </c>
      <c r="D46" s="80">
        <v>46097.0</v>
      </c>
      <c r="E46" s="79" t="s">
        <v>197</v>
      </c>
      <c r="F46" s="79"/>
      <c r="G46" s="79" t="s">
        <v>791</v>
      </c>
      <c r="H46" s="79" t="s">
        <v>792</v>
      </c>
      <c r="I46" s="79"/>
      <c r="J46" s="79" t="s">
        <v>793</v>
      </c>
      <c r="K46" s="79">
        <v>0.0</v>
      </c>
      <c r="L46" s="79"/>
      <c r="M46" s="79"/>
      <c r="N46" s="79"/>
      <c r="O46" s="79"/>
      <c r="P46" s="79"/>
      <c r="Q46" s="79"/>
      <c r="R46" s="79"/>
      <c r="S46" s="79"/>
      <c r="T46" s="79">
        <v>58796.0</v>
      </c>
      <c r="U46" s="79"/>
      <c r="V46" s="79"/>
      <c r="W46" s="79"/>
      <c r="X46" s="79"/>
      <c r="Y46" s="79"/>
      <c r="Z46" s="79"/>
      <c r="AA46" s="79" t="s">
        <v>488</v>
      </c>
      <c r="AB46" s="79" t="s">
        <v>486</v>
      </c>
      <c r="AC46" s="79" t="s">
        <v>488</v>
      </c>
      <c r="AD46" s="79">
        <v>10500.0</v>
      </c>
      <c r="AE46" s="79">
        <v>0.0</v>
      </c>
      <c r="AF46" s="79">
        <v>0.0</v>
      </c>
      <c r="AG46" s="79">
        <v>1050.0</v>
      </c>
      <c r="AH46" s="81">
        <v>11550.0</v>
      </c>
      <c r="AI46" s="79"/>
      <c r="AJ46" s="79">
        <v>0.0</v>
      </c>
      <c r="AK46" s="79">
        <v>5680.0</v>
      </c>
      <c r="AL46" s="79">
        <v>0.0</v>
      </c>
      <c r="AM46" s="79">
        <v>0.0</v>
      </c>
      <c r="AN46" s="79">
        <v>568.0</v>
      </c>
      <c r="AO46" s="79">
        <v>6248.0</v>
      </c>
      <c r="AP46" s="79">
        <v>0.0</v>
      </c>
      <c r="AQ46" s="79">
        <v>4820.0</v>
      </c>
      <c r="AR46" s="79" t="s">
        <v>489</v>
      </c>
      <c r="AS46" s="79">
        <v>0.0</v>
      </c>
      <c r="AT46" s="79" t="s">
        <v>507</v>
      </c>
      <c r="AU46" s="79" t="s">
        <v>491</v>
      </c>
      <c r="AV46" s="79">
        <v>0.0</v>
      </c>
      <c r="AW46" s="79" t="s">
        <v>508</v>
      </c>
      <c r="AX46" s="79">
        <v>0.0</v>
      </c>
      <c r="AY46" s="79"/>
      <c r="AZ46" s="79">
        <v>0.0</v>
      </c>
      <c r="BA46" s="79"/>
      <c r="BB46" s="79">
        <v>0.0</v>
      </c>
      <c r="BC46" s="79"/>
      <c r="BD46" s="79">
        <v>0.0</v>
      </c>
      <c r="BE46" s="79"/>
      <c r="BF46" s="79">
        <v>0.0</v>
      </c>
      <c r="BG46" s="79"/>
      <c r="BH46" s="79">
        <v>0.0</v>
      </c>
      <c r="BI46" s="79" t="s">
        <v>493</v>
      </c>
      <c r="BJ46" s="79">
        <v>0.0</v>
      </c>
      <c r="BK46" s="79" t="s">
        <v>494</v>
      </c>
      <c r="BL46" s="79">
        <v>0.0</v>
      </c>
      <c r="BM46" s="79" t="s">
        <v>495</v>
      </c>
      <c r="BN46" s="79">
        <v>0.0</v>
      </c>
      <c r="BO46" s="79" t="s">
        <v>496</v>
      </c>
      <c r="BP46" s="79">
        <v>0.0</v>
      </c>
      <c r="BQ46" s="79"/>
      <c r="BR46" s="79">
        <v>0.0</v>
      </c>
      <c r="BS46" s="79"/>
      <c r="BT46" s="79">
        <v>0.0</v>
      </c>
      <c r="BU46" s="79"/>
      <c r="BV46" s="79">
        <v>0.0</v>
      </c>
      <c r="BW46" s="79"/>
      <c r="BX46" s="79">
        <v>0.0</v>
      </c>
      <c r="BY46" s="79">
        <v>0.0</v>
      </c>
      <c r="BZ46" s="79" t="s">
        <v>491</v>
      </c>
      <c r="CA46" s="79">
        <v>0.0</v>
      </c>
      <c r="CB46" s="79" t="s">
        <v>507</v>
      </c>
      <c r="CC46" s="79" t="s">
        <v>508</v>
      </c>
      <c r="CD46" s="79">
        <v>0.0</v>
      </c>
      <c r="CE46" s="79"/>
      <c r="CF46" s="79">
        <v>0.0</v>
      </c>
      <c r="CG46" s="79"/>
      <c r="CH46" s="79">
        <v>0.0</v>
      </c>
      <c r="CI46" s="79"/>
      <c r="CJ46" s="79">
        <v>0.0</v>
      </c>
      <c r="CK46" s="79"/>
      <c r="CL46" s="79">
        <v>0.0</v>
      </c>
      <c r="CM46" s="79"/>
      <c r="CN46" s="79">
        <v>0.0</v>
      </c>
      <c r="CO46" s="79" t="s">
        <v>493</v>
      </c>
      <c r="CP46" s="79">
        <v>0.0</v>
      </c>
      <c r="CQ46" s="79" t="s">
        <v>494</v>
      </c>
      <c r="CR46" s="79">
        <v>0.0</v>
      </c>
      <c r="CS46" s="79" t="s">
        <v>495</v>
      </c>
      <c r="CT46" s="79">
        <v>0.0</v>
      </c>
      <c r="CU46" s="79" t="s">
        <v>496</v>
      </c>
      <c r="CV46" s="79">
        <v>0.0</v>
      </c>
      <c r="CW46" s="79"/>
      <c r="CX46" s="79">
        <v>0.0</v>
      </c>
      <c r="CY46" s="79"/>
      <c r="CZ46" s="79">
        <v>0.0</v>
      </c>
      <c r="DA46" s="79"/>
      <c r="DB46" s="79">
        <v>0.0</v>
      </c>
      <c r="DC46" s="79"/>
      <c r="DD46" s="79">
        <v>0.0</v>
      </c>
      <c r="DE46" s="79">
        <v>3400.0</v>
      </c>
      <c r="DF46" s="79">
        <v>7100.0</v>
      </c>
      <c r="DG46" s="79">
        <v>0.0</v>
      </c>
      <c r="DH46" s="79">
        <v>0.0</v>
      </c>
      <c r="DI46" s="79">
        <v>5680.0</v>
      </c>
      <c r="DJ46" s="79" t="s">
        <v>794</v>
      </c>
      <c r="DK46" s="79"/>
      <c r="DL46" s="79"/>
      <c r="DM46" s="79" t="s">
        <v>795</v>
      </c>
      <c r="DN46" s="79" t="s">
        <v>796</v>
      </c>
      <c r="DO46" s="79" t="s">
        <v>797</v>
      </c>
      <c r="DP46" s="79"/>
      <c r="DQ46" s="79"/>
      <c r="DR46" s="79"/>
      <c r="DS46" s="79"/>
      <c r="DT46" s="82"/>
      <c r="DU46" s="79"/>
      <c r="DV46" s="82"/>
      <c r="DW46" s="79"/>
      <c r="DX46" s="79"/>
      <c r="DY46" s="79"/>
      <c r="DZ46" s="79"/>
      <c r="EA46" s="79"/>
      <c r="EB46" s="79"/>
      <c r="EC46" s="79"/>
      <c r="ED46" s="79"/>
      <c r="EE46" s="79"/>
      <c r="EF46" s="82"/>
      <c r="EG46" s="79"/>
      <c r="EH46" s="82"/>
      <c r="EI46" s="79"/>
      <c r="EJ46" s="82"/>
      <c r="EK46" s="79"/>
      <c r="EL46" s="82"/>
      <c r="EM46" s="79"/>
      <c r="EN46" s="79" t="s">
        <v>79</v>
      </c>
      <c r="EO46" s="79"/>
      <c r="EP46" s="80"/>
      <c r="EQ46" s="83"/>
      <c r="ER46" s="83" t="str">
        <f t="shared" si="3"/>
        <v/>
      </c>
      <c r="ES46" s="79"/>
      <c r="ET46" s="79" t="str">
        <f t="shared" si="4"/>
        <v/>
      </c>
      <c r="EU46" s="79"/>
      <c r="EV46" s="79"/>
      <c r="EW46" s="82"/>
      <c r="EX46" s="82"/>
      <c r="EY46" s="82"/>
      <c r="EZ46" s="79"/>
      <c r="FA46" s="79"/>
      <c r="FB46" s="79"/>
    </row>
    <row r="47" ht="15.75" customHeight="1">
      <c r="A47" s="79" t="s">
        <v>798</v>
      </c>
      <c r="B47" s="79" t="s">
        <v>475</v>
      </c>
      <c r="C47" s="79" t="s">
        <v>476</v>
      </c>
      <c r="D47" s="80">
        <v>46097.0</v>
      </c>
      <c r="E47" s="79" t="s">
        <v>799</v>
      </c>
      <c r="F47" s="79" t="s">
        <v>568</v>
      </c>
      <c r="G47" s="79" t="s">
        <v>655</v>
      </c>
      <c r="H47" s="79" t="s">
        <v>479</v>
      </c>
      <c r="I47" s="79"/>
      <c r="J47" s="79" t="s">
        <v>800</v>
      </c>
      <c r="K47" s="79">
        <v>0.0</v>
      </c>
      <c r="L47" s="79"/>
      <c r="M47" s="79" t="s">
        <v>801</v>
      </c>
      <c r="N47" s="79"/>
      <c r="O47" s="79"/>
      <c r="P47" s="79"/>
      <c r="Q47" s="79"/>
      <c r="R47" s="80">
        <v>46292.0</v>
      </c>
      <c r="S47" s="79"/>
      <c r="T47" s="79">
        <v>13069.0</v>
      </c>
      <c r="U47" s="79"/>
      <c r="V47" s="79"/>
      <c r="W47" s="79"/>
      <c r="X47" s="79"/>
      <c r="Y47" s="79"/>
      <c r="Z47" s="79" t="s">
        <v>486</v>
      </c>
      <c r="AA47" s="79" t="s">
        <v>537</v>
      </c>
      <c r="AB47" s="79" t="s">
        <v>486</v>
      </c>
      <c r="AC47" s="79" t="s">
        <v>488</v>
      </c>
      <c r="AD47" s="79">
        <v>11000.0</v>
      </c>
      <c r="AE47" s="79">
        <v>0.0</v>
      </c>
      <c r="AF47" s="79">
        <v>0.0</v>
      </c>
      <c r="AG47" s="79">
        <v>1100.0</v>
      </c>
      <c r="AH47" s="81">
        <v>12100.0</v>
      </c>
      <c r="AI47" s="79"/>
      <c r="AJ47" s="79">
        <v>0.0</v>
      </c>
      <c r="AK47" s="79">
        <v>0.0</v>
      </c>
      <c r="AL47" s="79">
        <v>0.0</v>
      </c>
      <c r="AM47" s="79">
        <v>0.0</v>
      </c>
      <c r="AN47" s="79">
        <v>0.0</v>
      </c>
      <c r="AO47" s="79">
        <v>0.0</v>
      </c>
      <c r="AP47" s="79">
        <v>0.0</v>
      </c>
      <c r="AQ47" s="79">
        <v>11000.0</v>
      </c>
      <c r="AR47" s="79" t="s">
        <v>489</v>
      </c>
      <c r="AS47" s="79">
        <v>0.0</v>
      </c>
      <c r="AT47" s="79" t="s">
        <v>507</v>
      </c>
      <c r="AU47" s="79" t="s">
        <v>491</v>
      </c>
      <c r="AV47" s="79">
        <v>0.0</v>
      </c>
      <c r="AW47" s="79" t="s">
        <v>508</v>
      </c>
      <c r="AX47" s="79">
        <v>0.0</v>
      </c>
      <c r="AY47" s="79"/>
      <c r="AZ47" s="79">
        <v>0.0</v>
      </c>
      <c r="BA47" s="79"/>
      <c r="BB47" s="79">
        <v>0.0</v>
      </c>
      <c r="BC47" s="79"/>
      <c r="BD47" s="79">
        <v>0.0</v>
      </c>
      <c r="BE47" s="79"/>
      <c r="BF47" s="79">
        <v>0.0</v>
      </c>
      <c r="BG47" s="79"/>
      <c r="BH47" s="79">
        <v>0.0</v>
      </c>
      <c r="BI47" s="79" t="s">
        <v>493</v>
      </c>
      <c r="BJ47" s="79">
        <v>0.0</v>
      </c>
      <c r="BK47" s="79" t="s">
        <v>494</v>
      </c>
      <c r="BL47" s="79">
        <v>0.0</v>
      </c>
      <c r="BM47" s="79" t="s">
        <v>495</v>
      </c>
      <c r="BN47" s="79">
        <v>0.0</v>
      </c>
      <c r="BO47" s="79" t="s">
        <v>496</v>
      </c>
      <c r="BP47" s="79">
        <v>0.0</v>
      </c>
      <c r="BQ47" s="79"/>
      <c r="BR47" s="79">
        <v>0.0</v>
      </c>
      <c r="BS47" s="79"/>
      <c r="BT47" s="79">
        <v>0.0</v>
      </c>
      <c r="BU47" s="79"/>
      <c r="BV47" s="79">
        <v>0.0</v>
      </c>
      <c r="BW47" s="79"/>
      <c r="BX47" s="79">
        <v>0.0</v>
      </c>
      <c r="BY47" s="79">
        <v>0.0</v>
      </c>
      <c r="BZ47" s="79" t="s">
        <v>491</v>
      </c>
      <c r="CA47" s="79">
        <v>0.0</v>
      </c>
      <c r="CB47" s="79" t="s">
        <v>507</v>
      </c>
      <c r="CC47" s="79" t="s">
        <v>508</v>
      </c>
      <c r="CD47" s="79">
        <v>0.0</v>
      </c>
      <c r="CE47" s="79"/>
      <c r="CF47" s="79">
        <v>0.0</v>
      </c>
      <c r="CG47" s="79"/>
      <c r="CH47" s="79">
        <v>0.0</v>
      </c>
      <c r="CI47" s="79"/>
      <c r="CJ47" s="79">
        <v>0.0</v>
      </c>
      <c r="CK47" s="79"/>
      <c r="CL47" s="79">
        <v>0.0</v>
      </c>
      <c r="CM47" s="79"/>
      <c r="CN47" s="79">
        <v>0.0</v>
      </c>
      <c r="CO47" s="79" t="s">
        <v>493</v>
      </c>
      <c r="CP47" s="79">
        <v>0.0</v>
      </c>
      <c r="CQ47" s="79" t="s">
        <v>494</v>
      </c>
      <c r="CR47" s="79">
        <v>0.0</v>
      </c>
      <c r="CS47" s="79" t="s">
        <v>495</v>
      </c>
      <c r="CT47" s="79">
        <v>0.0</v>
      </c>
      <c r="CU47" s="79" t="s">
        <v>496</v>
      </c>
      <c r="CV47" s="79">
        <v>0.0</v>
      </c>
      <c r="CW47" s="79"/>
      <c r="CX47" s="79">
        <v>0.0</v>
      </c>
      <c r="CY47" s="79"/>
      <c r="CZ47" s="79">
        <v>0.0</v>
      </c>
      <c r="DA47" s="79"/>
      <c r="DB47" s="79">
        <v>0.0</v>
      </c>
      <c r="DC47" s="79"/>
      <c r="DD47" s="79">
        <v>0.0</v>
      </c>
      <c r="DE47" s="79">
        <v>11000.0</v>
      </c>
      <c r="DF47" s="79">
        <v>0.0</v>
      </c>
      <c r="DG47" s="79">
        <v>0.0</v>
      </c>
      <c r="DH47" s="79">
        <v>0.0</v>
      </c>
      <c r="DI47" s="79">
        <v>0.0</v>
      </c>
      <c r="DJ47" s="79" t="s">
        <v>802</v>
      </c>
      <c r="DK47" s="79" t="s">
        <v>486</v>
      </c>
      <c r="DL47" s="79" t="s">
        <v>537</v>
      </c>
      <c r="DM47" s="79" t="s">
        <v>803</v>
      </c>
      <c r="DN47" s="79" t="s">
        <v>804</v>
      </c>
      <c r="DO47" s="79" t="s">
        <v>805</v>
      </c>
      <c r="DP47" s="79"/>
      <c r="DQ47" s="79"/>
      <c r="DR47" s="79"/>
      <c r="DS47" s="79"/>
      <c r="DT47" s="82"/>
      <c r="DU47" s="79"/>
      <c r="DV47" s="82"/>
      <c r="DW47" s="79"/>
      <c r="DX47" s="79"/>
      <c r="DY47" s="79"/>
      <c r="DZ47" s="79"/>
      <c r="EA47" s="79"/>
      <c r="EB47" s="79"/>
      <c r="EC47" s="79"/>
      <c r="ED47" s="79"/>
      <c r="EE47" s="79"/>
      <c r="EF47" s="82"/>
      <c r="EG47" s="79"/>
      <c r="EH47" s="82"/>
      <c r="EI47" s="79"/>
      <c r="EJ47" s="82"/>
      <c r="EK47" s="79"/>
      <c r="EL47" s="82"/>
      <c r="EM47" s="79"/>
      <c r="EN47" s="79" t="s">
        <v>79</v>
      </c>
      <c r="EO47" s="79"/>
      <c r="EP47" s="80"/>
      <c r="EQ47" s="83"/>
      <c r="ER47" s="83" t="str">
        <f t="shared" si="3"/>
        <v/>
      </c>
      <c r="ES47" s="82"/>
      <c r="ET47" s="79" t="str">
        <f t="shared" si="4"/>
        <v/>
      </c>
      <c r="EU47" s="79"/>
      <c r="EV47" s="79"/>
      <c r="EW47" s="82"/>
      <c r="EX47" s="82"/>
      <c r="EY47" s="82"/>
      <c r="EZ47" s="82"/>
      <c r="FA47" s="82"/>
      <c r="FB47" s="82"/>
    </row>
    <row r="48" ht="15.75" customHeight="1">
      <c r="A48" s="79" t="s">
        <v>806</v>
      </c>
      <c r="B48" s="79" t="s">
        <v>475</v>
      </c>
      <c r="C48" s="79" t="s">
        <v>476</v>
      </c>
      <c r="D48" s="80">
        <v>46097.0</v>
      </c>
      <c r="E48" s="79" t="s">
        <v>799</v>
      </c>
      <c r="F48" s="79" t="s">
        <v>568</v>
      </c>
      <c r="G48" s="79" t="s">
        <v>655</v>
      </c>
      <c r="H48" s="79" t="s">
        <v>479</v>
      </c>
      <c r="I48" s="79"/>
      <c r="J48" s="79" t="s">
        <v>800</v>
      </c>
      <c r="K48" s="79">
        <v>0.0</v>
      </c>
      <c r="L48" s="79"/>
      <c r="M48" s="79" t="s">
        <v>801</v>
      </c>
      <c r="N48" s="79"/>
      <c r="O48" s="79"/>
      <c r="P48" s="79"/>
      <c r="Q48" s="79"/>
      <c r="R48" s="80">
        <v>46292.0</v>
      </c>
      <c r="S48" s="79"/>
      <c r="T48" s="79">
        <v>13069.0</v>
      </c>
      <c r="U48" s="79"/>
      <c r="V48" s="79"/>
      <c r="W48" s="80">
        <v>46097.0</v>
      </c>
      <c r="X48" s="79"/>
      <c r="Y48" s="80">
        <v>46097.0</v>
      </c>
      <c r="Z48" s="79" t="s">
        <v>486</v>
      </c>
      <c r="AA48" s="79" t="s">
        <v>537</v>
      </c>
      <c r="AB48" s="79" t="s">
        <v>486</v>
      </c>
      <c r="AC48" s="79" t="s">
        <v>488</v>
      </c>
      <c r="AD48" s="79">
        <v>9000.0</v>
      </c>
      <c r="AE48" s="79">
        <v>0.0</v>
      </c>
      <c r="AF48" s="79">
        <v>0.0</v>
      </c>
      <c r="AG48" s="79">
        <v>900.0</v>
      </c>
      <c r="AH48" s="81">
        <v>9900.0</v>
      </c>
      <c r="AI48" s="79"/>
      <c r="AJ48" s="79">
        <v>0.0</v>
      </c>
      <c r="AK48" s="79">
        <v>0.0</v>
      </c>
      <c r="AL48" s="79">
        <v>0.0</v>
      </c>
      <c r="AM48" s="79">
        <v>0.0</v>
      </c>
      <c r="AN48" s="79">
        <v>0.0</v>
      </c>
      <c r="AO48" s="79">
        <v>0.0</v>
      </c>
      <c r="AP48" s="79">
        <v>0.0</v>
      </c>
      <c r="AQ48" s="79">
        <v>9000.0</v>
      </c>
      <c r="AR48" s="79" t="s">
        <v>489</v>
      </c>
      <c r="AS48" s="79">
        <v>0.0</v>
      </c>
      <c r="AT48" s="79" t="s">
        <v>507</v>
      </c>
      <c r="AU48" s="79" t="s">
        <v>491</v>
      </c>
      <c r="AV48" s="79">
        <v>0.0</v>
      </c>
      <c r="AW48" s="79" t="s">
        <v>508</v>
      </c>
      <c r="AX48" s="79">
        <v>0.0</v>
      </c>
      <c r="AY48" s="79"/>
      <c r="AZ48" s="79">
        <v>0.0</v>
      </c>
      <c r="BA48" s="79"/>
      <c r="BB48" s="79">
        <v>0.0</v>
      </c>
      <c r="BC48" s="79"/>
      <c r="BD48" s="79">
        <v>0.0</v>
      </c>
      <c r="BE48" s="79"/>
      <c r="BF48" s="79">
        <v>0.0</v>
      </c>
      <c r="BG48" s="79"/>
      <c r="BH48" s="79">
        <v>0.0</v>
      </c>
      <c r="BI48" s="79" t="s">
        <v>493</v>
      </c>
      <c r="BJ48" s="79">
        <v>0.0</v>
      </c>
      <c r="BK48" s="79" t="s">
        <v>494</v>
      </c>
      <c r="BL48" s="79">
        <v>0.0</v>
      </c>
      <c r="BM48" s="79" t="s">
        <v>495</v>
      </c>
      <c r="BN48" s="79">
        <v>0.0</v>
      </c>
      <c r="BO48" s="79" t="s">
        <v>496</v>
      </c>
      <c r="BP48" s="79">
        <v>0.0</v>
      </c>
      <c r="BQ48" s="79"/>
      <c r="BR48" s="79">
        <v>0.0</v>
      </c>
      <c r="BS48" s="79"/>
      <c r="BT48" s="79">
        <v>0.0</v>
      </c>
      <c r="BU48" s="79"/>
      <c r="BV48" s="79">
        <v>0.0</v>
      </c>
      <c r="BW48" s="79"/>
      <c r="BX48" s="79">
        <v>0.0</v>
      </c>
      <c r="BY48" s="79">
        <v>0.0</v>
      </c>
      <c r="BZ48" s="79" t="s">
        <v>491</v>
      </c>
      <c r="CA48" s="79">
        <v>0.0</v>
      </c>
      <c r="CB48" s="79" t="s">
        <v>507</v>
      </c>
      <c r="CC48" s="79" t="s">
        <v>508</v>
      </c>
      <c r="CD48" s="79">
        <v>0.0</v>
      </c>
      <c r="CE48" s="79"/>
      <c r="CF48" s="79">
        <v>0.0</v>
      </c>
      <c r="CG48" s="79"/>
      <c r="CH48" s="79">
        <v>0.0</v>
      </c>
      <c r="CI48" s="79"/>
      <c r="CJ48" s="79">
        <v>0.0</v>
      </c>
      <c r="CK48" s="79"/>
      <c r="CL48" s="79">
        <v>0.0</v>
      </c>
      <c r="CM48" s="79"/>
      <c r="CN48" s="79">
        <v>0.0</v>
      </c>
      <c r="CO48" s="79" t="s">
        <v>493</v>
      </c>
      <c r="CP48" s="79">
        <v>0.0</v>
      </c>
      <c r="CQ48" s="79" t="s">
        <v>494</v>
      </c>
      <c r="CR48" s="79">
        <v>0.0</v>
      </c>
      <c r="CS48" s="79" t="s">
        <v>495</v>
      </c>
      <c r="CT48" s="79">
        <v>0.0</v>
      </c>
      <c r="CU48" s="79" t="s">
        <v>496</v>
      </c>
      <c r="CV48" s="79">
        <v>0.0</v>
      </c>
      <c r="CW48" s="79"/>
      <c r="CX48" s="79">
        <v>0.0</v>
      </c>
      <c r="CY48" s="79"/>
      <c r="CZ48" s="79">
        <v>0.0</v>
      </c>
      <c r="DA48" s="79"/>
      <c r="DB48" s="79">
        <v>0.0</v>
      </c>
      <c r="DC48" s="79"/>
      <c r="DD48" s="79">
        <v>0.0</v>
      </c>
      <c r="DE48" s="79">
        <v>9000.0</v>
      </c>
      <c r="DF48" s="79">
        <v>0.0</v>
      </c>
      <c r="DG48" s="79">
        <v>0.0</v>
      </c>
      <c r="DH48" s="79">
        <v>0.0</v>
      </c>
      <c r="DI48" s="79">
        <v>0.0</v>
      </c>
      <c r="DJ48" s="79" t="s">
        <v>802</v>
      </c>
      <c r="DK48" s="79" t="s">
        <v>486</v>
      </c>
      <c r="DL48" s="79" t="s">
        <v>537</v>
      </c>
      <c r="DM48" s="79" t="s">
        <v>803</v>
      </c>
      <c r="DN48" s="79" t="s">
        <v>804</v>
      </c>
      <c r="DO48" s="79" t="s">
        <v>805</v>
      </c>
      <c r="DP48" s="79"/>
      <c r="DQ48" s="79"/>
      <c r="DR48" s="79"/>
      <c r="DS48" s="79"/>
      <c r="DT48" s="82"/>
      <c r="DU48" s="79"/>
      <c r="DV48" s="82"/>
      <c r="DW48" s="79"/>
      <c r="DX48" s="79"/>
      <c r="DY48" s="79"/>
      <c r="DZ48" s="79"/>
      <c r="EA48" s="79"/>
      <c r="EB48" s="79"/>
      <c r="EC48" s="79"/>
      <c r="ED48" s="79"/>
      <c r="EE48" s="79"/>
      <c r="EF48" s="82"/>
      <c r="EG48" s="79"/>
      <c r="EH48" s="82"/>
      <c r="EI48" s="79"/>
      <c r="EJ48" s="82"/>
      <c r="EK48" s="79"/>
      <c r="EL48" s="82"/>
      <c r="EM48" s="79"/>
      <c r="EN48" s="79" t="s">
        <v>79</v>
      </c>
      <c r="EO48" s="79"/>
      <c r="EP48" s="80"/>
      <c r="EQ48" s="83"/>
      <c r="ER48" s="83" t="str">
        <f t="shared" si="3"/>
        <v/>
      </c>
      <c r="ES48" s="79"/>
      <c r="ET48" s="79" t="str">
        <f t="shared" si="4"/>
        <v/>
      </c>
      <c r="EU48" s="79"/>
      <c r="EV48" s="79"/>
      <c r="EW48" s="82"/>
      <c r="EX48" s="82"/>
      <c r="EY48" s="82"/>
      <c r="EZ48" s="79"/>
      <c r="FA48" s="79"/>
      <c r="FB48" s="79"/>
    </row>
    <row r="49" ht="15.75" customHeight="1">
      <c r="A49" s="19"/>
      <c r="B49" s="4" t="s">
        <v>468</v>
      </c>
      <c r="C49" s="4" t="s">
        <v>469</v>
      </c>
      <c r="D49" s="78">
        <v>46097.0</v>
      </c>
      <c r="E49" s="4" t="s">
        <v>807</v>
      </c>
      <c r="F49" s="19"/>
      <c r="AH49" s="23">
        <v>3236110.0</v>
      </c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19"/>
      <c r="CW49" s="19"/>
      <c r="CX49" s="19"/>
      <c r="CY49" s="19"/>
      <c r="CZ49" s="19"/>
      <c r="DA49" s="19"/>
      <c r="DB49" s="19"/>
      <c r="DC49" s="19"/>
      <c r="DD49" s="19"/>
      <c r="DE49" s="19"/>
      <c r="DF49" s="19"/>
      <c r="DG49" s="19"/>
      <c r="DH49" s="19"/>
      <c r="DI49" s="19"/>
      <c r="DJ49" s="19"/>
      <c r="DK49" s="19"/>
      <c r="DL49" s="19"/>
      <c r="DM49" s="19"/>
      <c r="DN49" s="19"/>
      <c r="DO49" s="19"/>
      <c r="DP49" s="19"/>
      <c r="DQ49" s="19"/>
      <c r="DR49" s="19"/>
      <c r="DS49" s="19"/>
      <c r="DT49" s="19"/>
      <c r="DU49" s="19"/>
      <c r="DV49" s="19"/>
      <c r="DW49" s="19"/>
      <c r="DX49" s="19"/>
      <c r="DY49" s="19"/>
      <c r="DZ49" s="19"/>
      <c r="EA49" s="19"/>
      <c r="EB49" s="19"/>
      <c r="EC49" s="19"/>
      <c r="ED49" s="19"/>
      <c r="EE49" s="19"/>
      <c r="EF49" s="19"/>
      <c r="EG49" s="19"/>
      <c r="EH49" s="19"/>
      <c r="EI49" s="19"/>
      <c r="EJ49" s="19"/>
      <c r="EK49" s="19"/>
      <c r="EL49" s="19"/>
      <c r="EM49" s="19"/>
      <c r="EN49" s="4" t="s">
        <v>79</v>
      </c>
      <c r="EO49" s="19"/>
      <c r="EP49" s="17"/>
      <c r="EQ49" s="23"/>
      <c r="ER49" s="23" t="str">
        <f t="shared" si="3"/>
        <v/>
      </c>
      <c r="ES49" s="19"/>
      <c r="ET49" s="19" t="str">
        <f t="shared" si="4"/>
        <v/>
      </c>
      <c r="EU49" s="19"/>
      <c r="EV49" s="19"/>
      <c r="EW49" s="19"/>
      <c r="EX49" s="19"/>
      <c r="EY49" s="19"/>
      <c r="EZ49" s="82"/>
      <c r="FA49" s="82"/>
      <c r="FB49" s="82"/>
    </row>
    <row r="50" ht="15.75" customHeight="1">
      <c r="A50" s="4" t="s">
        <v>808</v>
      </c>
      <c r="B50" s="4" t="s">
        <v>475</v>
      </c>
      <c r="C50" s="4" t="s">
        <v>476</v>
      </c>
      <c r="D50" s="78">
        <v>46097.0</v>
      </c>
      <c r="E50" s="4" t="s">
        <v>809</v>
      </c>
      <c r="F50" s="4" t="s">
        <v>810</v>
      </c>
      <c r="G50" s="4" t="s">
        <v>811</v>
      </c>
      <c r="R50" s="4" t="s">
        <v>812</v>
      </c>
      <c r="V50" s="4" t="s">
        <v>813</v>
      </c>
      <c r="Y50" s="4" t="s">
        <v>784</v>
      </c>
      <c r="Z50" s="4" t="s">
        <v>597</v>
      </c>
      <c r="AB50" s="4" t="s">
        <v>597</v>
      </c>
      <c r="AH50" s="23">
        <v>131252.0</v>
      </c>
      <c r="AL50" s="19"/>
      <c r="AM50" s="19"/>
      <c r="AN50" s="19"/>
      <c r="AO50" s="19"/>
      <c r="AP50" s="19"/>
      <c r="AQ50" s="4">
        <v>50843.0</v>
      </c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19"/>
      <c r="CW50" s="19"/>
      <c r="CX50" s="19"/>
      <c r="CY50" s="19"/>
      <c r="CZ50" s="19"/>
      <c r="DA50" s="19"/>
      <c r="DB50" s="19"/>
      <c r="DC50" s="19"/>
      <c r="DD50" s="19"/>
      <c r="DE50" s="19"/>
      <c r="DF50" s="19"/>
      <c r="DG50" s="19"/>
      <c r="DH50" s="19"/>
      <c r="DI50" s="19"/>
      <c r="DJ50" s="19"/>
      <c r="DK50" s="19"/>
      <c r="DL50" s="19"/>
      <c r="DM50" s="19"/>
      <c r="DN50" s="19"/>
      <c r="DO50" s="19"/>
      <c r="DP50" s="19"/>
      <c r="DQ50" s="19"/>
      <c r="DR50" s="19"/>
      <c r="DS50" s="19"/>
      <c r="DT50" s="19"/>
      <c r="DU50" s="19"/>
      <c r="DV50" s="19"/>
      <c r="DW50" s="19"/>
      <c r="DX50" s="19"/>
      <c r="DY50" s="19"/>
      <c r="DZ50" s="19"/>
      <c r="EA50" s="19"/>
      <c r="EB50" s="19"/>
      <c r="EC50" s="19"/>
      <c r="ED50" s="19"/>
      <c r="EE50" s="19"/>
      <c r="EF50" s="19"/>
      <c r="EG50" s="19"/>
      <c r="EH50" s="19"/>
      <c r="EI50" s="19"/>
      <c r="EJ50" s="19"/>
      <c r="EK50" s="19"/>
      <c r="EL50" s="19"/>
      <c r="EM50" s="19"/>
      <c r="EN50" s="4" t="s">
        <v>79</v>
      </c>
      <c r="EO50" s="19"/>
      <c r="EP50" s="17"/>
      <c r="EQ50" s="23"/>
      <c r="ER50" s="23" t="str">
        <f t="shared" si="3"/>
        <v/>
      </c>
      <c r="ES50" s="19"/>
      <c r="ET50" s="19" t="str">
        <f t="shared" si="4"/>
        <v/>
      </c>
      <c r="EU50" s="19"/>
      <c r="EV50" s="19"/>
      <c r="EW50" s="19"/>
      <c r="EX50" s="19"/>
      <c r="EY50" s="19"/>
      <c r="EZ50" s="79"/>
      <c r="FA50" s="79"/>
      <c r="FB50" s="79"/>
    </row>
    <row r="51" ht="15.75" customHeight="1">
      <c r="A51" s="19"/>
      <c r="B51" s="4" t="s">
        <v>468</v>
      </c>
      <c r="C51" s="4" t="s">
        <v>469</v>
      </c>
      <c r="D51" s="78">
        <v>46098.0</v>
      </c>
      <c r="E51" s="4" t="s">
        <v>814</v>
      </c>
      <c r="F51" s="1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23">
        <v>1.82E7</v>
      </c>
      <c r="AI51" s="4"/>
      <c r="AJ51" s="4"/>
      <c r="AK51" s="4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/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/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4" t="s">
        <v>57</v>
      </c>
      <c r="EO51" s="19"/>
      <c r="EP51" s="17"/>
      <c r="EQ51" s="23"/>
      <c r="ER51" s="23" t="str">
        <f t="shared" si="3"/>
        <v/>
      </c>
      <c r="ES51" s="19"/>
      <c r="ET51" s="19" t="str">
        <f t="shared" si="4"/>
        <v/>
      </c>
      <c r="EU51" s="19"/>
      <c r="EV51" s="19"/>
      <c r="EW51" s="19"/>
      <c r="EX51" s="19"/>
      <c r="EY51" s="19"/>
      <c r="EZ51" s="82"/>
      <c r="FA51" s="82"/>
      <c r="FB51" s="82"/>
    </row>
    <row r="52" ht="15.75" customHeight="1">
      <c r="A52" s="19"/>
      <c r="B52" s="4" t="s">
        <v>468</v>
      </c>
      <c r="C52" s="4" t="s">
        <v>469</v>
      </c>
      <c r="D52" s="78">
        <v>46099.0</v>
      </c>
      <c r="E52" s="4" t="s">
        <v>815</v>
      </c>
      <c r="F52" s="1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23">
        <v>1.5712182E7</v>
      </c>
      <c r="AI52" s="4"/>
      <c r="AJ52" s="4"/>
      <c r="AK52" s="4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19"/>
      <c r="CW52" s="19"/>
      <c r="CX52" s="19"/>
      <c r="CY52" s="19"/>
      <c r="CZ52" s="19"/>
      <c r="DA52" s="19"/>
      <c r="DB52" s="19"/>
      <c r="DC52" s="19"/>
      <c r="DD52" s="19"/>
      <c r="DE52" s="19"/>
      <c r="DF52" s="19"/>
      <c r="DG52" s="19"/>
      <c r="DH52" s="19"/>
      <c r="DI52" s="19"/>
      <c r="DJ52" s="19"/>
      <c r="DK52" s="19"/>
      <c r="DL52" s="19"/>
      <c r="DM52" s="19"/>
      <c r="DN52" s="19"/>
      <c r="DO52" s="19"/>
      <c r="DP52" s="19"/>
      <c r="DQ52" s="19"/>
      <c r="DR52" s="19"/>
      <c r="DS52" s="19"/>
      <c r="DT52" s="19"/>
      <c r="DU52" s="19"/>
      <c r="DV52" s="19"/>
      <c r="DW52" s="19"/>
      <c r="DX52" s="19"/>
      <c r="DY52" s="19"/>
      <c r="DZ52" s="19"/>
      <c r="EA52" s="19"/>
      <c r="EB52" s="19"/>
      <c r="EC52" s="19"/>
      <c r="ED52" s="19"/>
      <c r="EE52" s="19"/>
      <c r="EF52" s="19"/>
      <c r="EG52" s="19"/>
      <c r="EH52" s="19"/>
      <c r="EI52" s="19"/>
      <c r="EJ52" s="19"/>
      <c r="EK52" s="19"/>
      <c r="EL52" s="19"/>
      <c r="EM52" s="19"/>
      <c r="EN52" s="4" t="s">
        <v>57</v>
      </c>
      <c r="EO52" s="4" t="s">
        <v>48</v>
      </c>
      <c r="EP52" s="17"/>
      <c r="EQ52" s="23"/>
      <c r="ER52" s="23" t="str">
        <f t="shared" si="3"/>
        <v/>
      </c>
      <c r="ES52" s="19"/>
      <c r="ET52" s="19" t="str">
        <f t="shared" si="4"/>
        <v/>
      </c>
      <c r="EU52" s="19"/>
      <c r="EV52" s="19"/>
      <c r="EW52" s="19"/>
      <c r="EX52" s="19"/>
      <c r="EY52" s="19"/>
      <c r="EZ52" s="79"/>
      <c r="FA52" s="79"/>
      <c r="FB52" s="79"/>
    </row>
    <row r="53" ht="15.75" customHeight="1">
      <c r="A53" s="79" t="s">
        <v>816</v>
      </c>
      <c r="B53" s="79" t="s">
        <v>591</v>
      </c>
      <c r="C53" s="79" t="s">
        <v>476</v>
      </c>
      <c r="D53" s="80">
        <v>46102.0</v>
      </c>
      <c r="E53" s="79" t="s">
        <v>817</v>
      </c>
      <c r="F53" s="79"/>
      <c r="G53" s="79" t="s">
        <v>818</v>
      </c>
      <c r="H53" s="79" t="s">
        <v>819</v>
      </c>
      <c r="I53" s="79" t="s">
        <v>737</v>
      </c>
      <c r="J53" s="79" t="s">
        <v>820</v>
      </c>
      <c r="K53" s="79">
        <v>1300.0</v>
      </c>
      <c r="L53" s="79" t="s">
        <v>821</v>
      </c>
      <c r="M53" s="79" t="s">
        <v>822</v>
      </c>
      <c r="N53" s="79"/>
      <c r="O53" s="79" t="s">
        <v>823</v>
      </c>
      <c r="P53" s="79" t="s">
        <v>824</v>
      </c>
      <c r="Q53" s="79" t="s">
        <v>825</v>
      </c>
      <c r="R53" s="80">
        <v>46862.0</v>
      </c>
      <c r="S53" s="79"/>
      <c r="T53" s="79">
        <v>173482.0</v>
      </c>
      <c r="U53" s="79"/>
      <c r="V53" s="79"/>
      <c r="W53" s="80">
        <v>46094.0</v>
      </c>
      <c r="X53" s="79"/>
      <c r="Y53" s="80">
        <v>46094.0</v>
      </c>
      <c r="Z53" s="79" t="s">
        <v>554</v>
      </c>
      <c r="AA53" s="79" t="s">
        <v>488</v>
      </c>
      <c r="AB53" s="79" t="s">
        <v>554</v>
      </c>
      <c r="AC53" s="79" t="s">
        <v>488</v>
      </c>
      <c r="AD53" s="79">
        <v>38182.0</v>
      </c>
      <c r="AE53" s="79">
        <v>6227.0</v>
      </c>
      <c r="AF53" s="79">
        <v>57650.0</v>
      </c>
      <c r="AG53" s="79">
        <v>4441.0</v>
      </c>
      <c r="AH53" s="81">
        <v>106500.0</v>
      </c>
      <c r="AI53" s="79"/>
      <c r="AJ53" s="79">
        <v>0.0</v>
      </c>
      <c r="AK53" s="79">
        <v>7535.0</v>
      </c>
      <c r="AL53" s="79">
        <v>800.0</v>
      </c>
      <c r="AM53" s="79">
        <v>57650.0</v>
      </c>
      <c r="AN53" s="79">
        <v>834.0</v>
      </c>
      <c r="AO53" s="79">
        <v>66819.0</v>
      </c>
      <c r="AP53" s="79">
        <v>0.0</v>
      </c>
      <c r="AQ53" s="79">
        <v>36074.0</v>
      </c>
      <c r="AR53" s="79" t="s">
        <v>556</v>
      </c>
      <c r="AS53" s="79">
        <v>5000.0</v>
      </c>
      <c r="AT53" s="79" t="s">
        <v>490</v>
      </c>
      <c r="AU53" s="79" t="s">
        <v>491</v>
      </c>
      <c r="AV53" s="79">
        <v>1227.0</v>
      </c>
      <c r="AW53" s="79" t="s">
        <v>492</v>
      </c>
      <c r="AX53" s="79">
        <v>0.0</v>
      </c>
      <c r="AY53" s="79"/>
      <c r="AZ53" s="79">
        <v>0.0</v>
      </c>
      <c r="BA53" s="79"/>
      <c r="BB53" s="79">
        <v>0.0</v>
      </c>
      <c r="BC53" s="79"/>
      <c r="BD53" s="79">
        <v>0.0</v>
      </c>
      <c r="BE53" s="79"/>
      <c r="BF53" s="79">
        <v>0.0</v>
      </c>
      <c r="BG53" s="79"/>
      <c r="BH53" s="79">
        <v>0.0</v>
      </c>
      <c r="BI53" s="79" t="s">
        <v>493</v>
      </c>
      <c r="BJ53" s="79">
        <v>17650.0</v>
      </c>
      <c r="BK53" s="79" t="s">
        <v>494</v>
      </c>
      <c r="BL53" s="79">
        <v>37800.0</v>
      </c>
      <c r="BM53" s="79" t="s">
        <v>495</v>
      </c>
      <c r="BN53" s="79">
        <v>2200.0</v>
      </c>
      <c r="BO53" s="79" t="s">
        <v>496</v>
      </c>
      <c r="BP53" s="79">
        <v>0.0</v>
      </c>
      <c r="BQ53" s="79"/>
      <c r="BR53" s="79">
        <v>0.0</v>
      </c>
      <c r="BS53" s="79"/>
      <c r="BT53" s="79">
        <v>0.0</v>
      </c>
      <c r="BU53" s="79"/>
      <c r="BV53" s="79">
        <v>0.0</v>
      </c>
      <c r="BW53" s="79"/>
      <c r="BX53" s="79">
        <v>0.0</v>
      </c>
      <c r="BY53" s="79">
        <v>0.0</v>
      </c>
      <c r="BZ53" s="79" t="s">
        <v>491</v>
      </c>
      <c r="CA53" s="79">
        <v>800.0</v>
      </c>
      <c r="CB53" s="79" t="s">
        <v>490</v>
      </c>
      <c r="CC53" s="79" t="s">
        <v>492</v>
      </c>
      <c r="CD53" s="79">
        <v>0.0</v>
      </c>
      <c r="CE53" s="79"/>
      <c r="CF53" s="79">
        <v>0.0</v>
      </c>
      <c r="CG53" s="79"/>
      <c r="CH53" s="79">
        <v>0.0</v>
      </c>
      <c r="CI53" s="79"/>
      <c r="CJ53" s="79">
        <v>0.0</v>
      </c>
      <c r="CK53" s="79"/>
      <c r="CL53" s="79">
        <v>0.0</v>
      </c>
      <c r="CM53" s="79"/>
      <c r="CN53" s="79">
        <v>0.0</v>
      </c>
      <c r="CO53" s="79" t="s">
        <v>493</v>
      </c>
      <c r="CP53" s="79">
        <v>17650.0</v>
      </c>
      <c r="CQ53" s="79" t="s">
        <v>494</v>
      </c>
      <c r="CR53" s="79">
        <v>37800.0</v>
      </c>
      <c r="CS53" s="79" t="s">
        <v>495</v>
      </c>
      <c r="CT53" s="79">
        <v>2200.0</v>
      </c>
      <c r="CU53" s="79" t="s">
        <v>496</v>
      </c>
      <c r="CV53" s="79">
        <v>0.0</v>
      </c>
      <c r="CW53" s="79"/>
      <c r="CX53" s="79">
        <v>0.0</v>
      </c>
      <c r="CY53" s="79"/>
      <c r="CZ53" s="79">
        <v>0.0</v>
      </c>
      <c r="DA53" s="79"/>
      <c r="DB53" s="79">
        <v>0.0</v>
      </c>
      <c r="DC53" s="79"/>
      <c r="DD53" s="79">
        <v>0.0</v>
      </c>
      <c r="DE53" s="79">
        <v>20250.0</v>
      </c>
      <c r="DF53" s="79">
        <v>17932.0</v>
      </c>
      <c r="DG53" s="79">
        <v>0.0</v>
      </c>
      <c r="DH53" s="79">
        <v>0.0</v>
      </c>
      <c r="DI53" s="79">
        <v>7535.0</v>
      </c>
      <c r="DJ53" s="79" t="s">
        <v>826</v>
      </c>
      <c r="DK53" s="79"/>
      <c r="DL53" s="79"/>
      <c r="DM53" s="79" t="s">
        <v>827</v>
      </c>
      <c r="DN53" s="79"/>
      <c r="DO53" s="79"/>
      <c r="DP53" s="79"/>
      <c r="DQ53" s="79"/>
      <c r="DR53" s="79"/>
      <c r="DS53" s="79"/>
      <c r="DT53" s="82"/>
      <c r="DU53" s="79"/>
      <c r="DV53" s="82"/>
      <c r="DW53" s="79"/>
      <c r="DX53" s="79"/>
      <c r="DY53" s="79"/>
      <c r="DZ53" s="79"/>
      <c r="EA53" s="79"/>
      <c r="EB53" s="79"/>
      <c r="EC53" s="79"/>
      <c r="ED53" s="79"/>
      <c r="EE53" s="79"/>
      <c r="EF53" s="82"/>
      <c r="EG53" s="79"/>
      <c r="EH53" s="82"/>
      <c r="EI53" s="79"/>
      <c r="EJ53" s="82"/>
      <c r="EK53" s="79"/>
      <c r="EL53" s="82"/>
      <c r="EM53" s="79"/>
      <c r="EN53" s="79" t="s">
        <v>79</v>
      </c>
      <c r="EO53" s="79"/>
      <c r="EP53" s="80"/>
      <c r="EQ53" s="83"/>
      <c r="ER53" s="83" t="str">
        <f t="shared" si="3"/>
        <v/>
      </c>
      <c r="ES53" s="79"/>
      <c r="ET53" s="79" t="str">
        <f t="shared" si="4"/>
        <v/>
      </c>
      <c r="EU53" s="79"/>
      <c r="EV53" s="79"/>
      <c r="EW53" s="82"/>
      <c r="EX53" s="82"/>
      <c r="EY53" s="82"/>
      <c r="EZ53" s="79"/>
      <c r="FA53" s="79"/>
      <c r="FB53" s="79"/>
    </row>
    <row r="54" ht="15.75" customHeight="1">
      <c r="A54" s="79" t="s">
        <v>828</v>
      </c>
      <c r="B54" s="79" t="s">
        <v>515</v>
      </c>
      <c r="C54" s="79" t="s">
        <v>476</v>
      </c>
      <c r="D54" s="80">
        <v>46102.0</v>
      </c>
      <c r="E54" s="79" t="s">
        <v>829</v>
      </c>
      <c r="F54" s="79" t="s">
        <v>568</v>
      </c>
      <c r="G54" s="79" t="s">
        <v>569</v>
      </c>
      <c r="H54" s="79" t="s">
        <v>479</v>
      </c>
      <c r="I54" s="79"/>
      <c r="J54" s="79" t="s">
        <v>830</v>
      </c>
      <c r="K54" s="79">
        <v>2000.0</v>
      </c>
      <c r="L54" s="79"/>
      <c r="M54" s="79" t="s">
        <v>506</v>
      </c>
      <c r="N54" s="79" t="s">
        <v>831</v>
      </c>
      <c r="O54" s="79" t="s">
        <v>484</v>
      </c>
      <c r="P54" s="79"/>
      <c r="Q54" s="79"/>
      <c r="R54" s="80">
        <v>46835.0</v>
      </c>
      <c r="S54" s="79"/>
      <c r="T54" s="79">
        <v>10386.0</v>
      </c>
      <c r="U54" s="79"/>
      <c r="V54" s="79"/>
      <c r="W54" s="80">
        <v>46102.0</v>
      </c>
      <c r="X54" s="79"/>
      <c r="Y54" s="80">
        <v>46102.0</v>
      </c>
      <c r="Z54" s="79" t="s">
        <v>486</v>
      </c>
      <c r="AA54" s="79" t="s">
        <v>487</v>
      </c>
      <c r="AB54" s="79" t="s">
        <v>486</v>
      </c>
      <c r="AC54" s="79" t="s">
        <v>488</v>
      </c>
      <c r="AD54" s="79">
        <v>17985.0</v>
      </c>
      <c r="AE54" s="79">
        <v>0.0</v>
      </c>
      <c r="AF54" s="79">
        <v>0.0</v>
      </c>
      <c r="AG54" s="79">
        <v>1799.0</v>
      </c>
      <c r="AH54" s="81">
        <v>19784.0</v>
      </c>
      <c r="AI54" s="79"/>
      <c r="AJ54" s="79">
        <v>0.0</v>
      </c>
      <c r="AK54" s="79">
        <v>650.0</v>
      </c>
      <c r="AL54" s="79">
        <v>0.0</v>
      </c>
      <c r="AM54" s="79">
        <v>0.0</v>
      </c>
      <c r="AN54" s="79">
        <v>65.0</v>
      </c>
      <c r="AO54" s="79">
        <v>715.0</v>
      </c>
      <c r="AP54" s="79">
        <v>0.0</v>
      </c>
      <c r="AQ54" s="79">
        <v>17335.0</v>
      </c>
      <c r="AR54" s="79" t="s">
        <v>489</v>
      </c>
      <c r="AS54" s="79">
        <v>0.0</v>
      </c>
      <c r="AT54" s="79" t="s">
        <v>507</v>
      </c>
      <c r="AU54" s="79" t="s">
        <v>491</v>
      </c>
      <c r="AV54" s="79">
        <v>0.0</v>
      </c>
      <c r="AW54" s="79" t="s">
        <v>508</v>
      </c>
      <c r="AX54" s="79">
        <v>0.0</v>
      </c>
      <c r="AY54" s="79"/>
      <c r="AZ54" s="79">
        <v>0.0</v>
      </c>
      <c r="BA54" s="79"/>
      <c r="BB54" s="79">
        <v>0.0</v>
      </c>
      <c r="BC54" s="79"/>
      <c r="BD54" s="79">
        <v>0.0</v>
      </c>
      <c r="BE54" s="79"/>
      <c r="BF54" s="79">
        <v>0.0</v>
      </c>
      <c r="BG54" s="79"/>
      <c r="BH54" s="79">
        <v>0.0</v>
      </c>
      <c r="BI54" s="79" t="s">
        <v>493</v>
      </c>
      <c r="BJ54" s="79">
        <v>0.0</v>
      </c>
      <c r="BK54" s="79" t="s">
        <v>494</v>
      </c>
      <c r="BL54" s="79">
        <v>0.0</v>
      </c>
      <c r="BM54" s="79" t="s">
        <v>495</v>
      </c>
      <c r="BN54" s="79">
        <v>0.0</v>
      </c>
      <c r="BO54" s="79" t="s">
        <v>496</v>
      </c>
      <c r="BP54" s="79">
        <v>0.0</v>
      </c>
      <c r="BQ54" s="79"/>
      <c r="BR54" s="79">
        <v>0.0</v>
      </c>
      <c r="BS54" s="79"/>
      <c r="BT54" s="79">
        <v>0.0</v>
      </c>
      <c r="BU54" s="79"/>
      <c r="BV54" s="79">
        <v>0.0</v>
      </c>
      <c r="BW54" s="79"/>
      <c r="BX54" s="79">
        <v>0.0</v>
      </c>
      <c r="BY54" s="79">
        <v>0.0</v>
      </c>
      <c r="BZ54" s="79" t="s">
        <v>491</v>
      </c>
      <c r="CA54" s="79">
        <v>0.0</v>
      </c>
      <c r="CB54" s="79" t="s">
        <v>507</v>
      </c>
      <c r="CC54" s="79" t="s">
        <v>508</v>
      </c>
      <c r="CD54" s="79">
        <v>0.0</v>
      </c>
      <c r="CE54" s="79"/>
      <c r="CF54" s="79">
        <v>0.0</v>
      </c>
      <c r="CG54" s="79"/>
      <c r="CH54" s="79">
        <v>0.0</v>
      </c>
      <c r="CI54" s="79"/>
      <c r="CJ54" s="79">
        <v>0.0</v>
      </c>
      <c r="CK54" s="79"/>
      <c r="CL54" s="79">
        <v>0.0</v>
      </c>
      <c r="CM54" s="79"/>
      <c r="CN54" s="79">
        <v>0.0</v>
      </c>
      <c r="CO54" s="79" t="s">
        <v>493</v>
      </c>
      <c r="CP54" s="79">
        <v>0.0</v>
      </c>
      <c r="CQ54" s="79" t="s">
        <v>494</v>
      </c>
      <c r="CR54" s="79">
        <v>0.0</v>
      </c>
      <c r="CS54" s="79" t="s">
        <v>495</v>
      </c>
      <c r="CT54" s="79">
        <v>0.0</v>
      </c>
      <c r="CU54" s="79" t="s">
        <v>496</v>
      </c>
      <c r="CV54" s="79">
        <v>0.0</v>
      </c>
      <c r="CW54" s="79"/>
      <c r="CX54" s="79">
        <v>0.0</v>
      </c>
      <c r="CY54" s="79"/>
      <c r="CZ54" s="79">
        <v>0.0</v>
      </c>
      <c r="DA54" s="79"/>
      <c r="DB54" s="79">
        <v>0.0</v>
      </c>
      <c r="DC54" s="79"/>
      <c r="DD54" s="79">
        <v>0.0</v>
      </c>
      <c r="DE54" s="79">
        <v>16435.0</v>
      </c>
      <c r="DF54" s="79">
        <v>1550.0</v>
      </c>
      <c r="DG54" s="79">
        <v>0.0</v>
      </c>
      <c r="DH54" s="79">
        <v>0.0</v>
      </c>
      <c r="DI54" s="79">
        <v>650.0</v>
      </c>
      <c r="DJ54" s="79" t="s">
        <v>832</v>
      </c>
      <c r="DK54" s="79" t="s">
        <v>486</v>
      </c>
      <c r="DL54" s="79" t="s">
        <v>487</v>
      </c>
      <c r="DM54" s="79" t="s">
        <v>833</v>
      </c>
      <c r="DN54" s="79" t="s">
        <v>834</v>
      </c>
      <c r="DO54" s="79"/>
      <c r="DP54" s="79"/>
      <c r="DQ54" s="79"/>
      <c r="DR54" s="79"/>
      <c r="DS54" s="79"/>
      <c r="DT54" s="82"/>
      <c r="DU54" s="79"/>
      <c r="DV54" s="82"/>
      <c r="DW54" s="79"/>
      <c r="DX54" s="79"/>
      <c r="DY54" s="79"/>
      <c r="DZ54" s="79"/>
      <c r="EA54" s="79"/>
      <c r="EB54" s="79"/>
      <c r="EC54" s="79"/>
      <c r="ED54" s="79"/>
      <c r="EE54" s="79"/>
      <c r="EF54" s="82"/>
      <c r="EG54" s="79"/>
      <c r="EH54" s="82"/>
      <c r="EI54" s="79"/>
      <c r="EJ54" s="82"/>
      <c r="EK54" s="79"/>
      <c r="EL54" s="82"/>
      <c r="EM54" s="79"/>
      <c r="EN54" s="79" t="s">
        <v>79</v>
      </c>
      <c r="EO54" s="79"/>
      <c r="EP54" s="80"/>
      <c r="EQ54" s="83"/>
      <c r="ER54" s="83" t="str">
        <f t="shared" si="3"/>
        <v/>
      </c>
      <c r="ES54" s="79"/>
      <c r="ET54" s="82" t="str">
        <f t="shared" si="4"/>
        <v/>
      </c>
      <c r="EU54" s="82"/>
      <c r="EV54" s="79"/>
      <c r="EW54" s="82"/>
      <c r="EX54" s="82"/>
      <c r="EY54" s="82"/>
      <c r="EZ54" s="79"/>
      <c r="FA54" s="79"/>
      <c r="FB54" s="79"/>
    </row>
    <row r="55" ht="15.75" customHeight="1">
      <c r="A55" s="79" t="s">
        <v>835</v>
      </c>
      <c r="B55" s="79" t="s">
        <v>591</v>
      </c>
      <c r="C55" s="79" t="s">
        <v>476</v>
      </c>
      <c r="D55" s="80">
        <v>46102.0</v>
      </c>
      <c r="E55" s="79" t="s">
        <v>644</v>
      </c>
      <c r="F55" s="79"/>
      <c r="G55" s="79" t="s">
        <v>600</v>
      </c>
      <c r="H55" s="79" t="s">
        <v>611</v>
      </c>
      <c r="I55" s="79"/>
      <c r="J55" s="79" t="s">
        <v>645</v>
      </c>
      <c r="K55" s="79">
        <v>0.0</v>
      </c>
      <c r="L55" s="79"/>
      <c r="M55" s="79" t="s">
        <v>613</v>
      </c>
      <c r="N55" s="79" t="s">
        <v>646</v>
      </c>
      <c r="O55" s="79"/>
      <c r="P55" s="79"/>
      <c r="Q55" s="79" t="s">
        <v>647</v>
      </c>
      <c r="R55" s="80">
        <v>46108.0</v>
      </c>
      <c r="S55" s="79"/>
      <c r="T55" s="79">
        <v>12219.0</v>
      </c>
      <c r="U55" s="79"/>
      <c r="V55" s="79"/>
      <c r="W55" s="80">
        <v>46086.0</v>
      </c>
      <c r="X55" s="79"/>
      <c r="Y55" s="80">
        <v>46090.0</v>
      </c>
      <c r="Z55" s="79" t="s">
        <v>486</v>
      </c>
      <c r="AA55" s="79" t="s">
        <v>487</v>
      </c>
      <c r="AB55" s="79" t="s">
        <v>486</v>
      </c>
      <c r="AC55" s="79" t="s">
        <v>488</v>
      </c>
      <c r="AD55" s="79">
        <v>185400.0</v>
      </c>
      <c r="AE55" s="79">
        <v>12000.0</v>
      </c>
      <c r="AF55" s="79">
        <v>60950.0</v>
      </c>
      <c r="AG55" s="79">
        <v>19740.0</v>
      </c>
      <c r="AH55" s="81">
        <v>278090.0</v>
      </c>
      <c r="AI55" s="79"/>
      <c r="AJ55" s="79">
        <v>0.0</v>
      </c>
      <c r="AK55" s="79">
        <v>46365.0</v>
      </c>
      <c r="AL55" s="79">
        <v>800.0</v>
      </c>
      <c r="AM55" s="79">
        <v>60950.0</v>
      </c>
      <c r="AN55" s="79">
        <v>4717.0</v>
      </c>
      <c r="AO55" s="79">
        <v>112832.0</v>
      </c>
      <c r="AP55" s="79">
        <v>0.0</v>
      </c>
      <c r="AQ55" s="79">
        <v>150235.0</v>
      </c>
      <c r="AR55" s="79" t="s">
        <v>489</v>
      </c>
      <c r="AS55" s="79">
        <v>12000.0</v>
      </c>
      <c r="AT55" s="79" t="s">
        <v>836</v>
      </c>
      <c r="AU55" s="79" t="s">
        <v>491</v>
      </c>
      <c r="AV55" s="79">
        <v>0.0</v>
      </c>
      <c r="AW55" s="79"/>
      <c r="AX55" s="79">
        <v>0.0</v>
      </c>
      <c r="AY55" s="79"/>
      <c r="AZ55" s="79">
        <v>0.0</v>
      </c>
      <c r="BA55" s="79"/>
      <c r="BB55" s="79">
        <v>0.0</v>
      </c>
      <c r="BC55" s="79"/>
      <c r="BD55" s="79">
        <v>0.0</v>
      </c>
      <c r="BE55" s="79"/>
      <c r="BF55" s="79">
        <v>0.0</v>
      </c>
      <c r="BG55" s="79"/>
      <c r="BH55" s="79">
        <v>0.0</v>
      </c>
      <c r="BI55" s="79" t="s">
        <v>493</v>
      </c>
      <c r="BJ55" s="79">
        <v>17650.0</v>
      </c>
      <c r="BK55" s="79" t="s">
        <v>494</v>
      </c>
      <c r="BL55" s="79">
        <v>41000.0</v>
      </c>
      <c r="BM55" s="79" t="s">
        <v>495</v>
      </c>
      <c r="BN55" s="79">
        <v>2300.0</v>
      </c>
      <c r="BO55" s="79" t="s">
        <v>496</v>
      </c>
      <c r="BP55" s="79">
        <v>0.0</v>
      </c>
      <c r="BQ55" s="79"/>
      <c r="BR55" s="79">
        <v>0.0</v>
      </c>
      <c r="BS55" s="79"/>
      <c r="BT55" s="79">
        <v>0.0</v>
      </c>
      <c r="BU55" s="79"/>
      <c r="BV55" s="79">
        <v>0.0</v>
      </c>
      <c r="BW55" s="79"/>
      <c r="BX55" s="79">
        <v>0.0</v>
      </c>
      <c r="BY55" s="79">
        <v>0.0</v>
      </c>
      <c r="BZ55" s="79" t="s">
        <v>491</v>
      </c>
      <c r="CA55" s="79">
        <v>800.0</v>
      </c>
      <c r="CB55" s="79" t="s">
        <v>836</v>
      </c>
      <c r="CC55" s="79"/>
      <c r="CD55" s="79">
        <v>0.0</v>
      </c>
      <c r="CE55" s="79"/>
      <c r="CF55" s="79">
        <v>0.0</v>
      </c>
      <c r="CG55" s="79"/>
      <c r="CH55" s="79">
        <v>0.0</v>
      </c>
      <c r="CI55" s="79"/>
      <c r="CJ55" s="79">
        <v>0.0</v>
      </c>
      <c r="CK55" s="79"/>
      <c r="CL55" s="79">
        <v>0.0</v>
      </c>
      <c r="CM55" s="79"/>
      <c r="CN55" s="79">
        <v>0.0</v>
      </c>
      <c r="CO55" s="79" t="s">
        <v>493</v>
      </c>
      <c r="CP55" s="79">
        <v>17650.0</v>
      </c>
      <c r="CQ55" s="79" t="s">
        <v>494</v>
      </c>
      <c r="CR55" s="79">
        <v>41000.0</v>
      </c>
      <c r="CS55" s="79" t="s">
        <v>495</v>
      </c>
      <c r="CT55" s="79">
        <v>2300.0</v>
      </c>
      <c r="CU55" s="79" t="s">
        <v>496</v>
      </c>
      <c r="CV55" s="79">
        <v>0.0</v>
      </c>
      <c r="CW55" s="79"/>
      <c r="CX55" s="79">
        <v>0.0</v>
      </c>
      <c r="CY55" s="79"/>
      <c r="CZ55" s="79">
        <v>0.0</v>
      </c>
      <c r="DA55" s="79"/>
      <c r="DB55" s="79">
        <v>0.0</v>
      </c>
      <c r="DC55" s="79"/>
      <c r="DD55" s="79">
        <v>0.0</v>
      </c>
      <c r="DE55" s="79">
        <v>89300.0</v>
      </c>
      <c r="DF55" s="79">
        <v>96100.0</v>
      </c>
      <c r="DG55" s="79">
        <v>0.0</v>
      </c>
      <c r="DH55" s="79">
        <v>0.0</v>
      </c>
      <c r="DI55" s="79">
        <v>46365.0</v>
      </c>
      <c r="DJ55" s="79" t="s">
        <v>648</v>
      </c>
      <c r="DK55" s="79" t="s">
        <v>486</v>
      </c>
      <c r="DL55" s="79" t="s">
        <v>487</v>
      </c>
      <c r="DM55" s="79" t="s">
        <v>649</v>
      </c>
      <c r="DN55" s="79" t="s">
        <v>650</v>
      </c>
      <c r="DO55" s="79" t="s">
        <v>651</v>
      </c>
      <c r="DP55" s="79"/>
      <c r="DQ55" s="79"/>
      <c r="DR55" s="79"/>
      <c r="DS55" s="79"/>
      <c r="DT55" s="82"/>
      <c r="DU55" s="79"/>
      <c r="DV55" s="82"/>
      <c r="DW55" s="79"/>
      <c r="DX55" s="79"/>
      <c r="DY55" s="79"/>
      <c r="DZ55" s="79"/>
      <c r="EA55" s="79"/>
      <c r="EB55" s="79"/>
      <c r="EC55" s="79"/>
      <c r="ED55" s="79"/>
      <c r="EE55" s="79"/>
      <c r="EF55" s="82"/>
      <c r="EG55" s="79"/>
      <c r="EH55" s="82"/>
      <c r="EI55" s="79"/>
      <c r="EJ55" s="82"/>
      <c r="EK55" s="79"/>
      <c r="EL55" s="82"/>
      <c r="EM55" s="79"/>
      <c r="EN55" s="79" t="s">
        <v>79</v>
      </c>
      <c r="EO55" s="79"/>
      <c r="EP55" s="80"/>
      <c r="EQ55" s="83"/>
      <c r="ER55" s="83" t="str">
        <f t="shared" si="3"/>
        <v/>
      </c>
      <c r="ES55" s="82"/>
      <c r="ET55" s="82" t="str">
        <f t="shared" si="4"/>
        <v/>
      </c>
      <c r="EU55" s="82"/>
      <c r="EV55" s="79"/>
      <c r="EW55" s="82"/>
      <c r="EX55" s="82"/>
      <c r="EY55" s="82"/>
      <c r="EZ55" s="79"/>
      <c r="FA55" s="79"/>
      <c r="FB55" s="79"/>
    </row>
    <row r="56" ht="15.75" customHeight="1">
      <c r="A56" s="79" t="s">
        <v>837</v>
      </c>
      <c r="B56" s="79" t="s">
        <v>591</v>
      </c>
      <c r="C56" s="79" t="s">
        <v>476</v>
      </c>
      <c r="D56" s="80">
        <v>46102.0</v>
      </c>
      <c r="E56" s="79" t="s">
        <v>838</v>
      </c>
      <c r="F56" s="79"/>
      <c r="G56" s="79" t="s">
        <v>839</v>
      </c>
      <c r="H56" s="79" t="s">
        <v>840</v>
      </c>
      <c r="I56" s="79" t="s">
        <v>841</v>
      </c>
      <c r="J56" s="79" t="s">
        <v>842</v>
      </c>
      <c r="K56" s="79">
        <v>2000.0</v>
      </c>
      <c r="L56" s="79" t="s">
        <v>843</v>
      </c>
      <c r="M56" s="79" t="s">
        <v>844</v>
      </c>
      <c r="N56" s="79" t="s">
        <v>572</v>
      </c>
      <c r="O56" s="79" t="s">
        <v>484</v>
      </c>
      <c r="P56" s="79" t="s">
        <v>845</v>
      </c>
      <c r="Q56" s="79" t="s">
        <v>846</v>
      </c>
      <c r="R56" s="80">
        <v>46838.0</v>
      </c>
      <c r="S56" s="79"/>
      <c r="T56" s="79">
        <v>39170.0</v>
      </c>
      <c r="U56" s="79"/>
      <c r="V56" s="79"/>
      <c r="W56" s="80">
        <v>46088.0</v>
      </c>
      <c r="X56" s="79"/>
      <c r="Y56" s="79"/>
      <c r="Z56" s="79" t="s">
        <v>486</v>
      </c>
      <c r="AA56" s="79" t="s">
        <v>487</v>
      </c>
      <c r="AB56" s="79" t="s">
        <v>486</v>
      </c>
      <c r="AC56" s="79" t="s">
        <v>488</v>
      </c>
      <c r="AD56" s="79">
        <v>264940.0</v>
      </c>
      <c r="AE56" s="79">
        <v>12000.0</v>
      </c>
      <c r="AF56" s="79">
        <v>52750.0</v>
      </c>
      <c r="AG56" s="79">
        <v>27694.0</v>
      </c>
      <c r="AH56" s="81">
        <v>357384.0</v>
      </c>
      <c r="AI56" s="79"/>
      <c r="AJ56" s="79">
        <v>0.0</v>
      </c>
      <c r="AK56" s="79">
        <v>84931.0</v>
      </c>
      <c r="AL56" s="79">
        <v>800.0</v>
      </c>
      <c r="AM56" s="79">
        <v>52750.0</v>
      </c>
      <c r="AN56" s="79">
        <v>8575.0</v>
      </c>
      <c r="AO56" s="79">
        <v>147056.0</v>
      </c>
      <c r="AP56" s="79">
        <v>0.0</v>
      </c>
      <c r="AQ56" s="79">
        <v>191209.0</v>
      </c>
      <c r="AR56" s="79" t="s">
        <v>489</v>
      </c>
      <c r="AS56" s="79">
        <v>12000.0</v>
      </c>
      <c r="AT56" s="79" t="s">
        <v>836</v>
      </c>
      <c r="AU56" s="79" t="s">
        <v>491</v>
      </c>
      <c r="AV56" s="79">
        <v>0.0</v>
      </c>
      <c r="AW56" s="79"/>
      <c r="AX56" s="79">
        <v>0.0</v>
      </c>
      <c r="AY56" s="79"/>
      <c r="AZ56" s="79">
        <v>0.0</v>
      </c>
      <c r="BA56" s="79"/>
      <c r="BB56" s="79">
        <v>0.0</v>
      </c>
      <c r="BC56" s="79"/>
      <c r="BD56" s="79">
        <v>0.0</v>
      </c>
      <c r="BE56" s="79"/>
      <c r="BF56" s="79">
        <v>0.0</v>
      </c>
      <c r="BG56" s="79"/>
      <c r="BH56" s="79">
        <v>0.0</v>
      </c>
      <c r="BI56" s="79" t="s">
        <v>493</v>
      </c>
      <c r="BJ56" s="79">
        <v>17650.0</v>
      </c>
      <c r="BK56" s="79" t="s">
        <v>494</v>
      </c>
      <c r="BL56" s="79">
        <v>32800.0</v>
      </c>
      <c r="BM56" s="79" t="s">
        <v>495</v>
      </c>
      <c r="BN56" s="79">
        <v>2300.0</v>
      </c>
      <c r="BO56" s="79" t="s">
        <v>496</v>
      </c>
      <c r="BP56" s="79">
        <v>0.0</v>
      </c>
      <c r="BQ56" s="79"/>
      <c r="BR56" s="79">
        <v>0.0</v>
      </c>
      <c r="BS56" s="79"/>
      <c r="BT56" s="79">
        <v>0.0</v>
      </c>
      <c r="BU56" s="79"/>
      <c r="BV56" s="79">
        <v>0.0</v>
      </c>
      <c r="BW56" s="79"/>
      <c r="BX56" s="79">
        <v>0.0</v>
      </c>
      <c r="BY56" s="79">
        <v>0.0</v>
      </c>
      <c r="BZ56" s="79" t="s">
        <v>491</v>
      </c>
      <c r="CA56" s="79">
        <v>800.0</v>
      </c>
      <c r="CB56" s="79" t="s">
        <v>836</v>
      </c>
      <c r="CC56" s="79"/>
      <c r="CD56" s="79">
        <v>0.0</v>
      </c>
      <c r="CE56" s="79"/>
      <c r="CF56" s="79">
        <v>0.0</v>
      </c>
      <c r="CG56" s="79"/>
      <c r="CH56" s="79">
        <v>0.0</v>
      </c>
      <c r="CI56" s="79"/>
      <c r="CJ56" s="79">
        <v>0.0</v>
      </c>
      <c r="CK56" s="79"/>
      <c r="CL56" s="79">
        <v>0.0</v>
      </c>
      <c r="CM56" s="79"/>
      <c r="CN56" s="79">
        <v>0.0</v>
      </c>
      <c r="CO56" s="79" t="s">
        <v>493</v>
      </c>
      <c r="CP56" s="79">
        <v>17650.0</v>
      </c>
      <c r="CQ56" s="79" t="s">
        <v>494</v>
      </c>
      <c r="CR56" s="79">
        <v>32800.0</v>
      </c>
      <c r="CS56" s="79" t="s">
        <v>495</v>
      </c>
      <c r="CT56" s="79">
        <v>2300.0</v>
      </c>
      <c r="CU56" s="79" t="s">
        <v>496</v>
      </c>
      <c r="CV56" s="79">
        <v>0.0</v>
      </c>
      <c r="CW56" s="79"/>
      <c r="CX56" s="79">
        <v>0.0</v>
      </c>
      <c r="CY56" s="79"/>
      <c r="CZ56" s="79">
        <v>0.0</v>
      </c>
      <c r="DA56" s="79"/>
      <c r="DB56" s="79">
        <v>0.0</v>
      </c>
      <c r="DC56" s="79"/>
      <c r="DD56" s="79">
        <v>0.0</v>
      </c>
      <c r="DE56" s="79">
        <v>132700.0</v>
      </c>
      <c r="DF56" s="79">
        <v>132240.0</v>
      </c>
      <c r="DG56" s="79">
        <v>0.0</v>
      </c>
      <c r="DH56" s="79">
        <v>0.0</v>
      </c>
      <c r="DI56" s="79">
        <v>84931.0</v>
      </c>
      <c r="DJ56" s="79" t="s">
        <v>847</v>
      </c>
      <c r="DK56" s="79" t="s">
        <v>486</v>
      </c>
      <c r="DL56" s="79" t="s">
        <v>487</v>
      </c>
      <c r="DM56" s="79" t="s">
        <v>848</v>
      </c>
      <c r="DN56" s="79"/>
      <c r="DO56" s="79" t="s">
        <v>849</v>
      </c>
      <c r="DP56" s="79"/>
      <c r="DQ56" s="79"/>
      <c r="DR56" s="79"/>
      <c r="DS56" s="79"/>
      <c r="DT56" s="82"/>
      <c r="DU56" s="79"/>
      <c r="DV56" s="82"/>
      <c r="DW56" s="79"/>
      <c r="DX56" s="79"/>
      <c r="DY56" s="79"/>
      <c r="DZ56" s="79"/>
      <c r="EA56" s="79"/>
      <c r="EB56" s="79"/>
      <c r="EC56" s="79"/>
      <c r="ED56" s="79"/>
      <c r="EE56" s="79"/>
      <c r="EF56" s="82"/>
      <c r="EG56" s="79"/>
      <c r="EH56" s="82"/>
      <c r="EI56" s="79"/>
      <c r="EJ56" s="82"/>
      <c r="EK56" s="79"/>
      <c r="EL56" s="82"/>
      <c r="EM56" s="79"/>
      <c r="EN56" s="79" t="s">
        <v>79</v>
      </c>
      <c r="EO56" s="79"/>
      <c r="EP56" s="80"/>
      <c r="EQ56" s="83"/>
      <c r="ER56" s="83" t="str">
        <f t="shared" si="3"/>
        <v/>
      </c>
      <c r="ES56" s="82"/>
      <c r="ET56" s="79" t="str">
        <f t="shared" si="4"/>
        <v/>
      </c>
      <c r="EU56" s="79"/>
      <c r="EV56" s="79"/>
      <c r="EW56" s="82"/>
      <c r="EX56" s="82"/>
      <c r="EY56" s="82"/>
      <c r="EZ56" s="82"/>
      <c r="FA56" s="82"/>
      <c r="FB56" s="82"/>
    </row>
    <row r="57" ht="15.75" customHeight="1">
      <c r="A57" s="79" t="s">
        <v>850</v>
      </c>
      <c r="B57" s="79" t="s">
        <v>591</v>
      </c>
      <c r="C57" s="79" t="s">
        <v>476</v>
      </c>
      <c r="D57" s="80">
        <v>46102.0</v>
      </c>
      <c r="E57" s="79" t="s">
        <v>851</v>
      </c>
      <c r="F57" s="79"/>
      <c r="G57" s="79" t="s">
        <v>852</v>
      </c>
      <c r="H57" s="79" t="s">
        <v>853</v>
      </c>
      <c r="I57" s="79" t="s">
        <v>621</v>
      </c>
      <c r="J57" s="79" t="s">
        <v>854</v>
      </c>
      <c r="K57" s="79">
        <v>3000.0</v>
      </c>
      <c r="L57" s="79" t="s">
        <v>623</v>
      </c>
      <c r="M57" s="79" t="s">
        <v>855</v>
      </c>
      <c r="N57" s="79"/>
      <c r="O57" s="79" t="s">
        <v>856</v>
      </c>
      <c r="P57" s="79" t="s">
        <v>857</v>
      </c>
      <c r="Q57" s="79" t="s">
        <v>858</v>
      </c>
      <c r="R57" s="80">
        <v>46830.0</v>
      </c>
      <c r="S57" s="79"/>
      <c r="T57" s="79">
        <v>66542.0</v>
      </c>
      <c r="U57" s="79"/>
      <c r="V57" s="79"/>
      <c r="W57" s="79"/>
      <c r="X57" s="79"/>
      <c r="Y57" s="79"/>
      <c r="Z57" s="79" t="s">
        <v>554</v>
      </c>
      <c r="AA57" s="79" t="s">
        <v>487</v>
      </c>
      <c r="AB57" s="79" t="s">
        <v>554</v>
      </c>
      <c r="AC57" s="79" t="s">
        <v>488</v>
      </c>
      <c r="AD57" s="79">
        <v>157350.0</v>
      </c>
      <c r="AE57" s="79">
        <v>11227.0</v>
      </c>
      <c r="AF57" s="79">
        <v>57750.0</v>
      </c>
      <c r="AG57" s="79">
        <v>16858.0</v>
      </c>
      <c r="AH57" s="81">
        <v>243185.0</v>
      </c>
      <c r="AI57" s="79"/>
      <c r="AJ57" s="79">
        <v>0.0</v>
      </c>
      <c r="AK57" s="79">
        <v>39994.0</v>
      </c>
      <c r="AL57" s="79">
        <v>0.0</v>
      </c>
      <c r="AM57" s="79">
        <v>57750.0</v>
      </c>
      <c r="AN57" s="79">
        <v>4000.0</v>
      </c>
      <c r="AO57" s="79">
        <v>101744.0</v>
      </c>
      <c r="AP57" s="79">
        <v>0.0</v>
      </c>
      <c r="AQ57" s="79">
        <v>128583.0</v>
      </c>
      <c r="AR57" s="79" t="s">
        <v>556</v>
      </c>
      <c r="AS57" s="79">
        <v>10000.0</v>
      </c>
      <c r="AT57" s="79" t="s">
        <v>836</v>
      </c>
      <c r="AU57" s="79" t="s">
        <v>491</v>
      </c>
      <c r="AV57" s="79">
        <v>1227.0</v>
      </c>
      <c r="AW57" s="79"/>
      <c r="AX57" s="79">
        <v>0.0</v>
      </c>
      <c r="AY57" s="79"/>
      <c r="AZ57" s="79">
        <v>0.0</v>
      </c>
      <c r="BA57" s="79"/>
      <c r="BB57" s="79">
        <v>0.0</v>
      </c>
      <c r="BC57" s="79"/>
      <c r="BD57" s="79">
        <v>0.0</v>
      </c>
      <c r="BE57" s="79"/>
      <c r="BF57" s="79">
        <v>0.0</v>
      </c>
      <c r="BG57" s="79"/>
      <c r="BH57" s="79">
        <v>0.0</v>
      </c>
      <c r="BI57" s="79" t="s">
        <v>493</v>
      </c>
      <c r="BJ57" s="79">
        <v>17650.0</v>
      </c>
      <c r="BK57" s="79" t="s">
        <v>494</v>
      </c>
      <c r="BL57" s="79">
        <v>37800.0</v>
      </c>
      <c r="BM57" s="79" t="s">
        <v>495</v>
      </c>
      <c r="BN57" s="79">
        <v>2300.0</v>
      </c>
      <c r="BO57" s="79"/>
      <c r="BP57" s="79">
        <v>0.0</v>
      </c>
      <c r="BQ57" s="79"/>
      <c r="BR57" s="79">
        <v>0.0</v>
      </c>
      <c r="BS57" s="79"/>
      <c r="BT57" s="79">
        <v>0.0</v>
      </c>
      <c r="BU57" s="79"/>
      <c r="BV57" s="79">
        <v>0.0</v>
      </c>
      <c r="BW57" s="79"/>
      <c r="BX57" s="79">
        <v>0.0</v>
      </c>
      <c r="BY57" s="79">
        <v>0.0</v>
      </c>
      <c r="BZ57" s="79" t="s">
        <v>491</v>
      </c>
      <c r="CA57" s="79">
        <v>0.0</v>
      </c>
      <c r="CB57" s="79" t="s">
        <v>836</v>
      </c>
      <c r="CC57" s="79"/>
      <c r="CD57" s="79">
        <v>0.0</v>
      </c>
      <c r="CE57" s="79"/>
      <c r="CF57" s="79">
        <v>0.0</v>
      </c>
      <c r="CG57" s="79"/>
      <c r="CH57" s="79">
        <v>0.0</v>
      </c>
      <c r="CI57" s="79"/>
      <c r="CJ57" s="79">
        <v>0.0</v>
      </c>
      <c r="CK57" s="79"/>
      <c r="CL57" s="79">
        <v>0.0</v>
      </c>
      <c r="CM57" s="79"/>
      <c r="CN57" s="79">
        <v>0.0</v>
      </c>
      <c r="CO57" s="79" t="s">
        <v>493</v>
      </c>
      <c r="CP57" s="79">
        <v>17650.0</v>
      </c>
      <c r="CQ57" s="79" t="s">
        <v>494</v>
      </c>
      <c r="CR57" s="79">
        <v>37800.0</v>
      </c>
      <c r="CS57" s="79" t="s">
        <v>495</v>
      </c>
      <c r="CT57" s="79">
        <v>2300.0</v>
      </c>
      <c r="CU57" s="79"/>
      <c r="CV57" s="79">
        <v>0.0</v>
      </c>
      <c r="CW57" s="79"/>
      <c r="CX57" s="79">
        <v>0.0</v>
      </c>
      <c r="CY57" s="79"/>
      <c r="CZ57" s="79">
        <v>0.0</v>
      </c>
      <c r="DA57" s="79"/>
      <c r="DB57" s="79">
        <v>0.0</v>
      </c>
      <c r="DC57" s="79"/>
      <c r="DD57" s="79">
        <v>0.0</v>
      </c>
      <c r="DE57" s="79">
        <v>79000.0</v>
      </c>
      <c r="DF57" s="79">
        <v>78350.0</v>
      </c>
      <c r="DG57" s="79">
        <v>0.0</v>
      </c>
      <c r="DH57" s="79">
        <v>0.0</v>
      </c>
      <c r="DI57" s="79">
        <v>39994.0</v>
      </c>
      <c r="DJ57" s="79" t="s">
        <v>859</v>
      </c>
      <c r="DK57" s="79" t="s">
        <v>554</v>
      </c>
      <c r="DL57" s="79" t="s">
        <v>487</v>
      </c>
      <c r="DM57" s="79" t="s">
        <v>860</v>
      </c>
      <c r="DN57" s="79" t="s">
        <v>861</v>
      </c>
      <c r="DO57" s="79" t="s">
        <v>862</v>
      </c>
      <c r="DP57" s="79"/>
      <c r="DQ57" s="79"/>
      <c r="DR57" s="79"/>
      <c r="DS57" s="79"/>
      <c r="DT57" s="82"/>
      <c r="DU57" s="79"/>
      <c r="DV57" s="82"/>
      <c r="DW57" s="79"/>
      <c r="DX57" s="79"/>
      <c r="DY57" s="79"/>
      <c r="DZ57" s="79"/>
      <c r="EA57" s="79"/>
      <c r="EB57" s="79"/>
      <c r="EC57" s="79"/>
      <c r="ED57" s="79"/>
      <c r="EE57" s="79"/>
      <c r="EF57" s="82"/>
      <c r="EG57" s="79"/>
      <c r="EH57" s="82"/>
      <c r="EI57" s="79"/>
      <c r="EJ57" s="82"/>
      <c r="EK57" s="79"/>
      <c r="EL57" s="82"/>
      <c r="EM57" s="79"/>
      <c r="EN57" s="79" t="s">
        <v>79</v>
      </c>
      <c r="EO57" s="79"/>
      <c r="EP57" s="80"/>
      <c r="EQ57" s="83"/>
      <c r="ER57" s="83" t="str">
        <f t="shared" si="3"/>
        <v/>
      </c>
      <c r="ES57" s="79"/>
      <c r="ET57" s="79" t="str">
        <f t="shared" si="4"/>
        <v/>
      </c>
      <c r="EU57" s="79"/>
      <c r="EV57" s="79"/>
      <c r="EW57" s="82"/>
      <c r="EX57" s="82"/>
      <c r="EY57" s="82"/>
      <c r="EZ57" s="82"/>
      <c r="FA57" s="82"/>
      <c r="FB57" s="82"/>
    </row>
    <row r="58" ht="15.75" customHeight="1">
      <c r="A58" s="79" t="s">
        <v>863</v>
      </c>
      <c r="B58" s="79" t="s">
        <v>591</v>
      </c>
      <c r="C58" s="79" t="s">
        <v>476</v>
      </c>
      <c r="D58" s="80">
        <v>46102.0</v>
      </c>
      <c r="E58" s="79" t="s">
        <v>864</v>
      </c>
      <c r="F58" s="79"/>
      <c r="G58" s="79" t="s">
        <v>865</v>
      </c>
      <c r="H58" s="79" t="s">
        <v>866</v>
      </c>
      <c r="I58" s="79" t="s">
        <v>737</v>
      </c>
      <c r="J58" s="79" t="s">
        <v>867</v>
      </c>
      <c r="K58" s="79">
        <v>1190.0</v>
      </c>
      <c r="L58" s="79" t="s">
        <v>821</v>
      </c>
      <c r="M58" s="79" t="s">
        <v>868</v>
      </c>
      <c r="N58" s="79" t="s">
        <v>869</v>
      </c>
      <c r="O58" s="79" t="s">
        <v>484</v>
      </c>
      <c r="P58" s="79"/>
      <c r="Q58" s="79" t="s">
        <v>870</v>
      </c>
      <c r="R58" s="80">
        <v>46110.0</v>
      </c>
      <c r="S58" s="79"/>
      <c r="T58" s="79">
        <v>80121.0</v>
      </c>
      <c r="U58" s="79" t="s">
        <v>871</v>
      </c>
      <c r="V58" s="79"/>
      <c r="W58" s="80">
        <v>46090.0</v>
      </c>
      <c r="X58" s="79"/>
      <c r="Y58" s="79"/>
      <c r="Z58" s="79" t="s">
        <v>524</v>
      </c>
      <c r="AA58" s="79" t="s">
        <v>487</v>
      </c>
      <c r="AB58" s="79" t="s">
        <v>524</v>
      </c>
      <c r="AC58" s="79" t="s">
        <v>488</v>
      </c>
      <c r="AD58" s="79">
        <v>91230.0</v>
      </c>
      <c r="AE58" s="79">
        <v>11227.0</v>
      </c>
      <c r="AF58" s="79">
        <v>44450.0</v>
      </c>
      <c r="AG58" s="79">
        <v>10246.0</v>
      </c>
      <c r="AH58" s="81">
        <v>157153.0</v>
      </c>
      <c r="AI58" s="79"/>
      <c r="AJ58" s="79">
        <v>0.0</v>
      </c>
      <c r="AK58" s="79">
        <v>14112.0</v>
      </c>
      <c r="AL58" s="79">
        <v>800.0</v>
      </c>
      <c r="AM58" s="79">
        <v>44450.0</v>
      </c>
      <c r="AN58" s="79">
        <v>1492.0</v>
      </c>
      <c r="AO58" s="79">
        <v>60854.0</v>
      </c>
      <c r="AP58" s="79">
        <v>0.0</v>
      </c>
      <c r="AQ58" s="79">
        <v>87545.0</v>
      </c>
      <c r="AR58" s="79" t="s">
        <v>525</v>
      </c>
      <c r="AS58" s="79">
        <v>10000.0</v>
      </c>
      <c r="AT58" s="79" t="s">
        <v>836</v>
      </c>
      <c r="AU58" s="79" t="s">
        <v>491</v>
      </c>
      <c r="AV58" s="79">
        <v>1227.0</v>
      </c>
      <c r="AW58" s="79" t="s">
        <v>492</v>
      </c>
      <c r="AX58" s="79">
        <v>0.0</v>
      </c>
      <c r="AY58" s="79"/>
      <c r="AZ58" s="79">
        <v>0.0</v>
      </c>
      <c r="BA58" s="79"/>
      <c r="BB58" s="79">
        <v>0.0</v>
      </c>
      <c r="BC58" s="79"/>
      <c r="BD58" s="79">
        <v>0.0</v>
      </c>
      <c r="BE58" s="79"/>
      <c r="BF58" s="79">
        <v>0.0</v>
      </c>
      <c r="BG58" s="79"/>
      <c r="BH58" s="79">
        <v>0.0</v>
      </c>
      <c r="BI58" s="79" t="s">
        <v>493</v>
      </c>
      <c r="BJ58" s="79">
        <v>17650.0</v>
      </c>
      <c r="BK58" s="79" t="s">
        <v>494</v>
      </c>
      <c r="BL58" s="79">
        <v>24600.0</v>
      </c>
      <c r="BM58" s="79" t="s">
        <v>495</v>
      </c>
      <c r="BN58" s="79">
        <v>2200.0</v>
      </c>
      <c r="BO58" s="79" t="s">
        <v>496</v>
      </c>
      <c r="BP58" s="79">
        <v>0.0</v>
      </c>
      <c r="BQ58" s="79"/>
      <c r="BR58" s="79">
        <v>0.0</v>
      </c>
      <c r="BS58" s="79"/>
      <c r="BT58" s="79">
        <v>0.0</v>
      </c>
      <c r="BU58" s="79"/>
      <c r="BV58" s="79">
        <v>0.0</v>
      </c>
      <c r="BW58" s="79"/>
      <c r="BX58" s="79">
        <v>0.0</v>
      </c>
      <c r="BY58" s="79">
        <v>0.0</v>
      </c>
      <c r="BZ58" s="79" t="s">
        <v>491</v>
      </c>
      <c r="CA58" s="79">
        <v>800.0</v>
      </c>
      <c r="CB58" s="79" t="s">
        <v>836</v>
      </c>
      <c r="CC58" s="79" t="s">
        <v>492</v>
      </c>
      <c r="CD58" s="79">
        <v>0.0</v>
      </c>
      <c r="CE58" s="79"/>
      <c r="CF58" s="79">
        <v>0.0</v>
      </c>
      <c r="CG58" s="79"/>
      <c r="CH58" s="79">
        <v>0.0</v>
      </c>
      <c r="CI58" s="79"/>
      <c r="CJ58" s="79">
        <v>0.0</v>
      </c>
      <c r="CK58" s="79"/>
      <c r="CL58" s="79">
        <v>0.0</v>
      </c>
      <c r="CM58" s="79"/>
      <c r="CN58" s="79">
        <v>0.0</v>
      </c>
      <c r="CO58" s="79" t="s">
        <v>493</v>
      </c>
      <c r="CP58" s="79">
        <v>17650.0</v>
      </c>
      <c r="CQ58" s="79" t="s">
        <v>494</v>
      </c>
      <c r="CR58" s="79">
        <v>24600.0</v>
      </c>
      <c r="CS58" s="79" t="s">
        <v>495</v>
      </c>
      <c r="CT58" s="79">
        <v>2200.0</v>
      </c>
      <c r="CU58" s="79" t="s">
        <v>496</v>
      </c>
      <c r="CV58" s="79">
        <v>0.0</v>
      </c>
      <c r="CW58" s="79"/>
      <c r="CX58" s="79">
        <v>0.0</v>
      </c>
      <c r="CY58" s="79"/>
      <c r="CZ58" s="79">
        <v>0.0</v>
      </c>
      <c r="DA58" s="79"/>
      <c r="DB58" s="79">
        <v>0.0</v>
      </c>
      <c r="DC58" s="79"/>
      <c r="DD58" s="79">
        <v>0.0</v>
      </c>
      <c r="DE58" s="79">
        <v>46500.0</v>
      </c>
      <c r="DF58" s="79">
        <v>44730.0</v>
      </c>
      <c r="DG58" s="79">
        <v>0.0</v>
      </c>
      <c r="DH58" s="79">
        <v>0.0</v>
      </c>
      <c r="DI58" s="79">
        <v>14112.0</v>
      </c>
      <c r="DJ58" s="79" t="s">
        <v>872</v>
      </c>
      <c r="DK58" s="79" t="s">
        <v>524</v>
      </c>
      <c r="DL58" s="79" t="s">
        <v>487</v>
      </c>
      <c r="DM58" s="79" t="s">
        <v>873</v>
      </c>
      <c r="DN58" s="79" t="s">
        <v>874</v>
      </c>
      <c r="DO58" s="79" t="s">
        <v>875</v>
      </c>
      <c r="DP58" s="79"/>
      <c r="DQ58" s="79"/>
      <c r="DR58" s="79"/>
      <c r="DS58" s="79"/>
      <c r="DT58" s="82"/>
      <c r="DU58" s="79"/>
      <c r="DV58" s="82"/>
      <c r="DW58" s="79"/>
      <c r="DX58" s="79"/>
      <c r="DY58" s="79"/>
      <c r="DZ58" s="79"/>
      <c r="EA58" s="79"/>
      <c r="EB58" s="79"/>
      <c r="EC58" s="79"/>
      <c r="ED58" s="79"/>
      <c r="EE58" s="79"/>
      <c r="EF58" s="82"/>
      <c r="EG58" s="79"/>
      <c r="EH58" s="82"/>
      <c r="EI58" s="79"/>
      <c r="EJ58" s="82"/>
      <c r="EK58" s="79"/>
      <c r="EL58" s="82"/>
      <c r="EM58" s="79"/>
      <c r="EN58" s="79" t="s">
        <v>79</v>
      </c>
      <c r="EO58" s="79"/>
      <c r="EP58" s="80"/>
      <c r="EQ58" s="83"/>
      <c r="ER58" s="83" t="str">
        <f t="shared" si="3"/>
        <v/>
      </c>
      <c r="ES58" s="79"/>
      <c r="ET58" s="79" t="str">
        <f t="shared" si="4"/>
        <v/>
      </c>
      <c r="EU58" s="79"/>
      <c r="EV58" s="79"/>
      <c r="EW58" s="82"/>
      <c r="EX58" s="82"/>
      <c r="EY58" s="82"/>
      <c r="EZ58" s="82"/>
      <c r="FA58" s="82"/>
      <c r="FB58" s="82"/>
    </row>
    <row r="59" ht="15.75" customHeight="1">
      <c r="A59" s="79" t="s">
        <v>876</v>
      </c>
      <c r="B59" s="79" t="s">
        <v>475</v>
      </c>
      <c r="C59" s="79" t="s">
        <v>476</v>
      </c>
      <c r="D59" s="80">
        <v>46102.0</v>
      </c>
      <c r="E59" s="79" t="s">
        <v>669</v>
      </c>
      <c r="F59" s="79"/>
      <c r="G59" s="79" t="s">
        <v>569</v>
      </c>
      <c r="H59" s="79" t="s">
        <v>534</v>
      </c>
      <c r="I59" s="79"/>
      <c r="J59" s="79" t="s">
        <v>670</v>
      </c>
      <c r="K59" s="79">
        <v>0.0</v>
      </c>
      <c r="L59" s="79"/>
      <c r="M59" s="79" t="s">
        <v>671</v>
      </c>
      <c r="N59" s="79"/>
      <c r="O59" s="79"/>
      <c r="P59" s="79"/>
      <c r="Q59" s="79"/>
      <c r="R59" s="80">
        <v>46842.0</v>
      </c>
      <c r="S59" s="79"/>
      <c r="T59" s="79">
        <v>7240.0</v>
      </c>
      <c r="U59" s="79"/>
      <c r="V59" s="79"/>
      <c r="W59" s="80">
        <v>46090.0</v>
      </c>
      <c r="X59" s="79"/>
      <c r="Y59" s="80">
        <v>46097.0</v>
      </c>
      <c r="Z59" s="79" t="s">
        <v>486</v>
      </c>
      <c r="AA59" s="79" t="s">
        <v>555</v>
      </c>
      <c r="AB59" s="79" t="s">
        <v>486</v>
      </c>
      <c r="AC59" s="79" t="s">
        <v>488</v>
      </c>
      <c r="AD59" s="79">
        <v>140000.0</v>
      </c>
      <c r="AE59" s="79">
        <v>0.0</v>
      </c>
      <c r="AF59" s="79">
        <v>0.0</v>
      </c>
      <c r="AG59" s="79">
        <v>14000.0</v>
      </c>
      <c r="AH59" s="81">
        <v>154000.0</v>
      </c>
      <c r="AI59" s="79"/>
      <c r="AJ59" s="79">
        <v>0.0</v>
      </c>
      <c r="AK59" s="79">
        <v>70000.0</v>
      </c>
      <c r="AL59" s="79">
        <v>0.0</v>
      </c>
      <c r="AM59" s="79">
        <v>0.0</v>
      </c>
      <c r="AN59" s="79">
        <v>7000.0</v>
      </c>
      <c r="AO59" s="79">
        <v>77000.0</v>
      </c>
      <c r="AP59" s="79">
        <v>0.0</v>
      </c>
      <c r="AQ59" s="79">
        <v>70000.0</v>
      </c>
      <c r="AR59" s="79" t="s">
        <v>489</v>
      </c>
      <c r="AS59" s="79">
        <v>0.0</v>
      </c>
      <c r="AT59" s="79" t="s">
        <v>507</v>
      </c>
      <c r="AU59" s="79" t="s">
        <v>491</v>
      </c>
      <c r="AV59" s="79">
        <v>0.0</v>
      </c>
      <c r="AW59" s="79" t="s">
        <v>508</v>
      </c>
      <c r="AX59" s="79">
        <v>0.0</v>
      </c>
      <c r="AY59" s="79"/>
      <c r="AZ59" s="79">
        <v>0.0</v>
      </c>
      <c r="BA59" s="79"/>
      <c r="BB59" s="79">
        <v>0.0</v>
      </c>
      <c r="BC59" s="79"/>
      <c r="BD59" s="79">
        <v>0.0</v>
      </c>
      <c r="BE59" s="79"/>
      <c r="BF59" s="79">
        <v>0.0</v>
      </c>
      <c r="BG59" s="79"/>
      <c r="BH59" s="79">
        <v>0.0</v>
      </c>
      <c r="BI59" s="79" t="s">
        <v>493</v>
      </c>
      <c r="BJ59" s="79">
        <v>0.0</v>
      </c>
      <c r="BK59" s="79" t="s">
        <v>494</v>
      </c>
      <c r="BL59" s="79">
        <v>0.0</v>
      </c>
      <c r="BM59" s="79" t="s">
        <v>495</v>
      </c>
      <c r="BN59" s="79">
        <v>0.0</v>
      </c>
      <c r="BO59" s="79" t="s">
        <v>496</v>
      </c>
      <c r="BP59" s="79">
        <v>0.0</v>
      </c>
      <c r="BQ59" s="79"/>
      <c r="BR59" s="79">
        <v>0.0</v>
      </c>
      <c r="BS59" s="79"/>
      <c r="BT59" s="79">
        <v>0.0</v>
      </c>
      <c r="BU59" s="79"/>
      <c r="BV59" s="79">
        <v>0.0</v>
      </c>
      <c r="BW59" s="79"/>
      <c r="BX59" s="79">
        <v>0.0</v>
      </c>
      <c r="BY59" s="79">
        <v>0.0</v>
      </c>
      <c r="BZ59" s="79" t="s">
        <v>491</v>
      </c>
      <c r="CA59" s="79">
        <v>0.0</v>
      </c>
      <c r="CB59" s="79" t="s">
        <v>507</v>
      </c>
      <c r="CC59" s="79" t="s">
        <v>508</v>
      </c>
      <c r="CD59" s="79">
        <v>0.0</v>
      </c>
      <c r="CE59" s="79"/>
      <c r="CF59" s="79">
        <v>0.0</v>
      </c>
      <c r="CG59" s="79"/>
      <c r="CH59" s="79">
        <v>0.0</v>
      </c>
      <c r="CI59" s="79"/>
      <c r="CJ59" s="79">
        <v>0.0</v>
      </c>
      <c r="CK59" s="79"/>
      <c r="CL59" s="79">
        <v>0.0</v>
      </c>
      <c r="CM59" s="79"/>
      <c r="CN59" s="79">
        <v>0.0</v>
      </c>
      <c r="CO59" s="79" t="s">
        <v>493</v>
      </c>
      <c r="CP59" s="79">
        <v>0.0</v>
      </c>
      <c r="CQ59" s="79" t="s">
        <v>494</v>
      </c>
      <c r="CR59" s="79">
        <v>0.0</v>
      </c>
      <c r="CS59" s="79" t="s">
        <v>495</v>
      </c>
      <c r="CT59" s="79">
        <v>0.0</v>
      </c>
      <c r="CU59" s="79" t="s">
        <v>496</v>
      </c>
      <c r="CV59" s="79">
        <v>0.0</v>
      </c>
      <c r="CW59" s="79"/>
      <c r="CX59" s="79">
        <v>0.0</v>
      </c>
      <c r="CY59" s="79"/>
      <c r="CZ59" s="79">
        <v>0.0</v>
      </c>
      <c r="DA59" s="79"/>
      <c r="DB59" s="79">
        <v>0.0</v>
      </c>
      <c r="DC59" s="79"/>
      <c r="DD59" s="79">
        <v>0.0</v>
      </c>
      <c r="DE59" s="79">
        <v>140000.0</v>
      </c>
      <c r="DF59" s="79">
        <v>0.0</v>
      </c>
      <c r="DG59" s="79">
        <v>0.0</v>
      </c>
      <c r="DH59" s="79">
        <v>70000.0</v>
      </c>
      <c r="DI59" s="79">
        <v>0.0</v>
      </c>
      <c r="DJ59" s="79" t="s">
        <v>672</v>
      </c>
      <c r="DK59" s="79" t="s">
        <v>486</v>
      </c>
      <c r="DL59" s="79" t="s">
        <v>555</v>
      </c>
      <c r="DM59" s="79" t="s">
        <v>673</v>
      </c>
      <c r="DN59" s="79" t="s">
        <v>674</v>
      </c>
      <c r="DO59" s="79" t="s">
        <v>675</v>
      </c>
      <c r="DP59" s="79"/>
      <c r="DQ59" s="79"/>
      <c r="DR59" s="79"/>
      <c r="DS59" s="79"/>
      <c r="DT59" s="82"/>
      <c r="DU59" s="79"/>
      <c r="DV59" s="82"/>
      <c r="DW59" s="79"/>
      <c r="DX59" s="79"/>
      <c r="DY59" s="79"/>
      <c r="DZ59" s="79"/>
      <c r="EA59" s="79"/>
      <c r="EB59" s="79"/>
      <c r="EC59" s="79"/>
      <c r="ED59" s="79"/>
      <c r="EE59" s="79"/>
      <c r="EF59" s="82"/>
      <c r="EG59" s="79"/>
      <c r="EH59" s="82"/>
      <c r="EI59" s="79"/>
      <c r="EJ59" s="82"/>
      <c r="EK59" s="79"/>
      <c r="EL59" s="82"/>
      <c r="EM59" s="79"/>
      <c r="EN59" s="79" t="s">
        <v>79</v>
      </c>
      <c r="EO59" s="79"/>
      <c r="EP59" s="80"/>
      <c r="EQ59" s="83"/>
      <c r="ER59" s="83" t="str">
        <f t="shared" si="3"/>
        <v/>
      </c>
      <c r="ES59" s="82"/>
      <c r="ET59" s="79" t="str">
        <f t="shared" si="4"/>
        <v/>
      </c>
      <c r="EU59" s="79"/>
      <c r="EV59" s="79"/>
      <c r="EW59" s="82"/>
      <c r="EX59" s="82"/>
      <c r="EY59" s="82"/>
      <c r="EZ59" s="79"/>
      <c r="FA59" s="79"/>
      <c r="FB59" s="79"/>
    </row>
    <row r="60" ht="15.75" customHeight="1">
      <c r="A60" s="79" t="s">
        <v>877</v>
      </c>
      <c r="B60" s="79" t="s">
        <v>515</v>
      </c>
      <c r="C60" s="79" t="s">
        <v>476</v>
      </c>
      <c r="D60" s="80">
        <v>46102.0</v>
      </c>
      <c r="E60" s="79" t="s">
        <v>878</v>
      </c>
      <c r="F60" s="79" t="s">
        <v>568</v>
      </c>
      <c r="G60" s="79" t="s">
        <v>879</v>
      </c>
      <c r="H60" s="79" t="s">
        <v>880</v>
      </c>
      <c r="I60" s="79"/>
      <c r="J60" s="79" t="s">
        <v>881</v>
      </c>
      <c r="K60" s="79">
        <v>0.0</v>
      </c>
      <c r="L60" s="79"/>
      <c r="M60" s="79" t="s">
        <v>882</v>
      </c>
      <c r="N60" s="79"/>
      <c r="O60" s="79"/>
      <c r="P60" s="79"/>
      <c r="Q60" s="79"/>
      <c r="R60" s="80">
        <v>46494.0</v>
      </c>
      <c r="S60" s="79"/>
      <c r="T60" s="79">
        <v>3433.0</v>
      </c>
      <c r="U60" s="79"/>
      <c r="V60" s="79"/>
      <c r="W60" s="80">
        <v>46102.0</v>
      </c>
      <c r="X60" s="79"/>
      <c r="Y60" s="80">
        <v>46102.0</v>
      </c>
      <c r="Z60" s="79" t="s">
        <v>486</v>
      </c>
      <c r="AA60" s="79" t="s">
        <v>537</v>
      </c>
      <c r="AB60" s="79" t="s">
        <v>486</v>
      </c>
      <c r="AC60" s="79" t="s">
        <v>488</v>
      </c>
      <c r="AD60" s="79">
        <v>47065.0</v>
      </c>
      <c r="AE60" s="79">
        <v>0.0</v>
      </c>
      <c r="AF60" s="79">
        <v>0.0</v>
      </c>
      <c r="AG60" s="79">
        <v>4707.0</v>
      </c>
      <c r="AH60" s="81">
        <v>51772.0</v>
      </c>
      <c r="AI60" s="79"/>
      <c r="AJ60" s="79">
        <v>0.0</v>
      </c>
      <c r="AK60" s="79">
        <v>10045.0</v>
      </c>
      <c r="AL60" s="79">
        <v>0.0</v>
      </c>
      <c r="AM60" s="79">
        <v>0.0</v>
      </c>
      <c r="AN60" s="79">
        <v>1005.0</v>
      </c>
      <c r="AO60" s="79">
        <v>11050.0</v>
      </c>
      <c r="AP60" s="79">
        <v>0.0</v>
      </c>
      <c r="AQ60" s="79">
        <v>37020.0</v>
      </c>
      <c r="AR60" s="79" t="s">
        <v>489</v>
      </c>
      <c r="AS60" s="79">
        <v>0.0</v>
      </c>
      <c r="AT60" s="79" t="s">
        <v>507</v>
      </c>
      <c r="AU60" s="79" t="s">
        <v>491</v>
      </c>
      <c r="AV60" s="79">
        <v>0.0</v>
      </c>
      <c r="AW60" s="79" t="s">
        <v>508</v>
      </c>
      <c r="AX60" s="79">
        <v>0.0</v>
      </c>
      <c r="AY60" s="79"/>
      <c r="AZ60" s="79">
        <v>0.0</v>
      </c>
      <c r="BA60" s="79"/>
      <c r="BB60" s="79">
        <v>0.0</v>
      </c>
      <c r="BC60" s="79"/>
      <c r="BD60" s="79">
        <v>0.0</v>
      </c>
      <c r="BE60" s="79"/>
      <c r="BF60" s="79">
        <v>0.0</v>
      </c>
      <c r="BG60" s="79"/>
      <c r="BH60" s="79">
        <v>0.0</v>
      </c>
      <c r="BI60" s="79" t="s">
        <v>493</v>
      </c>
      <c r="BJ60" s="79">
        <v>0.0</v>
      </c>
      <c r="BK60" s="79" t="s">
        <v>494</v>
      </c>
      <c r="BL60" s="79">
        <v>0.0</v>
      </c>
      <c r="BM60" s="79" t="s">
        <v>495</v>
      </c>
      <c r="BN60" s="79">
        <v>0.0</v>
      </c>
      <c r="BO60" s="79" t="s">
        <v>496</v>
      </c>
      <c r="BP60" s="79">
        <v>0.0</v>
      </c>
      <c r="BQ60" s="79"/>
      <c r="BR60" s="79">
        <v>0.0</v>
      </c>
      <c r="BS60" s="79"/>
      <c r="BT60" s="79">
        <v>0.0</v>
      </c>
      <c r="BU60" s="79"/>
      <c r="BV60" s="79">
        <v>0.0</v>
      </c>
      <c r="BW60" s="79"/>
      <c r="BX60" s="79">
        <v>0.0</v>
      </c>
      <c r="BY60" s="79">
        <v>0.0</v>
      </c>
      <c r="BZ60" s="79" t="s">
        <v>491</v>
      </c>
      <c r="CA60" s="79">
        <v>0.0</v>
      </c>
      <c r="CB60" s="79" t="s">
        <v>507</v>
      </c>
      <c r="CC60" s="79" t="s">
        <v>508</v>
      </c>
      <c r="CD60" s="79">
        <v>0.0</v>
      </c>
      <c r="CE60" s="79"/>
      <c r="CF60" s="79">
        <v>0.0</v>
      </c>
      <c r="CG60" s="79"/>
      <c r="CH60" s="79">
        <v>0.0</v>
      </c>
      <c r="CI60" s="79"/>
      <c r="CJ60" s="79">
        <v>0.0</v>
      </c>
      <c r="CK60" s="79"/>
      <c r="CL60" s="79">
        <v>0.0</v>
      </c>
      <c r="CM60" s="79"/>
      <c r="CN60" s="79">
        <v>0.0</v>
      </c>
      <c r="CO60" s="79" t="s">
        <v>493</v>
      </c>
      <c r="CP60" s="79">
        <v>0.0</v>
      </c>
      <c r="CQ60" s="79" t="s">
        <v>494</v>
      </c>
      <c r="CR60" s="79">
        <v>0.0</v>
      </c>
      <c r="CS60" s="79" t="s">
        <v>495</v>
      </c>
      <c r="CT60" s="79">
        <v>0.0</v>
      </c>
      <c r="CU60" s="79" t="s">
        <v>496</v>
      </c>
      <c r="CV60" s="79">
        <v>0.0</v>
      </c>
      <c r="CW60" s="79"/>
      <c r="CX60" s="79">
        <v>0.0</v>
      </c>
      <c r="CY60" s="79"/>
      <c r="CZ60" s="79">
        <v>0.0</v>
      </c>
      <c r="DA60" s="79"/>
      <c r="DB60" s="79">
        <v>0.0</v>
      </c>
      <c r="DC60" s="79"/>
      <c r="DD60" s="79">
        <v>0.0</v>
      </c>
      <c r="DE60" s="79">
        <v>27265.0</v>
      </c>
      <c r="DF60" s="79">
        <v>19800.0</v>
      </c>
      <c r="DG60" s="79">
        <v>0.0</v>
      </c>
      <c r="DH60" s="79">
        <v>0.0</v>
      </c>
      <c r="DI60" s="79">
        <v>10045.0</v>
      </c>
      <c r="DJ60" s="79" t="s">
        <v>883</v>
      </c>
      <c r="DK60" s="79" t="s">
        <v>486</v>
      </c>
      <c r="DL60" s="79" t="s">
        <v>537</v>
      </c>
      <c r="DM60" s="79" t="s">
        <v>884</v>
      </c>
      <c r="DN60" s="79"/>
      <c r="DO60" s="79" t="s">
        <v>885</v>
      </c>
      <c r="DP60" s="79"/>
      <c r="DQ60" s="79"/>
      <c r="DR60" s="79"/>
      <c r="DS60" s="79"/>
      <c r="DT60" s="82"/>
      <c r="DU60" s="79"/>
      <c r="DV60" s="82"/>
      <c r="DW60" s="79"/>
      <c r="DX60" s="79"/>
      <c r="DY60" s="79"/>
      <c r="DZ60" s="79"/>
      <c r="EA60" s="79"/>
      <c r="EB60" s="79"/>
      <c r="EC60" s="79"/>
      <c r="ED60" s="79"/>
      <c r="EE60" s="79"/>
      <c r="EF60" s="82"/>
      <c r="EG60" s="79"/>
      <c r="EH60" s="82"/>
      <c r="EI60" s="79"/>
      <c r="EJ60" s="82"/>
      <c r="EK60" s="79"/>
      <c r="EL60" s="82"/>
      <c r="EM60" s="79"/>
      <c r="EN60" s="79" t="s">
        <v>79</v>
      </c>
      <c r="EO60" s="79"/>
      <c r="EP60" s="80"/>
      <c r="EQ60" s="83"/>
      <c r="ER60" s="83" t="str">
        <f t="shared" si="3"/>
        <v/>
      </c>
      <c r="ES60" s="82"/>
      <c r="ET60" s="79" t="str">
        <f t="shared" si="4"/>
        <v/>
      </c>
      <c r="EU60" s="79"/>
      <c r="EV60" s="79"/>
      <c r="EW60" s="82"/>
      <c r="EX60" s="82"/>
      <c r="EY60" s="82"/>
      <c r="EZ60" s="79"/>
      <c r="FA60" s="79"/>
      <c r="FB60" s="79"/>
    </row>
    <row r="61" ht="15.75" customHeight="1">
      <c r="A61" s="79" t="s">
        <v>886</v>
      </c>
      <c r="B61" s="79" t="s">
        <v>515</v>
      </c>
      <c r="C61" s="79" t="s">
        <v>476</v>
      </c>
      <c r="D61" s="80">
        <v>46102.0</v>
      </c>
      <c r="E61" s="79" t="s">
        <v>878</v>
      </c>
      <c r="F61" s="79" t="s">
        <v>568</v>
      </c>
      <c r="G61" s="79" t="s">
        <v>879</v>
      </c>
      <c r="H61" s="79" t="s">
        <v>880</v>
      </c>
      <c r="I61" s="79"/>
      <c r="J61" s="79" t="s">
        <v>881</v>
      </c>
      <c r="K61" s="79">
        <v>0.0</v>
      </c>
      <c r="L61" s="79"/>
      <c r="M61" s="79" t="s">
        <v>882</v>
      </c>
      <c r="N61" s="79"/>
      <c r="O61" s="79"/>
      <c r="P61" s="79"/>
      <c r="Q61" s="79"/>
      <c r="R61" s="80">
        <v>46494.0</v>
      </c>
      <c r="S61" s="79"/>
      <c r="T61" s="79">
        <v>3433.0</v>
      </c>
      <c r="U61" s="79"/>
      <c r="V61" s="79"/>
      <c r="W61" s="80">
        <v>46102.0</v>
      </c>
      <c r="X61" s="79"/>
      <c r="Y61" s="80">
        <v>46102.0</v>
      </c>
      <c r="Z61" s="79" t="s">
        <v>486</v>
      </c>
      <c r="AA61" s="79" t="s">
        <v>537</v>
      </c>
      <c r="AB61" s="79" t="s">
        <v>486</v>
      </c>
      <c r="AC61" s="79" t="s">
        <v>488</v>
      </c>
      <c r="AD61" s="79">
        <v>40000.0</v>
      </c>
      <c r="AE61" s="79">
        <v>0.0</v>
      </c>
      <c r="AF61" s="79">
        <v>0.0</v>
      </c>
      <c r="AG61" s="79">
        <v>4000.0</v>
      </c>
      <c r="AH61" s="81">
        <v>44000.0</v>
      </c>
      <c r="AI61" s="79"/>
      <c r="AJ61" s="79">
        <v>0.0</v>
      </c>
      <c r="AK61" s="79">
        <v>0.0</v>
      </c>
      <c r="AL61" s="79">
        <v>0.0</v>
      </c>
      <c r="AM61" s="79">
        <v>0.0</v>
      </c>
      <c r="AN61" s="79">
        <v>0.0</v>
      </c>
      <c r="AO61" s="79">
        <v>0.0</v>
      </c>
      <c r="AP61" s="79">
        <v>0.0</v>
      </c>
      <c r="AQ61" s="79">
        <v>40000.0</v>
      </c>
      <c r="AR61" s="79" t="s">
        <v>489</v>
      </c>
      <c r="AS61" s="79">
        <v>0.0</v>
      </c>
      <c r="AT61" s="79" t="s">
        <v>507</v>
      </c>
      <c r="AU61" s="79" t="s">
        <v>491</v>
      </c>
      <c r="AV61" s="79">
        <v>0.0</v>
      </c>
      <c r="AW61" s="79" t="s">
        <v>508</v>
      </c>
      <c r="AX61" s="79">
        <v>0.0</v>
      </c>
      <c r="AY61" s="79"/>
      <c r="AZ61" s="79">
        <v>0.0</v>
      </c>
      <c r="BA61" s="79"/>
      <c r="BB61" s="79">
        <v>0.0</v>
      </c>
      <c r="BC61" s="79"/>
      <c r="BD61" s="79">
        <v>0.0</v>
      </c>
      <c r="BE61" s="79"/>
      <c r="BF61" s="79">
        <v>0.0</v>
      </c>
      <c r="BG61" s="79"/>
      <c r="BH61" s="79">
        <v>0.0</v>
      </c>
      <c r="BI61" s="79" t="s">
        <v>493</v>
      </c>
      <c r="BJ61" s="79">
        <v>0.0</v>
      </c>
      <c r="BK61" s="79" t="s">
        <v>494</v>
      </c>
      <c r="BL61" s="79">
        <v>0.0</v>
      </c>
      <c r="BM61" s="79" t="s">
        <v>495</v>
      </c>
      <c r="BN61" s="79">
        <v>0.0</v>
      </c>
      <c r="BO61" s="79" t="s">
        <v>496</v>
      </c>
      <c r="BP61" s="79">
        <v>0.0</v>
      </c>
      <c r="BQ61" s="79"/>
      <c r="BR61" s="79">
        <v>0.0</v>
      </c>
      <c r="BS61" s="79"/>
      <c r="BT61" s="79">
        <v>0.0</v>
      </c>
      <c r="BU61" s="79"/>
      <c r="BV61" s="79">
        <v>0.0</v>
      </c>
      <c r="BW61" s="79"/>
      <c r="BX61" s="79">
        <v>0.0</v>
      </c>
      <c r="BY61" s="79">
        <v>0.0</v>
      </c>
      <c r="BZ61" s="79" t="s">
        <v>491</v>
      </c>
      <c r="CA61" s="79">
        <v>0.0</v>
      </c>
      <c r="CB61" s="79" t="s">
        <v>507</v>
      </c>
      <c r="CC61" s="79" t="s">
        <v>508</v>
      </c>
      <c r="CD61" s="79">
        <v>0.0</v>
      </c>
      <c r="CE61" s="79"/>
      <c r="CF61" s="79">
        <v>0.0</v>
      </c>
      <c r="CG61" s="79"/>
      <c r="CH61" s="79">
        <v>0.0</v>
      </c>
      <c r="CI61" s="79"/>
      <c r="CJ61" s="79">
        <v>0.0</v>
      </c>
      <c r="CK61" s="79"/>
      <c r="CL61" s="79">
        <v>0.0</v>
      </c>
      <c r="CM61" s="79"/>
      <c r="CN61" s="79">
        <v>0.0</v>
      </c>
      <c r="CO61" s="79" t="s">
        <v>493</v>
      </c>
      <c r="CP61" s="79">
        <v>0.0</v>
      </c>
      <c r="CQ61" s="79" t="s">
        <v>494</v>
      </c>
      <c r="CR61" s="79">
        <v>0.0</v>
      </c>
      <c r="CS61" s="79" t="s">
        <v>495</v>
      </c>
      <c r="CT61" s="79">
        <v>0.0</v>
      </c>
      <c r="CU61" s="79" t="s">
        <v>496</v>
      </c>
      <c r="CV61" s="79">
        <v>0.0</v>
      </c>
      <c r="CW61" s="79"/>
      <c r="CX61" s="79">
        <v>0.0</v>
      </c>
      <c r="CY61" s="79"/>
      <c r="CZ61" s="79">
        <v>0.0</v>
      </c>
      <c r="DA61" s="79"/>
      <c r="DB61" s="79">
        <v>0.0</v>
      </c>
      <c r="DC61" s="79"/>
      <c r="DD61" s="79">
        <v>0.0</v>
      </c>
      <c r="DE61" s="79">
        <v>40000.0</v>
      </c>
      <c r="DF61" s="79">
        <v>0.0</v>
      </c>
      <c r="DG61" s="79">
        <v>0.0</v>
      </c>
      <c r="DH61" s="79">
        <v>0.0</v>
      </c>
      <c r="DI61" s="79">
        <v>0.0</v>
      </c>
      <c r="DJ61" s="79" t="s">
        <v>883</v>
      </c>
      <c r="DK61" s="79" t="s">
        <v>486</v>
      </c>
      <c r="DL61" s="79" t="s">
        <v>537</v>
      </c>
      <c r="DM61" s="79" t="s">
        <v>884</v>
      </c>
      <c r="DN61" s="79"/>
      <c r="DO61" s="79" t="s">
        <v>885</v>
      </c>
      <c r="DP61" s="79"/>
      <c r="DQ61" s="79"/>
      <c r="DR61" s="79"/>
      <c r="DS61" s="79"/>
      <c r="DT61" s="82"/>
      <c r="DU61" s="79"/>
      <c r="DV61" s="82"/>
      <c r="DW61" s="79"/>
      <c r="DX61" s="79"/>
      <c r="DY61" s="79"/>
      <c r="DZ61" s="79"/>
      <c r="EA61" s="79"/>
      <c r="EB61" s="79"/>
      <c r="EC61" s="79"/>
      <c r="ED61" s="79"/>
      <c r="EE61" s="79"/>
      <c r="EF61" s="82"/>
      <c r="EG61" s="79"/>
      <c r="EH61" s="82"/>
      <c r="EI61" s="79"/>
      <c r="EJ61" s="82"/>
      <c r="EK61" s="79"/>
      <c r="EL61" s="82"/>
      <c r="EM61" s="79"/>
      <c r="EN61" s="79" t="s">
        <v>79</v>
      </c>
      <c r="EO61" s="79"/>
      <c r="EP61" s="80"/>
      <c r="EQ61" s="83"/>
      <c r="ER61" s="83" t="str">
        <f t="shared" si="3"/>
        <v/>
      </c>
      <c r="ES61" s="79"/>
      <c r="ET61" s="79" t="str">
        <f t="shared" si="4"/>
        <v/>
      </c>
      <c r="EU61" s="79"/>
      <c r="EV61" s="82"/>
      <c r="EW61" s="82"/>
      <c r="EX61" s="82"/>
      <c r="EY61" s="82"/>
      <c r="EZ61" s="79"/>
      <c r="FA61" s="79"/>
      <c r="FB61" s="79"/>
    </row>
    <row r="62" ht="15.75" customHeight="1">
      <c r="A62" s="4" t="s">
        <v>887</v>
      </c>
      <c r="B62" s="4" t="s">
        <v>475</v>
      </c>
      <c r="C62" s="4" t="s">
        <v>476</v>
      </c>
      <c r="D62" s="78">
        <v>46103.0</v>
      </c>
      <c r="E62" s="4" t="s">
        <v>888</v>
      </c>
      <c r="F62" s="19"/>
      <c r="G62" s="4" t="s">
        <v>889</v>
      </c>
      <c r="H62" s="4" t="s">
        <v>890</v>
      </c>
      <c r="R62" s="4" t="s">
        <v>891</v>
      </c>
      <c r="Z62" s="4" t="s">
        <v>597</v>
      </c>
      <c r="AB62" s="4" t="s">
        <v>597</v>
      </c>
      <c r="AH62" s="23">
        <v>394515.0</v>
      </c>
      <c r="AL62" s="19"/>
      <c r="AM62" s="19"/>
      <c r="AN62" s="19"/>
      <c r="AO62" s="19"/>
      <c r="AP62" s="19"/>
      <c r="AQ62" s="4">
        <v>223205.0</v>
      </c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19"/>
      <c r="CW62" s="19"/>
      <c r="CX62" s="19"/>
      <c r="CY62" s="19"/>
      <c r="CZ62" s="19"/>
      <c r="DA62" s="19"/>
      <c r="DB62" s="19"/>
      <c r="DC62" s="19"/>
      <c r="DD62" s="19"/>
      <c r="DE62" s="19"/>
      <c r="DF62" s="19"/>
      <c r="DG62" s="19"/>
      <c r="DH62" s="19"/>
      <c r="DI62" s="19"/>
      <c r="DJ62" s="19"/>
      <c r="DK62" s="19"/>
      <c r="DL62" s="19"/>
      <c r="DM62" s="19"/>
      <c r="DN62" s="19"/>
      <c r="DO62" s="19"/>
      <c r="DP62" s="19"/>
      <c r="DQ62" s="19"/>
      <c r="DR62" s="19"/>
      <c r="DS62" s="19"/>
      <c r="DT62" s="19"/>
      <c r="DU62" s="19"/>
      <c r="DV62" s="19"/>
      <c r="DW62" s="19"/>
      <c r="DX62" s="19"/>
      <c r="DY62" s="19"/>
      <c r="DZ62" s="19"/>
      <c r="EA62" s="19"/>
      <c r="EB62" s="19"/>
      <c r="EC62" s="19"/>
      <c r="ED62" s="19"/>
      <c r="EE62" s="19"/>
      <c r="EF62" s="19"/>
      <c r="EG62" s="19"/>
      <c r="EH62" s="19"/>
      <c r="EI62" s="19"/>
      <c r="EJ62" s="19"/>
      <c r="EK62" s="19"/>
      <c r="EL62" s="19"/>
      <c r="EM62" s="19"/>
      <c r="EN62" s="4" t="s">
        <v>79</v>
      </c>
      <c r="EO62" s="19"/>
      <c r="EP62" s="17"/>
      <c r="EQ62" s="23"/>
      <c r="ER62" s="23" t="str">
        <f t="shared" si="3"/>
        <v/>
      </c>
      <c r="ES62" s="19"/>
      <c r="ET62" s="19" t="str">
        <f t="shared" si="4"/>
        <v/>
      </c>
      <c r="EU62" s="19"/>
      <c r="EV62" s="19"/>
      <c r="EW62" s="19"/>
      <c r="EX62" s="19"/>
      <c r="EY62" s="19"/>
      <c r="EZ62" s="79"/>
      <c r="FA62" s="79"/>
      <c r="FB62" s="79"/>
    </row>
    <row r="63" ht="15.75" customHeight="1">
      <c r="A63" s="79" t="s">
        <v>892</v>
      </c>
      <c r="B63" s="79" t="s">
        <v>893</v>
      </c>
      <c r="C63" s="79" t="s">
        <v>476</v>
      </c>
      <c r="D63" s="80">
        <v>46104.0</v>
      </c>
      <c r="E63" s="79" t="s">
        <v>772</v>
      </c>
      <c r="F63" s="79" t="s">
        <v>894</v>
      </c>
      <c r="G63" s="79" t="s">
        <v>504</v>
      </c>
      <c r="H63" s="79" t="s">
        <v>895</v>
      </c>
      <c r="I63" s="79"/>
      <c r="J63" s="79" t="s">
        <v>896</v>
      </c>
      <c r="K63" s="79">
        <v>3000.0</v>
      </c>
      <c r="L63" s="79"/>
      <c r="M63" s="79" t="s">
        <v>897</v>
      </c>
      <c r="N63" s="79" t="s">
        <v>898</v>
      </c>
      <c r="O63" s="79" t="s">
        <v>484</v>
      </c>
      <c r="P63" s="79"/>
      <c r="Q63" s="79" t="s">
        <v>899</v>
      </c>
      <c r="R63" s="80">
        <v>46477.0</v>
      </c>
      <c r="S63" s="79"/>
      <c r="T63" s="79">
        <v>11201.0</v>
      </c>
      <c r="U63" s="79"/>
      <c r="V63" s="79"/>
      <c r="W63" s="79"/>
      <c r="X63" s="79"/>
      <c r="Y63" s="79"/>
      <c r="Z63" s="79" t="s">
        <v>524</v>
      </c>
      <c r="AA63" s="79" t="s">
        <v>487</v>
      </c>
      <c r="AB63" s="79" t="s">
        <v>486</v>
      </c>
      <c r="AC63" s="79" t="s">
        <v>488</v>
      </c>
      <c r="AD63" s="79">
        <v>303000.0</v>
      </c>
      <c r="AE63" s="79">
        <v>0.0</v>
      </c>
      <c r="AF63" s="79">
        <v>0.0</v>
      </c>
      <c r="AG63" s="79">
        <v>30300.0</v>
      </c>
      <c r="AH63" s="81">
        <v>333300.0</v>
      </c>
      <c r="AI63" s="79"/>
      <c r="AJ63" s="79">
        <v>0.0</v>
      </c>
      <c r="AK63" s="79">
        <v>122600.0</v>
      </c>
      <c r="AL63" s="83">
        <v>0.0</v>
      </c>
      <c r="AM63" s="79">
        <v>0.0</v>
      </c>
      <c r="AN63" s="79">
        <v>12260.0</v>
      </c>
      <c r="AO63" s="79">
        <v>134860.0</v>
      </c>
      <c r="AP63" s="79">
        <v>0.0</v>
      </c>
      <c r="AQ63" s="79">
        <v>180400.0</v>
      </c>
      <c r="AR63" s="79" t="s">
        <v>489</v>
      </c>
      <c r="AS63" s="79">
        <v>0.0</v>
      </c>
      <c r="AT63" s="79" t="s">
        <v>490</v>
      </c>
      <c r="AU63" s="79" t="s">
        <v>491</v>
      </c>
      <c r="AV63" s="79">
        <v>0.0</v>
      </c>
      <c r="AW63" s="79" t="s">
        <v>508</v>
      </c>
      <c r="AX63" s="79">
        <v>0.0</v>
      </c>
      <c r="AY63" s="79"/>
      <c r="AZ63" s="79">
        <v>0.0</v>
      </c>
      <c r="BA63" s="79"/>
      <c r="BB63" s="79">
        <v>0.0</v>
      </c>
      <c r="BC63" s="79"/>
      <c r="BD63" s="79">
        <v>0.0</v>
      </c>
      <c r="BE63" s="82"/>
      <c r="BF63" s="79">
        <v>0.0</v>
      </c>
      <c r="BG63" s="79"/>
      <c r="BH63" s="79">
        <v>0.0</v>
      </c>
      <c r="BI63" s="79" t="s">
        <v>493</v>
      </c>
      <c r="BJ63" s="79">
        <v>0.0</v>
      </c>
      <c r="BK63" s="79" t="s">
        <v>494</v>
      </c>
      <c r="BL63" s="79">
        <v>0.0</v>
      </c>
      <c r="BM63" s="79" t="s">
        <v>495</v>
      </c>
      <c r="BN63" s="79">
        <v>0.0</v>
      </c>
      <c r="BO63" s="79" t="s">
        <v>496</v>
      </c>
      <c r="BP63" s="79">
        <v>0.0</v>
      </c>
      <c r="BQ63" s="79"/>
      <c r="BR63" s="79">
        <v>0.0</v>
      </c>
      <c r="BS63" s="79"/>
      <c r="BT63" s="79">
        <v>0.0</v>
      </c>
      <c r="BU63" s="79"/>
      <c r="BV63" s="79">
        <v>0.0</v>
      </c>
      <c r="BW63" s="79"/>
      <c r="BX63" s="79">
        <v>0.0</v>
      </c>
      <c r="BY63" s="79">
        <v>0.0</v>
      </c>
      <c r="BZ63" s="79" t="s">
        <v>491</v>
      </c>
      <c r="CA63" s="79">
        <v>0.0</v>
      </c>
      <c r="CB63" s="79" t="s">
        <v>490</v>
      </c>
      <c r="CC63" s="79" t="s">
        <v>508</v>
      </c>
      <c r="CD63" s="79">
        <v>0.0</v>
      </c>
      <c r="CE63" s="79"/>
      <c r="CF63" s="79">
        <v>0.0</v>
      </c>
      <c r="CG63" s="79"/>
      <c r="CH63" s="79">
        <v>0.0</v>
      </c>
      <c r="CI63" s="79"/>
      <c r="CJ63" s="79">
        <v>0.0</v>
      </c>
      <c r="CK63" s="79"/>
      <c r="CL63" s="79">
        <v>0.0</v>
      </c>
      <c r="CM63" s="79"/>
      <c r="CN63" s="79">
        <v>0.0</v>
      </c>
      <c r="CO63" s="79" t="s">
        <v>493</v>
      </c>
      <c r="CP63" s="79">
        <v>0.0</v>
      </c>
      <c r="CQ63" s="79" t="s">
        <v>494</v>
      </c>
      <c r="CR63" s="79">
        <v>0.0</v>
      </c>
      <c r="CS63" s="79" t="s">
        <v>495</v>
      </c>
      <c r="CT63" s="79">
        <v>0.0</v>
      </c>
      <c r="CU63" s="79" t="s">
        <v>496</v>
      </c>
      <c r="CV63" s="79">
        <v>0.0</v>
      </c>
      <c r="CW63" s="79"/>
      <c r="CX63" s="79">
        <v>0.0</v>
      </c>
      <c r="CY63" s="79"/>
      <c r="CZ63" s="79">
        <v>0.0</v>
      </c>
      <c r="DA63" s="79"/>
      <c r="DB63" s="79">
        <v>0.0</v>
      </c>
      <c r="DC63" s="79"/>
      <c r="DD63" s="79">
        <v>0.0</v>
      </c>
      <c r="DE63" s="79">
        <v>231000.0</v>
      </c>
      <c r="DF63" s="79">
        <v>72000.0</v>
      </c>
      <c r="DG63" s="79">
        <v>0.0</v>
      </c>
      <c r="DH63" s="79">
        <v>75000.0</v>
      </c>
      <c r="DI63" s="79">
        <v>47600.0</v>
      </c>
      <c r="DJ63" s="79" t="s">
        <v>773</v>
      </c>
      <c r="DK63" s="79" t="s">
        <v>524</v>
      </c>
      <c r="DL63" s="79" t="s">
        <v>487</v>
      </c>
      <c r="DM63" s="79" t="s">
        <v>774</v>
      </c>
      <c r="DN63" s="79" t="s">
        <v>775</v>
      </c>
      <c r="DO63" s="79" t="s">
        <v>776</v>
      </c>
      <c r="DP63" s="82"/>
      <c r="DQ63" s="79"/>
      <c r="DR63" s="82"/>
      <c r="DS63" s="79"/>
      <c r="DT63" s="82"/>
      <c r="DU63" s="79"/>
      <c r="DV63" s="82"/>
      <c r="DW63" s="79"/>
      <c r="DX63" s="79"/>
      <c r="DY63" s="79"/>
      <c r="DZ63" s="79"/>
      <c r="EA63" s="79"/>
      <c r="EB63" s="79"/>
      <c r="EC63" s="79"/>
      <c r="ED63" s="79"/>
      <c r="EE63" s="79"/>
      <c r="EF63" s="82"/>
      <c r="EG63" s="79"/>
      <c r="EH63" s="82"/>
      <c r="EI63" s="79"/>
      <c r="EJ63" s="82"/>
      <c r="EK63" s="79"/>
      <c r="EL63" s="82"/>
      <c r="EM63" s="79"/>
      <c r="EN63" s="79" t="s">
        <v>79</v>
      </c>
      <c r="EO63" s="79"/>
      <c r="EP63" s="80"/>
      <c r="EQ63" s="83"/>
      <c r="ER63" s="83" t="str">
        <f t="shared" si="3"/>
        <v/>
      </c>
      <c r="ES63" s="82"/>
      <c r="ET63" s="79" t="str">
        <f t="shared" si="4"/>
        <v/>
      </c>
      <c r="EU63" s="79"/>
      <c r="EV63" s="79"/>
      <c r="EW63" s="82"/>
      <c r="EX63" s="82"/>
      <c r="EY63" s="82"/>
      <c r="EZ63" s="79"/>
      <c r="FA63" s="79"/>
      <c r="FB63" s="79"/>
    </row>
    <row r="64" ht="15.75" customHeight="1">
      <c r="A64" s="79" t="s">
        <v>900</v>
      </c>
      <c r="B64" s="79" t="s">
        <v>515</v>
      </c>
      <c r="C64" s="79" t="s">
        <v>476</v>
      </c>
      <c r="D64" s="80">
        <v>46104.0</v>
      </c>
      <c r="E64" s="79" t="s">
        <v>901</v>
      </c>
      <c r="F64" s="79" t="s">
        <v>568</v>
      </c>
      <c r="G64" s="79" t="s">
        <v>902</v>
      </c>
      <c r="H64" s="79" t="s">
        <v>792</v>
      </c>
      <c r="I64" s="79"/>
      <c r="J64" s="79" t="s">
        <v>903</v>
      </c>
      <c r="K64" s="79">
        <v>2000.0</v>
      </c>
      <c r="L64" s="79"/>
      <c r="M64" s="79" t="s">
        <v>904</v>
      </c>
      <c r="N64" s="79" t="s">
        <v>905</v>
      </c>
      <c r="O64" s="79" t="s">
        <v>484</v>
      </c>
      <c r="P64" s="79"/>
      <c r="Q64" s="79" t="s">
        <v>906</v>
      </c>
      <c r="R64" s="80">
        <v>46473.0</v>
      </c>
      <c r="S64" s="79"/>
      <c r="T64" s="79">
        <v>10103.0</v>
      </c>
      <c r="U64" s="79"/>
      <c r="V64" s="79"/>
      <c r="W64" s="80">
        <v>46104.0</v>
      </c>
      <c r="X64" s="79"/>
      <c r="Y64" s="80">
        <v>46104.0</v>
      </c>
      <c r="Z64" s="79" t="s">
        <v>486</v>
      </c>
      <c r="AA64" s="79" t="s">
        <v>487</v>
      </c>
      <c r="AB64" s="79" t="s">
        <v>486</v>
      </c>
      <c r="AC64" s="79" t="s">
        <v>488</v>
      </c>
      <c r="AD64" s="79">
        <v>47675.0</v>
      </c>
      <c r="AE64" s="79">
        <v>0.0</v>
      </c>
      <c r="AF64" s="79">
        <v>0.0</v>
      </c>
      <c r="AG64" s="79">
        <v>4768.0</v>
      </c>
      <c r="AH64" s="81">
        <v>52443.0</v>
      </c>
      <c r="AI64" s="79"/>
      <c r="AJ64" s="79">
        <v>0.0</v>
      </c>
      <c r="AK64" s="79">
        <v>8960.0</v>
      </c>
      <c r="AL64" s="79">
        <v>0.0</v>
      </c>
      <c r="AM64" s="79">
        <v>0.0</v>
      </c>
      <c r="AN64" s="79">
        <v>896.0</v>
      </c>
      <c r="AO64" s="79">
        <v>9856.0</v>
      </c>
      <c r="AP64" s="79">
        <v>0.0</v>
      </c>
      <c r="AQ64" s="79">
        <v>38715.0</v>
      </c>
      <c r="AR64" s="79" t="s">
        <v>489</v>
      </c>
      <c r="AS64" s="79">
        <v>0.0</v>
      </c>
      <c r="AT64" s="79" t="s">
        <v>507</v>
      </c>
      <c r="AU64" s="79" t="s">
        <v>491</v>
      </c>
      <c r="AV64" s="79">
        <v>0.0</v>
      </c>
      <c r="AW64" s="79" t="s">
        <v>508</v>
      </c>
      <c r="AX64" s="79">
        <v>0.0</v>
      </c>
      <c r="AY64" s="79"/>
      <c r="AZ64" s="79">
        <v>0.0</v>
      </c>
      <c r="BA64" s="79"/>
      <c r="BB64" s="79">
        <v>0.0</v>
      </c>
      <c r="BC64" s="79"/>
      <c r="BD64" s="79">
        <v>0.0</v>
      </c>
      <c r="BE64" s="79"/>
      <c r="BF64" s="79">
        <v>0.0</v>
      </c>
      <c r="BG64" s="79"/>
      <c r="BH64" s="79">
        <v>0.0</v>
      </c>
      <c r="BI64" s="79" t="s">
        <v>493</v>
      </c>
      <c r="BJ64" s="79">
        <v>0.0</v>
      </c>
      <c r="BK64" s="79" t="s">
        <v>494</v>
      </c>
      <c r="BL64" s="79">
        <v>0.0</v>
      </c>
      <c r="BM64" s="79" t="s">
        <v>495</v>
      </c>
      <c r="BN64" s="79">
        <v>0.0</v>
      </c>
      <c r="BO64" s="79" t="s">
        <v>496</v>
      </c>
      <c r="BP64" s="79">
        <v>0.0</v>
      </c>
      <c r="BQ64" s="79"/>
      <c r="BR64" s="79">
        <v>0.0</v>
      </c>
      <c r="BS64" s="79"/>
      <c r="BT64" s="79">
        <v>0.0</v>
      </c>
      <c r="BU64" s="79"/>
      <c r="BV64" s="79">
        <v>0.0</v>
      </c>
      <c r="BW64" s="79"/>
      <c r="BX64" s="79">
        <v>0.0</v>
      </c>
      <c r="BY64" s="79">
        <v>0.0</v>
      </c>
      <c r="BZ64" s="79" t="s">
        <v>491</v>
      </c>
      <c r="CA64" s="79">
        <v>0.0</v>
      </c>
      <c r="CB64" s="79" t="s">
        <v>507</v>
      </c>
      <c r="CC64" s="79" t="s">
        <v>508</v>
      </c>
      <c r="CD64" s="79">
        <v>0.0</v>
      </c>
      <c r="CE64" s="79"/>
      <c r="CF64" s="79">
        <v>0.0</v>
      </c>
      <c r="CG64" s="79"/>
      <c r="CH64" s="79">
        <v>0.0</v>
      </c>
      <c r="CI64" s="79"/>
      <c r="CJ64" s="79">
        <v>0.0</v>
      </c>
      <c r="CK64" s="79"/>
      <c r="CL64" s="79">
        <v>0.0</v>
      </c>
      <c r="CM64" s="79"/>
      <c r="CN64" s="79">
        <v>0.0</v>
      </c>
      <c r="CO64" s="79" t="s">
        <v>493</v>
      </c>
      <c r="CP64" s="79">
        <v>0.0</v>
      </c>
      <c r="CQ64" s="79" t="s">
        <v>494</v>
      </c>
      <c r="CR64" s="79">
        <v>0.0</v>
      </c>
      <c r="CS64" s="79" t="s">
        <v>495</v>
      </c>
      <c r="CT64" s="79">
        <v>0.0</v>
      </c>
      <c r="CU64" s="79" t="s">
        <v>496</v>
      </c>
      <c r="CV64" s="79">
        <v>0.0</v>
      </c>
      <c r="CW64" s="79"/>
      <c r="CX64" s="79">
        <v>0.0</v>
      </c>
      <c r="CY64" s="79"/>
      <c r="CZ64" s="79">
        <v>0.0</v>
      </c>
      <c r="DA64" s="79"/>
      <c r="DB64" s="79">
        <v>0.0</v>
      </c>
      <c r="DC64" s="79"/>
      <c r="DD64" s="79">
        <v>0.0</v>
      </c>
      <c r="DE64" s="79">
        <v>26125.0</v>
      </c>
      <c r="DF64" s="79">
        <v>21550.0</v>
      </c>
      <c r="DG64" s="79">
        <v>0.0</v>
      </c>
      <c r="DH64" s="79">
        <v>0.0</v>
      </c>
      <c r="DI64" s="79">
        <v>8960.0</v>
      </c>
      <c r="DJ64" s="79" t="s">
        <v>907</v>
      </c>
      <c r="DK64" s="79" t="s">
        <v>486</v>
      </c>
      <c r="DL64" s="79" t="s">
        <v>487</v>
      </c>
      <c r="DM64" s="79" t="s">
        <v>908</v>
      </c>
      <c r="DN64" s="79"/>
      <c r="DO64" s="79" t="s">
        <v>909</v>
      </c>
      <c r="DP64" s="79"/>
      <c r="DQ64" s="79"/>
      <c r="DR64" s="79"/>
      <c r="DS64" s="79"/>
      <c r="DT64" s="82"/>
      <c r="DU64" s="79"/>
      <c r="DV64" s="82"/>
      <c r="DW64" s="79"/>
      <c r="DX64" s="79"/>
      <c r="DY64" s="79"/>
      <c r="DZ64" s="79"/>
      <c r="EA64" s="79"/>
      <c r="EB64" s="79"/>
      <c r="EC64" s="79"/>
      <c r="ED64" s="79"/>
      <c r="EE64" s="79"/>
      <c r="EF64" s="82"/>
      <c r="EG64" s="79"/>
      <c r="EH64" s="82"/>
      <c r="EI64" s="79"/>
      <c r="EJ64" s="82"/>
      <c r="EK64" s="79"/>
      <c r="EL64" s="82"/>
      <c r="EM64" s="79"/>
      <c r="EN64" s="79" t="s">
        <v>79</v>
      </c>
      <c r="EO64" s="79"/>
      <c r="EP64" s="80"/>
      <c r="EQ64" s="83"/>
      <c r="ER64" s="83" t="str">
        <f t="shared" si="3"/>
        <v/>
      </c>
      <c r="ES64" s="79"/>
      <c r="ET64" s="79" t="str">
        <f t="shared" si="4"/>
        <v/>
      </c>
      <c r="EU64" s="79"/>
      <c r="EV64" s="79"/>
      <c r="EW64" s="82"/>
      <c r="EX64" s="82"/>
      <c r="EY64" s="82"/>
      <c r="EZ64" s="79"/>
      <c r="FA64" s="79"/>
      <c r="FB64" s="79"/>
    </row>
    <row r="65" ht="15.75" customHeight="1">
      <c r="A65" s="79" t="s">
        <v>910</v>
      </c>
      <c r="B65" s="79" t="s">
        <v>515</v>
      </c>
      <c r="C65" s="79" t="s">
        <v>476</v>
      </c>
      <c r="D65" s="80">
        <v>46104.0</v>
      </c>
      <c r="E65" s="79" t="s">
        <v>911</v>
      </c>
      <c r="F65" s="79"/>
      <c r="G65" s="79" t="s">
        <v>780</v>
      </c>
      <c r="H65" s="79" t="s">
        <v>479</v>
      </c>
      <c r="I65" s="79" t="s">
        <v>480</v>
      </c>
      <c r="J65" s="79" t="s">
        <v>912</v>
      </c>
      <c r="K65" s="79">
        <v>2000.0</v>
      </c>
      <c r="L65" s="79" t="s">
        <v>482</v>
      </c>
      <c r="M65" s="79" t="s">
        <v>913</v>
      </c>
      <c r="N65" s="79" t="s">
        <v>521</v>
      </c>
      <c r="O65" s="79" t="s">
        <v>484</v>
      </c>
      <c r="P65" s="79" t="s">
        <v>914</v>
      </c>
      <c r="Q65" s="79" t="s">
        <v>915</v>
      </c>
      <c r="R65" s="80">
        <v>46451.0</v>
      </c>
      <c r="S65" s="79"/>
      <c r="T65" s="79">
        <v>80511.0</v>
      </c>
      <c r="U65" s="79"/>
      <c r="V65" s="79"/>
      <c r="W65" s="80">
        <v>46102.0</v>
      </c>
      <c r="X65" s="79"/>
      <c r="Y65" s="80">
        <v>46104.0</v>
      </c>
      <c r="Z65" s="79" t="s">
        <v>486</v>
      </c>
      <c r="AA65" s="79" t="s">
        <v>487</v>
      </c>
      <c r="AB65" s="79" t="s">
        <v>486</v>
      </c>
      <c r="AC65" s="79" t="s">
        <v>488</v>
      </c>
      <c r="AD65" s="79">
        <v>89100.0</v>
      </c>
      <c r="AE65" s="79">
        <v>0.0</v>
      </c>
      <c r="AF65" s="79">
        <v>0.0</v>
      </c>
      <c r="AG65" s="79">
        <v>8910.0</v>
      </c>
      <c r="AH65" s="81">
        <v>98010.0</v>
      </c>
      <c r="AI65" s="79"/>
      <c r="AJ65" s="79">
        <v>0.0</v>
      </c>
      <c r="AK65" s="79">
        <v>7800.0</v>
      </c>
      <c r="AL65" s="79">
        <v>0.0</v>
      </c>
      <c r="AM65" s="79">
        <v>0.0</v>
      </c>
      <c r="AN65" s="79">
        <v>780.0</v>
      </c>
      <c r="AO65" s="79">
        <v>8580.0</v>
      </c>
      <c r="AP65" s="79">
        <v>0.0</v>
      </c>
      <c r="AQ65" s="79">
        <v>81300.0</v>
      </c>
      <c r="AR65" s="79" t="s">
        <v>489</v>
      </c>
      <c r="AS65" s="79">
        <v>0.0</v>
      </c>
      <c r="AT65" s="79" t="s">
        <v>507</v>
      </c>
      <c r="AU65" s="79" t="s">
        <v>491</v>
      </c>
      <c r="AV65" s="79">
        <v>0.0</v>
      </c>
      <c r="AW65" s="79" t="s">
        <v>508</v>
      </c>
      <c r="AX65" s="79">
        <v>0.0</v>
      </c>
      <c r="AY65" s="79"/>
      <c r="AZ65" s="79">
        <v>0.0</v>
      </c>
      <c r="BA65" s="79"/>
      <c r="BB65" s="79">
        <v>0.0</v>
      </c>
      <c r="BC65" s="79"/>
      <c r="BD65" s="79">
        <v>0.0</v>
      </c>
      <c r="BE65" s="79"/>
      <c r="BF65" s="79">
        <v>0.0</v>
      </c>
      <c r="BG65" s="79"/>
      <c r="BH65" s="79">
        <v>0.0</v>
      </c>
      <c r="BI65" s="79" t="s">
        <v>493</v>
      </c>
      <c r="BJ65" s="79">
        <v>0.0</v>
      </c>
      <c r="BK65" s="79" t="s">
        <v>494</v>
      </c>
      <c r="BL65" s="79">
        <v>0.0</v>
      </c>
      <c r="BM65" s="79" t="s">
        <v>495</v>
      </c>
      <c r="BN65" s="79">
        <v>0.0</v>
      </c>
      <c r="BO65" s="79" t="s">
        <v>496</v>
      </c>
      <c r="BP65" s="79">
        <v>0.0</v>
      </c>
      <c r="BQ65" s="79"/>
      <c r="BR65" s="79">
        <v>0.0</v>
      </c>
      <c r="BS65" s="79"/>
      <c r="BT65" s="79">
        <v>0.0</v>
      </c>
      <c r="BU65" s="79"/>
      <c r="BV65" s="79">
        <v>0.0</v>
      </c>
      <c r="BW65" s="79"/>
      <c r="BX65" s="79">
        <v>0.0</v>
      </c>
      <c r="BY65" s="79">
        <v>0.0</v>
      </c>
      <c r="BZ65" s="79" t="s">
        <v>491</v>
      </c>
      <c r="CA65" s="79">
        <v>0.0</v>
      </c>
      <c r="CB65" s="79" t="s">
        <v>507</v>
      </c>
      <c r="CC65" s="79" t="s">
        <v>508</v>
      </c>
      <c r="CD65" s="79">
        <v>0.0</v>
      </c>
      <c r="CE65" s="79"/>
      <c r="CF65" s="79">
        <v>0.0</v>
      </c>
      <c r="CG65" s="79"/>
      <c r="CH65" s="79">
        <v>0.0</v>
      </c>
      <c r="CI65" s="79"/>
      <c r="CJ65" s="79">
        <v>0.0</v>
      </c>
      <c r="CK65" s="79"/>
      <c r="CL65" s="79">
        <v>0.0</v>
      </c>
      <c r="CM65" s="79"/>
      <c r="CN65" s="79">
        <v>0.0</v>
      </c>
      <c r="CO65" s="79" t="s">
        <v>493</v>
      </c>
      <c r="CP65" s="79">
        <v>0.0</v>
      </c>
      <c r="CQ65" s="79" t="s">
        <v>494</v>
      </c>
      <c r="CR65" s="79">
        <v>0.0</v>
      </c>
      <c r="CS65" s="79" t="s">
        <v>495</v>
      </c>
      <c r="CT65" s="79">
        <v>0.0</v>
      </c>
      <c r="CU65" s="79" t="s">
        <v>496</v>
      </c>
      <c r="CV65" s="79">
        <v>0.0</v>
      </c>
      <c r="CW65" s="79"/>
      <c r="CX65" s="79">
        <v>0.0</v>
      </c>
      <c r="CY65" s="79"/>
      <c r="CZ65" s="79">
        <v>0.0</v>
      </c>
      <c r="DA65" s="79"/>
      <c r="DB65" s="79">
        <v>0.0</v>
      </c>
      <c r="DC65" s="79"/>
      <c r="DD65" s="79">
        <v>0.0</v>
      </c>
      <c r="DE65" s="79">
        <v>71100.0</v>
      </c>
      <c r="DF65" s="79">
        <v>18000.0</v>
      </c>
      <c r="DG65" s="79">
        <v>0.0</v>
      </c>
      <c r="DH65" s="79">
        <v>0.0</v>
      </c>
      <c r="DI65" s="79">
        <v>7800.0</v>
      </c>
      <c r="DJ65" s="79" t="s">
        <v>175</v>
      </c>
      <c r="DK65" s="79" t="s">
        <v>486</v>
      </c>
      <c r="DL65" s="79" t="s">
        <v>487</v>
      </c>
      <c r="DM65" s="79" t="s">
        <v>916</v>
      </c>
      <c r="DN65" s="79" t="s">
        <v>917</v>
      </c>
      <c r="DO65" s="79" t="s">
        <v>918</v>
      </c>
      <c r="DP65" s="79"/>
      <c r="DQ65" s="79"/>
      <c r="DR65" s="79"/>
      <c r="DS65" s="79"/>
      <c r="DT65" s="82"/>
      <c r="DU65" s="79"/>
      <c r="DV65" s="82"/>
      <c r="DW65" s="79"/>
      <c r="DX65" s="79"/>
      <c r="DY65" s="79"/>
      <c r="DZ65" s="79"/>
      <c r="EA65" s="79"/>
      <c r="EB65" s="79"/>
      <c r="EC65" s="79"/>
      <c r="ED65" s="79"/>
      <c r="EE65" s="79"/>
      <c r="EF65" s="82"/>
      <c r="EG65" s="79"/>
      <c r="EH65" s="82"/>
      <c r="EI65" s="79"/>
      <c r="EJ65" s="82"/>
      <c r="EK65" s="79"/>
      <c r="EL65" s="82"/>
      <c r="EM65" s="79"/>
      <c r="EN65" s="79" t="s">
        <v>57</v>
      </c>
      <c r="EO65" s="79"/>
      <c r="EP65" s="80"/>
      <c r="EQ65" s="83"/>
      <c r="ER65" s="83" t="str">
        <f t="shared" si="3"/>
        <v/>
      </c>
      <c r="ES65" s="79"/>
      <c r="ET65" s="79" t="str">
        <f t="shared" si="4"/>
        <v/>
      </c>
      <c r="EU65" s="79"/>
      <c r="EV65" s="79"/>
      <c r="EW65" s="82"/>
      <c r="EX65" s="82"/>
      <c r="EY65" s="82"/>
      <c r="EZ65" s="19"/>
      <c r="FA65" s="19"/>
      <c r="FB65" s="19"/>
    </row>
    <row r="66" ht="15.75" customHeight="1">
      <c r="A66" s="79" t="s">
        <v>919</v>
      </c>
      <c r="B66" s="79" t="s">
        <v>893</v>
      </c>
      <c r="C66" s="79" t="s">
        <v>476</v>
      </c>
      <c r="D66" s="80">
        <v>46104.0</v>
      </c>
      <c r="E66" s="79" t="s">
        <v>920</v>
      </c>
      <c r="F66" s="79" t="s">
        <v>894</v>
      </c>
      <c r="G66" s="79" t="s">
        <v>921</v>
      </c>
      <c r="H66" s="79" t="s">
        <v>479</v>
      </c>
      <c r="I66" s="79"/>
      <c r="J66" s="79" t="s">
        <v>922</v>
      </c>
      <c r="K66" s="79">
        <v>0.0</v>
      </c>
      <c r="L66" s="79"/>
      <c r="M66" s="79" t="s">
        <v>506</v>
      </c>
      <c r="N66" s="79"/>
      <c r="O66" s="79"/>
      <c r="P66" s="79"/>
      <c r="Q66" s="79"/>
      <c r="R66" s="80">
        <v>47194.0</v>
      </c>
      <c r="S66" s="79"/>
      <c r="T66" s="79"/>
      <c r="U66" s="79"/>
      <c r="V66" s="79"/>
      <c r="W66" s="79"/>
      <c r="X66" s="79"/>
      <c r="Y66" s="79"/>
      <c r="Z66" s="79" t="s">
        <v>486</v>
      </c>
      <c r="AA66" s="79" t="s">
        <v>537</v>
      </c>
      <c r="AB66" s="79" t="s">
        <v>486</v>
      </c>
      <c r="AC66" s="79" t="s">
        <v>488</v>
      </c>
      <c r="AD66" s="79">
        <v>125800.0</v>
      </c>
      <c r="AE66" s="79">
        <v>0.0</v>
      </c>
      <c r="AF66" s="79">
        <v>0.0</v>
      </c>
      <c r="AG66" s="79">
        <v>12580.0</v>
      </c>
      <c r="AH66" s="81">
        <v>138380.0</v>
      </c>
      <c r="AI66" s="79"/>
      <c r="AJ66" s="79">
        <v>0.0</v>
      </c>
      <c r="AK66" s="79">
        <v>65440.0</v>
      </c>
      <c r="AL66" s="79">
        <v>0.0</v>
      </c>
      <c r="AM66" s="79">
        <v>0.0</v>
      </c>
      <c r="AN66" s="79">
        <v>6544.0</v>
      </c>
      <c r="AO66" s="79">
        <v>71984.0</v>
      </c>
      <c r="AP66" s="79">
        <v>0.0</v>
      </c>
      <c r="AQ66" s="79">
        <v>60360.0</v>
      </c>
      <c r="AR66" s="79" t="s">
        <v>489</v>
      </c>
      <c r="AS66" s="79">
        <v>0.0</v>
      </c>
      <c r="AT66" s="79" t="s">
        <v>507</v>
      </c>
      <c r="AU66" s="79" t="s">
        <v>491</v>
      </c>
      <c r="AV66" s="79">
        <v>0.0</v>
      </c>
      <c r="AW66" s="79" t="s">
        <v>508</v>
      </c>
      <c r="AX66" s="79">
        <v>0.0</v>
      </c>
      <c r="AY66" s="79"/>
      <c r="AZ66" s="79">
        <v>0.0</v>
      </c>
      <c r="BA66" s="79"/>
      <c r="BB66" s="79">
        <v>0.0</v>
      </c>
      <c r="BC66" s="79"/>
      <c r="BD66" s="79">
        <v>0.0</v>
      </c>
      <c r="BE66" s="79"/>
      <c r="BF66" s="79">
        <v>0.0</v>
      </c>
      <c r="BG66" s="79"/>
      <c r="BH66" s="79">
        <v>0.0</v>
      </c>
      <c r="BI66" s="79" t="s">
        <v>493</v>
      </c>
      <c r="BJ66" s="79">
        <v>0.0</v>
      </c>
      <c r="BK66" s="79" t="s">
        <v>494</v>
      </c>
      <c r="BL66" s="79">
        <v>0.0</v>
      </c>
      <c r="BM66" s="79" t="s">
        <v>495</v>
      </c>
      <c r="BN66" s="79">
        <v>0.0</v>
      </c>
      <c r="BO66" s="79" t="s">
        <v>496</v>
      </c>
      <c r="BP66" s="79">
        <v>0.0</v>
      </c>
      <c r="BQ66" s="79"/>
      <c r="BR66" s="79">
        <v>0.0</v>
      </c>
      <c r="BS66" s="79"/>
      <c r="BT66" s="79">
        <v>0.0</v>
      </c>
      <c r="BU66" s="79"/>
      <c r="BV66" s="79">
        <v>0.0</v>
      </c>
      <c r="BW66" s="79"/>
      <c r="BX66" s="79">
        <v>0.0</v>
      </c>
      <c r="BY66" s="79">
        <v>0.0</v>
      </c>
      <c r="BZ66" s="79" t="s">
        <v>491</v>
      </c>
      <c r="CA66" s="79">
        <v>0.0</v>
      </c>
      <c r="CB66" s="79" t="s">
        <v>507</v>
      </c>
      <c r="CC66" s="79" t="s">
        <v>508</v>
      </c>
      <c r="CD66" s="79">
        <v>0.0</v>
      </c>
      <c r="CE66" s="79"/>
      <c r="CF66" s="79">
        <v>0.0</v>
      </c>
      <c r="CG66" s="79"/>
      <c r="CH66" s="79">
        <v>0.0</v>
      </c>
      <c r="CI66" s="79"/>
      <c r="CJ66" s="79">
        <v>0.0</v>
      </c>
      <c r="CK66" s="79"/>
      <c r="CL66" s="79">
        <v>0.0</v>
      </c>
      <c r="CM66" s="79"/>
      <c r="CN66" s="79">
        <v>0.0</v>
      </c>
      <c r="CO66" s="79" t="s">
        <v>493</v>
      </c>
      <c r="CP66" s="79">
        <v>0.0</v>
      </c>
      <c r="CQ66" s="79" t="s">
        <v>494</v>
      </c>
      <c r="CR66" s="79">
        <v>0.0</v>
      </c>
      <c r="CS66" s="79" t="s">
        <v>495</v>
      </c>
      <c r="CT66" s="79">
        <v>0.0</v>
      </c>
      <c r="CU66" s="79" t="s">
        <v>496</v>
      </c>
      <c r="CV66" s="79">
        <v>0.0</v>
      </c>
      <c r="CW66" s="79"/>
      <c r="CX66" s="79">
        <v>0.0</v>
      </c>
      <c r="CY66" s="79"/>
      <c r="CZ66" s="79">
        <v>0.0</v>
      </c>
      <c r="DA66" s="79"/>
      <c r="DB66" s="79">
        <v>0.0</v>
      </c>
      <c r="DC66" s="79"/>
      <c r="DD66" s="79">
        <v>0.0</v>
      </c>
      <c r="DE66" s="79">
        <v>44000.0</v>
      </c>
      <c r="DF66" s="79">
        <v>81800.0</v>
      </c>
      <c r="DG66" s="79">
        <v>0.0</v>
      </c>
      <c r="DH66" s="79">
        <v>0.0</v>
      </c>
      <c r="DI66" s="79">
        <v>65440.0</v>
      </c>
      <c r="DJ66" s="79" t="s">
        <v>923</v>
      </c>
      <c r="DK66" s="79" t="s">
        <v>486</v>
      </c>
      <c r="DL66" s="79" t="s">
        <v>537</v>
      </c>
      <c r="DM66" s="79" t="s">
        <v>924</v>
      </c>
      <c r="DN66" s="79" t="s">
        <v>925</v>
      </c>
      <c r="DO66" s="79" t="s">
        <v>926</v>
      </c>
      <c r="DP66" s="79"/>
      <c r="DQ66" s="79"/>
      <c r="DR66" s="79"/>
      <c r="DS66" s="79"/>
      <c r="DT66" s="82"/>
      <c r="DU66" s="79"/>
      <c r="DV66" s="82"/>
      <c r="DW66" s="79"/>
      <c r="DX66" s="79"/>
      <c r="DY66" s="79"/>
      <c r="DZ66" s="79"/>
      <c r="EA66" s="79"/>
      <c r="EB66" s="79"/>
      <c r="EC66" s="79"/>
      <c r="ED66" s="79"/>
      <c r="EE66" s="79"/>
      <c r="EF66" s="82"/>
      <c r="EG66" s="79"/>
      <c r="EH66" s="82"/>
      <c r="EI66" s="79"/>
      <c r="EJ66" s="82"/>
      <c r="EK66" s="79"/>
      <c r="EL66" s="82"/>
      <c r="EM66" s="79"/>
      <c r="EN66" s="79" t="s">
        <v>79</v>
      </c>
      <c r="EO66" s="79"/>
      <c r="EP66" s="80"/>
      <c r="EQ66" s="83"/>
      <c r="ER66" s="83" t="str">
        <f t="shared" si="3"/>
        <v/>
      </c>
      <c r="ES66" s="79"/>
      <c r="ET66" s="79" t="str">
        <f t="shared" si="4"/>
        <v/>
      </c>
      <c r="EU66" s="79"/>
      <c r="EV66" s="82"/>
      <c r="EW66" s="82"/>
      <c r="EX66" s="82"/>
      <c r="EY66" s="82"/>
      <c r="EZ66" s="19"/>
      <c r="FA66" s="19"/>
      <c r="FB66" s="19"/>
    </row>
    <row r="67" ht="15.75" customHeight="1">
      <c r="A67" s="79" t="s">
        <v>927</v>
      </c>
      <c r="B67" s="79" t="s">
        <v>928</v>
      </c>
      <c r="C67" s="79" t="s">
        <v>476</v>
      </c>
      <c r="D67" s="80">
        <v>46104.0</v>
      </c>
      <c r="E67" s="79"/>
      <c r="F67" s="82"/>
      <c r="G67" s="79" t="s">
        <v>504</v>
      </c>
      <c r="H67" s="79" t="s">
        <v>895</v>
      </c>
      <c r="I67" s="79"/>
      <c r="J67" s="79" t="s">
        <v>896</v>
      </c>
      <c r="K67" s="79">
        <v>3000.0</v>
      </c>
      <c r="L67" s="79"/>
      <c r="M67" s="79" t="s">
        <v>897</v>
      </c>
      <c r="N67" s="79" t="s">
        <v>898</v>
      </c>
      <c r="O67" s="79" t="s">
        <v>484</v>
      </c>
      <c r="P67" s="79"/>
      <c r="Q67" s="79" t="s">
        <v>899</v>
      </c>
      <c r="R67" s="80">
        <v>46477.0</v>
      </c>
      <c r="S67" s="79"/>
      <c r="T67" s="79">
        <v>11201.0</v>
      </c>
      <c r="U67" s="79"/>
      <c r="V67" s="79"/>
      <c r="W67" s="79"/>
      <c r="X67" s="79"/>
      <c r="Y67" s="79"/>
      <c r="Z67" s="79" t="s">
        <v>524</v>
      </c>
      <c r="AA67" s="79" t="s">
        <v>487</v>
      </c>
      <c r="AB67" s="79" t="s">
        <v>486</v>
      </c>
      <c r="AC67" s="79" t="s">
        <v>488</v>
      </c>
      <c r="AD67" s="79">
        <v>112973.0</v>
      </c>
      <c r="AE67" s="79">
        <v>0.0</v>
      </c>
      <c r="AF67" s="79">
        <v>0.0</v>
      </c>
      <c r="AG67" s="79">
        <v>11297.0</v>
      </c>
      <c r="AH67" s="83">
        <v>124270.0</v>
      </c>
      <c r="AI67" s="79"/>
      <c r="AJ67" s="79">
        <v>0.0</v>
      </c>
      <c r="AK67" s="79">
        <v>27784.0</v>
      </c>
      <c r="AL67" s="83">
        <v>0.0</v>
      </c>
      <c r="AM67" s="79">
        <v>0.0</v>
      </c>
      <c r="AN67" s="79">
        <v>2778.0</v>
      </c>
      <c r="AO67" s="79">
        <v>30562.0</v>
      </c>
      <c r="AP67" s="79">
        <v>0.0</v>
      </c>
      <c r="AQ67" s="79">
        <v>85189.0</v>
      </c>
      <c r="AR67" s="79" t="s">
        <v>489</v>
      </c>
      <c r="AS67" s="79">
        <v>0.0</v>
      </c>
      <c r="AT67" s="79" t="s">
        <v>490</v>
      </c>
      <c r="AU67" s="79" t="s">
        <v>491</v>
      </c>
      <c r="AV67" s="79">
        <v>0.0</v>
      </c>
      <c r="AW67" s="79" t="s">
        <v>508</v>
      </c>
      <c r="AX67" s="79">
        <v>0.0</v>
      </c>
      <c r="AY67" s="79"/>
      <c r="AZ67" s="79">
        <v>0.0</v>
      </c>
      <c r="BA67" s="79"/>
      <c r="BB67" s="79">
        <v>0.0</v>
      </c>
      <c r="BC67" s="82"/>
      <c r="BD67" s="79">
        <v>0.0</v>
      </c>
      <c r="BE67" s="82"/>
      <c r="BF67" s="79">
        <v>0.0</v>
      </c>
      <c r="BG67" s="79"/>
      <c r="BH67" s="79">
        <v>0.0</v>
      </c>
      <c r="BI67" s="79" t="s">
        <v>493</v>
      </c>
      <c r="BJ67" s="79">
        <v>0.0</v>
      </c>
      <c r="BK67" s="79" t="s">
        <v>494</v>
      </c>
      <c r="BL67" s="79">
        <v>0.0</v>
      </c>
      <c r="BM67" s="79" t="s">
        <v>495</v>
      </c>
      <c r="BN67" s="79">
        <v>0.0</v>
      </c>
      <c r="BO67" s="79" t="s">
        <v>496</v>
      </c>
      <c r="BP67" s="79">
        <v>0.0</v>
      </c>
      <c r="BQ67" s="79"/>
      <c r="BR67" s="79">
        <v>0.0</v>
      </c>
      <c r="BS67" s="79"/>
      <c r="BT67" s="79">
        <v>0.0</v>
      </c>
      <c r="BU67" s="79"/>
      <c r="BV67" s="79">
        <v>0.0</v>
      </c>
      <c r="BW67" s="79"/>
      <c r="BX67" s="79">
        <v>0.0</v>
      </c>
      <c r="BY67" s="79">
        <v>0.0</v>
      </c>
      <c r="BZ67" s="79" t="s">
        <v>491</v>
      </c>
      <c r="CA67" s="79">
        <v>0.0</v>
      </c>
      <c r="CB67" s="79" t="s">
        <v>490</v>
      </c>
      <c r="CC67" s="79" t="s">
        <v>508</v>
      </c>
      <c r="CD67" s="79">
        <v>0.0</v>
      </c>
      <c r="CE67" s="79"/>
      <c r="CF67" s="79">
        <v>0.0</v>
      </c>
      <c r="CG67" s="79"/>
      <c r="CH67" s="79">
        <v>0.0</v>
      </c>
      <c r="CI67" s="79"/>
      <c r="CJ67" s="79">
        <v>0.0</v>
      </c>
      <c r="CK67" s="79"/>
      <c r="CL67" s="79">
        <v>0.0</v>
      </c>
      <c r="CM67" s="79"/>
      <c r="CN67" s="79">
        <v>0.0</v>
      </c>
      <c r="CO67" s="79" t="s">
        <v>493</v>
      </c>
      <c r="CP67" s="79">
        <v>0.0</v>
      </c>
      <c r="CQ67" s="79" t="s">
        <v>494</v>
      </c>
      <c r="CR67" s="79">
        <v>0.0</v>
      </c>
      <c r="CS67" s="79" t="s">
        <v>495</v>
      </c>
      <c r="CT67" s="79">
        <v>0.0</v>
      </c>
      <c r="CU67" s="79" t="s">
        <v>496</v>
      </c>
      <c r="CV67" s="79">
        <v>0.0</v>
      </c>
      <c r="CW67" s="79"/>
      <c r="CX67" s="79">
        <v>0.0</v>
      </c>
      <c r="CY67" s="79"/>
      <c r="CZ67" s="79">
        <v>0.0</v>
      </c>
      <c r="DA67" s="79"/>
      <c r="DB67" s="79">
        <v>0.0</v>
      </c>
      <c r="DC67" s="79"/>
      <c r="DD67" s="79">
        <v>0.0</v>
      </c>
      <c r="DE67" s="79">
        <v>68000.0</v>
      </c>
      <c r="DF67" s="79">
        <v>44973.0</v>
      </c>
      <c r="DG67" s="79">
        <v>0.0</v>
      </c>
      <c r="DH67" s="79">
        <v>0.0</v>
      </c>
      <c r="DI67" s="79">
        <v>27784.0</v>
      </c>
      <c r="DJ67" s="79"/>
      <c r="DK67" s="79"/>
      <c r="DL67" s="79"/>
      <c r="DM67" s="79"/>
      <c r="DN67" s="82"/>
      <c r="DO67" s="79"/>
      <c r="DP67" s="82"/>
      <c r="DQ67" s="79"/>
      <c r="DR67" s="82"/>
      <c r="DS67" s="79"/>
      <c r="DT67" s="82"/>
      <c r="DU67" s="79"/>
      <c r="DV67" s="82"/>
      <c r="DW67" s="79"/>
      <c r="DX67" s="79"/>
      <c r="DY67" s="79"/>
      <c r="DZ67" s="79"/>
      <c r="EA67" s="79"/>
      <c r="EB67" s="79"/>
      <c r="EC67" s="79"/>
      <c r="ED67" s="79"/>
      <c r="EE67" s="79"/>
      <c r="EF67" s="82"/>
      <c r="EG67" s="79"/>
      <c r="EH67" s="82"/>
      <c r="EI67" s="79"/>
      <c r="EJ67" s="82"/>
      <c r="EK67" s="79"/>
      <c r="EL67" s="82"/>
      <c r="EM67" s="79"/>
      <c r="EN67" s="79" t="s">
        <v>79</v>
      </c>
      <c r="EO67" s="79"/>
      <c r="EP67" s="80"/>
      <c r="EQ67" s="83"/>
      <c r="ER67" s="83" t="str">
        <f t="shared" si="3"/>
        <v/>
      </c>
      <c r="ES67" s="79"/>
      <c r="ET67" s="79" t="str">
        <f t="shared" si="4"/>
        <v/>
      </c>
      <c r="EU67" s="79"/>
      <c r="EV67" s="82"/>
      <c r="EW67" s="82"/>
      <c r="EX67" s="82"/>
      <c r="EY67" s="82"/>
      <c r="EZ67" s="19"/>
      <c r="FA67" s="19"/>
      <c r="FB67" s="19"/>
    </row>
    <row r="68" ht="15.75" customHeight="1">
      <c r="A68" s="79" t="s">
        <v>929</v>
      </c>
      <c r="B68" s="79" t="s">
        <v>475</v>
      </c>
      <c r="C68" s="79" t="s">
        <v>476</v>
      </c>
      <c r="D68" s="80">
        <v>46107.0</v>
      </c>
      <c r="E68" s="79" t="s">
        <v>930</v>
      </c>
      <c r="F68" s="79" t="s">
        <v>568</v>
      </c>
      <c r="G68" s="79" t="s">
        <v>931</v>
      </c>
      <c r="H68" s="79" t="s">
        <v>479</v>
      </c>
      <c r="I68" s="79" t="s">
        <v>737</v>
      </c>
      <c r="J68" s="79" t="s">
        <v>932</v>
      </c>
      <c r="K68" s="79">
        <v>2000.0</v>
      </c>
      <c r="L68" s="79"/>
      <c r="M68" s="79" t="s">
        <v>933</v>
      </c>
      <c r="N68" s="79" t="s">
        <v>934</v>
      </c>
      <c r="O68" s="79"/>
      <c r="P68" s="79"/>
      <c r="Q68" s="79" t="s">
        <v>935</v>
      </c>
      <c r="R68" s="80">
        <v>46565.0</v>
      </c>
      <c r="S68" s="79"/>
      <c r="T68" s="79">
        <v>30976.0</v>
      </c>
      <c r="U68" s="79"/>
      <c r="V68" s="79"/>
      <c r="W68" s="80">
        <v>46107.0</v>
      </c>
      <c r="X68" s="79"/>
      <c r="Y68" s="80">
        <v>46107.0</v>
      </c>
      <c r="Z68" s="79" t="s">
        <v>486</v>
      </c>
      <c r="AA68" s="79" t="s">
        <v>555</v>
      </c>
      <c r="AB68" s="79" t="s">
        <v>486</v>
      </c>
      <c r="AC68" s="79" t="s">
        <v>488</v>
      </c>
      <c r="AD68" s="79">
        <v>3320.0</v>
      </c>
      <c r="AE68" s="79">
        <v>0.0</v>
      </c>
      <c r="AF68" s="79">
        <v>0.0</v>
      </c>
      <c r="AG68" s="79">
        <v>332.0</v>
      </c>
      <c r="AH68" s="81">
        <v>3652.0</v>
      </c>
      <c r="AI68" s="79"/>
      <c r="AJ68" s="79">
        <v>0.0</v>
      </c>
      <c r="AK68" s="79">
        <v>2387.0</v>
      </c>
      <c r="AL68" s="79">
        <v>0.0</v>
      </c>
      <c r="AM68" s="79">
        <v>0.0</v>
      </c>
      <c r="AN68" s="79">
        <v>239.0</v>
      </c>
      <c r="AO68" s="79">
        <v>2626.0</v>
      </c>
      <c r="AP68" s="79">
        <v>0.0</v>
      </c>
      <c r="AQ68" s="79">
        <v>933.0</v>
      </c>
      <c r="AR68" s="79" t="s">
        <v>489</v>
      </c>
      <c r="AS68" s="79">
        <v>0.0</v>
      </c>
      <c r="AT68" s="79" t="s">
        <v>490</v>
      </c>
      <c r="AU68" s="79" t="s">
        <v>491</v>
      </c>
      <c r="AV68" s="79">
        <v>0.0</v>
      </c>
      <c r="AW68" s="79"/>
      <c r="AX68" s="79">
        <v>0.0</v>
      </c>
      <c r="AY68" s="79" t="s">
        <v>492</v>
      </c>
      <c r="AZ68" s="79">
        <v>0.0</v>
      </c>
      <c r="BA68" s="79"/>
      <c r="BB68" s="79">
        <v>0.0</v>
      </c>
      <c r="BC68" s="79"/>
      <c r="BD68" s="79">
        <v>0.0</v>
      </c>
      <c r="BE68" s="79"/>
      <c r="BF68" s="79">
        <v>0.0</v>
      </c>
      <c r="BG68" s="79"/>
      <c r="BH68" s="79">
        <v>0.0</v>
      </c>
      <c r="BI68" s="79" t="s">
        <v>493</v>
      </c>
      <c r="BJ68" s="79">
        <v>0.0</v>
      </c>
      <c r="BK68" s="79" t="s">
        <v>494</v>
      </c>
      <c r="BL68" s="79">
        <v>0.0</v>
      </c>
      <c r="BM68" s="79" t="s">
        <v>495</v>
      </c>
      <c r="BN68" s="79">
        <v>0.0</v>
      </c>
      <c r="BO68" s="79" t="s">
        <v>496</v>
      </c>
      <c r="BP68" s="79">
        <v>0.0</v>
      </c>
      <c r="BQ68" s="79"/>
      <c r="BR68" s="79">
        <v>0.0</v>
      </c>
      <c r="BS68" s="79"/>
      <c r="BT68" s="79">
        <v>0.0</v>
      </c>
      <c r="BU68" s="79"/>
      <c r="BV68" s="79">
        <v>0.0</v>
      </c>
      <c r="BW68" s="79"/>
      <c r="BX68" s="79">
        <v>0.0</v>
      </c>
      <c r="BY68" s="79">
        <v>0.0</v>
      </c>
      <c r="BZ68" s="79" t="s">
        <v>491</v>
      </c>
      <c r="CA68" s="79">
        <v>0.0</v>
      </c>
      <c r="CB68" s="79" t="s">
        <v>490</v>
      </c>
      <c r="CC68" s="79"/>
      <c r="CD68" s="79">
        <v>0.0</v>
      </c>
      <c r="CE68" s="79" t="s">
        <v>492</v>
      </c>
      <c r="CF68" s="79">
        <v>0.0</v>
      </c>
      <c r="CG68" s="79"/>
      <c r="CH68" s="79">
        <v>0.0</v>
      </c>
      <c r="CI68" s="79"/>
      <c r="CJ68" s="79">
        <v>0.0</v>
      </c>
      <c r="CK68" s="79"/>
      <c r="CL68" s="79">
        <v>0.0</v>
      </c>
      <c r="CM68" s="79"/>
      <c r="CN68" s="79">
        <v>0.0</v>
      </c>
      <c r="CO68" s="79" t="s">
        <v>493</v>
      </c>
      <c r="CP68" s="79">
        <v>0.0</v>
      </c>
      <c r="CQ68" s="79" t="s">
        <v>494</v>
      </c>
      <c r="CR68" s="79">
        <v>0.0</v>
      </c>
      <c r="CS68" s="79" t="s">
        <v>495</v>
      </c>
      <c r="CT68" s="79">
        <v>0.0</v>
      </c>
      <c r="CU68" s="79" t="s">
        <v>496</v>
      </c>
      <c r="CV68" s="79">
        <v>0.0</v>
      </c>
      <c r="CW68" s="79"/>
      <c r="CX68" s="79">
        <v>0.0</v>
      </c>
      <c r="CY68" s="79"/>
      <c r="CZ68" s="79">
        <v>0.0</v>
      </c>
      <c r="DA68" s="79"/>
      <c r="DB68" s="79">
        <v>0.0</v>
      </c>
      <c r="DC68" s="79"/>
      <c r="DD68" s="79">
        <v>0.0</v>
      </c>
      <c r="DE68" s="79">
        <v>570.0</v>
      </c>
      <c r="DF68" s="79">
        <v>2750.0</v>
      </c>
      <c r="DG68" s="79">
        <v>0.0</v>
      </c>
      <c r="DH68" s="79">
        <v>0.0</v>
      </c>
      <c r="DI68" s="79">
        <v>2387.0</v>
      </c>
      <c r="DJ68" s="79" t="s">
        <v>936</v>
      </c>
      <c r="DK68" s="79" t="s">
        <v>486</v>
      </c>
      <c r="DL68" s="79" t="s">
        <v>555</v>
      </c>
      <c r="DM68" s="79" t="s">
        <v>937</v>
      </c>
      <c r="DN68" s="79"/>
      <c r="DO68" s="79" t="s">
        <v>938</v>
      </c>
      <c r="DP68" s="79"/>
      <c r="DQ68" s="79"/>
      <c r="DR68" s="79"/>
      <c r="DS68" s="79"/>
      <c r="DT68" s="82"/>
      <c r="DU68" s="79"/>
      <c r="DV68" s="82"/>
      <c r="DW68" s="79"/>
      <c r="DX68" s="79"/>
      <c r="DY68" s="79"/>
      <c r="DZ68" s="79"/>
      <c r="EA68" s="79"/>
      <c r="EB68" s="79"/>
      <c r="EC68" s="79"/>
      <c r="ED68" s="79"/>
      <c r="EE68" s="79"/>
      <c r="EF68" s="82"/>
      <c r="EG68" s="79"/>
      <c r="EH68" s="82"/>
      <c r="EI68" s="79"/>
      <c r="EJ68" s="82"/>
      <c r="EK68" s="79"/>
      <c r="EL68" s="82"/>
      <c r="EM68" s="79"/>
      <c r="EN68" s="79" t="s">
        <v>79</v>
      </c>
      <c r="EO68" s="79"/>
      <c r="EP68" s="80"/>
      <c r="EQ68" s="83"/>
      <c r="ER68" s="83" t="str">
        <f t="shared" si="3"/>
        <v/>
      </c>
      <c r="ES68" s="82"/>
      <c r="ET68" s="79" t="str">
        <f t="shared" si="4"/>
        <v/>
      </c>
      <c r="EU68" s="79"/>
      <c r="EV68" s="79"/>
      <c r="EW68" s="82"/>
      <c r="EX68" s="82"/>
      <c r="EY68" s="82"/>
      <c r="EZ68" s="19"/>
      <c r="FA68" s="19"/>
      <c r="FB68" s="19"/>
    </row>
    <row r="69" ht="15.75" customHeight="1">
      <c r="A69" s="79" t="s">
        <v>939</v>
      </c>
      <c r="B69" s="79" t="s">
        <v>654</v>
      </c>
      <c r="C69" s="79" t="s">
        <v>476</v>
      </c>
      <c r="D69" s="80">
        <v>46107.0</v>
      </c>
      <c r="E69" s="79"/>
      <c r="F69" s="82"/>
      <c r="G69" s="79" t="s">
        <v>940</v>
      </c>
      <c r="H69" s="79" t="s">
        <v>479</v>
      </c>
      <c r="I69" s="79" t="s">
        <v>480</v>
      </c>
      <c r="J69" s="79" t="s">
        <v>941</v>
      </c>
      <c r="K69" s="79">
        <v>2000.0</v>
      </c>
      <c r="L69" s="79" t="s">
        <v>482</v>
      </c>
      <c r="M69" s="79" t="s">
        <v>483</v>
      </c>
      <c r="N69" s="79" t="s">
        <v>942</v>
      </c>
      <c r="O69" s="79" t="s">
        <v>484</v>
      </c>
      <c r="P69" s="79" t="s">
        <v>485</v>
      </c>
      <c r="Q69" s="79" t="s">
        <v>943</v>
      </c>
      <c r="R69" s="80">
        <v>46201.0</v>
      </c>
      <c r="S69" s="79"/>
      <c r="T69" s="79">
        <v>70661.0</v>
      </c>
      <c r="U69" s="79"/>
      <c r="V69" s="79"/>
      <c r="W69" s="79"/>
      <c r="X69" s="79"/>
      <c r="Y69" s="79"/>
      <c r="Z69" s="79"/>
      <c r="AA69" s="79" t="s">
        <v>627</v>
      </c>
      <c r="AB69" s="79" t="s">
        <v>486</v>
      </c>
      <c r="AC69" s="79" t="s">
        <v>488</v>
      </c>
      <c r="AD69" s="79">
        <v>16000.0</v>
      </c>
      <c r="AE69" s="79">
        <v>0.0</v>
      </c>
      <c r="AF69" s="79">
        <v>0.0</v>
      </c>
      <c r="AG69" s="79">
        <v>1600.0</v>
      </c>
      <c r="AH69" s="83">
        <v>17600.0</v>
      </c>
      <c r="AI69" s="79"/>
      <c r="AJ69" s="79">
        <v>0.0</v>
      </c>
      <c r="AK69" s="79">
        <v>0.0</v>
      </c>
      <c r="AL69" s="83">
        <v>0.0</v>
      </c>
      <c r="AM69" s="79">
        <v>0.0</v>
      </c>
      <c r="AN69" s="79">
        <v>0.0</v>
      </c>
      <c r="AO69" s="79">
        <v>0.0</v>
      </c>
      <c r="AP69" s="79">
        <v>0.0</v>
      </c>
      <c r="AQ69" s="79">
        <v>16000.0</v>
      </c>
      <c r="AR69" s="79" t="s">
        <v>489</v>
      </c>
      <c r="AS69" s="79">
        <v>0.0</v>
      </c>
      <c r="AT69" s="79" t="s">
        <v>507</v>
      </c>
      <c r="AU69" s="79" t="s">
        <v>491</v>
      </c>
      <c r="AV69" s="79">
        <v>0.0</v>
      </c>
      <c r="AW69" s="79" t="s">
        <v>508</v>
      </c>
      <c r="AX69" s="79">
        <v>0.0</v>
      </c>
      <c r="AY69" s="82"/>
      <c r="AZ69" s="79">
        <v>0.0</v>
      </c>
      <c r="BA69" s="79"/>
      <c r="BB69" s="79">
        <v>0.0</v>
      </c>
      <c r="BC69" s="79"/>
      <c r="BD69" s="79">
        <v>0.0</v>
      </c>
      <c r="BE69" s="82"/>
      <c r="BF69" s="79">
        <v>0.0</v>
      </c>
      <c r="BG69" s="79"/>
      <c r="BH69" s="79">
        <v>0.0</v>
      </c>
      <c r="BI69" s="79" t="s">
        <v>493</v>
      </c>
      <c r="BJ69" s="79">
        <v>0.0</v>
      </c>
      <c r="BK69" s="79" t="s">
        <v>494</v>
      </c>
      <c r="BL69" s="79">
        <v>0.0</v>
      </c>
      <c r="BM69" s="79" t="s">
        <v>495</v>
      </c>
      <c r="BN69" s="79">
        <v>0.0</v>
      </c>
      <c r="BO69" s="79" t="s">
        <v>496</v>
      </c>
      <c r="BP69" s="79">
        <v>0.0</v>
      </c>
      <c r="BQ69" s="79"/>
      <c r="BR69" s="79">
        <v>0.0</v>
      </c>
      <c r="BS69" s="79"/>
      <c r="BT69" s="79">
        <v>0.0</v>
      </c>
      <c r="BU69" s="79"/>
      <c r="BV69" s="79">
        <v>0.0</v>
      </c>
      <c r="BW69" s="79"/>
      <c r="BX69" s="79">
        <v>0.0</v>
      </c>
      <c r="BY69" s="79">
        <v>0.0</v>
      </c>
      <c r="BZ69" s="79" t="s">
        <v>491</v>
      </c>
      <c r="CA69" s="79">
        <v>0.0</v>
      </c>
      <c r="CB69" s="79" t="s">
        <v>507</v>
      </c>
      <c r="CC69" s="79" t="s">
        <v>508</v>
      </c>
      <c r="CD69" s="79">
        <v>0.0</v>
      </c>
      <c r="CE69" s="79"/>
      <c r="CF69" s="79">
        <v>0.0</v>
      </c>
      <c r="CG69" s="79"/>
      <c r="CH69" s="79">
        <v>0.0</v>
      </c>
      <c r="CI69" s="79"/>
      <c r="CJ69" s="79">
        <v>0.0</v>
      </c>
      <c r="CK69" s="79"/>
      <c r="CL69" s="79">
        <v>0.0</v>
      </c>
      <c r="CM69" s="79"/>
      <c r="CN69" s="79">
        <v>0.0</v>
      </c>
      <c r="CO69" s="79" t="s">
        <v>493</v>
      </c>
      <c r="CP69" s="79">
        <v>0.0</v>
      </c>
      <c r="CQ69" s="79" t="s">
        <v>494</v>
      </c>
      <c r="CR69" s="79">
        <v>0.0</v>
      </c>
      <c r="CS69" s="79" t="s">
        <v>495</v>
      </c>
      <c r="CT69" s="79">
        <v>0.0</v>
      </c>
      <c r="CU69" s="79" t="s">
        <v>496</v>
      </c>
      <c r="CV69" s="79">
        <v>0.0</v>
      </c>
      <c r="CW69" s="79"/>
      <c r="CX69" s="79">
        <v>0.0</v>
      </c>
      <c r="CY69" s="79"/>
      <c r="CZ69" s="79">
        <v>0.0</v>
      </c>
      <c r="DA69" s="79"/>
      <c r="DB69" s="79">
        <v>0.0</v>
      </c>
      <c r="DC69" s="79"/>
      <c r="DD69" s="79">
        <v>0.0</v>
      </c>
      <c r="DE69" s="79">
        <v>16000.0</v>
      </c>
      <c r="DF69" s="79">
        <v>0.0</v>
      </c>
      <c r="DG69" s="79">
        <v>0.0</v>
      </c>
      <c r="DH69" s="79">
        <v>0.0</v>
      </c>
      <c r="DI69" s="79">
        <v>0.0</v>
      </c>
      <c r="DJ69" s="79"/>
      <c r="DK69" s="79"/>
      <c r="DL69" s="82"/>
      <c r="DM69" s="79"/>
      <c r="DN69" s="79"/>
      <c r="DO69" s="79"/>
      <c r="DP69" s="82"/>
      <c r="DQ69" s="79"/>
      <c r="DR69" s="82"/>
      <c r="DS69" s="79"/>
      <c r="DT69" s="82"/>
      <c r="DU69" s="79"/>
      <c r="DV69" s="82"/>
      <c r="DW69" s="79"/>
      <c r="DX69" s="79"/>
      <c r="DY69" s="79"/>
      <c r="DZ69" s="79"/>
      <c r="EA69" s="79"/>
      <c r="EB69" s="79"/>
      <c r="EC69" s="79"/>
      <c r="ED69" s="79"/>
      <c r="EE69" s="79"/>
      <c r="EF69" s="82"/>
      <c r="EG69" s="79"/>
      <c r="EH69" s="82"/>
      <c r="EI69" s="79"/>
      <c r="EJ69" s="82"/>
      <c r="EK69" s="79"/>
      <c r="EL69" s="82"/>
      <c r="EM69" s="79"/>
      <c r="EN69" s="79" t="s">
        <v>79</v>
      </c>
      <c r="EO69" s="79"/>
      <c r="EP69" s="80"/>
      <c r="EQ69" s="83"/>
      <c r="ER69" s="83" t="str">
        <f t="shared" si="3"/>
        <v/>
      </c>
      <c r="ES69" s="82"/>
      <c r="ET69" s="79" t="str">
        <f t="shared" si="4"/>
        <v/>
      </c>
      <c r="EU69" s="79"/>
      <c r="EV69" s="79"/>
      <c r="EW69" s="82"/>
      <c r="EX69" s="82"/>
      <c r="EY69" s="82"/>
      <c r="EZ69" s="19"/>
      <c r="FA69" s="19"/>
      <c r="FB69" s="19"/>
    </row>
    <row r="70" ht="15.75" customHeight="1">
      <c r="A70" s="79" t="s">
        <v>944</v>
      </c>
      <c r="B70" s="79" t="s">
        <v>475</v>
      </c>
      <c r="C70" s="79" t="s">
        <v>476</v>
      </c>
      <c r="D70" s="80">
        <v>46109.0</v>
      </c>
      <c r="E70" s="79" t="s">
        <v>945</v>
      </c>
      <c r="F70" s="79"/>
      <c r="G70" s="79" t="s">
        <v>931</v>
      </c>
      <c r="H70" s="79" t="s">
        <v>946</v>
      </c>
      <c r="I70" s="79"/>
      <c r="J70" s="79" t="s">
        <v>947</v>
      </c>
      <c r="K70" s="79">
        <v>3000.0</v>
      </c>
      <c r="L70" s="79"/>
      <c r="M70" s="79" t="s">
        <v>948</v>
      </c>
      <c r="N70" s="79" t="s">
        <v>572</v>
      </c>
      <c r="O70" s="79"/>
      <c r="P70" s="79"/>
      <c r="Q70" s="79" t="s">
        <v>949</v>
      </c>
      <c r="R70" s="80">
        <v>46555.0</v>
      </c>
      <c r="S70" s="79"/>
      <c r="T70" s="79">
        <v>15270.0</v>
      </c>
      <c r="U70" s="79"/>
      <c r="V70" s="79"/>
      <c r="W70" s="79"/>
      <c r="X70" s="79"/>
      <c r="Y70" s="79"/>
      <c r="Z70" s="79" t="s">
        <v>486</v>
      </c>
      <c r="AA70" s="79" t="s">
        <v>487</v>
      </c>
      <c r="AB70" s="79" t="s">
        <v>486</v>
      </c>
      <c r="AC70" s="79" t="s">
        <v>488</v>
      </c>
      <c r="AD70" s="79">
        <v>6400.0</v>
      </c>
      <c r="AE70" s="79">
        <v>0.0</v>
      </c>
      <c r="AF70" s="79">
        <v>0.0</v>
      </c>
      <c r="AG70" s="79">
        <v>640.0</v>
      </c>
      <c r="AH70" s="81">
        <v>7040.0</v>
      </c>
      <c r="AI70" s="79"/>
      <c r="AJ70" s="79">
        <v>0.0</v>
      </c>
      <c r="AK70" s="79">
        <v>0.0</v>
      </c>
      <c r="AL70" s="79">
        <v>0.0</v>
      </c>
      <c r="AM70" s="79">
        <v>0.0</v>
      </c>
      <c r="AN70" s="79">
        <v>0.0</v>
      </c>
      <c r="AO70" s="79">
        <v>0.0</v>
      </c>
      <c r="AP70" s="79">
        <v>0.0</v>
      </c>
      <c r="AQ70" s="79">
        <v>6400.0</v>
      </c>
      <c r="AR70" s="79" t="s">
        <v>489</v>
      </c>
      <c r="AS70" s="79">
        <v>0.0</v>
      </c>
      <c r="AT70" s="79" t="s">
        <v>490</v>
      </c>
      <c r="AU70" s="79" t="s">
        <v>491</v>
      </c>
      <c r="AV70" s="79">
        <v>0.0</v>
      </c>
      <c r="AW70" s="79"/>
      <c r="AX70" s="79">
        <v>0.0</v>
      </c>
      <c r="AY70" s="79" t="s">
        <v>492</v>
      </c>
      <c r="AZ70" s="79">
        <v>0.0</v>
      </c>
      <c r="BA70" s="79"/>
      <c r="BB70" s="79">
        <v>0.0</v>
      </c>
      <c r="BC70" s="79"/>
      <c r="BD70" s="79">
        <v>0.0</v>
      </c>
      <c r="BE70" s="79"/>
      <c r="BF70" s="79">
        <v>0.0</v>
      </c>
      <c r="BG70" s="79"/>
      <c r="BH70" s="79">
        <v>0.0</v>
      </c>
      <c r="BI70" s="79" t="s">
        <v>493</v>
      </c>
      <c r="BJ70" s="79">
        <v>0.0</v>
      </c>
      <c r="BK70" s="79" t="s">
        <v>494</v>
      </c>
      <c r="BL70" s="79">
        <v>0.0</v>
      </c>
      <c r="BM70" s="79" t="s">
        <v>495</v>
      </c>
      <c r="BN70" s="79">
        <v>0.0</v>
      </c>
      <c r="BO70" s="79" t="s">
        <v>496</v>
      </c>
      <c r="BP70" s="79">
        <v>0.0</v>
      </c>
      <c r="BQ70" s="79"/>
      <c r="BR70" s="79">
        <v>0.0</v>
      </c>
      <c r="BS70" s="79"/>
      <c r="BT70" s="79">
        <v>0.0</v>
      </c>
      <c r="BU70" s="79"/>
      <c r="BV70" s="79">
        <v>0.0</v>
      </c>
      <c r="BW70" s="79"/>
      <c r="BX70" s="79">
        <v>0.0</v>
      </c>
      <c r="BY70" s="79">
        <v>0.0</v>
      </c>
      <c r="BZ70" s="79" t="s">
        <v>491</v>
      </c>
      <c r="CA70" s="79">
        <v>0.0</v>
      </c>
      <c r="CB70" s="79" t="s">
        <v>490</v>
      </c>
      <c r="CC70" s="79"/>
      <c r="CD70" s="79">
        <v>0.0</v>
      </c>
      <c r="CE70" s="79" t="s">
        <v>492</v>
      </c>
      <c r="CF70" s="79">
        <v>0.0</v>
      </c>
      <c r="CG70" s="79"/>
      <c r="CH70" s="79">
        <v>0.0</v>
      </c>
      <c r="CI70" s="79"/>
      <c r="CJ70" s="79">
        <v>0.0</v>
      </c>
      <c r="CK70" s="79"/>
      <c r="CL70" s="79">
        <v>0.0</v>
      </c>
      <c r="CM70" s="79"/>
      <c r="CN70" s="79">
        <v>0.0</v>
      </c>
      <c r="CO70" s="79" t="s">
        <v>493</v>
      </c>
      <c r="CP70" s="79">
        <v>0.0</v>
      </c>
      <c r="CQ70" s="79" t="s">
        <v>494</v>
      </c>
      <c r="CR70" s="79">
        <v>0.0</v>
      </c>
      <c r="CS70" s="79" t="s">
        <v>495</v>
      </c>
      <c r="CT70" s="79">
        <v>0.0</v>
      </c>
      <c r="CU70" s="79" t="s">
        <v>496</v>
      </c>
      <c r="CV70" s="79">
        <v>0.0</v>
      </c>
      <c r="CW70" s="79"/>
      <c r="CX70" s="79">
        <v>0.0</v>
      </c>
      <c r="CY70" s="79"/>
      <c r="CZ70" s="79">
        <v>0.0</v>
      </c>
      <c r="DA70" s="79"/>
      <c r="DB70" s="79">
        <v>0.0</v>
      </c>
      <c r="DC70" s="79"/>
      <c r="DD70" s="79">
        <v>0.0</v>
      </c>
      <c r="DE70" s="79">
        <v>6400.0</v>
      </c>
      <c r="DF70" s="79">
        <v>0.0</v>
      </c>
      <c r="DG70" s="79">
        <v>0.0</v>
      </c>
      <c r="DH70" s="79">
        <v>0.0</v>
      </c>
      <c r="DI70" s="79">
        <v>0.0</v>
      </c>
      <c r="DJ70" s="79" t="s">
        <v>950</v>
      </c>
      <c r="DK70" s="79" t="s">
        <v>486</v>
      </c>
      <c r="DL70" s="79" t="s">
        <v>487</v>
      </c>
      <c r="DM70" s="79" t="s">
        <v>951</v>
      </c>
      <c r="DN70" s="79"/>
      <c r="DO70" s="79" t="s">
        <v>952</v>
      </c>
      <c r="DP70" s="79"/>
      <c r="DQ70" s="79"/>
      <c r="DR70" s="79"/>
      <c r="DS70" s="79"/>
      <c r="DT70" s="82"/>
      <c r="DU70" s="79"/>
      <c r="DV70" s="82"/>
      <c r="DW70" s="79"/>
      <c r="DX70" s="79"/>
      <c r="DY70" s="79"/>
      <c r="DZ70" s="79"/>
      <c r="EA70" s="79"/>
      <c r="EB70" s="79"/>
      <c r="EC70" s="79"/>
      <c r="ED70" s="79"/>
      <c r="EE70" s="79"/>
      <c r="EF70" s="82"/>
      <c r="EG70" s="79"/>
      <c r="EH70" s="82"/>
      <c r="EI70" s="79"/>
      <c r="EJ70" s="82"/>
      <c r="EK70" s="79"/>
      <c r="EL70" s="82"/>
      <c r="EM70" s="79"/>
      <c r="EN70" s="79" t="s">
        <v>79</v>
      </c>
      <c r="EO70" s="79"/>
      <c r="EP70" s="80"/>
      <c r="EQ70" s="83"/>
      <c r="ER70" s="83" t="str">
        <f t="shared" si="3"/>
        <v/>
      </c>
      <c r="ES70" s="79"/>
      <c r="ET70" s="79" t="str">
        <f t="shared" si="4"/>
        <v/>
      </c>
      <c r="EU70" s="79"/>
      <c r="EV70" s="82"/>
      <c r="EW70" s="82"/>
      <c r="EX70" s="82"/>
      <c r="EY70" s="82"/>
      <c r="EZ70" s="19"/>
      <c r="FA70" s="19"/>
      <c r="FB70" s="19"/>
    </row>
    <row r="71" ht="15.75" customHeight="1">
      <c r="A71" s="79" t="s">
        <v>953</v>
      </c>
      <c r="B71" s="79" t="s">
        <v>475</v>
      </c>
      <c r="C71" s="79" t="s">
        <v>476</v>
      </c>
      <c r="D71" s="80">
        <v>46109.0</v>
      </c>
      <c r="E71" s="79" t="s">
        <v>954</v>
      </c>
      <c r="F71" s="79"/>
      <c r="G71" s="79" t="s">
        <v>955</v>
      </c>
      <c r="H71" s="79" t="s">
        <v>956</v>
      </c>
      <c r="I71" s="79"/>
      <c r="J71" s="79" t="s">
        <v>957</v>
      </c>
      <c r="K71" s="79">
        <v>0.0</v>
      </c>
      <c r="L71" s="79"/>
      <c r="M71" s="79" t="s">
        <v>958</v>
      </c>
      <c r="N71" s="79"/>
      <c r="O71" s="79"/>
      <c r="P71" s="79"/>
      <c r="Q71" s="79"/>
      <c r="R71" s="80">
        <v>46567.0</v>
      </c>
      <c r="S71" s="79"/>
      <c r="T71" s="79">
        <v>43921.0</v>
      </c>
      <c r="U71" s="79"/>
      <c r="V71" s="79"/>
      <c r="W71" s="79"/>
      <c r="X71" s="79"/>
      <c r="Y71" s="79"/>
      <c r="Z71" s="79" t="s">
        <v>486</v>
      </c>
      <c r="AA71" s="79" t="s">
        <v>487</v>
      </c>
      <c r="AB71" s="79" t="s">
        <v>486</v>
      </c>
      <c r="AC71" s="79" t="s">
        <v>488</v>
      </c>
      <c r="AD71" s="79">
        <v>27700.0</v>
      </c>
      <c r="AE71" s="79">
        <v>0.0</v>
      </c>
      <c r="AF71" s="79">
        <v>0.0</v>
      </c>
      <c r="AG71" s="79">
        <v>2770.0</v>
      </c>
      <c r="AH71" s="81">
        <v>30470.0</v>
      </c>
      <c r="AI71" s="79"/>
      <c r="AJ71" s="79">
        <v>0.0</v>
      </c>
      <c r="AK71" s="79">
        <v>10930.0</v>
      </c>
      <c r="AL71" s="79">
        <v>0.0</v>
      </c>
      <c r="AM71" s="79">
        <v>0.0</v>
      </c>
      <c r="AN71" s="79">
        <v>1093.0</v>
      </c>
      <c r="AO71" s="79">
        <v>12023.0</v>
      </c>
      <c r="AP71" s="79">
        <v>0.0</v>
      </c>
      <c r="AQ71" s="79">
        <v>16770.0</v>
      </c>
      <c r="AR71" s="79" t="s">
        <v>489</v>
      </c>
      <c r="AS71" s="79">
        <v>0.0</v>
      </c>
      <c r="AT71" s="79" t="s">
        <v>507</v>
      </c>
      <c r="AU71" s="79" t="s">
        <v>491</v>
      </c>
      <c r="AV71" s="79">
        <v>0.0</v>
      </c>
      <c r="AW71" s="79" t="s">
        <v>508</v>
      </c>
      <c r="AX71" s="79">
        <v>0.0</v>
      </c>
      <c r="AY71" s="79"/>
      <c r="AZ71" s="79">
        <v>0.0</v>
      </c>
      <c r="BA71" s="79"/>
      <c r="BB71" s="79">
        <v>0.0</v>
      </c>
      <c r="BC71" s="79"/>
      <c r="BD71" s="79">
        <v>0.0</v>
      </c>
      <c r="BE71" s="79"/>
      <c r="BF71" s="79">
        <v>0.0</v>
      </c>
      <c r="BG71" s="79"/>
      <c r="BH71" s="79">
        <v>0.0</v>
      </c>
      <c r="BI71" s="79" t="s">
        <v>493</v>
      </c>
      <c r="BJ71" s="79">
        <v>0.0</v>
      </c>
      <c r="BK71" s="79" t="s">
        <v>494</v>
      </c>
      <c r="BL71" s="79">
        <v>0.0</v>
      </c>
      <c r="BM71" s="79" t="s">
        <v>495</v>
      </c>
      <c r="BN71" s="79">
        <v>0.0</v>
      </c>
      <c r="BO71" s="79" t="s">
        <v>496</v>
      </c>
      <c r="BP71" s="79">
        <v>0.0</v>
      </c>
      <c r="BQ71" s="79"/>
      <c r="BR71" s="79">
        <v>0.0</v>
      </c>
      <c r="BS71" s="79"/>
      <c r="BT71" s="79">
        <v>0.0</v>
      </c>
      <c r="BU71" s="79"/>
      <c r="BV71" s="79">
        <v>0.0</v>
      </c>
      <c r="BW71" s="79"/>
      <c r="BX71" s="79">
        <v>0.0</v>
      </c>
      <c r="BY71" s="79">
        <v>0.0</v>
      </c>
      <c r="BZ71" s="79" t="s">
        <v>491</v>
      </c>
      <c r="CA71" s="79">
        <v>0.0</v>
      </c>
      <c r="CB71" s="79" t="s">
        <v>507</v>
      </c>
      <c r="CC71" s="79" t="s">
        <v>508</v>
      </c>
      <c r="CD71" s="79">
        <v>0.0</v>
      </c>
      <c r="CE71" s="79"/>
      <c r="CF71" s="79">
        <v>0.0</v>
      </c>
      <c r="CG71" s="79"/>
      <c r="CH71" s="79">
        <v>0.0</v>
      </c>
      <c r="CI71" s="79"/>
      <c r="CJ71" s="79">
        <v>0.0</v>
      </c>
      <c r="CK71" s="79"/>
      <c r="CL71" s="79">
        <v>0.0</v>
      </c>
      <c r="CM71" s="79"/>
      <c r="CN71" s="79">
        <v>0.0</v>
      </c>
      <c r="CO71" s="79" t="s">
        <v>493</v>
      </c>
      <c r="CP71" s="79">
        <v>0.0</v>
      </c>
      <c r="CQ71" s="79" t="s">
        <v>494</v>
      </c>
      <c r="CR71" s="79">
        <v>0.0</v>
      </c>
      <c r="CS71" s="79" t="s">
        <v>495</v>
      </c>
      <c r="CT71" s="79">
        <v>0.0</v>
      </c>
      <c r="CU71" s="79" t="s">
        <v>496</v>
      </c>
      <c r="CV71" s="79">
        <v>0.0</v>
      </c>
      <c r="CW71" s="79"/>
      <c r="CX71" s="79">
        <v>0.0</v>
      </c>
      <c r="CY71" s="79"/>
      <c r="CZ71" s="79">
        <v>0.0</v>
      </c>
      <c r="DA71" s="79"/>
      <c r="DB71" s="79">
        <v>0.0</v>
      </c>
      <c r="DC71" s="79"/>
      <c r="DD71" s="79">
        <v>0.0</v>
      </c>
      <c r="DE71" s="79">
        <v>5100.0</v>
      </c>
      <c r="DF71" s="79">
        <v>22600.0</v>
      </c>
      <c r="DG71" s="79">
        <v>0.0</v>
      </c>
      <c r="DH71" s="79">
        <v>0.0</v>
      </c>
      <c r="DI71" s="79">
        <v>10930.0</v>
      </c>
      <c r="DJ71" s="79" t="s">
        <v>959</v>
      </c>
      <c r="DK71" s="79" t="s">
        <v>486</v>
      </c>
      <c r="DL71" s="79" t="s">
        <v>487</v>
      </c>
      <c r="DM71" s="79" t="s">
        <v>960</v>
      </c>
      <c r="DN71" s="79"/>
      <c r="DO71" s="79" t="s">
        <v>961</v>
      </c>
      <c r="DP71" s="79"/>
      <c r="DQ71" s="79"/>
      <c r="DR71" s="79"/>
      <c r="DS71" s="79"/>
      <c r="DT71" s="82"/>
      <c r="DU71" s="79"/>
      <c r="DV71" s="82"/>
      <c r="DW71" s="79"/>
      <c r="DX71" s="79"/>
      <c r="DY71" s="79"/>
      <c r="DZ71" s="79"/>
      <c r="EA71" s="79"/>
      <c r="EB71" s="79"/>
      <c r="EC71" s="79"/>
      <c r="ED71" s="79"/>
      <c r="EE71" s="79"/>
      <c r="EF71" s="82"/>
      <c r="EG71" s="79"/>
      <c r="EH71" s="82"/>
      <c r="EI71" s="79"/>
      <c r="EJ71" s="82"/>
      <c r="EK71" s="79"/>
      <c r="EL71" s="82"/>
      <c r="EM71" s="79"/>
      <c r="EN71" s="79" t="s">
        <v>79</v>
      </c>
      <c r="EO71" s="79"/>
      <c r="EP71" s="80"/>
      <c r="EQ71" s="83"/>
      <c r="ER71" s="83" t="str">
        <f t="shared" si="3"/>
        <v/>
      </c>
      <c r="ES71" s="79"/>
      <c r="ET71" s="79" t="str">
        <f t="shared" si="4"/>
        <v/>
      </c>
      <c r="EU71" s="79"/>
      <c r="EV71" s="82"/>
      <c r="EW71" s="82"/>
      <c r="EX71" s="82"/>
      <c r="EY71" s="82"/>
      <c r="EZ71" s="79"/>
      <c r="FA71" s="79"/>
      <c r="FB71" s="79"/>
    </row>
    <row r="72" ht="15.75" customHeight="1">
      <c r="A72" s="4" t="s">
        <v>962</v>
      </c>
      <c r="B72" s="4" t="s">
        <v>778</v>
      </c>
      <c r="C72" s="4" t="s">
        <v>476</v>
      </c>
      <c r="D72" s="78">
        <v>46109.0</v>
      </c>
      <c r="E72" s="4" t="s">
        <v>963</v>
      </c>
      <c r="F72" s="19"/>
      <c r="G72" s="4" t="s">
        <v>964</v>
      </c>
      <c r="H72" s="4" t="s">
        <v>965</v>
      </c>
      <c r="R72" s="4" t="s">
        <v>966</v>
      </c>
      <c r="V72" s="4" t="s">
        <v>967</v>
      </c>
      <c r="Y72" s="4" t="s">
        <v>968</v>
      </c>
      <c r="Z72" s="4" t="s">
        <v>597</v>
      </c>
      <c r="AB72" s="4" t="s">
        <v>597</v>
      </c>
      <c r="AH72" s="23">
        <v>107195.0</v>
      </c>
      <c r="AL72" s="19"/>
      <c r="AM72" s="19"/>
      <c r="AN72" s="19"/>
      <c r="AO72" s="19"/>
      <c r="AP72" s="19"/>
      <c r="AQ72" s="4">
        <v>71691.0</v>
      </c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19"/>
      <c r="CW72" s="19"/>
      <c r="CX72" s="19"/>
      <c r="CY72" s="19"/>
      <c r="CZ72" s="19"/>
      <c r="DA72" s="19"/>
      <c r="DB72" s="19"/>
      <c r="DC72" s="19"/>
      <c r="DD72" s="19"/>
      <c r="DE72" s="19"/>
      <c r="DF72" s="19"/>
      <c r="DG72" s="19"/>
      <c r="DH72" s="19"/>
      <c r="DI72" s="19"/>
      <c r="DJ72" s="19"/>
      <c r="DK72" s="19"/>
      <c r="DL72" s="19"/>
      <c r="DM72" s="19"/>
      <c r="DN72" s="19"/>
      <c r="DO72" s="19"/>
      <c r="DP72" s="19"/>
      <c r="DQ72" s="19"/>
      <c r="DR72" s="19"/>
      <c r="DS72" s="19"/>
      <c r="DT72" s="19"/>
      <c r="DU72" s="19"/>
      <c r="DV72" s="19"/>
      <c r="DW72" s="19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4" t="s">
        <v>79</v>
      </c>
      <c r="EO72" s="19"/>
      <c r="EP72" s="17"/>
      <c r="EQ72" s="23"/>
      <c r="ER72" s="23" t="str">
        <f t="shared" si="3"/>
        <v/>
      </c>
      <c r="ES72" s="19"/>
      <c r="ET72" s="19" t="str">
        <f t="shared" si="4"/>
        <v/>
      </c>
      <c r="EU72" s="19"/>
      <c r="EV72" s="19"/>
      <c r="EW72" s="19"/>
      <c r="EX72" s="19"/>
      <c r="EY72" s="19"/>
      <c r="EZ72" s="79"/>
      <c r="FA72" s="79"/>
      <c r="FB72" s="79"/>
    </row>
    <row r="73" ht="15.75" customHeight="1">
      <c r="A73" s="4" t="s">
        <v>969</v>
      </c>
      <c r="B73" s="4" t="s">
        <v>591</v>
      </c>
      <c r="C73" s="4" t="s">
        <v>476</v>
      </c>
      <c r="D73" s="78">
        <v>46109.0</v>
      </c>
      <c r="E73" s="4" t="s">
        <v>970</v>
      </c>
      <c r="F73" s="19"/>
      <c r="G73" s="4" t="s">
        <v>600</v>
      </c>
      <c r="H73" s="4" t="s">
        <v>971</v>
      </c>
      <c r="R73" s="4" t="s">
        <v>972</v>
      </c>
      <c r="Y73" s="4" t="s">
        <v>967</v>
      </c>
      <c r="Z73" s="4" t="s">
        <v>597</v>
      </c>
      <c r="AB73" s="4" t="s">
        <v>597</v>
      </c>
      <c r="AH73" s="23">
        <v>236310.0</v>
      </c>
      <c r="AL73" s="19"/>
      <c r="AM73" s="19"/>
      <c r="AN73" s="19"/>
      <c r="AO73" s="19"/>
      <c r="AP73" s="19"/>
      <c r="AQ73" s="4">
        <v>157875.0</v>
      </c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/>
      <c r="DF73" s="19"/>
      <c r="DG73" s="19"/>
      <c r="DH73" s="19"/>
      <c r="DI73" s="19"/>
      <c r="DJ73" s="19"/>
      <c r="DK73" s="19"/>
      <c r="DL73" s="19"/>
      <c r="DM73" s="19"/>
      <c r="DN73" s="19"/>
      <c r="DO73" s="19"/>
      <c r="DP73" s="19"/>
      <c r="DQ73" s="19"/>
      <c r="DR73" s="19"/>
      <c r="DS73" s="19"/>
      <c r="DT73" s="19"/>
      <c r="DU73" s="19"/>
      <c r="DV73" s="19"/>
      <c r="DW73" s="19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4" t="s">
        <v>79</v>
      </c>
      <c r="EO73" s="19"/>
      <c r="EP73" s="17"/>
      <c r="EQ73" s="23"/>
      <c r="ER73" s="23" t="str">
        <f t="shared" si="3"/>
        <v/>
      </c>
      <c r="ES73" s="19"/>
      <c r="ET73" s="19" t="str">
        <f t="shared" si="4"/>
        <v/>
      </c>
      <c r="EU73" s="19"/>
      <c r="EV73" s="19"/>
      <c r="EW73" s="19"/>
      <c r="EX73" s="19"/>
      <c r="EY73" s="19"/>
      <c r="EZ73" s="79"/>
      <c r="FA73" s="79"/>
      <c r="FB73" s="79"/>
    </row>
    <row r="74" ht="15.75" customHeight="1">
      <c r="A74" s="4" t="s">
        <v>973</v>
      </c>
      <c r="B74" s="4" t="s">
        <v>475</v>
      </c>
      <c r="C74" s="4" t="s">
        <v>476</v>
      </c>
      <c r="D74" s="78">
        <v>46110.0</v>
      </c>
      <c r="E74" s="4" t="s">
        <v>974</v>
      </c>
      <c r="F74" s="19"/>
      <c r="G74" s="4" t="s">
        <v>975</v>
      </c>
      <c r="H74" s="4" t="s">
        <v>976</v>
      </c>
      <c r="R74" s="4" t="s">
        <v>977</v>
      </c>
      <c r="V74" s="4" t="s">
        <v>682</v>
      </c>
      <c r="Y74" s="4" t="s">
        <v>978</v>
      </c>
      <c r="Z74" s="4" t="s">
        <v>597</v>
      </c>
      <c r="AB74" s="4" t="s">
        <v>597</v>
      </c>
      <c r="AH74" s="23">
        <v>80000.0</v>
      </c>
      <c r="AL74" s="19"/>
      <c r="AM74" s="19"/>
      <c r="AN74" s="19"/>
      <c r="AO74" s="19"/>
      <c r="AP74" s="19"/>
      <c r="AQ74" s="4">
        <v>32743.0</v>
      </c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/>
      <c r="DF74" s="19"/>
      <c r="DG74" s="19"/>
      <c r="DH74" s="19"/>
      <c r="DI74" s="19"/>
      <c r="DJ74" s="19"/>
      <c r="DK74" s="19"/>
      <c r="DL74" s="19"/>
      <c r="DM74" s="19"/>
      <c r="DN74" s="19"/>
      <c r="DO74" s="19"/>
      <c r="DP74" s="19"/>
      <c r="DQ74" s="19"/>
      <c r="DR74" s="19"/>
      <c r="DS74" s="19"/>
      <c r="DT74" s="19"/>
      <c r="DU74" s="19"/>
      <c r="DV74" s="19"/>
      <c r="DW74" s="19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4" t="s">
        <v>79</v>
      </c>
      <c r="EO74" s="19"/>
      <c r="EP74" s="17"/>
      <c r="EQ74" s="23"/>
      <c r="ER74" s="23" t="str">
        <f t="shared" si="3"/>
        <v/>
      </c>
      <c r="ES74" s="19"/>
      <c r="ET74" s="19" t="str">
        <f t="shared" si="4"/>
        <v/>
      </c>
      <c r="EU74" s="19"/>
      <c r="EV74" s="19"/>
      <c r="EW74" s="19"/>
      <c r="EX74" s="19"/>
      <c r="EY74" s="19"/>
      <c r="EZ74" s="79"/>
      <c r="FA74" s="79"/>
      <c r="FB74" s="79"/>
    </row>
    <row r="75" ht="15.75" customHeight="1">
      <c r="A75" s="79" t="s">
        <v>979</v>
      </c>
      <c r="B75" s="79" t="s">
        <v>893</v>
      </c>
      <c r="C75" s="79" t="s">
        <v>476</v>
      </c>
      <c r="D75" s="80">
        <v>46111.0</v>
      </c>
      <c r="E75" s="79" t="s">
        <v>980</v>
      </c>
      <c r="F75" s="79" t="s">
        <v>894</v>
      </c>
      <c r="G75" s="79" t="s">
        <v>981</v>
      </c>
      <c r="H75" s="79" t="s">
        <v>746</v>
      </c>
      <c r="I75" s="79"/>
      <c r="J75" s="79" t="s">
        <v>982</v>
      </c>
      <c r="K75" s="79">
        <v>2000.0</v>
      </c>
      <c r="L75" s="79"/>
      <c r="M75" s="79" t="s">
        <v>983</v>
      </c>
      <c r="N75" s="79" t="s">
        <v>984</v>
      </c>
      <c r="O75" s="79" t="s">
        <v>484</v>
      </c>
      <c r="P75" s="79"/>
      <c r="Q75" s="79" t="s">
        <v>985</v>
      </c>
      <c r="R75" s="80">
        <v>46816.0</v>
      </c>
      <c r="S75" s="79"/>
      <c r="T75" s="79">
        <v>34461.0</v>
      </c>
      <c r="U75" s="79"/>
      <c r="V75" s="79"/>
      <c r="W75" s="79"/>
      <c r="X75" s="79"/>
      <c r="Y75" s="79"/>
      <c r="Z75" s="79" t="s">
        <v>486</v>
      </c>
      <c r="AA75" s="79" t="s">
        <v>537</v>
      </c>
      <c r="AB75" s="79" t="s">
        <v>486</v>
      </c>
      <c r="AC75" s="79" t="s">
        <v>488</v>
      </c>
      <c r="AD75" s="79">
        <v>4000.0</v>
      </c>
      <c r="AE75" s="79">
        <v>12000.0</v>
      </c>
      <c r="AF75" s="79">
        <v>53260.0</v>
      </c>
      <c r="AG75" s="79">
        <v>1600.0</v>
      </c>
      <c r="AH75" s="81">
        <v>70860.0</v>
      </c>
      <c r="AI75" s="79"/>
      <c r="AJ75" s="79">
        <v>0.0</v>
      </c>
      <c r="AK75" s="79">
        <v>0.0</v>
      </c>
      <c r="AL75" s="79">
        <v>0.0</v>
      </c>
      <c r="AM75" s="79">
        <v>53260.0</v>
      </c>
      <c r="AN75" s="79">
        <v>0.0</v>
      </c>
      <c r="AO75" s="79">
        <v>53260.0</v>
      </c>
      <c r="AP75" s="79">
        <v>0.0</v>
      </c>
      <c r="AQ75" s="79">
        <v>16000.0</v>
      </c>
      <c r="AR75" s="79" t="s">
        <v>489</v>
      </c>
      <c r="AS75" s="79">
        <v>12000.0</v>
      </c>
      <c r="AT75" s="79" t="s">
        <v>507</v>
      </c>
      <c r="AU75" s="79" t="s">
        <v>491</v>
      </c>
      <c r="AV75" s="79">
        <v>0.0</v>
      </c>
      <c r="AW75" s="79" t="s">
        <v>508</v>
      </c>
      <c r="AX75" s="79">
        <v>0.0</v>
      </c>
      <c r="AY75" s="79"/>
      <c r="AZ75" s="79">
        <v>0.0</v>
      </c>
      <c r="BA75" s="79"/>
      <c r="BB75" s="79">
        <v>0.0</v>
      </c>
      <c r="BC75" s="79"/>
      <c r="BD75" s="79">
        <v>0.0</v>
      </c>
      <c r="BE75" s="79"/>
      <c r="BF75" s="79">
        <v>0.0</v>
      </c>
      <c r="BG75" s="79"/>
      <c r="BH75" s="79">
        <v>0.0</v>
      </c>
      <c r="BI75" s="79" t="s">
        <v>493</v>
      </c>
      <c r="BJ75" s="79">
        <v>18160.0</v>
      </c>
      <c r="BK75" s="79" t="s">
        <v>494</v>
      </c>
      <c r="BL75" s="79">
        <v>32800.0</v>
      </c>
      <c r="BM75" s="79" t="s">
        <v>495</v>
      </c>
      <c r="BN75" s="79">
        <v>2300.0</v>
      </c>
      <c r="BO75" s="79" t="s">
        <v>496</v>
      </c>
      <c r="BP75" s="79">
        <v>0.0</v>
      </c>
      <c r="BQ75" s="79"/>
      <c r="BR75" s="79">
        <v>0.0</v>
      </c>
      <c r="BS75" s="79"/>
      <c r="BT75" s="79">
        <v>0.0</v>
      </c>
      <c r="BU75" s="79"/>
      <c r="BV75" s="79">
        <v>0.0</v>
      </c>
      <c r="BW75" s="79"/>
      <c r="BX75" s="79">
        <v>0.0</v>
      </c>
      <c r="BY75" s="79">
        <v>0.0</v>
      </c>
      <c r="BZ75" s="79" t="s">
        <v>491</v>
      </c>
      <c r="CA75" s="79">
        <v>0.0</v>
      </c>
      <c r="CB75" s="79" t="s">
        <v>507</v>
      </c>
      <c r="CC75" s="79" t="s">
        <v>508</v>
      </c>
      <c r="CD75" s="79">
        <v>0.0</v>
      </c>
      <c r="CE75" s="79"/>
      <c r="CF75" s="79">
        <v>0.0</v>
      </c>
      <c r="CG75" s="79"/>
      <c r="CH75" s="79">
        <v>0.0</v>
      </c>
      <c r="CI75" s="79"/>
      <c r="CJ75" s="79">
        <v>0.0</v>
      </c>
      <c r="CK75" s="79"/>
      <c r="CL75" s="79">
        <v>0.0</v>
      </c>
      <c r="CM75" s="79"/>
      <c r="CN75" s="79">
        <v>0.0</v>
      </c>
      <c r="CO75" s="79" t="s">
        <v>493</v>
      </c>
      <c r="CP75" s="79">
        <v>18160.0</v>
      </c>
      <c r="CQ75" s="79" t="s">
        <v>494</v>
      </c>
      <c r="CR75" s="79">
        <v>32800.0</v>
      </c>
      <c r="CS75" s="79" t="s">
        <v>495</v>
      </c>
      <c r="CT75" s="79">
        <v>2300.0</v>
      </c>
      <c r="CU75" s="79" t="s">
        <v>496</v>
      </c>
      <c r="CV75" s="79">
        <v>0.0</v>
      </c>
      <c r="CW75" s="79"/>
      <c r="CX75" s="79">
        <v>0.0</v>
      </c>
      <c r="CY75" s="79"/>
      <c r="CZ75" s="79">
        <v>0.0</v>
      </c>
      <c r="DA75" s="79"/>
      <c r="DB75" s="79">
        <v>0.0</v>
      </c>
      <c r="DC75" s="79"/>
      <c r="DD75" s="79">
        <v>0.0</v>
      </c>
      <c r="DE75" s="79">
        <v>4000.0</v>
      </c>
      <c r="DF75" s="79">
        <v>0.0</v>
      </c>
      <c r="DG75" s="79">
        <v>0.0</v>
      </c>
      <c r="DH75" s="79">
        <v>0.0</v>
      </c>
      <c r="DI75" s="79">
        <v>0.0</v>
      </c>
      <c r="DJ75" s="79" t="s">
        <v>986</v>
      </c>
      <c r="DK75" s="79" t="s">
        <v>486</v>
      </c>
      <c r="DL75" s="79" t="s">
        <v>537</v>
      </c>
      <c r="DM75" s="79" t="s">
        <v>987</v>
      </c>
      <c r="DN75" s="79"/>
      <c r="DO75" s="79" t="s">
        <v>988</v>
      </c>
      <c r="DP75" s="79"/>
      <c r="DQ75" s="79"/>
      <c r="DR75" s="79"/>
      <c r="DS75" s="79"/>
      <c r="DT75" s="82"/>
      <c r="DU75" s="79"/>
      <c r="DV75" s="82"/>
      <c r="DW75" s="79"/>
      <c r="DX75" s="79"/>
      <c r="DY75" s="79"/>
      <c r="DZ75" s="79"/>
      <c r="EA75" s="79"/>
      <c r="EB75" s="79"/>
      <c r="EC75" s="79"/>
      <c r="ED75" s="79"/>
      <c r="EE75" s="79"/>
      <c r="EF75" s="82"/>
      <c r="EG75" s="79"/>
      <c r="EH75" s="82"/>
      <c r="EI75" s="79"/>
      <c r="EJ75" s="82"/>
      <c r="EK75" s="79"/>
      <c r="EL75" s="82"/>
      <c r="EM75" s="79"/>
      <c r="EN75" s="79" t="s">
        <v>79</v>
      </c>
      <c r="EO75" s="79"/>
      <c r="EP75" s="80"/>
      <c r="EQ75" s="83"/>
      <c r="ER75" s="83" t="str">
        <f t="shared" si="3"/>
        <v/>
      </c>
      <c r="ES75" s="79"/>
      <c r="ET75" s="79" t="str">
        <f t="shared" si="4"/>
        <v/>
      </c>
      <c r="EU75" s="79"/>
      <c r="EV75" s="79"/>
      <c r="EW75" s="82"/>
      <c r="EX75" s="82"/>
      <c r="EY75" s="82"/>
      <c r="EZ75" s="79"/>
      <c r="FA75" s="79"/>
      <c r="FB75" s="79"/>
    </row>
    <row r="76" ht="15.75" customHeight="1">
      <c r="A76" s="79" t="s">
        <v>989</v>
      </c>
      <c r="B76" s="79" t="s">
        <v>543</v>
      </c>
      <c r="C76" s="79" t="s">
        <v>476</v>
      </c>
      <c r="D76" s="80">
        <v>46111.0</v>
      </c>
      <c r="E76" s="79" t="s">
        <v>990</v>
      </c>
      <c r="F76" s="79" t="s">
        <v>634</v>
      </c>
      <c r="G76" s="79" t="s">
        <v>991</v>
      </c>
      <c r="H76" s="79" t="s">
        <v>992</v>
      </c>
      <c r="I76" s="79"/>
      <c r="J76" s="79" t="s">
        <v>993</v>
      </c>
      <c r="K76" s="79">
        <v>2000.0</v>
      </c>
      <c r="L76" s="79"/>
      <c r="M76" s="79" t="s">
        <v>994</v>
      </c>
      <c r="N76" s="79" t="s">
        <v>572</v>
      </c>
      <c r="O76" s="79"/>
      <c r="P76" s="79"/>
      <c r="Q76" s="79" t="s">
        <v>995</v>
      </c>
      <c r="R76" s="80">
        <v>46655.0</v>
      </c>
      <c r="S76" s="79"/>
      <c r="T76" s="79">
        <v>64950.0</v>
      </c>
      <c r="U76" s="79"/>
      <c r="V76" s="79"/>
      <c r="W76" s="79"/>
      <c r="X76" s="79"/>
      <c r="Y76" s="79"/>
      <c r="Z76" s="79" t="s">
        <v>486</v>
      </c>
      <c r="AA76" s="79" t="s">
        <v>555</v>
      </c>
      <c r="AB76" s="79" t="s">
        <v>486</v>
      </c>
      <c r="AC76" s="79" t="s">
        <v>488</v>
      </c>
      <c r="AD76" s="79">
        <v>589000.0</v>
      </c>
      <c r="AE76" s="79">
        <v>0.0</v>
      </c>
      <c r="AF76" s="79">
        <v>0.0</v>
      </c>
      <c r="AG76" s="79">
        <v>58900.0</v>
      </c>
      <c r="AH76" s="81">
        <v>647900.0</v>
      </c>
      <c r="AI76" s="79"/>
      <c r="AJ76" s="79">
        <v>0.0</v>
      </c>
      <c r="AK76" s="79">
        <v>0.0</v>
      </c>
      <c r="AL76" s="79">
        <v>0.0</v>
      </c>
      <c r="AM76" s="79">
        <v>0.0</v>
      </c>
      <c r="AN76" s="79">
        <v>0.0</v>
      </c>
      <c r="AO76" s="79">
        <v>0.0</v>
      </c>
      <c r="AP76" s="79">
        <v>0.0</v>
      </c>
      <c r="AQ76" s="79">
        <v>589000.0</v>
      </c>
      <c r="AR76" s="79" t="s">
        <v>489</v>
      </c>
      <c r="AS76" s="79">
        <v>0.0</v>
      </c>
      <c r="AT76" s="79" t="s">
        <v>507</v>
      </c>
      <c r="AU76" s="79" t="s">
        <v>491</v>
      </c>
      <c r="AV76" s="79">
        <v>0.0</v>
      </c>
      <c r="AW76" s="79" t="s">
        <v>508</v>
      </c>
      <c r="AX76" s="79">
        <v>0.0</v>
      </c>
      <c r="AY76" s="79"/>
      <c r="AZ76" s="79">
        <v>0.0</v>
      </c>
      <c r="BA76" s="79"/>
      <c r="BB76" s="79">
        <v>0.0</v>
      </c>
      <c r="BC76" s="79"/>
      <c r="BD76" s="79">
        <v>0.0</v>
      </c>
      <c r="BE76" s="79"/>
      <c r="BF76" s="79">
        <v>0.0</v>
      </c>
      <c r="BG76" s="79"/>
      <c r="BH76" s="79">
        <v>0.0</v>
      </c>
      <c r="BI76" s="79" t="s">
        <v>493</v>
      </c>
      <c r="BJ76" s="79">
        <v>0.0</v>
      </c>
      <c r="BK76" s="79" t="s">
        <v>494</v>
      </c>
      <c r="BL76" s="79">
        <v>0.0</v>
      </c>
      <c r="BM76" s="79" t="s">
        <v>495</v>
      </c>
      <c r="BN76" s="79">
        <v>0.0</v>
      </c>
      <c r="BO76" s="79" t="s">
        <v>496</v>
      </c>
      <c r="BP76" s="79">
        <v>0.0</v>
      </c>
      <c r="BQ76" s="79"/>
      <c r="BR76" s="79">
        <v>0.0</v>
      </c>
      <c r="BS76" s="79"/>
      <c r="BT76" s="79">
        <v>0.0</v>
      </c>
      <c r="BU76" s="79"/>
      <c r="BV76" s="79">
        <v>0.0</v>
      </c>
      <c r="BW76" s="79"/>
      <c r="BX76" s="79">
        <v>0.0</v>
      </c>
      <c r="BY76" s="79">
        <v>0.0</v>
      </c>
      <c r="BZ76" s="79" t="s">
        <v>491</v>
      </c>
      <c r="CA76" s="79">
        <v>0.0</v>
      </c>
      <c r="CB76" s="79" t="s">
        <v>507</v>
      </c>
      <c r="CC76" s="79" t="s">
        <v>508</v>
      </c>
      <c r="CD76" s="79">
        <v>0.0</v>
      </c>
      <c r="CE76" s="79"/>
      <c r="CF76" s="79">
        <v>0.0</v>
      </c>
      <c r="CG76" s="79"/>
      <c r="CH76" s="79">
        <v>0.0</v>
      </c>
      <c r="CI76" s="79"/>
      <c r="CJ76" s="79">
        <v>0.0</v>
      </c>
      <c r="CK76" s="79"/>
      <c r="CL76" s="79">
        <v>0.0</v>
      </c>
      <c r="CM76" s="79"/>
      <c r="CN76" s="79">
        <v>0.0</v>
      </c>
      <c r="CO76" s="79" t="s">
        <v>493</v>
      </c>
      <c r="CP76" s="79">
        <v>0.0</v>
      </c>
      <c r="CQ76" s="79" t="s">
        <v>494</v>
      </c>
      <c r="CR76" s="79">
        <v>0.0</v>
      </c>
      <c r="CS76" s="79" t="s">
        <v>495</v>
      </c>
      <c r="CT76" s="79">
        <v>0.0</v>
      </c>
      <c r="CU76" s="79" t="s">
        <v>496</v>
      </c>
      <c r="CV76" s="79">
        <v>0.0</v>
      </c>
      <c r="CW76" s="79"/>
      <c r="CX76" s="79">
        <v>0.0</v>
      </c>
      <c r="CY76" s="79"/>
      <c r="CZ76" s="79">
        <v>0.0</v>
      </c>
      <c r="DA76" s="79"/>
      <c r="DB76" s="79">
        <v>0.0</v>
      </c>
      <c r="DC76" s="79"/>
      <c r="DD76" s="79">
        <v>0.0</v>
      </c>
      <c r="DE76" s="79">
        <v>0.0</v>
      </c>
      <c r="DF76" s="79">
        <v>589000.0</v>
      </c>
      <c r="DG76" s="79">
        <v>0.0</v>
      </c>
      <c r="DH76" s="79">
        <v>0.0</v>
      </c>
      <c r="DI76" s="79">
        <v>0.0</v>
      </c>
      <c r="DJ76" s="79" t="s">
        <v>996</v>
      </c>
      <c r="DK76" s="79" t="s">
        <v>486</v>
      </c>
      <c r="DL76" s="79" t="s">
        <v>487</v>
      </c>
      <c r="DM76" s="79" t="s">
        <v>997</v>
      </c>
      <c r="DN76" s="79" t="s">
        <v>998</v>
      </c>
      <c r="DO76" s="79" t="s">
        <v>999</v>
      </c>
      <c r="DP76" s="79"/>
      <c r="DQ76" s="79"/>
      <c r="DR76" s="79"/>
      <c r="DS76" s="79"/>
      <c r="DT76" s="82"/>
      <c r="DU76" s="79"/>
      <c r="DV76" s="82"/>
      <c r="DW76" s="79"/>
      <c r="DX76" s="79"/>
      <c r="DY76" s="79"/>
      <c r="DZ76" s="79"/>
      <c r="EA76" s="79"/>
      <c r="EB76" s="79"/>
      <c r="EC76" s="79"/>
      <c r="ED76" s="79"/>
      <c r="EE76" s="79"/>
      <c r="EF76" s="82"/>
      <c r="EG76" s="79"/>
      <c r="EH76" s="82"/>
      <c r="EI76" s="79"/>
      <c r="EJ76" s="82"/>
      <c r="EK76" s="79"/>
      <c r="EL76" s="82"/>
      <c r="EM76" s="79"/>
      <c r="EN76" s="79" t="s">
        <v>79</v>
      </c>
      <c r="EO76" s="79"/>
      <c r="EP76" s="80"/>
      <c r="EQ76" s="83"/>
      <c r="ER76" s="83" t="str">
        <f t="shared" si="3"/>
        <v/>
      </c>
      <c r="ES76" s="82"/>
      <c r="ET76" s="79" t="str">
        <f t="shared" si="4"/>
        <v/>
      </c>
      <c r="EU76" s="79"/>
      <c r="EV76" s="79"/>
      <c r="EW76" s="82"/>
      <c r="EX76" s="82"/>
      <c r="EY76" s="82"/>
      <c r="EZ76" s="79"/>
      <c r="FA76" s="79"/>
      <c r="FB76" s="79"/>
    </row>
    <row r="77" ht="15.75" customHeight="1">
      <c r="A77" s="79" t="s">
        <v>1000</v>
      </c>
      <c r="B77" s="79" t="s">
        <v>928</v>
      </c>
      <c r="C77" s="79" t="s">
        <v>476</v>
      </c>
      <c r="D77" s="80">
        <v>46111.0</v>
      </c>
      <c r="E77" s="79"/>
      <c r="F77" s="82"/>
      <c r="G77" s="79" t="s">
        <v>981</v>
      </c>
      <c r="H77" s="79" t="s">
        <v>746</v>
      </c>
      <c r="I77" s="79"/>
      <c r="J77" s="79" t="s">
        <v>982</v>
      </c>
      <c r="K77" s="79">
        <v>2000.0</v>
      </c>
      <c r="L77" s="79"/>
      <c r="M77" s="79" t="s">
        <v>983</v>
      </c>
      <c r="N77" s="79" t="s">
        <v>984</v>
      </c>
      <c r="O77" s="79" t="s">
        <v>484</v>
      </c>
      <c r="P77" s="79"/>
      <c r="Q77" s="79" t="s">
        <v>985</v>
      </c>
      <c r="R77" s="80">
        <v>46816.0</v>
      </c>
      <c r="S77" s="79"/>
      <c r="T77" s="79">
        <v>34461.0</v>
      </c>
      <c r="U77" s="79"/>
      <c r="V77" s="79"/>
      <c r="W77" s="79"/>
      <c r="X77" s="79"/>
      <c r="Y77" s="79"/>
      <c r="Z77" s="79" t="s">
        <v>486</v>
      </c>
      <c r="AA77" s="79" t="s">
        <v>488</v>
      </c>
      <c r="AB77" s="79" t="s">
        <v>486</v>
      </c>
      <c r="AC77" s="79" t="s">
        <v>488</v>
      </c>
      <c r="AD77" s="79">
        <v>228840.0</v>
      </c>
      <c r="AE77" s="79">
        <v>0.0</v>
      </c>
      <c r="AF77" s="79">
        <v>0.0</v>
      </c>
      <c r="AG77" s="79">
        <v>22884.0</v>
      </c>
      <c r="AH77" s="83">
        <v>251724.0</v>
      </c>
      <c r="AI77" s="79"/>
      <c r="AJ77" s="79">
        <v>0.0</v>
      </c>
      <c r="AK77" s="79">
        <v>85175.0</v>
      </c>
      <c r="AL77" s="83">
        <v>0.0</v>
      </c>
      <c r="AM77" s="79">
        <v>0.0</v>
      </c>
      <c r="AN77" s="79">
        <v>8518.0</v>
      </c>
      <c r="AO77" s="79">
        <v>93693.0</v>
      </c>
      <c r="AP77" s="79">
        <v>0.0</v>
      </c>
      <c r="AQ77" s="79">
        <v>143665.0</v>
      </c>
      <c r="AR77" s="79" t="s">
        <v>489</v>
      </c>
      <c r="AS77" s="79">
        <v>0.0</v>
      </c>
      <c r="AT77" s="79" t="s">
        <v>490</v>
      </c>
      <c r="AU77" s="79" t="s">
        <v>491</v>
      </c>
      <c r="AV77" s="79">
        <v>0.0</v>
      </c>
      <c r="AW77" s="79" t="s">
        <v>508</v>
      </c>
      <c r="AX77" s="79">
        <v>0.0</v>
      </c>
      <c r="AY77" s="79"/>
      <c r="AZ77" s="79">
        <v>0.0</v>
      </c>
      <c r="BA77" s="79"/>
      <c r="BB77" s="79">
        <v>0.0</v>
      </c>
      <c r="BC77" s="82"/>
      <c r="BD77" s="79">
        <v>0.0</v>
      </c>
      <c r="BE77" s="82"/>
      <c r="BF77" s="79">
        <v>0.0</v>
      </c>
      <c r="BG77" s="79"/>
      <c r="BH77" s="79">
        <v>0.0</v>
      </c>
      <c r="BI77" s="79" t="s">
        <v>493</v>
      </c>
      <c r="BJ77" s="79">
        <v>0.0</v>
      </c>
      <c r="BK77" s="79" t="s">
        <v>494</v>
      </c>
      <c r="BL77" s="79">
        <v>0.0</v>
      </c>
      <c r="BM77" s="79" t="s">
        <v>495</v>
      </c>
      <c r="BN77" s="79">
        <v>0.0</v>
      </c>
      <c r="BO77" s="79" t="s">
        <v>496</v>
      </c>
      <c r="BP77" s="79">
        <v>0.0</v>
      </c>
      <c r="BQ77" s="79"/>
      <c r="BR77" s="79">
        <v>0.0</v>
      </c>
      <c r="BS77" s="79"/>
      <c r="BT77" s="79">
        <v>0.0</v>
      </c>
      <c r="BU77" s="79"/>
      <c r="BV77" s="79">
        <v>0.0</v>
      </c>
      <c r="BW77" s="79"/>
      <c r="BX77" s="79">
        <v>0.0</v>
      </c>
      <c r="BY77" s="79">
        <v>0.0</v>
      </c>
      <c r="BZ77" s="79" t="s">
        <v>491</v>
      </c>
      <c r="CA77" s="79">
        <v>0.0</v>
      </c>
      <c r="CB77" s="79" t="s">
        <v>490</v>
      </c>
      <c r="CC77" s="79" t="s">
        <v>508</v>
      </c>
      <c r="CD77" s="79">
        <v>0.0</v>
      </c>
      <c r="CE77" s="79"/>
      <c r="CF77" s="79">
        <v>0.0</v>
      </c>
      <c r="CG77" s="79"/>
      <c r="CH77" s="79">
        <v>0.0</v>
      </c>
      <c r="CI77" s="79"/>
      <c r="CJ77" s="79">
        <v>0.0</v>
      </c>
      <c r="CK77" s="79"/>
      <c r="CL77" s="79">
        <v>0.0</v>
      </c>
      <c r="CM77" s="79"/>
      <c r="CN77" s="79">
        <v>0.0</v>
      </c>
      <c r="CO77" s="79" t="s">
        <v>493</v>
      </c>
      <c r="CP77" s="79">
        <v>0.0</v>
      </c>
      <c r="CQ77" s="79" t="s">
        <v>494</v>
      </c>
      <c r="CR77" s="79">
        <v>0.0</v>
      </c>
      <c r="CS77" s="79" t="s">
        <v>495</v>
      </c>
      <c r="CT77" s="79">
        <v>0.0</v>
      </c>
      <c r="CU77" s="79" t="s">
        <v>496</v>
      </c>
      <c r="CV77" s="79">
        <v>0.0</v>
      </c>
      <c r="CW77" s="79"/>
      <c r="CX77" s="79">
        <v>0.0</v>
      </c>
      <c r="CY77" s="79"/>
      <c r="CZ77" s="79">
        <v>0.0</v>
      </c>
      <c r="DA77" s="79"/>
      <c r="DB77" s="79">
        <v>0.0</v>
      </c>
      <c r="DC77" s="79"/>
      <c r="DD77" s="79">
        <v>0.0</v>
      </c>
      <c r="DE77" s="79">
        <v>124880.0</v>
      </c>
      <c r="DF77" s="79">
        <v>103960.0</v>
      </c>
      <c r="DG77" s="79">
        <v>0.0</v>
      </c>
      <c r="DH77" s="79">
        <v>17000.0</v>
      </c>
      <c r="DI77" s="79">
        <v>68175.0</v>
      </c>
      <c r="DJ77" s="79"/>
      <c r="DK77" s="79"/>
      <c r="DL77" s="79"/>
      <c r="DM77" s="79"/>
      <c r="DN77" s="82"/>
      <c r="DO77" s="79"/>
      <c r="DP77" s="82"/>
      <c r="DQ77" s="79"/>
      <c r="DR77" s="82"/>
      <c r="DS77" s="79"/>
      <c r="DT77" s="82"/>
      <c r="DU77" s="79"/>
      <c r="DV77" s="82"/>
      <c r="DW77" s="79"/>
      <c r="DX77" s="79"/>
      <c r="DY77" s="79"/>
      <c r="DZ77" s="79"/>
      <c r="EA77" s="79"/>
      <c r="EB77" s="79"/>
      <c r="EC77" s="79"/>
      <c r="ED77" s="79"/>
      <c r="EE77" s="79"/>
      <c r="EF77" s="82"/>
      <c r="EG77" s="79"/>
      <c r="EH77" s="82"/>
      <c r="EI77" s="79"/>
      <c r="EJ77" s="82"/>
      <c r="EK77" s="79"/>
      <c r="EL77" s="82"/>
      <c r="EM77" s="79"/>
      <c r="EN77" s="79" t="s">
        <v>79</v>
      </c>
      <c r="EO77" s="79"/>
      <c r="EP77" s="80"/>
      <c r="EQ77" s="83"/>
      <c r="ER77" s="83" t="str">
        <f t="shared" si="3"/>
        <v/>
      </c>
      <c r="ES77" s="82"/>
      <c r="ET77" s="79" t="str">
        <f t="shared" si="4"/>
        <v/>
      </c>
      <c r="EU77" s="79"/>
      <c r="EV77" s="82"/>
      <c r="EW77" s="82"/>
      <c r="EX77" s="82"/>
      <c r="EY77" s="82"/>
      <c r="EZ77" s="79"/>
      <c r="FA77" s="79"/>
      <c r="FB77" s="79"/>
    </row>
    <row r="78" ht="15.75" customHeight="1">
      <c r="A78" s="4" t="s">
        <v>1001</v>
      </c>
      <c r="B78" s="4" t="s">
        <v>1002</v>
      </c>
      <c r="C78" s="4" t="s">
        <v>476</v>
      </c>
      <c r="D78" s="78">
        <v>46111.0</v>
      </c>
      <c r="E78" s="4" t="s">
        <v>1003</v>
      </c>
      <c r="F78" s="4" t="s">
        <v>1004</v>
      </c>
      <c r="G78" s="4" t="s">
        <v>1005</v>
      </c>
      <c r="H78" s="4" t="s">
        <v>971</v>
      </c>
      <c r="R78" s="4" t="s">
        <v>1006</v>
      </c>
      <c r="V78" s="4" t="s">
        <v>1007</v>
      </c>
      <c r="Y78" s="4" t="s">
        <v>1008</v>
      </c>
      <c r="Z78" s="4" t="s">
        <v>597</v>
      </c>
      <c r="AB78" s="4" t="s">
        <v>597</v>
      </c>
      <c r="AH78" s="23">
        <v>1352120.0</v>
      </c>
      <c r="AL78" s="19"/>
      <c r="AM78" s="19"/>
      <c r="AN78" s="19"/>
      <c r="AO78" s="19"/>
      <c r="AP78" s="19"/>
      <c r="AQ78" s="4">
        <v>381555.0</v>
      </c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/>
      <c r="DH78" s="19"/>
      <c r="DI78" s="19"/>
      <c r="DJ78" s="19"/>
      <c r="DK78" s="19"/>
      <c r="DL78" s="19"/>
      <c r="DM78" s="19"/>
      <c r="DN78" s="19"/>
      <c r="DO78" s="19"/>
      <c r="DP78" s="19"/>
      <c r="DQ78" s="19"/>
      <c r="DR78" s="19"/>
      <c r="DS78" s="19"/>
      <c r="DT78" s="19"/>
      <c r="DU78" s="19"/>
      <c r="DV78" s="19"/>
      <c r="DW78" s="19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4" t="s">
        <v>79</v>
      </c>
      <c r="EO78" s="19"/>
      <c r="EP78" s="17"/>
      <c r="EQ78" s="23"/>
      <c r="ER78" s="23" t="str">
        <f t="shared" si="3"/>
        <v/>
      </c>
      <c r="ES78" s="19"/>
      <c r="ET78" s="19" t="str">
        <f t="shared" si="4"/>
        <v/>
      </c>
      <c r="EU78" s="19"/>
      <c r="EV78" s="19"/>
      <c r="EW78" s="19"/>
      <c r="EX78" s="19"/>
      <c r="EY78" s="19"/>
      <c r="EZ78" s="19"/>
      <c r="FA78" s="19"/>
      <c r="FB78" s="19"/>
    </row>
    <row r="79" ht="15.75" customHeight="1">
      <c r="A79" s="4" t="s">
        <v>1009</v>
      </c>
      <c r="B79" s="4" t="s">
        <v>475</v>
      </c>
      <c r="C79" s="4" t="s">
        <v>476</v>
      </c>
      <c r="D79" s="78">
        <v>46111.0</v>
      </c>
      <c r="E79" s="4" t="s">
        <v>677</v>
      </c>
      <c r="F79" s="4" t="s">
        <v>634</v>
      </c>
      <c r="G79" s="4" t="s">
        <v>678</v>
      </c>
      <c r="H79" s="4" t="s">
        <v>679</v>
      </c>
      <c r="R79" s="4" t="s">
        <v>680</v>
      </c>
      <c r="V79" s="4" t="s">
        <v>681</v>
      </c>
      <c r="Y79" s="4" t="s">
        <v>682</v>
      </c>
      <c r="Z79" s="4" t="s">
        <v>597</v>
      </c>
      <c r="AB79" s="4" t="s">
        <v>597</v>
      </c>
      <c r="AH79" s="23">
        <v>240890.0</v>
      </c>
      <c r="AL79" s="19"/>
      <c r="AM79" s="19"/>
      <c r="AN79" s="19"/>
      <c r="AO79" s="19"/>
      <c r="AP79" s="19"/>
      <c r="AQ79" s="4">
        <v>21696.0</v>
      </c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/>
      <c r="DH79" s="19"/>
      <c r="DI79" s="19"/>
      <c r="DJ79" s="19"/>
      <c r="DK79" s="19"/>
      <c r="DL79" s="19"/>
      <c r="DM79" s="19"/>
      <c r="DN79" s="19"/>
      <c r="DO79" s="19"/>
      <c r="DP79" s="19"/>
      <c r="DQ79" s="19"/>
      <c r="DR79" s="19"/>
      <c r="DS79" s="19"/>
      <c r="DT79" s="19"/>
      <c r="DU79" s="19"/>
      <c r="DV79" s="19"/>
      <c r="DW79" s="19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4" t="s">
        <v>79</v>
      </c>
      <c r="EO79" s="19"/>
      <c r="EP79" s="17"/>
      <c r="EQ79" s="23"/>
      <c r="ER79" s="23" t="str">
        <f t="shared" si="3"/>
        <v/>
      </c>
      <c r="ES79" s="19"/>
      <c r="ET79" s="19" t="str">
        <f t="shared" si="4"/>
        <v/>
      </c>
      <c r="EU79" s="19"/>
      <c r="EV79" s="19"/>
      <c r="EW79" s="19"/>
      <c r="EX79" s="19"/>
      <c r="EY79" s="19"/>
      <c r="EZ79" s="19"/>
      <c r="FA79" s="19"/>
      <c r="FB79" s="19"/>
    </row>
    <row r="80" ht="15.75" customHeight="1">
      <c r="A80" s="4" t="s">
        <v>1010</v>
      </c>
      <c r="B80" s="4" t="s">
        <v>591</v>
      </c>
      <c r="C80" s="4" t="s">
        <v>476</v>
      </c>
      <c r="D80" s="78">
        <v>46111.0</v>
      </c>
      <c r="E80" s="4" t="s">
        <v>1011</v>
      </c>
      <c r="F80" s="19"/>
      <c r="G80" s="4" t="s">
        <v>1012</v>
      </c>
      <c r="H80" s="4" t="s">
        <v>1013</v>
      </c>
      <c r="R80" s="4" t="s">
        <v>1014</v>
      </c>
      <c r="Y80" s="4" t="s">
        <v>968</v>
      </c>
      <c r="Z80" s="4" t="s">
        <v>597</v>
      </c>
      <c r="AB80" s="4" t="s">
        <v>597</v>
      </c>
      <c r="AH80" s="23">
        <v>195500.0</v>
      </c>
      <c r="AL80" s="19"/>
      <c r="AM80" s="19"/>
      <c r="AN80" s="19"/>
      <c r="AO80" s="19"/>
      <c r="AP80" s="19"/>
      <c r="AQ80" s="4">
        <v>120775.0</v>
      </c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/>
      <c r="DH80" s="19"/>
      <c r="DI80" s="19"/>
      <c r="DJ80" s="19"/>
      <c r="DK80" s="19"/>
      <c r="DL80" s="19"/>
      <c r="DM80" s="19"/>
      <c r="DN80" s="19"/>
      <c r="DO80" s="19"/>
      <c r="DP80" s="19"/>
      <c r="DQ80" s="19"/>
      <c r="DR80" s="19"/>
      <c r="DS80" s="19"/>
      <c r="DT80" s="19"/>
      <c r="DU80" s="19"/>
      <c r="DV80" s="19"/>
      <c r="DW80" s="19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4" t="s">
        <v>79</v>
      </c>
      <c r="EO80" s="19"/>
      <c r="EP80" s="17"/>
      <c r="EQ80" s="23"/>
      <c r="ER80" s="23" t="str">
        <f t="shared" si="3"/>
        <v/>
      </c>
      <c r="ES80" s="19"/>
      <c r="ET80" s="19" t="str">
        <f t="shared" si="4"/>
        <v/>
      </c>
      <c r="EU80" s="19"/>
      <c r="EV80" s="19"/>
      <c r="EW80" s="19"/>
      <c r="EX80" s="19"/>
      <c r="EY80" s="19"/>
      <c r="EZ80" s="19"/>
      <c r="FA80" s="19"/>
      <c r="FB80" s="19"/>
    </row>
    <row r="81" ht="15.75" customHeight="1">
      <c r="A81" s="4" t="s">
        <v>1015</v>
      </c>
      <c r="B81" s="4" t="s">
        <v>778</v>
      </c>
      <c r="C81" s="4" t="s">
        <v>476</v>
      </c>
      <c r="D81" s="78">
        <v>46111.0</v>
      </c>
      <c r="E81" s="4" t="s">
        <v>1016</v>
      </c>
      <c r="F81" s="19"/>
      <c r="G81" s="4" t="s">
        <v>865</v>
      </c>
      <c r="H81" s="4" t="s">
        <v>1017</v>
      </c>
      <c r="R81" s="4" t="s">
        <v>1018</v>
      </c>
      <c r="V81" s="4" t="s">
        <v>1019</v>
      </c>
      <c r="Y81" s="4" t="s">
        <v>968</v>
      </c>
      <c r="Z81" s="4" t="s">
        <v>597</v>
      </c>
      <c r="AB81" s="4" t="s">
        <v>597</v>
      </c>
      <c r="AH81" s="23">
        <v>311487.0</v>
      </c>
      <c r="AL81" s="19"/>
      <c r="AM81" s="19"/>
      <c r="AN81" s="19"/>
      <c r="AO81" s="19"/>
      <c r="AP81" s="19"/>
      <c r="AQ81" s="4">
        <v>143932.0</v>
      </c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4" t="s">
        <v>79</v>
      </c>
      <c r="EO81" s="19"/>
      <c r="EP81" s="17"/>
      <c r="EQ81" s="23"/>
      <c r="ER81" s="23" t="str">
        <f t="shared" si="3"/>
        <v/>
      </c>
      <c r="ES81" s="19"/>
      <c r="ET81" s="19" t="str">
        <f t="shared" si="4"/>
        <v/>
      </c>
      <c r="EU81" s="19"/>
      <c r="EV81" s="19"/>
      <c r="EW81" s="19"/>
      <c r="EX81" s="19"/>
      <c r="EY81" s="19"/>
      <c r="EZ81" s="19"/>
      <c r="FA81" s="19"/>
      <c r="FB81" s="19"/>
    </row>
    <row r="82" ht="15.75" customHeight="1">
      <c r="A82" s="19"/>
      <c r="B82" s="4" t="s">
        <v>468</v>
      </c>
      <c r="C82" s="4" t="s">
        <v>469</v>
      </c>
      <c r="D82" s="78">
        <v>46112.0</v>
      </c>
      <c r="E82" s="4" t="s">
        <v>1020</v>
      </c>
      <c r="F82" s="19"/>
      <c r="AH82" s="23">
        <v>9060570.0</v>
      </c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  <c r="DP82" s="19"/>
      <c r="DQ82" s="19"/>
      <c r="DR82" s="19"/>
      <c r="DS82" s="19"/>
      <c r="DT82" s="19"/>
      <c r="DU82" s="19"/>
      <c r="DV82" s="19"/>
      <c r="DW82" s="19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4" t="s">
        <v>79</v>
      </c>
      <c r="EO82" s="19"/>
      <c r="EP82" s="17"/>
      <c r="EQ82" s="23"/>
      <c r="ER82" s="23" t="str">
        <f t="shared" si="3"/>
        <v/>
      </c>
      <c r="ES82" s="19"/>
      <c r="ET82" s="19" t="str">
        <f t="shared" si="4"/>
        <v/>
      </c>
      <c r="EU82" s="19"/>
      <c r="EV82" s="19"/>
      <c r="EW82" s="19"/>
      <c r="EX82" s="19"/>
      <c r="EY82" s="19"/>
      <c r="EZ82" s="19"/>
      <c r="FA82" s="19"/>
      <c r="FB82" s="19"/>
    </row>
    <row r="83" ht="15.75" customHeight="1">
      <c r="A83" s="4" t="s">
        <v>1021</v>
      </c>
      <c r="B83" s="4" t="s">
        <v>475</v>
      </c>
      <c r="C83" s="4" t="s">
        <v>1022</v>
      </c>
      <c r="D83" s="78">
        <v>46113.0</v>
      </c>
      <c r="E83" s="4" t="s">
        <v>1023</v>
      </c>
      <c r="F83" s="4" t="s">
        <v>1024</v>
      </c>
      <c r="G83" s="4" t="s">
        <v>1025</v>
      </c>
      <c r="H83" s="4" t="s">
        <v>890</v>
      </c>
      <c r="V83" s="4" t="s">
        <v>1026</v>
      </c>
      <c r="Y83" s="4" t="s">
        <v>1027</v>
      </c>
      <c r="Z83" s="4" t="s">
        <v>597</v>
      </c>
      <c r="AB83" s="4" t="s">
        <v>597</v>
      </c>
      <c r="AH83" s="23">
        <v>1220000.0</v>
      </c>
      <c r="AL83" s="19"/>
      <c r="AM83" s="19"/>
      <c r="AN83" s="19"/>
      <c r="AO83" s="19"/>
      <c r="AP83" s="19"/>
      <c r="AQ83" s="4">
        <v>582238.0</v>
      </c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/>
      <c r="DE83" s="19"/>
      <c r="DF83" s="19"/>
      <c r="DG83" s="19"/>
      <c r="DH83" s="19"/>
      <c r="DI83" s="19"/>
      <c r="DJ83" s="19"/>
      <c r="DK83" s="19"/>
      <c r="DL83" s="19"/>
      <c r="DM83" s="19"/>
      <c r="DN83" s="19"/>
      <c r="DO83" s="19"/>
      <c r="DP83" s="19"/>
      <c r="DQ83" s="19"/>
      <c r="DR83" s="19"/>
      <c r="DS83" s="19"/>
      <c r="DT83" s="19"/>
      <c r="DU83" s="19"/>
      <c r="DV83" s="19"/>
      <c r="DW83" s="19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4" t="s">
        <v>79</v>
      </c>
      <c r="EO83" s="19"/>
      <c r="EP83" s="17"/>
      <c r="EQ83" s="23"/>
      <c r="ER83" s="23" t="str">
        <f t="shared" si="3"/>
        <v/>
      </c>
      <c r="ES83" s="19"/>
      <c r="ET83" s="19" t="str">
        <f t="shared" si="4"/>
        <v/>
      </c>
      <c r="EU83" s="19"/>
      <c r="EV83" s="19"/>
      <c r="EW83" s="19"/>
      <c r="EX83" s="19"/>
      <c r="EY83" s="19"/>
      <c r="EZ83" s="19"/>
      <c r="FA83" s="19"/>
      <c r="FB83" s="19"/>
    </row>
    <row r="84" ht="15.75" customHeight="1">
      <c r="A84" s="4" t="s">
        <v>1028</v>
      </c>
      <c r="B84" s="4" t="s">
        <v>778</v>
      </c>
      <c r="C84" s="4" t="s">
        <v>1022</v>
      </c>
      <c r="D84" s="78">
        <v>46113.0</v>
      </c>
      <c r="E84" s="4" t="s">
        <v>1029</v>
      </c>
      <c r="F84" s="4" t="s">
        <v>1030</v>
      </c>
      <c r="G84" s="4" t="s">
        <v>1031</v>
      </c>
      <c r="H84" s="4" t="s">
        <v>890</v>
      </c>
      <c r="Z84" s="4" t="s">
        <v>597</v>
      </c>
      <c r="AB84" s="4" t="s">
        <v>597</v>
      </c>
      <c r="AH84" s="23">
        <v>67375.0</v>
      </c>
      <c r="AL84" s="19"/>
      <c r="AM84" s="19"/>
      <c r="AN84" s="19"/>
      <c r="AO84" s="19"/>
      <c r="AP84" s="19"/>
      <c r="AQ84" s="4">
        <v>61250.0</v>
      </c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/>
      <c r="DE84" s="19"/>
      <c r="DF84" s="19"/>
      <c r="DG84" s="19"/>
      <c r="DH84" s="19"/>
      <c r="DI84" s="19"/>
      <c r="DJ84" s="19"/>
      <c r="DK84" s="19"/>
      <c r="DL84" s="19"/>
      <c r="DM84" s="19"/>
      <c r="DN84" s="19"/>
      <c r="DO84" s="19"/>
      <c r="DP84" s="19"/>
      <c r="DQ84" s="19"/>
      <c r="DR84" s="19"/>
      <c r="DS84" s="19"/>
      <c r="DT84" s="19"/>
      <c r="DU84" s="19"/>
      <c r="DV84" s="19"/>
      <c r="DW84" s="19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4" t="s">
        <v>79</v>
      </c>
      <c r="EO84" s="19"/>
      <c r="EP84" s="17"/>
      <c r="EQ84" s="23"/>
      <c r="ER84" s="23" t="str">
        <f t="shared" si="3"/>
        <v/>
      </c>
      <c r="ES84" s="19"/>
      <c r="ET84" s="19" t="str">
        <f t="shared" si="4"/>
        <v/>
      </c>
      <c r="EU84" s="19"/>
      <c r="EV84" s="19"/>
      <c r="EW84" s="19"/>
      <c r="EX84" s="19"/>
      <c r="EY84" s="19"/>
      <c r="EZ84" s="19"/>
      <c r="FA84" s="19"/>
      <c r="FB84" s="19"/>
    </row>
    <row r="85" ht="15.75" customHeight="1">
      <c r="A85" s="4" t="s">
        <v>1032</v>
      </c>
      <c r="B85" s="4" t="s">
        <v>605</v>
      </c>
      <c r="C85" s="4" t="s">
        <v>476</v>
      </c>
      <c r="D85" s="78">
        <v>46113.0</v>
      </c>
      <c r="E85" s="4" t="s">
        <v>970</v>
      </c>
      <c r="F85" s="4" t="s">
        <v>1033</v>
      </c>
      <c r="G85" s="4" t="s">
        <v>600</v>
      </c>
      <c r="H85" s="4" t="s">
        <v>971</v>
      </c>
      <c r="V85" s="4" t="s">
        <v>1034</v>
      </c>
      <c r="Y85" s="4" t="s">
        <v>967</v>
      </c>
      <c r="Z85" s="4" t="s">
        <v>597</v>
      </c>
      <c r="AB85" s="4" t="s">
        <v>597</v>
      </c>
      <c r="AH85" s="23">
        <v>77682.0</v>
      </c>
      <c r="AL85" s="19"/>
      <c r="AM85" s="19"/>
      <c r="AN85" s="19"/>
      <c r="AO85" s="19"/>
      <c r="AP85" s="19"/>
      <c r="AQ85" s="4">
        <v>39490.0</v>
      </c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19"/>
      <c r="CW85" s="19"/>
      <c r="CX85" s="19"/>
      <c r="CY85" s="19"/>
      <c r="CZ85" s="19"/>
      <c r="DA85" s="19"/>
      <c r="DB85" s="19"/>
      <c r="DC85" s="19"/>
      <c r="DD85" s="19"/>
      <c r="DE85" s="19"/>
      <c r="DF85" s="19"/>
      <c r="DG85" s="19"/>
      <c r="DH85" s="19"/>
      <c r="DI85" s="19"/>
      <c r="DJ85" s="19"/>
      <c r="DK85" s="19"/>
      <c r="DL85" s="19"/>
      <c r="DM85" s="19"/>
      <c r="DN85" s="19"/>
      <c r="DO85" s="19"/>
      <c r="DP85" s="19"/>
      <c r="DQ85" s="19"/>
      <c r="DR85" s="19"/>
      <c r="DS85" s="19"/>
      <c r="DT85" s="19"/>
      <c r="DU85" s="19"/>
      <c r="DV85" s="19"/>
      <c r="DW85" s="19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4" t="s">
        <v>79</v>
      </c>
      <c r="EO85" s="19"/>
      <c r="EP85" s="17"/>
      <c r="EQ85" s="23"/>
      <c r="ER85" s="23" t="str">
        <f t="shared" si="3"/>
        <v/>
      </c>
      <c r="ES85" s="19"/>
      <c r="ET85" s="19" t="str">
        <f t="shared" si="4"/>
        <v/>
      </c>
      <c r="EU85" s="19"/>
      <c r="EV85" s="19"/>
      <c r="EW85" s="19"/>
      <c r="EX85" s="19"/>
      <c r="EY85" s="19"/>
      <c r="EZ85" s="19"/>
      <c r="FA85" s="19"/>
      <c r="FB85" s="19"/>
    </row>
    <row r="86" ht="15.75" customHeight="1">
      <c r="A86" s="19"/>
      <c r="B86" s="4" t="s">
        <v>468</v>
      </c>
      <c r="C86" s="4" t="s">
        <v>469</v>
      </c>
      <c r="D86" s="78">
        <v>46114.0</v>
      </c>
      <c r="E86" s="4" t="s">
        <v>1035</v>
      </c>
      <c r="F86" s="19"/>
      <c r="AH86" s="23">
        <v>9508470.0</v>
      </c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19"/>
      <c r="CW86" s="19"/>
      <c r="CX86" s="19"/>
      <c r="CY86" s="19"/>
      <c r="CZ86" s="19"/>
      <c r="DA86" s="19"/>
      <c r="DB86" s="19"/>
      <c r="DC86" s="19"/>
      <c r="DD86" s="19"/>
      <c r="DE86" s="19"/>
      <c r="DF86" s="19"/>
      <c r="DG86" s="19"/>
      <c r="DH86" s="19"/>
      <c r="DI86" s="19"/>
      <c r="DJ86" s="19"/>
      <c r="DK86" s="19"/>
      <c r="DL86" s="19"/>
      <c r="DM86" s="19"/>
      <c r="DN86" s="19"/>
      <c r="DO86" s="19"/>
      <c r="DP86" s="19"/>
      <c r="DQ86" s="19"/>
      <c r="DR86" s="19"/>
      <c r="DS86" s="19"/>
      <c r="DT86" s="19"/>
      <c r="DU86" s="19"/>
      <c r="DV86" s="19"/>
      <c r="DW86" s="19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4" t="s">
        <v>79</v>
      </c>
      <c r="EO86" s="19"/>
      <c r="EP86" s="17"/>
      <c r="EQ86" s="23"/>
      <c r="ER86" s="23" t="str">
        <f t="shared" si="3"/>
        <v/>
      </c>
      <c r="ES86" s="19"/>
      <c r="ET86" s="19" t="str">
        <f t="shared" si="4"/>
        <v/>
      </c>
      <c r="EU86" s="19"/>
      <c r="EV86" s="19"/>
      <c r="EW86" s="19"/>
      <c r="EX86" s="19"/>
      <c r="EY86" s="19"/>
      <c r="EZ86" s="19"/>
      <c r="FA86" s="19"/>
      <c r="FB86" s="19"/>
    </row>
    <row r="87" ht="15.75" customHeight="1">
      <c r="A87" s="19"/>
      <c r="B87" s="4" t="s">
        <v>468</v>
      </c>
      <c r="C87" s="4" t="s">
        <v>469</v>
      </c>
      <c r="D87" s="78">
        <v>46114.0</v>
      </c>
      <c r="E87" s="4" t="s">
        <v>1036</v>
      </c>
      <c r="F87" s="19"/>
      <c r="AH87" s="23">
        <v>1.1137272E7</v>
      </c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19"/>
      <c r="CW87" s="19"/>
      <c r="CX87" s="19"/>
      <c r="CY87" s="19"/>
      <c r="CZ87" s="19"/>
      <c r="DA87" s="19"/>
      <c r="DB87" s="19"/>
      <c r="DC87" s="19"/>
      <c r="DD87" s="19"/>
      <c r="DE87" s="19"/>
      <c r="DF87" s="19"/>
      <c r="DG87" s="19"/>
      <c r="DH87" s="19"/>
      <c r="DI87" s="19"/>
      <c r="DJ87" s="19"/>
      <c r="DK87" s="19"/>
      <c r="DL87" s="19"/>
      <c r="DM87" s="19"/>
      <c r="DN87" s="19"/>
      <c r="DO87" s="19"/>
      <c r="DP87" s="19"/>
      <c r="DQ87" s="19"/>
      <c r="DR87" s="19"/>
      <c r="DS87" s="19"/>
      <c r="DT87" s="19"/>
      <c r="DU87" s="19"/>
      <c r="DV87" s="19"/>
      <c r="DW87" s="19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4" t="s">
        <v>79</v>
      </c>
      <c r="EO87" s="19"/>
      <c r="EP87" s="17"/>
      <c r="EQ87" s="23"/>
      <c r="ER87" s="23" t="str">
        <f t="shared" si="3"/>
        <v/>
      </c>
      <c r="ES87" s="19"/>
      <c r="ET87" s="19" t="str">
        <f t="shared" si="4"/>
        <v/>
      </c>
      <c r="EU87" s="19"/>
      <c r="EV87" s="19"/>
      <c r="EW87" s="19"/>
      <c r="EX87" s="19"/>
      <c r="EY87" s="19"/>
      <c r="EZ87" s="19"/>
      <c r="FA87" s="19"/>
      <c r="FB87" s="19"/>
    </row>
    <row r="88" ht="15.75" customHeight="1">
      <c r="A88" s="19"/>
      <c r="B88" s="4" t="s">
        <v>468</v>
      </c>
      <c r="C88" s="4" t="s">
        <v>469</v>
      </c>
      <c r="D88" s="78">
        <v>46114.0</v>
      </c>
      <c r="E88" s="4" t="s">
        <v>1037</v>
      </c>
      <c r="F88" s="1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23">
        <v>1.09527E7</v>
      </c>
      <c r="AI88" s="4"/>
      <c r="AJ88" s="4"/>
      <c r="AK88" s="4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19"/>
      <c r="CW88" s="19"/>
      <c r="CX88" s="19"/>
      <c r="CY88" s="19"/>
      <c r="CZ88" s="19"/>
      <c r="DA88" s="19"/>
      <c r="DB88" s="19"/>
      <c r="DC88" s="19"/>
      <c r="DD88" s="19"/>
      <c r="DE88" s="19"/>
      <c r="DF88" s="19"/>
      <c r="DG88" s="19"/>
      <c r="DH88" s="19"/>
      <c r="DI88" s="19"/>
      <c r="DJ88" s="19"/>
      <c r="DK88" s="19"/>
      <c r="DL88" s="19"/>
      <c r="DM88" s="19"/>
      <c r="DN88" s="19"/>
      <c r="DO88" s="19"/>
      <c r="DP88" s="19"/>
      <c r="DQ88" s="19"/>
      <c r="DR88" s="19"/>
      <c r="DS88" s="19"/>
      <c r="DT88" s="19"/>
      <c r="DU88" s="19"/>
      <c r="DV88" s="19"/>
      <c r="DW88" s="19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4" t="s">
        <v>57</v>
      </c>
      <c r="EO88" s="4" t="s">
        <v>48</v>
      </c>
      <c r="EP88" s="17"/>
      <c r="EQ88" s="23"/>
      <c r="ER88" s="23" t="str">
        <f t="shared" si="3"/>
        <v/>
      </c>
      <c r="ES88" s="19"/>
      <c r="ET88" s="19" t="str">
        <f t="shared" si="4"/>
        <v/>
      </c>
      <c r="EU88" s="19"/>
      <c r="EV88" s="19"/>
      <c r="EW88" s="19"/>
      <c r="EX88" s="19"/>
      <c r="EY88" s="19"/>
      <c r="EZ88" s="19"/>
      <c r="FA88" s="19"/>
      <c r="FB88" s="19"/>
    </row>
    <row r="89" ht="15.75" customHeight="1">
      <c r="A89" s="19"/>
      <c r="B89" s="4" t="s">
        <v>468</v>
      </c>
      <c r="C89" s="4" t="s">
        <v>469</v>
      </c>
      <c r="D89" s="78">
        <v>46114.0</v>
      </c>
      <c r="E89" s="4" t="s">
        <v>1038</v>
      </c>
      <c r="F89" s="19"/>
      <c r="AG89" s="4">
        <v>1100000.0</v>
      </c>
      <c r="AH89" s="23">
        <v>1100000.0</v>
      </c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19"/>
      <c r="CW89" s="19"/>
      <c r="CX89" s="19"/>
      <c r="CY89" s="19"/>
      <c r="CZ89" s="19"/>
      <c r="DA89" s="19"/>
      <c r="DB89" s="19"/>
      <c r="DC89" s="19"/>
      <c r="DD89" s="19"/>
      <c r="DE89" s="19"/>
      <c r="DF89" s="19"/>
      <c r="DG89" s="19"/>
      <c r="DH89" s="19"/>
      <c r="DI89" s="19"/>
      <c r="DJ89" s="19"/>
      <c r="DK89" s="19"/>
      <c r="DL89" s="19"/>
      <c r="DM89" s="19"/>
      <c r="DN89" s="19"/>
      <c r="DO89" s="19"/>
      <c r="DP89" s="19"/>
      <c r="DQ89" s="19"/>
      <c r="DR89" s="19"/>
      <c r="DS89" s="19"/>
      <c r="DT89" s="19"/>
      <c r="DU89" s="19"/>
      <c r="DV89" s="19"/>
      <c r="DW89" s="19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4" t="s">
        <v>79</v>
      </c>
      <c r="EN89" s="4" t="s">
        <v>79</v>
      </c>
      <c r="EO89" s="4"/>
      <c r="EP89" s="17"/>
      <c r="EQ89" s="23"/>
      <c r="ER89" s="23" t="str">
        <f t="shared" si="3"/>
        <v/>
      </c>
      <c r="ES89" s="19"/>
      <c r="ET89" s="19" t="str">
        <f t="shared" si="4"/>
        <v/>
      </c>
      <c r="EU89" s="19"/>
      <c r="EV89" s="19"/>
      <c r="EW89" s="19"/>
      <c r="EX89" s="19"/>
      <c r="EY89" s="19"/>
      <c r="EZ89" s="19"/>
      <c r="FA89" s="19"/>
      <c r="FB89" s="19"/>
    </row>
    <row r="90" ht="15.75" customHeight="1">
      <c r="A90" s="19"/>
      <c r="B90" s="4" t="s">
        <v>468</v>
      </c>
      <c r="C90" s="4" t="s">
        <v>469</v>
      </c>
      <c r="D90" s="78">
        <v>46115.0</v>
      </c>
      <c r="E90" s="4" t="s">
        <v>1039</v>
      </c>
      <c r="F90" s="19"/>
      <c r="AH90" s="23">
        <v>1550000.0</v>
      </c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19"/>
      <c r="CW90" s="19"/>
      <c r="CX90" s="19"/>
      <c r="CY90" s="19"/>
      <c r="CZ90" s="19"/>
      <c r="DA90" s="19"/>
      <c r="DB90" s="19"/>
      <c r="DC90" s="19"/>
      <c r="DD90" s="19"/>
      <c r="DE90" s="19"/>
      <c r="DF90" s="19"/>
      <c r="DG90" s="19"/>
      <c r="DH90" s="19"/>
      <c r="DI90" s="19"/>
      <c r="DJ90" s="19"/>
      <c r="DK90" s="19"/>
      <c r="DL90" s="19"/>
      <c r="DM90" s="19"/>
      <c r="DN90" s="19"/>
      <c r="DO90" s="19"/>
      <c r="DP90" s="19"/>
      <c r="DQ90" s="19"/>
      <c r="DR90" s="19"/>
      <c r="DS90" s="19"/>
      <c r="DT90" s="19"/>
      <c r="DU90" s="19"/>
      <c r="DV90" s="19"/>
      <c r="DW90" s="19"/>
      <c r="DX90" s="19"/>
      <c r="DY90" s="19"/>
      <c r="DZ90" s="19"/>
      <c r="EA90" s="19"/>
      <c r="EB90" s="19"/>
      <c r="EC90" s="19"/>
      <c r="ED90" s="19"/>
      <c r="EE90" s="19"/>
      <c r="EF90" s="19"/>
      <c r="EG90" s="19"/>
      <c r="EH90" s="19"/>
      <c r="EI90" s="19"/>
      <c r="EJ90" s="19"/>
      <c r="EK90" s="19"/>
      <c r="EL90" s="19"/>
      <c r="EM90" s="19"/>
      <c r="EN90" s="4" t="s">
        <v>79</v>
      </c>
      <c r="EO90" s="4"/>
      <c r="EP90" s="17"/>
      <c r="EQ90" s="23"/>
      <c r="ER90" s="23" t="str">
        <f t="shared" si="3"/>
        <v/>
      </c>
      <c r="ES90" s="19"/>
      <c r="ET90" s="19" t="str">
        <f t="shared" si="4"/>
        <v/>
      </c>
      <c r="EU90" s="19"/>
      <c r="EV90" s="19"/>
      <c r="EW90" s="19"/>
      <c r="EX90" s="19"/>
      <c r="EY90" s="19"/>
      <c r="EZ90" s="19"/>
      <c r="FA90" s="19"/>
      <c r="FB90" s="19"/>
    </row>
    <row r="91" ht="15.75" customHeight="1">
      <c r="A91" s="79" t="s">
        <v>1040</v>
      </c>
      <c r="B91" s="79" t="s">
        <v>475</v>
      </c>
      <c r="C91" s="79" t="s">
        <v>476</v>
      </c>
      <c r="D91" s="80">
        <v>46115.0</v>
      </c>
      <c r="E91" s="79" t="s">
        <v>1041</v>
      </c>
      <c r="F91" s="82"/>
      <c r="G91" s="79" t="s">
        <v>1042</v>
      </c>
      <c r="H91" s="79" t="s">
        <v>1043</v>
      </c>
      <c r="I91" s="79"/>
      <c r="J91" s="79" t="s">
        <v>1044</v>
      </c>
      <c r="K91" s="79">
        <v>2680.0</v>
      </c>
      <c r="L91" s="79"/>
      <c r="M91" s="79" t="s">
        <v>1045</v>
      </c>
      <c r="N91" s="79"/>
      <c r="O91" s="79"/>
      <c r="P91" s="79"/>
      <c r="Q91" s="79"/>
      <c r="R91" s="80">
        <v>46742.0</v>
      </c>
      <c r="S91" s="79"/>
      <c r="T91" s="79">
        <v>39081.0</v>
      </c>
      <c r="U91" s="79"/>
      <c r="V91" s="79"/>
      <c r="W91" s="80">
        <v>46115.0</v>
      </c>
      <c r="X91" s="79"/>
      <c r="Y91" s="80">
        <v>46115.0</v>
      </c>
      <c r="Z91" s="79" t="s">
        <v>524</v>
      </c>
      <c r="AA91" s="79" t="s">
        <v>487</v>
      </c>
      <c r="AB91" s="79" t="s">
        <v>524</v>
      </c>
      <c r="AC91" s="79" t="s">
        <v>488</v>
      </c>
      <c r="AD91" s="79">
        <v>7000.0</v>
      </c>
      <c r="AE91" s="79">
        <v>0.0</v>
      </c>
      <c r="AF91" s="79">
        <v>0.0</v>
      </c>
      <c r="AG91" s="79">
        <v>700.0</v>
      </c>
      <c r="AH91" s="83">
        <v>7700.0</v>
      </c>
      <c r="AI91" s="79"/>
      <c r="AJ91" s="79">
        <v>0.0</v>
      </c>
      <c r="AK91" s="79">
        <v>903.0</v>
      </c>
      <c r="AL91" s="83">
        <v>0.0</v>
      </c>
      <c r="AM91" s="79">
        <v>0.0</v>
      </c>
      <c r="AN91" s="79">
        <v>91.0</v>
      </c>
      <c r="AO91" s="79">
        <v>994.0</v>
      </c>
      <c r="AP91" s="79">
        <v>0.0</v>
      </c>
      <c r="AQ91" s="79">
        <v>6097.0</v>
      </c>
      <c r="AR91" s="79" t="s">
        <v>525</v>
      </c>
      <c r="AS91" s="79">
        <v>0.0</v>
      </c>
      <c r="AT91" s="79" t="s">
        <v>490</v>
      </c>
      <c r="AU91" s="79" t="s">
        <v>491</v>
      </c>
      <c r="AV91" s="79">
        <v>0.0</v>
      </c>
      <c r="AW91" s="79"/>
      <c r="AX91" s="79">
        <v>0.0</v>
      </c>
      <c r="AY91" s="79" t="s">
        <v>492</v>
      </c>
      <c r="AZ91" s="79">
        <v>0.0</v>
      </c>
      <c r="BA91" s="79"/>
      <c r="BB91" s="79">
        <v>0.0</v>
      </c>
      <c r="BC91" s="79"/>
      <c r="BD91" s="79">
        <v>0.0</v>
      </c>
      <c r="BE91" s="82"/>
      <c r="BF91" s="79">
        <v>0.0</v>
      </c>
      <c r="BG91" s="79"/>
      <c r="BH91" s="79">
        <v>0.0</v>
      </c>
      <c r="BI91" s="79" t="s">
        <v>493</v>
      </c>
      <c r="BJ91" s="79">
        <v>0.0</v>
      </c>
      <c r="BK91" s="79" t="s">
        <v>494</v>
      </c>
      <c r="BL91" s="79">
        <v>0.0</v>
      </c>
      <c r="BM91" s="79" t="s">
        <v>495</v>
      </c>
      <c r="BN91" s="79">
        <v>0.0</v>
      </c>
      <c r="BO91" s="79" t="s">
        <v>496</v>
      </c>
      <c r="BP91" s="79">
        <v>0.0</v>
      </c>
      <c r="BQ91" s="79"/>
      <c r="BR91" s="79">
        <v>0.0</v>
      </c>
      <c r="BS91" s="79"/>
      <c r="BT91" s="79">
        <v>0.0</v>
      </c>
      <c r="BU91" s="79"/>
      <c r="BV91" s="79">
        <v>0.0</v>
      </c>
      <c r="BW91" s="79"/>
      <c r="BX91" s="79">
        <v>0.0</v>
      </c>
      <c r="BY91" s="79">
        <v>0.0</v>
      </c>
      <c r="BZ91" s="79" t="s">
        <v>491</v>
      </c>
      <c r="CA91" s="79">
        <v>0.0</v>
      </c>
      <c r="CB91" s="79" t="s">
        <v>490</v>
      </c>
      <c r="CC91" s="79"/>
      <c r="CD91" s="79">
        <v>0.0</v>
      </c>
      <c r="CE91" s="79" t="s">
        <v>492</v>
      </c>
      <c r="CF91" s="79">
        <v>0.0</v>
      </c>
      <c r="CG91" s="79"/>
      <c r="CH91" s="79">
        <v>0.0</v>
      </c>
      <c r="CI91" s="79"/>
      <c r="CJ91" s="79">
        <v>0.0</v>
      </c>
      <c r="CK91" s="79"/>
      <c r="CL91" s="79">
        <v>0.0</v>
      </c>
      <c r="CM91" s="79"/>
      <c r="CN91" s="79">
        <v>0.0</v>
      </c>
      <c r="CO91" s="79" t="s">
        <v>493</v>
      </c>
      <c r="CP91" s="79">
        <v>0.0</v>
      </c>
      <c r="CQ91" s="79" t="s">
        <v>494</v>
      </c>
      <c r="CR91" s="79">
        <v>0.0</v>
      </c>
      <c r="CS91" s="79" t="s">
        <v>495</v>
      </c>
      <c r="CT91" s="79">
        <v>0.0</v>
      </c>
      <c r="CU91" s="79" t="s">
        <v>496</v>
      </c>
      <c r="CV91" s="79">
        <v>0.0</v>
      </c>
      <c r="CW91" s="79"/>
      <c r="CX91" s="79">
        <v>0.0</v>
      </c>
      <c r="CY91" s="79"/>
      <c r="CZ91" s="79">
        <v>0.0</v>
      </c>
      <c r="DA91" s="79"/>
      <c r="DB91" s="79">
        <v>0.0</v>
      </c>
      <c r="DC91" s="79"/>
      <c r="DD91" s="79">
        <v>0.0</v>
      </c>
      <c r="DE91" s="79">
        <v>4000.0</v>
      </c>
      <c r="DF91" s="79">
        <v>3000.0</v>
      </c>
      <c r="DG91" s="79">
        <v>0.0</v>
      </c>
      <c r="DH91" s="79">
        <v>0.0</v>
      </c>
      <c r="DI91" s="79">
        <v>903.0</v>
      </c>
      <c r="DJ91" s="79" t="s">
        <v>320</v>
      </c>
      <c r="DK91" s="79" t="s">
        <v>524</v>
      </c>
      <c r="DL91" s="79" t="s">
        <v>487</v>
      </c>
      <c r="DM91" s="79" t="s">
        <v>1046</v>
      </c>
      <c r="DN91" s="79" t="s">
        <v>1047</v>
      </c>
      <c r="DO91" s="79" t="s">
        <v>1048</v>
      </c>
      <c r="DP91" s="82"/>
      <c r="DQ91" s="79"/>
      <c r="DR91" s="82"/>
      <c r="DS91" s="79"/>
      <c r="DT91" s="82"/>
      <c r="DU91" s="79"/>
      <c r="DV91" s="82"/>
      <c r="DW91" s="79"/>
      <c r="DX91" s="79"/>
      <c r="DY91" s="79"/>
      <c r="DZ91" s="79"/>
      <c r="EA91" s="79"/>
      <c r="EB91" s="79"/>
      <c r="EC91" s="79"/>
      <c r="ED91" s="79"/>
      <c r="EE91" s="79"/>
      <c r="EF91" s="82"/>
      <c r="EG91" s="79"/>
      <c r="EH91" s="82"/>
      <c r="EI91" s="79"/>
      <c r="EJ91" s="82"/>
      <c r="EK91" s="79"/>
      <c r="EL91" s="82"/>
      <c r="EM91" s="79"/>
      <c r="EN91" s="79" t="s">
        <v>57</v>
      </c>
      <c r="EO91" s="79"/>
      <c r="EP91" s="80"/>
      <c r="EQ91" s="83"/>
      <c r="ER91" s="83" t="str">
        <f t="shared" si="3"/>
        <v/>
      </c>
      <c r="ES91" s="82"/>
      <c r="ET91" s="79" t="str">
        <f t="shared" si="4"/>
        <v/>
      </c>
      <c r="EU91" s="79"/>
      <c r="EV91" s="82"/>
      <c r="EW91" s="82"/>
      <c r="EX91" s="82"/>
      <c r="EY91" s="82"/>
      <c r="EZ91" s="19"/>
      <c r="FA91" s="19"/>
      <c r="FB91" s="19" t="s">
        <v>1049</v>
      </c>
    </row>
    <row r="92" ht="15.75" customHeight="1">
      <c r="A92" s="4" t="s">
        <v>1050</v>
      </c>
      <c r="B92" s="4" t="s">
        <v>475</v>
      </c>
      <c r="C92" s="4" t="s">
        <v>476</v>
      </c>
      <c r="D92" s="78">
        <v>46116.0</v>
      </c>
      <c r="E92" s="4" t="s">
        <v>1051</v>
      </c>
      <c r="F92" s="4" t="s">
        <v>1033</v>
      </c>
      <c r="G92" s="4" t="s">
        <v>1052</v>
      </c>
      <c r="H92" s="4" t="s">
        <v>601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 t="s">
        <v>1053</v>
      </c>
      <c r="W92" s="4"/>
      <c r="X92" s="4"/>
      <c r="Y92" s="4" t="s">
        <v>1054</v>
      </c>
      <c r="Z92" s="4" t="s">
        <v>597</v>
      </c>
      <c r="AA92" s="4"/>
      <c r="AB92" s="4" t="s">
        <v>597</v>
      </c>
      <c r="AC92" s="4"/>
      <c r="AD92" s="4"/>
      <c r="AE92" s="4"/>
      <c r="AF92" s="4"/>
      <c r="AG92" s="4"/>
      <c r="AH92" s="23">
        <v>271480.0</v>
      </c>
      <c r="AI92" s="4"/>
      <c r="AJ92" s="4"/>
      <c r="AK92" s="4"/>
      <c r="AL92" s="19"/>
      <c r="AM92" s="19"/>
      <c r="AN92" s="19"/>
      <c r="AO92" s="19"/>
      <c r="AP92" s="19"/>
      <c r="AQ92" s="4">
        <v>110510.0</v>
      </c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19"/>
      <c r="CW92" s="19"/>
      <c r="CX92" s="19"/>
      <c r="CY92" s="19"/>
      <c r="CZ92" s="19"/>
      <c r="DA92" s="19"/>
      <c r="DB92" s="19"/>
      <c r="DC92" s="19"/>
      <c r="DD92" s="19"/>
      <c r="DE92" s="19"/>
      <c r="DF92" s="19"/>
      <c r="DG92" s="19"/>
      <c r="DH92" s="19"/>
      <c r="DI92" s="19"/>
      <c r="DJ92" s="19"/>
      <c r="DK92" s="19"/>
      <c r="DL92" s="19"/>
      <c r="DM92" s="19"/>
      <c r="DN92" s="19"/>
      <c r="DO92" s="19"/>
      <c r="DP92" s="19"/>
      <c r="DQ92" s="19"/>
      <c r="DR92" s="19"/>
      <c r="DS92" s="19"/>
      <c r="DT92" s="19"/>
      <c r="DU92" s="19"/>
      <c r="DV92" s="19"/>
      <c r="DW92" s="19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4" t="s">
        <v>57</v>
      </c>
      <c r="EO92" s="19"/>
      <c r="EP92" s="17"/>
      <c r="EQ92" s="23"/>
      <c r="ER92" s="23" t="str">
        <f t="shared" si="3"/>
        <v/>
      </c>
      <c r="ES92" s="19"/>
      <c r="ET92" s="19" t="str">
        <f t="shared" si="4"/>
        <v/>
      </c>
      <c r="EU92" s="19"/>
      <c r="EV92" s="19"/>
      <c r="EW92" s="19"/>
      <c r="EX92" s="19"/>
      <c r="EY92" s="19"/>
      <c r="EZ92" s="19"/>
      <c r="FA92" s="19"/>
      <c r="FB92" s="19"/>
    </row>
    <row r="93" ht="15.75" customHeight="1">
      <c r="A93" s="79" t="s">
        <v>1055</v>
      </c>
      <c r="B93" s="79" t="s">
        <v>475</v>
      </c>
      <c r="C93" s="79" t="s">
        <v>476</v>
      </c>
      <c r="D93" s="80">
        <v>46118.0</v>
      </c>
      <c r="E93" s="79" t="s">
        <v>1056</v>
      </c>
      <c r="F93" s="79" t="s">
        <v>568</v>
      </c>
      <c r="G93" s="79" t="s">
        <v>1057</v>
      </c>
      <c r="H93" s="79" t="s">
        <v>895</v>
      </c>
      <c r="I93" s="79"/>
      <c r="J93" s="79" t="s">
        <v>1058</v>
      </c>
      <c r="K93" s="79">
        <v>0.0</v>
      </c>
      <c r="L93" s="79"/>
      <c r="M93" s="79" t="s">
        <v>1059</v>
      </c>
      <c r="N93" s="79"/>
      <c r="O93" s="79"/>
      <c r="P93" s="79"/>
      <c r="Q93" s="79"/>
      <c r="R93" s="80"/>
      <c r="S93" s="79"/>
      <c r="T93" s="79">
        <v>21915.0</v>
      </c>
      <c r="U93" s="79"/>
      <c r="V93" s="79"/>
      <c r="W93" s="80">
        <v>46118.0</v>
      </c>
      <c r="X93" s="79"/>
      <c r="Y93" s="80">
        <v>46118.0</v>
      </c>
      <c r="Z93" s="79" t="s">
        <v>486</v>
      </c>
      <c r="AA93" s="79" t="s">
        <v>627</v>
      </c>
      <c r="AB93" s="79" t="s">
        <v>486</v>
      </c>
      <c r="AC93" s="79" t="s">
        <v>488</v>
      </c>
      <c r="AD93" s="79">
        <v>6250.0</v>
      </c>
      <c r="AE93" s="79">
        <v>0.0</v>
      </c>
      <c r="AF93" s="79">
        <v>0.0</v>
      </c>
      <c r="AG93" s="79">
        <v>625.0</v>
      </c>
      <c r="AH93" s="83">
        <v>6875.0</v>
      </c>
      <c r="AI93" s="79"/>
      <c r="AJ93" s="79">
        <v>0.0</v>
      </c>
      <c r="AK93" s="79">
        <v>3250.0</v>
      </c>
      <c r="AL93" s="83">
        <v>0.0</v>
      </c>
      <c r="AM93" s="79">
        <v>0.0</v>
      </c>
      <c r="AN93" s="79">
        <v>325.0</v>
      </c>
      <c r="AO93" s="79">
        <v>3575.0</v>
      </c>
      <c r="AP93" s="79">
        <v>0.0</v>
      </c>
      <c r="AQ93" s="79">
        <v>3000.0</v>
      </c>
      <c r="AR93" s="79" t="s">
        <v>489</v>
      </c>
      <c r="AS93" s="79">
        <v>0.0</v>
      </c>
      <c r="AT93" s="79" t="s">
        <v>507</v>
      </c>
      <c r="AU93" s="79" t="s">
        <v>491</v>
      </c>
      <c r="AV93" s="79">
        <v>0.0</v>
      </c>
      <c r="AW93" s="79" t="s">
        <v>508</v>
      </c>
      <c r="AX93" s="79">
        <v>0.0</v>
      </c>
      <c r="AY93" s="79"/>
      <c r="AZ93" s="79">
        <v>0.0</v>
      </c>
      <c r="BA93" s="79"/>
      <c r="BB93" s="79">
        <v>0.0</v>
      </c>
      <c r="BC93" s="79"/>
      <c r="BD93" s="79">
        <v>0.0</v>
      </c>
      <c r="BE93" s="82"/>
      <c r="BF93" s="79">
        <v>0.0</v>
      </c>
      <c r="BG93" s="79"/>
      <c r="BH93" s="79">
        <v>0.0</v>
      </c>
      <c r="BI93" s="79" t="s">
        <v>493</v>
      </c>
      <c r="BJ93" s="79">
        <v>0.0</v>
      </c>
      <c r="BK93" s="79" t="s">
        <v>494</v>
      </c>
      <c r="BL93" s="79">
        <v>0.0</v>
      </c>
      <c r="BM93" s="79" t="s">
        <v>495</v>
      </c>
      <c r="BN93" s="79">
        <v>0.0</v>
      </c>
      <c r="BO93" s="79" t="s">
        <v>496</v>
      </c>
      <c r="BP93" s="79">
        <v>0.0</v>
      </c>
      <c r="BQ93" s="79"/>
      <c r="BR93" s="79">
        <v>0.0</v>
      </c>
      <c r="BS93" s="79"/>
      <c r="BT93" s="79">
        <v>0.0</v>
      </c>
      <c r="BU93" s="79"/>
      <c r="BV93" s="79">
        <v>0.0</v>
      </c>
      <c r="BW93" s="79"/>
      <c r="BX93" s="79">
        <v>0.0</v>
      </c>
      <c r="BY93" s="79">
        <v>0.0</v>
      </c>
      <c r="BZ93" s="79" t="s">
        <v>491</v>
      </c>
      <c r="CA93" s="79">
        <v>0.0</v>
      </c>
      <c r="CB93" s="79" t="s">
        <v>507</v>
      </c>
      <c r="CC93" s="79" t="s">
        <v>508</v>
      </c>
      <c r="CD93" s="79">
        <v>0.0</v>
      </c>
      <c r="CE93" s="79"/>
      <c r="CF93" s="79">
        <v>0.0</v>
      </c>
      <c r="CG93" s="79"/>
      <c r="CH93" s="79">
        <v>0.0</v>
      </c>
      <c r="CI93" s="79"/>
      <c r="CJ93" s="79">
        <v>0.0</v>
      </c>
      <c r="CK93" s="79"/>
      <c r="CL93" s="79">
        <v>0.0</v>
      </c>
      <c r="CM93" s="79"/>
      <c r="CN93" s="79">
        <v>0.0</v>
      </c>
      <c r="CO93" s="79" t="s">
        <v>493</v>
      </c>
      <c r="CP93" s="79">
        <v>0.0</v>
      </c>
      <c r="CQ93" s="79" t="s">
        <v>494</v>
      </c>
      <c r="CR93" s="79">
        <v>0.0</v>
      </c>
      <c r="CS93" s="79" t="s">
        <v>495</v>
      </c>
      <c r="CT93" s="79">
        <v>0.0</v>
      </c>
      <c r="CU93" s="79" t="s">
        <v>496</v>
      </c>
      <c r="CV93" s="79">
        <v>0.0</v>
      </c>
      <c r="CW93" s="79"/>
      <c r="CX93" s="79">
        <v>0.0</v>
      </c>
      <c r="CY93" s="79"/>
      <c r="CZ93" s="79">
        <v>0.0</v>
      </c>
      <c r="DA93" s="79"/>
      <c r="DB93" s="79">
        <v>0.0</v>
      </c>
      <c r="DC93" s="79"/>
      <c r="DD93" s="79">
        <v>0.0</v>
      </c>
      <c r="DE93" s="79">
        <v>0.0</v>
      </c>
      <c r="DF93" s="79">
        <v>6250.0</v>
      </c>
      <c r="DG93" s="79">
        <v>0.0</v>
      </c>
      <c r="DH93" s="79">
        <v>0.0</v>
      </c>
      <c r="DI93" s="79">
        <v>3250.0</v>
      </c>
      <c r="DJ93" s="79" t="s">
        <v>1060</v>
      </c>
      <c r="DK93" s="79" t="s">
        <v>486</v>
      </c>
      <c r="DL93" s="79" t="s">
        <v>627</v>
      </c>
      <c r="DM93" s="79" t="s">
        <v>1061</v>
      </c>
      <c r="DN93" s="82"/>
      <c r="DO93" s="79"/>
      <c r="DP93" s="82"/>
      <c r="DQ93" s="79"/>
      <c r="DR93" s="82"/>
      <c r="DS93" s="79"/>
      <c r="DT93" s="82"/>
      <c r="DU93" s="79"/>
      <c r="DV93" s="82"/>
      <c r="DW93" s="79"/>
      <c r="DX93" s="79"/>
      <c r="DY93" s="79"/>
      <c r="DZ93" s="79"/>
      <c r="EA93" s="79"/>
      <c r="EB93" s="79"/>
      <c r="EC93" s="79"/>
      <c r="ED93" s="79"/>
      <c r="EE93" s="79"/>
      <c r="EF93" s="82"/>
      <c r="EG93" s="79"/>
      <c r="EH93" s="82"/>
      <c r="EI93" s="79"/>
      <c r="EJ93" s="82"/>
      <c r="EK93" s="79"/>
      <c r="EL93" s="82"/>
      <c r="EM93" s="79"/>
      <c r="EN93" s="79" t="s">
        <v>79</v>
      </c>
      <c r="EO93" s="79"/>
      <c r="EP93" s="80"/>
      <c r="EQ93" s="83"/>
      <c r="ER93" s="83" t="str">
        <f t="shared" si="3"/>
        <v/>
      </c>
      <c r="ES93" s="79"/>
      <c r="ET93" s="79" t="str">
        <f t="shared" si="4"/>
        <v/>
      </c>
      <c r="EU93" s="79"/>
      <c r="EV93" s="82"/>
      <c r="EW93" s="82"/>
      <c r="EX93" s="82"/>
      <c r="EY93" s="82"/>
      <c r="EZ93" s="19"/>
      <c r="FA93" s="19"/>
      <c r="FB93" s="19"/>
    </row>
    <row r="94" ht="15.75" customHeight="1">
      <c r="A94" s="4" t="s">
        <v>1062</v>
      </c>
      <c r="B94" s="4" t="s">
        <v>778</v>
      </c>
      <c r="C94" s="4" t="s">
        <v>476</v>
      </c>
      <c r="D94" s="78">
        <v>46118.0</v>
      </c>
      <c r="E94" s="4" t="s">
        <v>1063</v>
      </c>
      <c r="F94" s="4" t="s">
        <v>1030</v>
      </c>
      <c r="G94" s="4" t="s">
        <v>902</v>
      </c>
      <c r="H94" s="4" t="s">
        <v>1064</v>
      </c>
      <c r="V94" s="4" t="s">
        <v>968</v>
      </c>
      <c r="Y94" s="4" t="s">
        <v>1065</v>
      </c>
      <c r="Z94" s="4" t="s">
        <v>597</v>
      </c>
      <c r="AB94" s="4" t="s">
        <v>597</v>
      </c>
      <c r="AH94" s="23">
        <v>10340.0</v>
      </c>
      <c r="AL94" s="19"/>
      <c r="AM94" s="19"/>
      <c r="AN94" s="19"/>
      <c r="AO94" s="19"/>
      <c r="AP94" s="19"/>
      <c r="AQ94" s="4">
        <v>3866.0</v>
      </c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19"/>
      <c r="CW94" s="19"/>
      <c r="CX94" s="19"/>
      <c r="CY94" s="19"/>
      <c r="CZ94" s="19"/>
      <c r="DA94" s="19"/>
      <c r="DB94" s="19"/>
      <c r="DC94" s="19"/>
      <c r="DD94" s="19"/>
      <c r="DE94" s="19"/>
      <c r="DF94" s="19"/>
      <c r="DG94" s="19"/>
      <c r="DH94" s="19"/>
      <c r="DI94" s="19"/>
      <c r="DJ94" s="19"/>
      <c r="DK94" s="19"/>
      <c r="DL94" s="19"/>
      <c r="DM94" s="19"/>
      <c r="DN94" s="19"/>
      <c r="DO94" s="19"/>
      <c r="DP94" s="19"/>
      <c r="DQ94" s="19"/>
      <c r="DR94" s="19"/>
      <c r="DS94" s="19"/>
      <c r="DT94" s="19"/>
      <c r="DU94" s="19"/>
      <c r="DV94" s="19"/>
      <c r="DW94" s="19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4" t="s">
        <v>79</v>
      </c>
      <c r="EO94" s="19"/>
      <c r="EP94" s="17"/>
      <c r="EQ94" s="23"/>
      <c r="ER94" s="23" t="str">
        <f t="shared" si="3"/>
        <v/>
      </c>
      <c r="ES94" s="19"/>
      <c r="ET94" s="19" t="str">
        <f t="shared" si="4"/>
        <v/>
      </c>
      <c r="EU94" s="19"/>
      <c r="EV94" s="19"/>
      <c r="EW94" s="19"/>
      <c r="EX94" s="19"/>
      <c r="EY94" s="19"/>
      <c r="EZ94" s="19"/>
      <c r="FA94" s="19"/>
      <c r="FB94" s="19"/>
    </row>
    <row r="95" ht="15.75" customHeight="1">
      <c r="A95" s="4" t="s">
        <v>1066</v>
      </c>
      <c r="B95" s="4" t="s">
        <v>605</v>
      </c>
      <c r="C95" s="4" t="s">
        <v>476</v>
      </c>
      <c r="D95" s="78">
        <v>46118.0</v>
      </c>
      <c r="E95" s="4" t="s">
        <v>1063</v>
      </c>
      <c r="F95" s="4" t="s">
        <v>1030</v>
      </c>
      <c r="G95" s="4" t="s">
        <v>902</v>
      </c>
      <c r="H95" s="4" t="s">
        <v>1064</v>
      </c>
      <c r="V95" s="4" t="s">
        <v>968</v>
      </c>
      <c r="Y95" s="4" t="s">
        <v>1065</v>
      </c>
      <c r="Z95" s="4" t="s">
        <v>597</v>
      </c>
      <c r="AB95" s="4" t="s">
        <v>597</v>
      </c>
      <c r="AH95" s="23">
        <v>122386.0</v>
      </c>
      <c r="AL95" s="19"/>
      <c r="AM95" s="19"/>
      <c r="AN95" s="19"/>
      <c r="AO95" s="19"/>
      <c r="AP95" s="19"/>
      <c r="AQ95" s="4">
        <v>81224.0</v>
      </c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19"/>
      <c r="CW95" s="19"/>
      <c r="CX95" s="19"/>
      <c r="CY95" s="19"/>
      <c r="CZ95" s="19"/>
      <c r="DA95" s="19"/>
      <c r="DB95" s="19"/>
      <c r="DC95" s="19"/>
      <c r="DD95" s="19"/>
      <c r="DE95" s="19"/>
      <c r="DF95" s="19"/>
      <c r="DG95" s="19"/>
      <c r="DH95" s="19"/>
      <c r="DI95" s="19"/>
      <c r="DJ95" s="19"/>
      <c r="DK95" s="19"/>
      <c r="DL95" s="19"/>
      <c r="DM95" s="19"/>
      <c r="DN95" s="19"/>
      <c r="DO95" s="19"/>
      <c r="DP95" s="19"/>
      <c r="DQ95" s="19"/>
      <c r="DR95" s="19"/>
      <c r="DS95" s="19"/>
      <c r="DT95" s="19"/>
      <c r="DU95" s="19"/>
      <c r="DV95" s="19"/>
      <c r="DW95" s="19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4" t="s">
        <v>79</v>
      </c>
      <c r="EO95" s="19"/>
      <c r="EP95" s="17"/>
      <c r="EQ95" s="23"/>
      <c r="ER95" s="23" t="str">
        <f t="shared" si="3"/>
        <v/>
      </c>
      <c r="ES95" s="19"/>
      <c r="ET95" s="19" t="str">
        <f t="shared" si="4"/>
        <v/>
      </c>
      <c r="EU95" s="19"/>
      <c r="EV95" s="19"/>
      <c r="EW95" s="19"/>
      <c r="EX95" s="19"/>
      <c r="EY95" s="19"/>
      <c r="EZ95" s="19"/>
      <c r="FA95" s="19"/>
      <c r="FB95" s="19"/>
    </row>
    <row r="96" ht="15.75" customHeight="1">
      <c r="A96" s="4" t="s">
        <v>1067</v>
      </c>
      <c r="B96" s="4" t="s">
        <v>605</v>
      </c>
      <c r="C96" s="4" t="s">
        <v>476</v>
      </c>
      <c r="D96" s="78">
        <v>46118.0</v>
      </c>
      <c r="E96" s="4" t="s">
        <v>1063</v>
      </c>
      <c r="F96" s="4" t="s">
        <v>1030</v>
      </c>
      <c r="G96" s="4" t="s">
        <v>902</v>
      </c>
      <c r="H96" s="4" t="s">
        <v>1064</v>
      </c>
      <c r="V96" s="4" t="s">
        <v>968</v>
      </c>
      <c r="Y96" s="4" t="s">
        <v>1065</v>
      </c>
      <c r="Z96" s="4" t="s">
        <v>597</v>
      </c>
      <c r="AB96" s="4" t="s">
        <v>597</v>
      </c>
      <c r="AH96" s="23">
        <v>616.0</v>
      </c>
      <c r="AL96" s="19"/>
      <c r="AM96" s="19"/>
      <c r="AN96" s="19"/>
      <c r="AO96" s="19"/>
      <c r="AP96" s="19"/>
      <c r="AQ96" s="4">
        <v>560.0</v>
      </c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19"/>
      <c r="CW96" s="19"/>
      <c r="CX96" s="19"/>
      <c r="CY96" s="19"/>
      <c r="CZ96" s="19"/>
      <c r="DA96" s="19"/>
      <c r="DB96" s="19"/>
      <c r="DC96" s="19"/>
      <c r="DD96" s="19"/>
      <c r="DE96" s="19"/>
      <c r="DF96" s="19"/>
      <c r="DG96" s="19"/>
      <c r="DH96" s="19"/>
      <c r="DI96" s="19"/>
      <c r="DJ96" s="19"/>
      <c r="DK96" s="19"/>
      <c r="DL96" s="19"/>
      <c r="DM96" s="19"/>
      <c r="DN96" s="19"/>
      <c r="DO96" s="19"/>
      <c r="DP96" s="19"/>
      <c r="DQ96" s="19"/>
      <c r="DR96" s="19"/>
      <c r="DS96" s="19"/>
      <c r="DT96" s="19"/>
      <c r="DU96" s="19"/>
      <c r="DV96" s="19"/>
      <c r="DW96" s="19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4" t="s">
        <v>79</v>
      </c>
      <c r="EO96" s="19"/>
      <c r="EP96" s="17"/>
      <c r="EQ96" s="23"/>
      <c r="ER96" s="23" t="str">
        <f t="shared" si="3"/>
        <v/>
      </c>
      <c r="ES96" s="19"/>
      <c r="ET96" s="19" t="str">
        <f t="shared" si="4"/>
        <v/>
      </c>
      <c r="EU96" s="19"/>
      <c r="EV96" s="19"/>
      <c r="EW96" s="19"/>
      <c r="EX96" s="19"/>
      <c r="EY96" s="19"/>
      <c r="EZ96" s="19"/>
      <c r="FA96" s="19"/>
      <c r="FB96" s="19"/>
    </row>
    <row r="97" ht="15.75" customHeight="1">
      <c r="A97" s="4" t="s">
        <v>1068</v>
      </c>
      <c r="B97" s="4" t="s">
        <v>778</v>
      </c>
      <c r="C97" s="4" t="s">
        <v>476</v>
      </c>
      <c r="D97" s="78">
        <v>46118.0</v>
      </c>
      <c r="E97" s="4" t="s">
        <v>1069</v>
      </c>
      <c r="F97" s="4" t="s">
        <v>1030</v>
      </c>
      <c r="G97" s="4" t="s">
        <v>879</v>
      </c>
      <c r="H97" s="4" t="s">
        <v>1064</v>
      </c>
      <c r="V97" s="4" t="s">
        <v>1070</v>
      </c>
      <c r="Y97" s="4" t="s">
        <v>1070</v>
      </c>
      <c r="Z97" s="4" t="s">
        <v>597</v>
      </c>
      <c r="AB97" s="4" t="s">
        <v>597</v>
      </c>
      <c r="AH97" s="23">
        <v>0.0</v>
      </c>
      <c r="AL97" s="19"/>
      <c r="AM97" s="19"/>
      <c r="AN97" s="19"/>
      <c r="AO97" s="19"/>
      <c r="AP97" s="19"/>
      <c r="AQ97" s="4">
        <v>0.0</v>
      </c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19"/>
      <c r="CW97" s="19"/>
      <c r="CX97" s="19"/>
      <c r="CY97" s="19"/>
      <c r="CZ97" s="19"/>
      <c r="DA97" s="19"/>
      <c r="DB97" s="19"/>
      <c r="DC97" s="19"/>
      <c r="DD97" s="19"/>
      <c r="DE97" s="19"/>
      <c r="DF97" s="19"/>
      <c r="DG97" s="19"/>
      <c r="DH97" s="19"/>
      <c r="DI97" s="19"/>
      <c r="DJ97" s="19"/>
      <c r="DK97" s="19"/>
      <c r="DL97" s="19"/>
      <c r="DM97" s="19"/>
      <c r="DN97" s="19"/>
      <c r="DO97" s="19"/>
      <c r="DP97" s="19"/>
      <c r="DQ97" s="19"/>
      <c r="DR97" s="19"/>
      <c r="DS97" s="19"/>
      <c r="DT97" s="19"/>
      <c r="DU97" s="19"/>
      <c r="DV97" s="19"/>
      <c r="DW97" s="19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4" t="s">
        <v>79</v>
      </c>
      <c r="EO97" s="19"/>
      <c r="EP97" s="17"/>
      <c r="EQ97" s="23"/>
      <c r="ER97" s="23" t="str">
        <f t="shared" si="3"/>
        <v/>
      </c>
      <c r="ES97" s="19"/>
      <c r="ET97" s="19" t="str">
        <f t="shared" si="4"/>
        <v/>
      </c>
      <c r="EU97" s="19"/>
      <c r="EV97" s="19"/>
      <c r="EW97" s="19"/>
      <c r="EX97" s="19"/>
      <c r="EY97" s="19"/>
      <c r="EZ97" s="19"/>
      <c r="FA97" s="19"/>
      <c r="FB97" s="19"/>
    </row>
    <row r="98" ht="15.75" customHeight="1">
      <c r="A98" s="79" t="s">
        <v>1071</v>
      </c>
      <c r="B98" s="79" t="s">
        <v>591</v>
      </c>
      <c r="C98" s="79" t="s">
        <v>476</v>
      </c>
      <c r="D98" s="80">
        <v>46121.0</v>
      </c>
      <c r="E98" s="79" t="s">
        <v>1072</v>
      </c>
      <c r="F98" s="82"/>
      <c r="G98" s="79" t="s">
        <v>1073</v>
      </c>
      <c r="H98" s="79" t="s">
        <v>1074</v>
      </c>
      <c r="I98" s="79" t="s">
        <v>1075</v>
      </c>
      <c r="J98" s="79" t="s">
        <v>1076</v>
      </c>
      <c r="K98" s="79">
        <v>1200.0</v>
      </c>
      <c r="L98" s="79" t="s">
        <v>821</v>
      </c>
      <c r="M98" s="79" t="s">
        <v>1077</v>
      </c>
      <c r="N98" s="79" t="s">
        <v>572</v>
      </c>
      <c r="O98" s="79" t="s">
        <v>1078</v>
      </c>
      <c r="P98" s="79"/>
      <c r="Q98" s="79" t="s">
        <v>1079</v>
      </c>
      <c r="R98" s="80">
        <v>46853.0</v>
      </c>
      <c r="S98" s="79"/>
      <c r="T98" s="79">
        <v>20171.0</v>
      </c>
      <c r="U98" s="79"/>
      <c r="V98" s="79"/>
      <c r="W98" s="80">
        <v>46115.0</v>
      </c>
      <c r="X98" s="79"/>
      <c r="Y98" s="80">
        <v>46121.0</v>
      </c>
      <c r="Z98" s="79" t="s">
        <v>524</v>
      </c>
      <c r="AA98" s="79" t="s">
        <v>487</v>
      </c>
      <c r="AB98" s="79" t="s">
        <v>557</v>
      </c>
      <c r="AC98" s="79" t="s">
        <v>488</v>
      </c>
      <c r="AD98" s="79">
        <v>90464.0</v>
      </c>
      <c r="AE98" s="79">
        <v>1227.0</v>
      </c>
      <c r="AF98" s="79">
        <v>36550.0</v>
      </c>
      <c r="AG98" s="79">
        <v>9169.0</v>
      </c>
      <c r="AH98" s="83">
        <v>137410.0</v>
      </c>
      <c r="AI98" s="79"/>
      <c r="AJ98" s="79">
        <v>0.0</v>
      </c>
      <c r="AK98" s="79">
        <v>77807.0</v>
      </c>
      <c r="AL98" s="83">
        <v>800.0</v>
      </c>
      <c r="AM98" s="79">
        <v>36550.0</v>
      </c>
      <c r="AN98" s="79">
        <v>7861.0</v>
      </c>
      <c r="AO98" s="79">
        <v>123018.0</v>
      </c>
      <c r="AP98" s="79">
        <v>0.0</v>
      </c>
      <c r="AQ98" s="79">
        <v>13084.0</v>
      </c>
      <c r="AR98" s="79" t="s">
        <v>525</v>
      </c>
      <c r="AS98" s="79">
        <v>0.0</v>
      </c>
      <c r="AT98" s="79" t="s">
        <v>836</v>
      </c>
      <c r="AU98" s="79" t="s">
        <v>491</v>
      </c>
      <c r="AV98" s="79">
        <v>1227.0</v>
      </c>
      <c r="AW98" s="79" t="s">
        <v>492</v>
      </c>
      <c r="AX98" s="79">
        <v>0.0</v>
      </c>
      <c r="AY98" s="82"/>
      <c r="AZ98" s="79">
        <v>0.0</v>
      </c>
      <c r="BA98" s="82"/>
      <c r="BB98" s="79">
        <v>0.0</v>
      </c>
      <c r="BC98" s="82"/>
      <c r="BD98" s="79">
        <v>0.0</v>
      </c>
      <c r="BE98" s="82"/>
      <c r="BF98" s="79">
        <v>0.0</v>
      </c>
      <c r="BG98" s="79"/>
      <c r="BH98" s="79">
        <v>0.0</v>
      </c>
      <c r="BI98" s="79" t="s">
        <v>493</v>
      </c>
      <c r="BJ98" s="79">
        <v>17650.0</v>
      </c>
      <c r="BK98" s="79" t="s">
        <v>494</v>
      </c>
      <c r="BL98" s="79">
        <v>16400.0</v>
      </c>
      <c r="BM98" s="79" t="s">
        <v>495</v>
      </c>
      <c r="BN98" s="79">
        <v>2500.0</v>
      </c>
      <c r="BO98" s="79" t="s">
        <v>496</v>
      </c>
      <c r="BP98" s="79">
        <v>0.0</v>
      </c>
      <c r="BQ98" s="79"/>
      <c r="BR98" s="79">
        <v>0.0</v>
      </c>
      <c r="BS98" s="79"/>
      <c r="BT98" s="79">
        <v>0.0</v>
      </c>
      <c r="BU98" s="79"/>
      <c r="BV98" s="79">
        <v>0.0</v>
      </c>
      <c r="BW98" s="79"/>
      <c r="BX98" s="79">
        <v>0.0</v>
      </c>
      <c r="BY98" s="79">
        <v>0.0</v>
      </c>
      <c r="BZ98" s="79" t="s">
        <v>491</v>
      </c>
      <c r="CA98" s="79">
        <v>800.0</v>
      </c>
      <c r="CB98" s="79" t="s">
        <v>836</v>
      </c>
      <c r="CC98" s="79" t="s">
        <v>492</v>
      </c>
      <c r="CD98" s="79">
        <v>0.0</v>
      </c>
      <c r="CE98" s="79"/>
      <c r="CF98" s="79">
        <v>0.0</v>
      </c>
      <c r="CG98" s="79"/>
      <c r="CH98" s="79">
        <v>0.0</v>
      </c>
      <c r="CI98" s="79"/>
      <c r="CJ98" s="79">
        <v>0.0</v>
      </c>
      <c r="CK98" s="79"/>
      <c r="CL98" s="79">
        <v>0.0</v>
      </c>
      <c r="CM98" s="79"/>
      <c r="CN98" s="79">
        <v>0.0</v>
      </c>
      <c r="CO98" s="79" t="s">
        <v>493</v>
      </c>
      <c r="CP98" s="79">
        <v>17650.0</v>
      </c>
      <c r="CQ98" s="79" t="s">
        <v>494</v>
      </c>
      <c r="CR98" s="79">
        <v>16400.0</v>
      </c>
      <c r="CS98" s="79" t="s">
        <v>495</v>
      </c>
      <c r="CT98" s="79">
        <v>2500.0</v>
      </c>
      <c r="CU98" s="79" t="s">
        <v>496</v>
      </c>
      <c r="CV98" s="79">
        <v>0.0</v>
      </c>
      <c r="CW98" s="79"/>
      <c r="CX98" s="79">
        <v>0.0</v>
      </c>
      <c r="CY98" s="79"/>
      <c r="CZ98" s="79">
        <v>0.0</v>
      </c>
      <c r="DA98" s="79"/>
      <c r="DB98" s="79">
        <v>0.0</v>
      </c>
      <c r="DC98" s="79"/>
      <c r="DD98" s="79">
        <v>0.0</v>
      </c>
      <c r="DE98" s="79">
        <v>-67136.0</v>
      </c>
      <c r="DF98" s="79">
        <v>157600.0</v>
      </c>
      <c r="DG98" s="79">
        <v>0.0</v>
      </c>
      <c r="DH98" s="79">
        <v>0.0</v>
      </c>
      <c r="DI98" s="79">
        <v>77807.0</v>
      </c>
      <c r="DJ98" s="79" t="s">
        <v>1080</v>
      </c>
      <c r="DK98" s="79" t="s">
        <v>524</v>
      </c>
      <c r="DL98" s="79" t="s">
        <v>487</v>
      </c>
      <c r="DM98" s="79" t="s">
        <v>1081</v>
      </c>
      <c r="DN98" s="79"/>
      <c r="DO98" s="79" t="s">
        <v>1082</v>
      </c>
      <c r="DP98" s="82"/>
      <c r="DQ98" s="79"/>
      <c r="DR98" s="82"/>
      <c r="DS98" s="79"/>
      <c r="DT98" s="82"/>
      <c r="DU98" s="79"/>
      <c r="DV98" s="82"/>
      <c r="DW98" s="79"/>
      <c r="DX98" s="79"/>
      <c r="DY98" s="79"/>
      <c r="DZ98" s="79"/>
      <c r="EA98" s="79"/>
      <c r="EB98" s="79"/>
      <c r="EC98" s="79"/>
      <c r="ED98" s="79"/>
      <c r="EE98" s="79"/>
      <c r="EF98" s="82"/>
      <c r="EG98" s="79"/>
      <c r="EH98" s="82"/>
      <c r="EI98" s="79"/>
      <c r="EJ98" s="82"/>
      <c r="EK98" s="79"/>
      <c r="EL98" s="82"/>
      <c r="EM98" s="79"/>
      <c r="EN98" s="79" t="s">
        <v>156</v>
      </c>
      <c r="EO98" s="79" t="s">
        <v>48</v>
      </c>
      <c r="EP98" s="80"/>
      <c r="EQ98" s="83">
        <v>137410.0</v>
      </c>
      <c r="ER98" s="83">
        <v>0.0</v>
      </c>
      <c r="ES98" s="79" t="s">
        <v>112</v>
      </c>
      <c r="ET98" s="79"/>
      <c r="EU98" s="79" t="s">
        <v>1083</v>
      </c>
      <c r="EV98" s="82"/>
      <c r="EW98" s="82"/>
      <c r="EX98" s="82"/>
      <c r="EY98" s="82"/>
      <c r="EZ98" s="19"/>
      <c r="FA98" s="19"/>
      <c r="FB98" s="19"/>
    </row>
    <row r="99" ht="15.75" customHeight="1">
      <c r="A99" s="79" t="s">
        <v>1084</v>
      </c>
      <c r="B99" s="79" t="s">
        <v>515</v>
      </c>
      <c r="C99" s="79" t="s">
        <v>476</v>
      </c>
      <c r="D99" s="80">
        <v>46121.0</v>
      </c>
      <c r="E99" s="79" t="s">
        <v>1085</v>
      </c>
      <c r="F99" s="79" t="s">
        <v>568</v>
      </c>
      <c r="G99" s="79" t="s">
        <v>1086</v>
      </c>
      <c r="H99" s="79" t="s">
        <v>611</v>
      </c>
      <c r="I99" s="79"/>
      <c r="J99" s="79" t="s">
        <v>1087</v>
      </c>
      <c r="K99" s="79">
        <v>2990.0</v>
      </c>
      <c r="L99" s="79"/>
      <c r="M99" s="79" t="s">
        <v>613</v>
      </c>
      <c r="N99" s="79"/>
      <c r="O99" s="79"/>
      <c r="P99" s="79"/>
      <c r="Q99" s="79"/>
      <c r="R99" s="80">
        <v>46870.0</v>
      </c>
      <c r="S99" s="79"/>
      <c r="T99" s="79">
        <v>8165.0</v>
      </c>
      <c r="U99" s="79"/>
      <c r="V99" s="79"/>
      <c r="W99" s="80">
        <v>46121.0</v>
      </c>
      <c r="X99" s="79"/>
      <c r="Y99" s="80">
        <v>46121.0</v>
      </c>
      <c r="Z99" s="79" t="s">
        <v>486</v>
      </c>
      <c r="AA99" s="79" t="s">
        <v>537</v>
      </c>
      <c r="AB99" s="79" t="s">
        <v>486</v>
      </c>
      <c r="AC99" s="79" t="s">
        <v>488</v>
      </c>
      <c r="AD99" s="79">
        <v>19875.0</v>
      </c>
      <c r="AE99" s="79">
        <v>0.0</v>
      </c>
      <c r="AF99" s="79">
        <v>0.0</v>
      </c>
      <c r="AG99" s="79">
        <v>1988.0</v>
      </c>
      <c r="AH99" s="83">
        <v>21863.0</v>
      </c>
      <c r="AI99" s="79"/>
      <c r="AJ99" s="79">
        <v>0.0</v>
      </c>
      <c r="AK99" s="79">
        <v>0.0</v>
      </c>
      <c r="AL99" s="83">
        <v>0.0</v>
      </c>
      <c r="AM99" s="79">
        <v>0.0</v>
      </c>
      <c r="AN99" s="79">
        <v>0.0</v>
      </c>
      <c r="AO99" s="79">
        <v>0.0</v>
      </c>
      <c r="AP99" s="79">
        <v>0.0</v>
      </c>
      <c r="AQ99" s="79">
        <v>19875.0</v>
      </c>
      <c r="AR99" s="79" t="s">
        <v>489</v>
      </c>
      <c r="AS99" s="79">
        <v>0.0</v>
      </c>
      <c r="AT99" s="79" t="s">
        <v>507</v>
      </c>
      <c r="AU99" s="79" t="s">
        <v>491</v>
      </c>
      <c r="AV99" s="79">
        <v>0.0</v>
      </c>
      <c r="AW99" s="79" t="s">
        <v>508</v>
      </c>
      <c r="AX99" s="79">
        <v>0.0</v>
      </c>
      <c r="AY99" s="79"/>
      <c r="AZ99" s="79">
        <v>0.0</v>
      </c>
      <c r="BA99" s="79"/>
      <c r="BB99" s="79">
        <v>0.0</v>
      </c>
      <c r="BC99" s="79"/>
      <c r="BD99" s="79">
        <v>0.0</v>
      </c>
      <c r="BE99" s="79"/>
      <c r="BF99" s="79">
        <v>0.0</v>
      </c>
      <c r="BG99" s="79"/>
      <c r="BH99" s="79">
        <v>0.0</v>
      </c>
      <c r="BI99" s="79" t="s">
        <v>493</v>
      </c>
      <c r="BJ99" s="79">
        <v>0.0</v>
      </c>
      <c r="BK99" s="79" t="s">
        <v>494</v>
      </c>
      <c r="BL99" s="79">
        <v>0.0</v>
      </c>
      <c r="BM99" s="79" t="s">
        <v>495</v>
      </c>
      <c r="BN99" s="79">
        <v>0.0</v>
      </c>
      <c r="BO99" s="79" t="s">
        <v>496</v>
      </c>
      <c r="BP99" s="79">
        <v>0.0</v>
      </c>
      <c r="BQ99" s="79"/>
      <c r="BR99" s="79">
        <v>0.0</v>
      </c>
      <c r="BS99" s="79"/>
      <c r="BT99" s="79">
        <v>0.0</v>
      </c>
      <c r="BU99" s="79"/>
      <c r="BV99" s="79">
        <v>0.0</v>
      </c>
      <c r="BW99" s="79"/>
      <c r="BX99" s="79">
        <v>0.0</v>
      </c>
      <c r="BY99" s="79">
        <v>0.0</v>
      </c>
      <c r="BZ99" s="79" t="s">
        <v>491</v>
      </c>
      <c r="CA99" s="79">
        <v>0.0</v>
      </c>
      <c r="CB99" s="79" t="s">
        <v>507</v>
      </c>
      <c r="CC99" s="79" t="s">
        <v>508</v>
      </c>
      <c r="CD99" s="79">
        <v>0.0</v>
      </c>
      <c r="CE99" s="79"/>
      <c r="CF99" s="79">
        <v>0.0</v>
      </c>
      <c r="CG99" s="79"/>
      <c r="CH99" s="79">
        <v>0.0</v>
      </c>
      <c r="CI99" s="79"/>
      <c r="CJ99" s="79">
        <v>0.0</v>
      </c>
      <c r="CK99" s="79"/>
      <c r="CL99" s="79">
        <v>0.0</v>
      </c>
      <c r="CM99" s="79"/>
      <c r="CN99" s="79">
        <v>0.0</v>
      </c>
      <c r="CO99" s="79" t="s">
        <v>493</v>
      </c>
      <c r="CP99" s="79">
        <v>0.0</v>
      </c>
      <c r="CQ99" s="79" t="s">
        <v>494</v>
      </c>
      <c r="CR99" s="79">
        <v>0.0</v>
      </c>
      <c r="CS99" s="79" t="s">
        <v>495</v>
      </c>
      <c r="CT99" s="79">
        <v>0.0</v>
      </c>
      <c r="CU99" s="79" t="s">
        <v>496</v>
      </c>
      <c r="CV99" s="79">
        <v>0.0</v>
      </c>
      <c r="CW99" s="79"/>
      <c r="CX99" s="79">
        <v>0.0</v>
      </c>
      <c r="CY99" s="79"/>
      <c r="CZ99" s="79">
        <v>0.0</v>
      </c>
      <c r="DA99" s="79"/>
      <c r="DB99" s="79">
        <v>0.0</v>
      </c>
      <c r="DC99" s="79"/>
      <c r="DD99" s="79">
        <v>0.0</v>
      </c>
      <c r="DE99" s="79">
        <v>17575.0</v>
      </c>
      <c r="DF99" s="79">
        <v>2300.0</v>
      </c>
      <c r="DG99" s="79">
        <v>0.0</v>
      </c>
      <c r="DH99" s="79">
        <v>0.0</v>
      </c>
      <c r="DI99" s="79">
        <v>0.0</v>
      </c>
      <c r="DJ99" s="79" t="s">
        <v>1088</v>
      </c>
      <c r="DK99" s="79" t="s">
        <v>486</v>
      </c>
      <c r="DL99" s="79" t="s">
        <v>537</v>
      </c>
      <c r="DM99" s="79" t="s">
        <v>1089</v>
      </c>
      <c r="DN99" s="79" t="s">
        <v>1090</v>
      </c>
      <c r="DO99" s="79" t="s">
        <v>1091</v>
      </c>
      <c r="DP99" s="82"/>
      <c r="DQ99" s="79"/>
      <c r="DR99" s="82"/>
      <c r="DS99" s="79"/>
      <c r="DT99" s="82"/>
      <c r="DU99" s="79"/>
      <c r="DV99" s="82"/>
      <c r="DW99" s="79"/>
      <c r="DX99" s="79"/>
      <c r="DY99" s="79"/>
      <c r="DZ99" s="79"/>
      <c r="EA99" s="79"/>
      <c r="EB99" s="79"/>
      <c r="EC99" s="79"/>
      <c r="ED99" s="79"/>
      <c r="EE99" s="79"/>
      <c r="EF99" s="82"/>
      <c r="EG99" s="79"/>
      <c r="EH99" s="82"/>
      <c r="EI99" s="79"/>
      <c r="EJ99" s="82"/>
      <c r="EK99" s="79"/>
      <c r="EL99" s="82"/>
      <c r="EM99" s="79"/>
      <c r="EN99" s="79" t="s">
        <v>79</v>
      </c>
      <c r="EO99" s="79"/>
      <c r="EP99" s="80"/>
      <c r="EQ99" s="83"/>
      <c r="ER99" s="83" t="str">
        <f t="shared" ref="ER99:ER149" si="5">IF(AND($AH99&lt;&gt;"",$EQ99&lt;&gt;""),$AH99-$EQ99,"")</f>
        <v/>
      </c>
      <c r="ES99" s="82"/>
      <c r="ET99" s="82" t="str">
        <f t="shared" ref="ET99:ET149" si="6">IF($ES99="入金済","",IF($EP99="","",IF(TODAY()&gt;$EP99,"期限超過",IF(TODAY()&gt;=$EP99-3,"期限間近",""))))</f>
        <v/>
      </c>
      <c r="EU99" s="79"/>
      <c r="EV99" s="79"/>
      <c r="EW99" s="82"/>
      <c r="EX99" s="82"/>
      <c r="EY99" s="82"/>
      <c r="EZ99" s="19"/>
      <c r="FA99" s="19"/>
      <c r="FB99" s="19"/>
    </row>
    <row r="100" ht="15.75" customHeight="1">
      <c r="A100" s="79" t="s">
        <v>1092</v>
      </c>
      <c r="B100" s="79" t="s">
        <v>475</v>
      </c>
      <c r="C100" s="79" t="s">
        <v>476</v>
      </c>
      <c r="D100" s="80">
        <v>46121.0</v>
      </c>
      <c r="E100" s="79" t="s">
        <v>1093</v>
      </c>
      <c r="F100" s="79" t="s">
        <v>568</v>
      </c>
      <c r="G100" s="79" t="s">
        <v>1094</v>
      </c>
      <c r="H100" s="79" t="s">
        <v>479</v>
      </c>
      <c r="I100" s="79"/>
      <c r="J100" s="79" t="s">
        <v>1095</v>
      </c>
      <c r="K100" s="79">
        <v>0.0</v>
      </c>
      <c r="L100" s="79"/>
      <c r="M100" s="79" t="s">
        <v>1096</v>
      </c>
      <c r="N100" s="79"/>
      <c r="O100" s="79"/>
      <c r="P100" s="79"/>
      <c r="Q100" s="79"/>
      <c r="R100" s="80">
        <v>46739.0</v>
      </c>
      <c r="S100" s="79"/>
      <c r="T100" s="79">
        <v>12427.0</v>
      </c>
      <c r="U100" s="79"/>
      <c r="V100" s="79"/>
      <c r="W100" s="80">
        <v>46121.0</v>
      </c>
      <c r="X100" s="79"/>
      <c r="Y100" s="80">
        <v>46121.0</v>
      </c>
      <c r="Z100" s="79" t="s">
        <v>486</v>
      </c>
      <c r="AA100" s="79" t="s">
        <v>555</v>
      </c>
      <c r="AB100" s="79" t="s">
        <v>486</v>
      </c>
      <c r="AC100" s="79" t="s">
        <v>488</v>
      </c>
      <c r="AD100" s="79">
        <v>11000.0</v>
      </c>
      <c r="AE100" s="79">
        <v>0.0</v>
      </c>
      <c r="AF100" s="79">
        <v>0.0</v>
      </c>
      <c r="AG100" s="79">
        <v>1100.0</v>
      </c>
      <c r="AH100" s="83">
        <v>12100.0</v>
      </c>
      <c r="AI100" s="79"/>
      <c r="AJ100" s="79">
        <v>0.0</v>
      </c>
      <c r="AK100" s="79">
        <v>0.0</v>
      </c>
      <c r="AL100" s="83">
        <v>0.0</v>
      </c>
      <c r="AM100" s="79">
        <v>0.0</v>
      </c>
      <c r="AN100" s="79">
        <v>0.0</v>
      </c>
      <c r="AO100" s="79">
        <v>0.0</v>
      </c>
      <c r="AP100" s="79">
        <v>0.0</v>
      </c>
      <c r="AQ100" s="79">
        <v>11000.0</v>
      </c>
      <c r="AR100" s="79" t="s">
        <v>489</v>
      </c>
      <c r="AS100" s="79">
        <v>0.0</v>
      </c>
      <c r="AT100" s="79" t="s">
        <v>507</v>
      </c>
      <c r="AU100" s="79" t="s">
        <v>491</v>
      </c>
      <c r="AV100" s="79">
        <v>0.0</v>
      </c>
      <c r="AW100" s="79" t="s">
        <v>508</v>
      </c>
      <c r="AX100" s="79">
        <v>0.0</v>
      </c>
      <c r="AY100" s="82"/>
      <c r="AZ100" s="79">
        <v>0.0</v>
      </c>
      <c r="BA100" s="82"/>
      <c r="BB100" s="79">
        <v>0.0</v>
      </c>
      <c r="BC100" s="79"/>
      <c r="BD100" s="79">
        <v>0.0</v>
      </c>
      <c r="BE100" s="82"/>
      <c r="BF100" s="79">
        <v>0.0</v>
      </c>
      <c r="BG100" s="79"/>
      <c r="BH100" s="79">
        <v>0.0</v>
      </c>
      <c r="BI100" s="79" t="s">
        <v>493</v>
      </c>
      <c r="BJ100" s="79">
        <v>0.0</v>
      </c>
      <c r="BK100" s="79" t="s">
        <v>494</v>
      </c>
      <c r="BL100" s="79">
        <v>0.0</v>
      </c>
      <c r="BM100" s="79" t="s">
        <v>495</v>
      </c>
      <c r="BN100" s="79">
        <v>0.0</v>
      </c>
      <c r="BO100" s="79" t="s">
        <v>496</v>
      </c>
      <c r="BP100" s="79">
        <v>0.0</v>
      </c>
      <c r="BQ100" s="79"/>
      <c r="BR100" s="79">
        <v>0.0</v>
      </c>
      <c r="BS100" s="79"/>
      <c r="BT100" s="79">
        <v>0.0</v>
      </c>
      <c r="BU100" s="79"/>
      <c r="BV100" s="79">
        <v>0.0</v>
      </c>
      <c r="BW100" s="79"/>
      <c r="BX100" s="79">
        <v>0.0</v>
      </c>
      <c r="BY100" s="79">
        <v>0.0</v>
      </c>
      <c r="BZ100" s="79" t="s">
        <v>491</v>
      </c>
      <c r="CA100" s="79">
        <v>0.0</v>
      </c>
      <c r="CB100" s="79" t="s">
        <v>507</v>
      </c>
      <c r="CC100" s="79" t="s">
        <v>508</v>
      </c>
      <c r="CD100" s="79">
        <v>0.0</v>
      </c>
      <c r="CE100" s="79"/>
      <c r="CF100" s="79">
        <v>0.0</v>
      </c>
      <c r="CG100" s="79"/>
      <c r="CH100" s="79">
        <v>0.0</v>
      </c>
      <c r="CI100" s="79"/>
      <c r="CJ100" s="79">
        <v>0.0</v>
      </c>
      <c r="CK100" s="79"/>
      <c r="CL100" s="79">
        <v>0.0</v>
      </c>
      <c r="CM100" s="79"/>
      <c r="CN100" s="79">
        <v>0.0</v>
      </c>
      <c r="CO100" s="79" t="s">
        <v>493</v>
      </c>
      <c r="CP100" s="79">
        <v>0.0</v>
      </c>
      <c r="CQ100" s="79" t="s">
        <v>494</v>
      </c>
      <c r="CR100" s="79">
        <v>0.0</v>
      </c>
      <c r="CS100" s="79" t="s">
        <v>495</v>
      </c>
      <c r="CT100" s="79">
        <v>0.0</v>
      </c>
      <c r="CU100" s="79" t="s">
        <v>496</v>
      </c>
      <c r="CV100" s="79">
        <v>0.0</v>
      </c>
      <c r="CW100" s="79"/>
      <c r="CX100" s="79">
        <v>0.0</v>
      </c>
      <c r="CY100" s="79"/>
      <c r="CZ100" s="79">
        <v>0.0</v>
      </c>
      <c r="DA100" s="79"/>
      <c r="DB100" s="79">
        <v>0.0</v>
      </c>
      <c r="DC100" s="79"/>
      <c r="DD100" s="79">
        <v>0.0</v>
      </c>
      <c r="DE100" s="79">
        <v>11000.0</v>
      </c>
      <c r="DF100" s="79">
        <v>0.0</v>
      </c>
      <c r="DG100" s="79">
        <v>0.0</v>
      </c>
      <c r="DH100" s="79">
        <v>0.0</v>
      </c>
      <c r="DI100" s="79">
        <v>0.0</v>
      </c>
      <c r="DJ100" s="79" t="s">
        <v>1097</v>
      </c>
      <c r="DK100" s="79" t="s">
        <v>486</v>
      </c>
      <c r="DL100" s="79" t="s">
        <v>555</v>
      </c>
      <c r="DM100" s="79" t="s">
        <v>1098</v>
      </c>
      <c r="DN100" s="79" t="s">
        <v>1099</v>
      </c>
      <c r="DO100" s="79" t="s">
        <v>1100</v>
      </c>
      <c r="DP100" s="82"/>
      <c r="DQ100" s="79"/>
      <c r="DR100" s="82"/>
      <c r="DS100" s="79"/>
      <c r="DT100" s="82"/>
      <c r="DU100" s="79"/>
      <c r="DV100" s="82"/>
      <c r="DW100" s="79"/>
      <c r="DX100" s="79"/>
      <c r="DY100" s="79"/>
      <c r="DZ100" s="79"/>
      <c r="EA100" s="79"/>
      <c r="EB100" s="79"/>
      <c r="EC100" s="79"/>
      <c r="ED100" s="79"/>
      <c r="EE100" s="79"/>
      <c r="EF100" s="82"/>
      <c r="EG100" s="79"/>
      <c r="EH100" s="82"/>
      <c r="EI100" s="79"/>
      <c r="EJ100" s="82"/>
      <c r="EK100" s="79"/>
      <c r="EL100" s="82"/>
      <c r="EM100" s="79"/>
      <c r="EN100" s="79" t="s">
        <v>79</v>
      </c>
      <c r="EO100" s="79"/>
      <c r="EP100" s="80"/>
      <c r="EQ100" s="83"/>
      <c r="ER100" s="83" t="str">
        <f t="shared" si="5"/>
        <v/>
      </c>
      <c r="ES100" s="82"/>
      <c r="ET100" s="79" t="str">
        <f t="shared" si="6"/>
        <v/>
      </c>
      <c r="EU100" s="79"/>
      <c r="EV100" s="82"/>
      <c r="EW100" s="82"/>
      <c r="EX100" s="82"/>
      <c r="EY100" s="82"/>
      <c r="EZ100" s="19"/>
      <c r="FA100" s="19"/>
      <c r="FB100" s="19"/>
    </row>
    <row r="101" ht="15.75" customHeight="1">
      <c r="A101" s="79" t="s">
        <v>1101</v>
      </c>
      <c r="B101" s="79" t="s">
        <v>530</v>
      </c>
      <c r="C101" s="79" t="s">
        <v>1022</v>
      </c>
      <c r="D101" s="80">
        <v>46121.0</v>
      </c>
      <c r="E101" s="79" t="s">
        <v>1102</v>
      </c>
      <c r="F101" s="79" t="s">
        <v>634</v>
      </c>
      <c r="G101" s="79" t="s">
        <v>1103</v>
      </c>
      <c r="H101" s="79" t="s">
        <v>1104</v>
      </c>
      <c r="I101" s="79"/>
      <c r="J101" s="79" t="s">
        <v>1105</v>
      </c>
      <c r="K101" s="79">
        <v>2500.0</v>
      </c>
      <c r="L101" s="79"/>
      <c r="M101" s="79" t="s">
        <v>1106</v>
      </c>
      <c r="N101" s="79" t="s">
        <v>898</v>
      </c>
      <c r="O101" s="79" t="s">
        <v>823</v>
      </c>
      <c r="P101" s="79"/>
      <c r="Q101" s="79" t="s">
        <v>1107</v>
      </c>
      <c r="R101" s="79">
        <v>46586.0</v>
      </c>
      <c r="S101" s="79" t="s">
        <v>1108</v>
      </c>
      <c r="T101" s="79"/>
      <c r="U101" s="79"/>
      <c r="V101" s="79"/>
      <c r="W101" s="80"/>
      <c r="X101" s="79"/>
      <c r="Y101" s="80"/>
      <c r="Z101" s="79" t="s">
        <v>486</v>
      </c>
      <c r="AA101" s="79" t="s">
        <v>487</v>
      </c>
      <c r="AB101" s="79" t="s">
        <v>486</v>
      </c>
      <c r="AC101" s="79" t="s">
        <v>488</v>
      </c>
      <c r="AD101" s="79">
        <v>1029946.0</v>
      </c>
      <c r="AE101" s="79">
        <v>0.0</v>
      </c>
      <c r="AF101" s="79">
        <v>0.0</v>
      </c>
      <c r="AG101" s="79">
        <v>102995.0</v>
      </c>
      <c r="AH101" s="83">
        <v>1132941.0</v>
      </c>
      <c r="AI101" s="79"/>
      <c r="AJ101" s="79">
        <v>0.0</v>
      </c>
      <c r="AK101" s="79"/>
      <c r="AL101" s="83"/>
      <c r="AM101" s="79"/>
      <c r="AN101" s="79"/>
      <c r="AO101" s="79"/>
      <c r="AP101" s="79">
        <v>0.0</v>
      </c>
      <c r="AQ101" s="79">
        <v>208758.0</v>
      </c>
      <c r="AR101" s="79" t="s">
        <v>556</v>
      </c>
      <c r="AS101" s="79">
        <v>0.0</v>
      </c>
      <c r="AT101" s="79" t="s">
        <v>507</v>
      </c>
      <c r="AU101" s="79" t="s">
        <v>491</v>
      </c>
      <c r="AV101" s="79">
        <v>0.0</v>
      </c>
      <c r="AW101" s="79" t="s">
        <v>508</v>
      </c>
      <c r="AX101" s="79">
        <v>0.0</v>
      </c>
      <c r="AY101" s="82"/>
      <c r="AZ101" s="79">
        <v>0.0</v>
      </c>
      <c r="BA101" s="82"/>
      <c r="BB101" s="79">
        <v>0.0</v>
      </c>
      <c r="BC101" s="79"/>
      <c r="BD101" s="79">
        <v>0.0</v>
      </c>
      <c r="BE101" s="82"/>
      <c r="BF101" s="79">
        <v>0.0</v>
      </c>
      <c r="BG101" s="79"/>
      <c r="BH101" s="79">
        <v>0.0</v>
      </c>
      <c r="BI101" s="79" t="s">
        <v>493</v>
      </c>
      <c r="BJ101" s="79">
        <v>0.0</v>
      </c>
      <c r="BK101" s="79" t="s">
        <v>494</v>
      </c>
      <c r="BL101" s="79">
        <v>0.0</v>
      </c>
      <c r="BM101" s="79" t="s">
        <v>495</v>
      </c>
      <c r="BN101" s="79">
        <v>0.0</v>
      </c>
      <c r="BO101" s="79" t="s">
        <v>496</v>
      </c>
      <c r="BP101" s="79">
        <v>0.0</v>
      </c>
      <c r="BQ101" s="79"/>
      <c r="BR101" s="79">
        <v>0.0</v>
      </c>
      <c r="BS101" s="79"/>
      <c r="BT101" s="79">
        <v>0.0</v>
      </c>
      <c r="BU101" s="79"/>
      <c r="BV101" s="79">
        <v>0.0</v>
      </c>
      <c r="BW101" s="79"/>
      <c r="BX101" s="79">
        <v>0.0</v>
      </c>
      <c r="BY101" s="79"/>
      <c r="BZ101" s="79"/>
      <c r="CA101" s="79"/>
      <c r="CB101" s="79"/>
      <c r="CC101" s="79"/>
      <c r="CD101" s="79"/>
      <c r="CE101" s="79"/>
      <c r="CF101" s="79"/>
      <c r="CG101" s="79"/>
      <c r="CH101" s="79"/>
      <c r="CI101" s="79"/>
      <c r="CJ101" s="79"/>
      <c r="CK101" s="79"/>
      <c r="CL101" s="79"/>
      <c r="CM101" s="79"/>
      <c r="CN101" s="79"/>
      <c r="CO101" s="79"/>
      <c r="CP101" s="79"/>
      <c r="CQ101" s="79"/>
      <c r="CR101" s="79"/>
      <c r="CS101" s="79"/>
      <c r="CT101" s="79"/>
      <c r="CU101" s="79"/>
      <c r="CV101" s="79"/>
      <c r="CW101" s="79"/>
      <c r="CX101" s="79"/>
      <c r="CY101" s="79"/>
      <c r="CZ101" s="79"/>
      <c r="DA101" s="79"/>
      <c r="DB101" s="79"/>
      <c r="DC101" s="79"/>
      <c r="DD101" s="79"/>
      <c r="DE101" s="79"/>
      <c r="DF101" s="79"/>
      <c r="DG101" s="79"/>
      <c r="DH101" s="79"/>
      <c r="DI101" s="79"/>
      <c r="DJ101" s="79" t="s">
        <v>185</v>
      </c>
      <c r="DK101" s="79" t="s">
        <v>486</v>
      </c>
      <c r="DL101" s="79" t="s">
        <v>487</v>
      </c>
      <c r="DM101" s="79" t="s">
        <v>1109</v>
      </c>
      <c r="DN101" s="79"/>
      <c r="DO101" s="79" t="s">
        <v>1110</v>
      </c>
      <c r="DP101" s="82"/>
      <c r="DQ101" s="79"/>
      <c r="DR101" s="82"/>
      <c r="DS101" s="79"/>
      <c r="DT101" s="82"/>
      <c r="DU101" s="79"/>
      <c r="DV101" s="82"/>
      <c r="DW101" s="79"/>
      <c r="DX101" s="79"/>
      <c r="DY101" s="79"/>
      <c r="DZ101" s="79"/>
      <c r="EA101" s="79"/>
      <c r="EB101" s="79"/>
      <c r="EC101" s="79"/>
      <c r="ED101" s="79"/>
      <c r="EE101" s="79"/>
      <c r="EF101" s="82"/>
      <c r="EG101" s="79"/>
      <c r="EH101" s="82"/>
      <c r="EI101" s="79"/>
      <c r="EJ101" s="82"/>
      <c r="EK101" s="79"/>
      <c r="EL101" s="82"/>
      <c r="EM101" s="79">
        <v>0.0</v>
      </c>
      <c r="EN101" s="79" t="s">
        <v>156</v>
      </c>
      <c r="EO101" s="79" t="s">
        <v>48</v>
      </c>
      <c r="EP101" s="80"/>
      <c r="EQ101" s="83"/>
      <c r="ER101" s="83" t="str">
        <f t="shared" si="5"/>
        <v/>
      </c>
      <c r="ES101" s="82"/>
      <c r="ET101" s="79" t="str">
        <f t="shared" si="6"/>
        <v/>
      </c>
      <c r="EU101" s="79"/>
      <c r="EV101" s="82"/>
      <c r="EW101" s="82"/>
      <c r="EX101" s="82"/>
      <c r="EY101" s="82"/>
      <c r="EZ101" s="19"/>
      <c r="FA101" s="19"/>
      <c r="FB101" s="19"/>
    </row>
    <row r="102" ht="15.75" customHeight="1">
      <c r="A102" s="79" t="s">
        <v>1111</v>
      </c>
      <c r="B102" s="79" t="s">
        <v>1112</v>
      </c>
      <c r="C102" s="79" t="s">
        <v>476</v>
      </c>
      <c r="D102" s="80">
        <v>46121.0</v>
      </c>
      <c r="E102" s="79"/>
      <c r="F102" s="79"/>
      <c r="G102" s="79" t="s">
        <v>1073</v>
      </c>
      <c r="H102" s="79" t="s">
        <v>1074</v>
      </c>
      <c r="I102" s="79" t="s">
        <v>1075</v>
      </c>
      <c r="J102" s="79" t="s">
        <v>1076</v>
      </c>
      <c r="K102" s="79">
        <v>1200.0</v>
      </c>
      <c r="L102" s="79" t="s">
        <v>821</v>
      </c>
      <c r="M102" s="79" t="s">
        <v>1077</v>
      </c>
      <c r="N102" s="79" t="s">
        <v>572</v>
      </c>
      <c r="O102" s="79" t="s">
        <v>1078</v>
      </c>
      <c r="P102" s="79"/>
      <c r="Q102" s="79" t="s">
        <v>1079</v>
      </c>
      <c r="R102" s="79">
        <v>46853.0</v>
      </c>
      <c r="S102" s="79" t="s">
        <v>1113</v>
      </c>
      <c r="T102" s="79">
        <v>20171.0</v>
      </c>
      <c r="U102" s="79"/>
      <c r="V102" s="79"/>
      <c r="W102" s="79">
        <v>46115.0</v>
      </c>
      <c r="X102" s="79"/>
      <c r="Y102" s="79">
        <v>46121.0</v>
      </c>
      <c r="Z102" s="79" t="s">
        <v>524</v>
      </c>
      <c r="AA102" s="79" t="s">
        <v>487</v>
      </c>
      <c r="AB102" s="79" t="s">
        <v>557</v>
      </c>
      <c r="AC102" s="79" t="s">
        <v>488</v>
      </c>
      <c r="AD102" s="79">
        <v>131136.0</v>
      </c>
      <c r="AE102" s="79">
        <v>0.0</v>
      </c>
      <c r="AF102" s="79">
        <v>0.0</v>
      </c>
      <c r="AG102" s="79">
        <v>13114.0</v>
      </c>
      <c r="AH102" s="83">
        <v>144250.0</v>
      </c>
      <c r="AI102" s="79"/>
      <c r="AJ102" s="79">
        <v>0.0</v>
      </c>
      <c r="AK102" s="79"/>
      <c r="AL102" s="83"/>
      <c r="AM102" s="79"/>
      <c r="AN102" s="79"/>
      <c r="AO102" s="79"/>
      <c r="AP102" s="79">
        <v>0.0</v>
      </c>
      <c r="AQ102" s="79">
        <v>131136.0</v>
      </c>
      <c r="AR102" s="79" t="s">
        <v>525</v>
      </c>
      <c r="AS102" s="79">
        <v>0.0</v>
      </c>
      <c r="AT102" s="79" t="s">
        <v>836</v>
      </c>
      <c r="AU102" s="79" t="s">
        <v>491</v>
      </c>
      <c r="AV102" s="79">
        <v>0.0</v>
      </c>
      <c r="AW102" s="79" t="s">
        <v>492</v>
      </c>
      <c r="AX102" s="79">
        <v>0.0</v>
      </c>
      <c r="AY102" s="82"/>
      <c r="AZ102" s="79">
        <v>0.0</v>
      </c>
      <c r="BA102" s="82"/>
      <c r="BB102" s="79">
        <v>0.0</v>
      </c>
      <c r="BC102" s="79"/>
      <c r="BD102" s="79">
        <v>0.0</v>
      </c>
      <c r="BE102" s="82"/>
      <c r="BF102" s="79">
        <v>0.0</v>
      </c>
      <c r="BG102" s="79"/>
      <c r="BH102" s="79">
        <v>0.0</v>
      </c>
      <c r="BI102" s="79" t="s">
        <v>493</v>
      </c>
      <c r="BJ102" s="79">
        <v>0.0</v>
      </c>
      <c r="BK102" s="79" t="s">
        <v>494</v>
      </c>
      <c r="BL102" s="79">
        <v>0.0</v>
      </c>
      <c r="BM102" s="79" t="s">
        <v>495</v>
      </c>
      <c r="BN102" s="79">
        <v>0.0</v>
      </c>
      <c r="BO102" s="79" t="s">
        <v>496</v>
      </c>
      <c r="BP102" s="79">
        <v>0.0</v>
      </c>
      <c r="BQ102" s="79"/>
      <c r="BR102" s="79">
        <v>0.0</v>
      </c>
      <c r="BS102" s="79"/>
      <c r="BT102" s="79">
        <v>0.0</v>
      </c>
      <c r="BU102" s="79"/>
      <c r="BV102" s="79">
        <v>0.0</v>
      </c>
      <c r="BW102" s="79"/>
      <c r="BX102" s="79">
        <v>0.0</v>
      </c>
      <c r="BY102" s="79"/>
      <c r="BZ102" s="79"/>
      <c r="CA102" s="79"/>
      <c r="CB102" s="79"/>
      <c r="CC102" s="79"/>
      <c r="CD102" s="79"/>
      <c r="CE102" s="79"/>
      <c r="CF102" s="79"/>
      <c r="CG102" s="79"/>
      <c r="CH102" s="79"/>
      <c r="CI102" s="79"/>
      <c r="CJ102" s="79"/>
      <c r="CK102" s="79"/>
      <c r="CL102" s="79"/>
      <c r="CM102" s="79"/>
      <c r="CN102" s="79"/>
      <c r="CO102" s="79"/>
      <c r="CP102" s="79"/>
      <c r="CQ102" s="79"/>
      <c r="CR102" s="79"/>
      <c r="CS102" s="79"/>
      <c r="CT102" s="79"/>
      <c r="CU102" s="79"/>
      <c r="CV102" s="79"/>
      <c r="CW102" s="79"/>
      <c r="CX102" s="79"/>
      <c r="CY102" s="79"/>
      <c r="CZ102" s="79"/>
      <c r="DA102" s="79"/>
      <c r="DB102" s="79"/>
      <c r="DC102" s="79"/>
      <c r="DD102" s="79"/>
      <c r="DE102" s="79"/>
      <c r="DF102" s="79"/>
      <c r="DG102" s="79"/>
      <c r="DH102" s="79"/>
      <c r="DI102" s="79"/>
      <c r="DJ102" s="79"/>
      <c r="DK102" s="79"/>
      <c r="DL102" s="79"/>
      <c r="DM102" s="79"/>
      <c r="DN102" s="79"/>
      <c r="DO102" s="79"/>
      <c r="DP102" s="82"/>
      <c r="DQ102" s="79"/>
      <c r="DR102" s="82"/>
      <c r="DS102" s="79"/>
      <c r="DT102" s="82"/>
      <c r="DU102" s="79"/>
      <c r="DV102" s="82"/>
      <c r="DW102" s="79"/>
      <c r="DX102" s="79"/>
      <c r="DY102" s="79"/>
      <c r="DZ102" s="79"/>
      <c r="EA102" s="79"/>
      <c r="EB102" s="79"/>
      <c r="EC102" s="79"/>
      <c r="ED102" s="79"/>
      <c r="EE102" s="79"/>
      <c r="EF102" s="82"/>
      <c r="EG102" s="79"/>
      <c r="EH102" s="82"/>
      <c r="EI102" s="79"/>
      <c r="EJ102" s="82"/>
      <c r="EK102" s="79"/>
      <c r="EL102" s="82"/>
      <c r="EM102" s="79">
        <v>0.0</v>
      </c>
      <c r="EN102" s="79" t="s">
        <v>79</v>
      </c>
      <c r="EO102" s="79"/>
      <c r="EP102" s="80"/>
      <c r="EQ102" s="83"/>
      <c r="ER102" s="83" t="str">
        <f t="shared" si="5"/>
        <v/>
      </c>
      <c r="ES102" s="82"/>
      <c r="ET102" s="79" t="str">
        <f t="shared" si="6"/>
        <v/>
      </c>
      <c r="EU102" s="79"/>
      <c r="EV102" s="82"/>
      <c r="EW102" s="82"/>
      <c r="EX102" s="82"/>
      <c r="EY102" s="82"/>
      <c r="EZ102" s="19"/>
      <c r="FA102" s="19"/>
      <c r="FB102" s="19"/>
    </row>
    <row r="103" ht="15.75" customHeight="1">
      <c r="A103" s="4" t="s">
        <v>1114</v>
      </c>
      <c r="B103" s="4" t="s">
        <v>475</v>
      </c>
      <c r="C103" s="4" t="s">
        <v>476</v>
      </c>
      <c r="D103" s="78">
        <v>46121.0</v>
      </c>
      <c r="E103" s="4" t="s">
        <v>1115</v>
      </c>
      <c r="F103" s="4" t="s">
        <v>1033</v>
      </c>
      <c r="G103" s="4" t="s">
        <v>1116</v>
      </c>
      <c r="H103" s="4" t="s">
        <v>1117</v>
      </c>
      <c r="Z103" s="4" t="s">
        <v>597</v>
      </c>
      <c r="AB103" s="4" t="s">
        <v>597</v>
      </c>
      <c r="AH103" s="23">
        <v>660.0</v>
      </c>
      <c r="AL103" s="19"/>
      <c r="AM103" s="19"/>
      <c r="AN103" s="19"/>
      <c r="AO103" s="19"/>
      <c r="AP103" s="19"/>
      <c r="AQ103" s="4">
        <v>300.0</v>
      </c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19"/>
      <c r="CW103" s="19"/>
      <c r="CX103" s="19"/>
      <c r="CY103" s="19"/>
      <c r="CZ103" s="19"/>
      <c r="DA103" s="19"/>
      <c r="DB103" s="19"/>
      <c r="DC103" s="19"/>
      <c r="DD103" s="19"/>
      <c r="DE103" s="19"/>
      <c r="DF103" s="19"/>
      <c r="DG103" s="19"/>
      <c r="DH103" s="19"/>
      <c r="DI103" s="19"/>
      <c r="DJ103" s="19"/>
      <c r="DK103" s="19"/>
      <c r="DL103" s="19"/>
      <c r="DM103" s="19"/>
      <c r="DN103" s="19"/>
      <c r="DO103" s="19"/>
      <c r="DP103" s="19"/>
      <c r="DQ103" s="19"/>
      <c r="DR103" s="19"/>
      <c r="DS103" s="19"/>
      <c r="DT103" s="19"/>
      <c r="DU103" s="19"/>
      <c r="DV103" s="19"/>
      <c r="DW103" s="19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4" t="s">
        <v>79</v>
      </c>
      <c r="EO103" s="19"/>
      <c r="EP103" s="17"/>
      <c r="EQ103" s="23"/>
      <c r="ER103" s="23" t="str">
        <f t="shared" si="5"/>
        <v/>
      </c>
      <c r="ES103" s="19"/>
      <c r="ET103" s="19" t="str">
        <f t="shared" si="6"/>
        <v/>
      </c>
      <c r="EU103" s="19"/>
      <c r="EV103" s="19"/>
      <c r="EW103" s="19"/>
      <c r="EX103" s="19"/>
      <c r="EY103" s="19"/>
      <c r="EZ103" s="19"/>
      <c r="FA103" s="19"/>
      <c r="FB103" s="19"/>
    </row>
    <row r="104" ht="15.75" customHeight="1">
      <c r="A104" s="4" t="s">
        <v>1118</v>
      </c>
      <c r="B104" s="4" t="s">
        <v>475</v>
      </c>
      <c r="C104" s="4" t="s">
        <v>476</v>
      </c>
      <c r="D104" s="78">
        <v>46121.0</v>
      </c>
      <c r="E104" s="4" t="s">
        <v>1119</v>
      </c>
      <c r="F104" s="4" t="s">
        <v>1033</v>
      </c>
      <c r="G104" s="4" t="s">
        <v>1120</v>
      </c>
      <c r="H104" s="4" t="s">
        <v>971</v>
      </c>
      <c r="Z104" s="4" t="s">
        <v>597</v>
      </c>
      <c r="AB104" s="4" t="s">
        <v>597</v>
      </c>
      <c r="AH104" s="23">
        <v>660.0</v>
      </c>
      <c r="AL104" s="19"/>
      <c r="AM104" s="19"/>
      <c r="AN104" s="19"/>
      <c r="AO104" s="19"/>
      <c r="AP104" s="19"/>
      <c r="AQ104" s="4">
        <v>300.0</v>
      </c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19"/>
      <c r="CW104" s="19"/>
      <c r="CX104" s="19"/>
      <c r="CY104" s="19"/>
      <c r="CZ104" s="19"/>
      <c r="DA104" s="19"/>
      <c r="DB104" s="19"/>
      <c r="DC104" s="19"/>
      <c r="DD104" s="19"/>
      <c r="DE104" s="19"/>
      <c r="DF104" s="19"/>
      <c r="DG104" s="19"/>
      <c r="DH104" s="19"/>
      <c r="DI104" s="19"/>
      <c r="DJ104" s="19"/>
      <c r="DK104" s="19"/>
      <c r="DL104" s="19"/>
      <c r="DM104" s="19"/>
      <c r="DN104" s="19"/>
      <c r="DO104" s="19"/>
      <c r="DP104" s="19"/>
      <c r="DQ104" s="19"/>
      <c r="DR104" s="19"/>
      <c r="DS104" s="19"/>
      <c r="DT104" s="19"/>
      <c r="DU104" s="19"/>
      <c r="DV104" s="19"/>
      <c r="DW104" s="19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4" t="s">
        <v>79</v>
      </c>
      <c r="EO104" s="19"/>
      <c r="EP104" s="17"/>
      <c r="EQ104" s="23"/>
      <c r="ER104" s="23" t="str">
        <f t="shared" si="5"/>
        <v/>
      </c>
      <c r="ES104" s="19"/>
      <c r="ET104" s="19" t="str">
        <f t="shared" si="6"/>
        <v/>
      </c>
      <c r="EU104" s="19"/>
      <c r="EV104" s="19"/>
      <c r="EW104" s="19"/>
      <c r="EX104" s="19"/>
      <c r="EY104" s="19"/>
      <c r="EZ104" s="19"/>
      <c r="FA104" s="19"/>
      <c r="FB104" s="19"/>
    </row>
    <row r="105" ht="15.75" customHeight="1">
      <c r="A105" s="4" t="s">
        <v>1121</v>
      </c>
      <c r="B105" s="4" t="s">
        <v>475</v>
      </c>
      <c r="C105" s="4" t="s">
        <v>476</v>
      </c>
      <c r="D105" s="78">
        <v>46123.0</v>
      </c>
      <c r="E105" s="4" t="s">
        <v>1122</v>
      </c>
      <c r="F105" s="4" t="s">
        <v>1030</v>
      </c>
      <c r="G105" s="4" t="s">
        <v>1123</v>
      </c>
      <c r="H105" s="4" t="s">
        <v>890</v>
      </c>
      <c r="V105" s="4" t="s">
        <v>1124</v>
      </c>
      <c r="Y105" s="4" t="s">
        <v>1124</v>
      </c>
      <c r="Z105" s="4" t="s">
        <v>597</v>
      </c>
      <c r="AB105" s="4" t="s">
        <v>597</v>
      </c>
      <c r="AH105" s="23">
        <v>91080.0</v>
      </c>
      <c r="AL105" s="19"/>
      <c r="AM105" s="19"/>
      <c r="AN105" s="19"/>
      <c r="AO105" s="19"/>
      <c r="AP105" s="19"/>
      <c r="AQ105" s="4">
        <v>48464.0</v>
      </c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19"/>
      <c r="CW105" s="19"/>
      <c r="CX105" s="19"/>
      <c r="CY105" s="19"/>
      <c r="CZ105" s="19"/>
      <c r="DA105" s="19"/>
      <c r="DB105" s="19"/>
      <c r="DC105" s="19"/>
      <c r="DD105" s="19"/>
      <c r="DE105" s="19"/>
      <c r="DF105" s="19"/>
      <c r="DG105" s="19"/>
      <c r="DH105" s="19"/>
      <c r="DI105" s="19"/>
      <c r="DJ105" s="19"/>
      <c r="DK105" s="19"/>
      <c r="DL105" s="19"/>
      <c r="DM105" s="19"/>
      <c r="DN105" s="19"/>
      <c r="DO105" s="19"/>
      <c r="DP105" s="19"/>
      <c r="DQ105" s="19"/>
      <c r="DR105" s="19"/>
      <c r="DS105" s="19"/>
      <c r="DT105" s="19"/>
      <c r="DU105" s="19"/>
      <c r="DV105" s="19"/>
      <c r="DW105" s="19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4" t="s">
        <v>79</v>
      </c>
      <c r="EO105" s="19"/>
      <c r="EP105" s="17"/>
      <c r="EQ105" s="23"/>
      <c r="ER105" s="23" t="str">
        <f t="shared" si="5"/>
        <v/>
      </c>
      <c r="ES105" s="19"/>
      <c r="ET105" s="19" t="str">
        <f t="shared" si="6"/>
        <v/>
      </c>
      <c r="EU105" s="19"/>
      <c r="EV105" s="19"/>
      <c r="EW105" s="19"/>
      <c r="EX105" s="19"/>
      <c r="EY105" s="19"/>
      <c r="EZ105" s="19"/>
      <c r="FA105" s="19"/>
      <c r="FB105" s="19"/>
    </row>
    <row r="106" ht="15.75" customHeight="1">
      <c r="A106" s="4" t="s">
        <v>1125</v>
      </c>
      <c r="B106" s="4" t="s">
        <v>591</v>
      </c>
      <c r="C106" s="4" t="s">
        <v>1022</v>
      </c>
      <c r="D106" s="78">
        <v>46123.0</v>
      </c>
      <c r="E106" s="4" t="s">
        <v>1126</v>
      </c>
      <c r="F106" s="4" t="s">
        <v>1126</v>
      </c>
      <c r="G106" s="4" t="s">
        <v>1127</v>
      </c>
      <c r="H106" s="4" t="s">
        <v>1013</v>
      </c>
      <c r="Y106" s="4" t="s">
        <v>1128</v>
      </c>
      <c r="Z106" s="4" t="s">
        <v>597</v>
      </c>
      <c r="AB106" s="4" t="s">
        <v>597</v>
      </c>
      <c r="AH106" s="23">
        <v>271920.0</v>
      </c>
      <c r="AL106" s="19"/>
      <c r="AM106" s="19"/>
      <c r="AN106" s="19"/>
      <c r="AO106" s="19"/>
      <c r="AP106" s="19"/>
      <c r="AQ106" s="4">
        <v>169510.0</v>
      </c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19"/>
      <c r="CW106" s="19"/>
      <c r="CX106" s="19"/>
      <c r="CY106" s="19"/>
      <c r="CZ106" s="19"/>
      <c r="DA106" s="19"/>
      <c r="DB106" s="19"/>
      <c r="DC106" s="19"/>
      <c r="DD106" s="19"/>
      <c r="DE106" s="19"/>
      <c r="DF106" s="19"/>
      <c r="DG106" s="19"/>
      <c r="DH106" s="19"/>
      <c r="DI106" s="19"/>
      <c r="DJ106" s="19"/>
      <c r="DK106" s="19"/>
      <c r="DL106" s="19"/>
      <c r="DM106" s="19"/>
      <c r="DN106" s="19"/>
      <c r="DO106" s="19"/>
      <c r="DP106" s="19"/>
      <c r="DQ106" s="19"/>
      <c r="DR106" s="19"/>
      <c r="DS106" s="19"/>
      <c r="DT106" s="19"/>
      <c r="DU106" s="19"/>
      <c r="DV106" s="19"/>
      <c r="DW106" s="19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4" t="s">
        <v>79</v>
      </c>
      <c r="EO106" s="19"/>
      <c r="EP106" s="17"/>
      <c r="EQ106" s="23"/>
      <c r="ER106" s="23" t="str">
        <f t="shared" si="5"/>
        <v/>
      </c>
      <c r="ES106" s="19"/>
      <c r="ET106" s="19" t="str">
        <f t="shared" si="6"/>
        <v/>
      </c>
      <c r="EU106" s="19"/>
      <c r="EV106" s="19"/>
      <c r="EW106" s="19"/>
      <c r="EX106" s="19"/>
      <c r="EY106" s="19"/>
      <c r="EZ106" s="19"/>
      <c r="FA106" s="19"/>
      <c r="FB106" s="19"/>
    </row>
    <row r="107" ht="15.75" customHeight="1">
      <c r="A107" s="79" t="s">
        <v>163</v>
      </c>
      <c r="B107" s="79" t="s">
        <v>591</v>
      </c>
      <c r="C107" s="79" t="s">
        <v>476</v>
      </c>
      <c r="D107" s="80">
        <v>46124.0</v>
      </c>
      <c r="E107" s="79" t="s">
        <v>1129</v>
      </c>
      <c r="F107" s="79"/>
      <c r="G107" s="79" t="s">
        <v>533</v>
      </c>
      <c r="H107" s="79" t="s">
        <v>534</v>
      </c>
      <c r="I107" s="79"/>
      <c r="J107" s="79" t="s">
        <v>1130</v>
      </c>
      <c r="K107" s="79">
        <v>3000.0</v>
      </c>
      <c r="L107" s="79"/>
      <c r="M107" s="79" t="s">
        <v>536</v>
      </c>
      <c r="N107" s="79" t="s">
        <v>1131</v>
      </c>
      <c r="O107" s="79"/>
      <c r="P107" s="79"/>
      <c r="Q107" s="79" t="s">
        <v>1132</v>
      </c>
      <c r="R107" s="80">
        <v>46902.0</v>
      </c>
      <c r="S107" s="79"/>
      <c r="T107" s="79">
        <v>10070.0</v>
      </c>
      <c r="U107" s="79"/>
      <c r="V107" s="79"/>
      <c r="W107" s="80">
        <v>46115.0</v>
      </c>
      <c r="X107" s="79"/>
      <c r="Y107" s="80">
        <v>46118.0</v>
      </c>
      <c r="Z107" s="79" t="s">
        <v>486</v>
      </c>
      <c r="AA107" s="79" t="s">
        <v>487</v>
      </c>
      <c r="AB107" s="79" t="s">
        <v>486</v>
      </c>
      <c r="AC107" s="79" t="s">
        <v>488</v>
      </c>
      <c r="AD107" s="79">
        <v>176850.0</v>
      </c>
      <c r="AE107" s="79">
        <v>12000.0</v>
      </c>
      <c r="AF107" s="79">
        <v>61250.0</v>
      </c>
      <c r="AG107" s="79">
        <v>18885.0</v>
      </c>
      <c r="AH107" s="81">
        <v>268985.0</v>
      </c>
      <c r="AI107" s="79"/>
      <c r="AJ107" s="79">
        <v>0.0</v>
      </c>
      <c r="AK107" s="79">
        <v>47085.0</v>
      </c>
      <c r="AL107" s="79">
        <v>800.0</v>
      </c>
      <c r="AM107" s="79">
        <v>61250.0</v>
      </c>
      <c r="AN107" s="79">
        <v>4789.0</v>
      </c>
      <c r="AO107" s="79">
        <v>113924.0</v>
      </c>
      <c r="AP107" s="79">
        <v>0.0</v>
      </c>
      <c r="AQ107" s="79">
        <v>140965.0</v>
      </c>
      <c r="AR107" s="79" t="s">
        <v>489</v>
      </c>
      <c r="AS107" s="79">
        <v>12000.0</v>
      </c>
      <c r="AT107" s="79" t="s">
        <v>836</v>
      </c>
      <c r="AU107" s="79" t="s">
        <v>491</v>
      </c>
      <c r="AV107" s="79">
        <v>0.0</v>
      </c>
      <c r="AW107" s="79"/>
      <c r="AX107" s="79">
        <v>0.0</v>
      </c>
      <c r="AY107" s="79"/>
      <c r="AZ107" s="79">
        <v>0.0</v>
      </c>
      <c r="BA107" s="79"/>
      <c r="BB107" s="79">
        <v>0.0</v>
      </c>
      <c r="BC107" s="79"/>
      <c r="BD107" s="79">
        <v>0.0</v>
      </c>
      <c r="BE107" s="79"/>
      <c r="BF107" s="79">
        <v>0.0</v>
      </c>
      <c r="BG107" s="79"/>
      <c r="BH107" s="79">
        <v>0.0</v>
      </c>
      <c r="BI107" s="79" t="s">
        <v>493</v>
      </c>
      <c r="BJ107" s="79">
        <v>17650.0</v>
      </c>
      <c r="BK107" s="79" t="s">
        <v>494</v>
      </c>
      <c r="BL107" s="79">
        <v>41000.0</v>
      </c>
      <c r="BM107" s="79" t="s">
        <v>495</v>
      </c>
      <c r="BN107" s="79">
        <v>2600.0</v>
      </c>
      <c r="BO107" s="79" t="s">
        <v>496</v>
      </c>
      <c r="BP107" s="79">
        <v>0.0</v>
      </c>
      <c r="BQ107" s="79"/>
      <c r="BR107" s="79">
        <v>0.0</v>
      </c>
      <c r="BS107" s="79"/>
      <c r="BT107" s="79">
        <v>0.0</v>
      </c>
      <c r="BU107" s="79"/>
      <c r="BV107" s="79">
        <v>0.0</v>
      </c>
      <c r="BW107" s="79"/>
      <c r="BX107" s="79">
        <v>0.0</v>
      </c>
      <c r="BY107" s="79">
        <v>0.0</v>
      </c>
      <c r="BZ107" s="79" t="s">
        <v>491</v>
      </c>
      <c r="CA107" s="79">
        <v>800.0</v>
      </c>
      <c r="CB107" s="79" t="s">
        <v>836</v>
      </c>
      <c r="CC107" s="79"/>
      <c r="CD107" s="79">
        <v>0.0</v>
      </c>
      <c r="CE107" s="79"/>
      <c r="CF107" s="79">
        <v>0.0</v>
      </c>
      <c r="CG107" s="79"/>
      <c r="CH107" s="79">
        <v>0.0</v>
      </c>
      <c r="CI107" s="79"/>
      <c r="CJ107" s="79">
        <v>0.0</v>
      </c>
      <c r="CK107" s="79"/>
      <c r="CL107" s="79">
        <v>0.0</v>
      </c>
      <c r="CM107" s="79"/>
      <c r="CN107" s="79">
        <v>0.0</v>
      </c>
      <c r="CO107" s="79" t="s">
        <v>493</v>
      </c>
      <c r="CP107" s="79">
        <v>17650.0</v>
      </c>
      <c r="CQ107" s="79" t="s">
        <v>494</v>
      </c>
      <c r="CR107" s="79">
        <v>41000.0</v>
      </c>
      <c r="CS107" s="79" t="s">
        <v>495</v>
      </c>
      <c r="CT107" s="79">
        <v>2600.0</v>
      </c>
      <c r="CU107" s="79" t="s">
        <v>496</v>
      </c>
      <c r="CV107" s="79">
        <v>0.0</v>
      </c>
      <c r="CW107" s="79"/>
      <c r="CX107" s="79">
        <v>0.0</v>
      </c>
      <c r="CY107" s="79"/>
      <c r="CZ107" s="79">
        <v>0.0</v>
      </c>
      <c r="DA107" s="79"/>
      <c r="DB107" s="79">
        <v>0.0</v>
      </c>
      <c r="DC107" s="79"/>
      <c r="DD107" s="79">
        <v>0.0</v>
      </c>
      <c r="DE107" s="79">
        <v>89300.0</v>
      </c>
      <c r="DF107" s="79">
        <v>87550.0</v>
      </c>
      <c r="DG107" s="79">
        <v>0.0</v>
      </c>
      <c r="DH107" s="79">
        <v>0.0</v>
      </c>
      <c r="DI107" s="79">
        <v>47085.0</v>
      </c>
      <c r="DJ107" s="79" t="s">
        <v>164</v>
      </c>
      <c r="DK107" s="79" t="s">
        <v>486</v>
      </c>
      <c r="DL107" s="79" t="s">
        <v>487</v>
      </c>
      <c r="DM107" s="79" t="s">
        <v>1133</v>
      </c>
      <c r="DN107" s="79"/>
      <c r="DO107" s="79" t="s">
        <v>1134</v>
      </c>
      <c r="DP107" s="79"/>
      <c r="DQ107" s="79"/>
      <c r="DR107" s="79"/>
      <c r="DS107" s="79"/>
      <c r="DT107" s="82"/>
      <c r="DU107" s="79"/>
      <c r="DV107" s="82"/>
      <c r="DW107" s="79"/>
      <c r="DX107" s="79"/>
      <c r="DY107" s="79"/>
      <c r="DZ107" s="79"/>
      <c r="EA107" s="79"/>
      <c r="EB107" s="79"/>
      <c r="EC107" s="79"/>
      <c r="ED107" s="79"/>
      <c r="EE107" s="79"/>
      <c r="EF107" s="82"/>
      <c r="EG107" s="79"/>
      <c r="EH107" s="82"/>
      <c r="EI107" s="79"/>
      <c r="EJ107" s="82"/>
      <c r="EK107" s="79"/>
      <c r="EL107" s="82"/>
      <c r="EM107" s="79"/>
      <c r="EN107" s="79" t="s">
        <v>156</v>
      </c>
      <c r="EO107" s="79" t="s">
        <v>162</v>
      </c>
      <c r="EP107" s="17"/>
      <c r="EQ107" s="23"/>
      <c r="ER107" s="23" t="str">
        <f t="shared" si="5"/>
        <v/>
      </c>
      <c r="ES107" s="19"/>
      <c r="ET107" s="19" t="str">
        <f t="shared" si="6"/>
        <v/>
      </c>
      <c r="EU107" s="19"/>
      <c r="EV107" s="19"/>
      <c r="EW107" s="19"/>
      <c r="EX107" s="19"/>
      <c r="EY107" s="19"/>
      <c r="EZ107" s="19"/>
      <c r="FA107" s="19"/>
      <c r="FB107" s="19"/>
    </row>
    <row r="108" ht="15.75" customHeight="1">
      <c r="A108" s="79" t="s">
        <v>1135</v>
      </c>
      <c r="B108" s="79" t="s">
        <v>543</v>
      </c>
      <c r="C108" s="79" t="s">
        <v>476</v>
      </c>
      <c r="D108" s="80">
        <v>46124.0</v>
      </c>
      <c r="E108" s="79" t="s">
        <v>1041</v>
      </c>
      <c r="F108" s="79" t="s">
        <v>1136</v>
      </c>
      <c r="G108" s="79" t="s">
        <v>1042</v>
      </c>
      <c r="H108" s="79" t="s">
        <v>1043</v>
      </c>
      <c r="I108" s="79"/>
      <c r="J108" s="79" t="s">
        <v>1044</v>
      </c>
      <c r="K108" s="79">
        <v>2680.0</v>
      </c>
      <c r="L108" s="79"/>
      <c r="M108" s="79" t="s">
        <v>1045</v>
      </c>
      <c r="N108" s="79"/>
      <c r="O108" s="79"/>
      <c r="P108" s="79"/>
      <c r="Q108" s="79"/>
      <c r="R108" s="84">
        <v>46742.0</v>
      </c>
      <c r="S108" s="79"/>
      <c r="T108" s="79">
        <v>39081.0</v>
      </c>
      <c r="U108" s="79"/>
      <c r="V108" s="79"/>
      <c r="W108" s="79"/>
      <c r="X108" s="79"/>
      <c r="Y108" s="79"/>
      <c r="Z108" s="79" t="s">
        <v>524</v>
      </c>
      <c r="AA108" s="79" t="s">
        <v>487</v>
      </c>
      <c r="AB108" s="79" t="s">
        <v>524</v>
      </c>
      <c r="AC108" s="79" t="s">
        <v>488</v>
      </c>
      <c r="AD108" s="79">
        <v>190909.0</v>
      </c>
      <c r="AE108" s="79">
        <v>0.0</v>
      </c>
      <c r="AF108" s="79">
        <v>0.0</v>
      </c>
      <c r="AG108" s="79">
        <v>19091.0</v>
      </c>
      <c r="AH108" s="83">
        <v>210000.0</v>
      </c>
      <c r="AI108" s="79"/>
      <c r="AJ108" s="79">
        <v>0.0</v>
      </c>
      <c r="AK108" s="79">
        <v>0.0</v>
      </c>
      <c r="AL108" s="83">
        <v>0.0</v>
      </c>
      <c r="AM108" s="79">
        <v>0.0</v>
      </c>
      <c r="AN108" s="79">
        <v>0.0</v>
      </c>
      <c r="AO108" s="79">
        <v>0.0</v>
      </c>
      <c r="AP108" s="79">
        <v>0.0</v>
      </c>
      <c r="AQ108" s="79">
        <v>190909.0</v>
      </c>
      <c r="AR108" s="79" t="s">
        <v>525</v>
      </c>
      <c r="AS108" s="79">
        <v>0.0</v>
      </c>
      <c r="AT108" s="79" t="s">
        <v>507</v>
      </c>
      <c r="AU108" s="79" t="s">
        <v>491</v>
      </c>
      <c r="AV108" s="79">
        <v>0.0</v>
      </c>
      <c r="AW108" s="79" t="s">
        <v>508</v>
      </c>
      <c r="AX108" s="79">
        <v>0.0</v>
      </c>
      <c r="AY108" s="79"/>
      <c r="AZ108" s="79">
        <v>0.0</v>
      </c>
      <c r="BA108" s="82"/>
      <c r="BB108" s="79">
        <v>0.0</v>
      </c>
      <c r="BC108" s="79"/>
      <c r="BD108" s="79">
        <v>0.0</v>
      </c>
      <c r="BE108" s="82"/>
      <c r="BF108" s="79">
        <v>0.0</v>
      </c>
      <c r="BG108" s="79"/>
      <c r="BH108" s="79">
        <v>0.0</v>
      </c>
      <c r="BI108" s="79" t="s">
        <v>493</v>
      </c>
      <c r="BJ108" s="79">
        <v>0.0</v>
      </c>
      <c r="BK108" s="79" t="s">
        <v>494</v>
      </c>
      <c r="BL108" s="79">
        <v>0.0</v>
      </c>
      <c r="BM108" s="79" t="s">
        <v>495</v>
      </c>
      <c r="BN108" s="79">
        <v>0.0</v>
      </c>
      <c r="BO108" s="79" t="s">
        <v>496</v>
      </c>
      <c r="BP108" s="79">
        <v>0.0</v>
      </c>
      <c r="BQ108" s="79"/>
      <c r="BR108" s="79">
        <v>0.0</v>
      </c>
      <c r="BS108" s="79"/>
      <c r="BT108" s="79">
        <v>0.0</v>
      </c>
      <c r="BU108" s="79"/>
      <c r="BV108" s="79">
        <v>0.0</v>
      </c>
      <c r="BW108" s="79"/>
      <c r="BX108" s="79">
        <v>0.0</v>
      </c>
      <c r="BY108" s="79">
        <v>0.0</v>
      </c>
      <c r="BZ108" s="79" t="s">
        <v>491</v>
      </c>
      <c r="CA108" s="79">
        <v>0.0</v>
      </c>
      <c r="CB108" s="79" t="s">
        <v>507</v>
      </c>
      <c r="CC108" s="79" t="s">
        <v>508</v>
      </c>
      <c r="CD108" s="79">
        <v>0.0</v>
      </c>
      <c r="CE108" s="79"/>
      <c r="CF108" s="79">
        <v>0.0</v>
      </c>
      <c r="CG108" s="79"/>
      <c r="CH108" s="79">
        <v>0.0</v>
      </c>
      <c r="CI108" s="79"/>
      <c r="CJ108" s="79">
        <v>0.0</v>
      </c>
      <c r="CK108" s="79"/>
      <c r="CL108" s="79">
        <v>0.0</v>
      </c>
      <c r="CM108" s="79"/>
      <c r="CN108" s="79">
        <v>0.0</v>
      </c>
      <c r="CO108" s="79" t="s">
        <v>493</v>
      </c>
      <c r="CP108" s="79">
        <v>0.0</v>
      </c>
      <c r="CQ108" s="79" t="s">
        <v>494</v>
      </c>
      <c r="CR108" s="79">
        <v>0.0</v>
      </c>
      <c r="CS108" s="79" t="s">
        <v>495</v>
      </c>
      <c r="CT108" s="79">
        <v>0.0</v>
      </c>
      <c r="CU108" s="79" t="s">
        <v>496</v>
      </c>
      <c r="CV108" s="79">
        <v>0.0</v>
      </c>
      <c r="CW108" s="79"/>
      <c r="CX108" s="79">
        <v>0.0</v>
      </c>
      <c r="CY108" s="79"/>
      <c r="CZ108" s="79">
        <v>0.0</v>
      </c>
      <c r="DA108" s="79"/>
      <c r="DB108" s="79">
        <v>0.0</v>
      </c>
      <c r="DC108" s="79"/>
      <c r="DD108" s="79">
        <v>0.0</v>
      </c>
      <c r="DE108" s="79">
        <v>0.0</v>
      </c>
      <c r="DF108" s="79">
        <v>190909.0</v>
      </c>
      <c r="DG108" s="79">
        <v>0.0</v>
      </c>
      <c r="DH108" s="79">
        <v>0.0</v>
      </c>
      <c r="DI108" s="79">
        <v>0.0</v>
      </c>
      <c r="DJ108" s="79" t="s">
        <v>320</v>
      </c>
      <c r="DK108" s="79" t="s">
        <v>524</v>
      </c>
      <c r="DL108" s="79" t="s">
        <v>487</v>
      </c>
      <c r="DM108" s="79" t="s">
        <v>1046</v>
      </c>
      <c r="DN108" s="79" t="s">
        <v>1047</v>
      </c>
      <c r="DO108" s="79" t="s">
        <v>1048</v>
      </c>
      <c r="DP108" s="82"/>
      <c r="DQ108" s="79"/>
      <c r="DR108" s="82"/>
      <c r="DS108" s="79"/>
      <c r="DT108" s="82"/>
      <c r="DU108" s="79"/>
      <c r="DV108" s="82"/>
      <c r="DW108" s="79"/>
      <c r="DX108" s="79"/>
      <c r="DY108" s="79"/>
      <c r="DZ108" s="79"/>
      <c r="EA108" s="79"/>
      <c r="EB108" s="79"/>
      <c r="EC108" s="79"/>
      <c r="ED108" s="79"/>
      <c r="EE108" s="79"/>
      <c r="EF108" s="82"/>
      <c r="EG108" s="79"/>
      <c r="EH108" s="82"/>
      <c r="EI108" s="79"/>
      <c r="EJ108" s="82"/>
      <c r="EK108" s="79"/>
      <c r="EL108" s="82"/>
      <c r="EM108" s="79"/>
      <c r="EN108" s="79" t="s">
        <v>156</v>
      </c>
      <c r="EO108" s="79" t="s">
        <v>48</v>
      </c>
      <c r="EP108" s="17"/>
      <c r="EQ108" s="23"/>
      <c r="ER108" s="23" t="str">
        <f t="shared" si="5"/>
        <v/>
      </c>
      <c r="ES108" s="19"/>
      <c r="ET108" s="19" t="str">
        <f t="shared" si="6"/>
        <v/>
      </c>
      <c r="EU108" s="19"/>
      <c r="EV108" s="19"/>
      <c r="EW108" s="19"/>
      <c r="EX108" s="19"/>
      <c r="EY108" s="19"/>
      <c r="EZ108" s="19"/>
      <c r="FA108" s="19"/>
      <c r="FB108" s="19"/>
    </row>
    <row r="109" ht="15.75" customHeight="1">
      <c r="A109" s="79" t="s">
        <v>1137</v>
      </c>
      <c r="B109" s="79" t="s">
        <v>475</v>
      </c>
      <c r="C109" s="79" t="s">
        <v>476</v>
      </c>
      <c r="D109" s="80">
        <v>46124.0</v>
      </c>
      <c r="E109" s="79" t="s">
        <v>1138</v>
      </c>
      <c r="F109" s="79" t="s">
        <v>568</v>
      </c>
      <c r="G109" s="79" t="s">
        <v>1139</v>
      </c>
      <c r="H109" s="79" t="s">
        <v>534</v>
      </c>
      <c r="I109" s="79"/>
      <c r="J109" s="79" t="s">
        <v>1140</v>
      </c>
      <c r="K109" s="79">
        <v>0.0</v>
      </c>
      <c r="L109" s="79"/>
      <c r="M109" s="79" t="s">
        <v>1141</v>
      </c>
      <c r="N109" s="79"/>
      <c r="O109" s="79"/>
      <c r="P109" s="79"/>
      <c r="Q109" s="79"/>
      <c r="R109" s="84">
        <v>47102.0</v>
      </c>
      <c r="S109" s="79"/>
      <c r="T109" s="79">
        <v>1650.0</v>
      </c>
      <c r="U109" s="79"/>
      <c r="V109" s="79"/>
      <c r="W109" s="80">
        <v>46122.0</v>
      </c>
      <c r="X109" s="79"/>
      <c r="Y109" s="80">
        <v>46125.0</v>
      </c>
      <c r="Z109" s="79" t="s">
        <v>486</v>
      </c>
      <c r="AA109" s="79" t="s">
        <v>537</v>
      </c>
      <c r="AB109" s="79" t="s">
        <v>486</v>
      </c>
      <c r="AC109" s="79" t="s">
        <v>488</v>
      </c>
      <c r="AD109" s="79">
        <v>9000.0</v>
      </c>
      <c r="AE109" s="79">
        <v>0.0</v>
      </c>
      <c r="AF109" s="79">
        <v>0.0</v>
      </c>
      <c r="AG109" s="79">
        <v>900.0</v>
      </c>
      <c r="AH109" s="83">
        <v>9900.0</v>
      </c>
      <c r="AI109" s="79"/>
      <c r="AJ109" s="79">
        <v>0.0</v>
      </c>
      <c r="AK109" s="79">
        <v>0.0</v>
      </c>
      <c r="AL109" s="83">
        <v>0.0</v>
      </c>
      <c r="AM109" s="79">
        <v>0.0</v>
      </c>
      <c r="AN109" s="79">
        <v>0.0</v>
      </c>
      <c r="AO109" s="79">
        <v>0.0</v>
      </c>
      <c r="AP109" s="79">
        <v>0.0</v>
      </c>
      <c r="AQ109" s="79">
        <v>9000.0</v>
      </c>
      <c r="AR109" s="79" t="s">
        <v>489</v>
      </c>
      <c r="AS109" s="79">
        <v>0.0</v>
      </c>
      <c r="AT109" s="79" t="s">
        <v>507</v>
      </c>
      <c r="AU109" s="79" t="s">
        <v>491</v>
      </c>
      <c r="AV109" s="79">
        <v>0.0</v>
      </c>
      <c r="AW109" s="79" t="s">
        <v>508</v>
      </c>
      <c r="AX109" s="79">
        <v>0.0</v>
      </c>
      <c r="AY109" s="82"/>
      <c r="AZ109" s="79">
        <v>0.0</v>
      </c>
      <c r="BA109" s="82"/>
      <c r="BB109" s="79">
        <v>0.0</v>
      </c>
      <c r="BC109" s="79"/>
      <c r="BD109" s="79">
        <v>0.0</v>
      </c>
      <c r="BE109" s="82"/>
      <c r="BF109" s="79">
        <v>0.0</v>
      </c>
      <c r="BG109" s="79"/>
      <c r="BH109" s="79">
        <v>0.0</v>
      </c>
      <c r="BI109" s="79" t="s">
        <v>493</v>
      </c>
      <c r="BJ109" s="79">
        <v>0.0</v>
      </c>
      <c r="BK109" s="79" t="s">
        <v>494</v>
      </c>
      <c r="BL109" s="79">
        <v>0.0</v>
      </c>
      <c r="BM109" s="79" t="s">
        <v>495</v>
      </c>
      <c r="BN109" s="79">
        <v>0.0</v>
      </c>
      <c r="BO109" s="79" t="s">
        <v>496</v>
      </c>
      <c r="BP109" s="79">
        <v>0.0</v>
      </c>
      <c r="BQ109" s="79"/>
      <c r="BR109" s="79">
        <v>0.0</v>
      </c>
      <c r="BS109" s="79"/>
      <c r="BT109" s="79">
        <v>0.0</v>
      </c>
      <c r="BU109" s="79"/>
      <c r="BV109" s="79">
        <v>0.0</v>
      </c>
      <c r="BW109" s="79"/>
      <c r="BX109" s="79">
        <v>0.0</v>
      </c>
      <c r="BY109" s="79">
        <v>0.0</v>
      </c>
      <c r="BZ109" s="79" t="s">
        <v>491</v>
      </c>
      <c r="CA109" s="79">
        <v>0.0</v>
      </c>
      <c r="CB109" s="79" t="s">
        <v>507</v>
      </c>
      <c r="CC109" s="79" t="s">
        <v>508</v>
      </c>
      <c r="CD109" s="79">
        <v>0.0</v>
      </c>
      <c r="CE109" s="79"/>
      <c r="CF109" s="79">
        <v>0.0</v>
      </c>
      <c r="CG109" s="79"/>
      <c r="CH109" s="79">
        <v>0.0</v>
      </c>
      <c r="CI109" s="79"/>
      <c r="CJ109" s="79">
        <v>0.0</v>
      </c>
      <c r="CK109" s="79"/>
      <c r="CL109" s="79">
        <v>0.0</v>
      </c>
      <c r="CM109" s="79"/>
      <c r="CN109" s="79">
        <v>0.0</v>
      </c>
      <c r="CO109" s="79" t="s">
        <v>493</v>
      </c>
      <c r="CP109" s="79">
        <v>0.0</v>
      </c>
      <c r="CQ109" s="79" t="s">
        <v>494</v>
      </c>
      <c r="CR109" s="79">
        <v>0.0</v>
      </c>
      <c r="CS109" s="79" t="s">
        <v>495</v>
      </c>
      <c r="CT109" s="79">
        <v>0.0</v>
      </c>
      <c r="CU109" s="79" t="s">
        <v>496</v>
      </c>
      <c r="CV109" s="79">
        <v>0.0</v>
      </c>
      <c r="CW109" s="79"/>
      <c r="CX109" s="79">
        <v>0.0</v>
      </c>
      <c r="CY109" s="79"/>
      <c r="CZ109" s="79">
        <v>0.0</v>
      </c>
      <c r="DA109" s="79"/>
      <c r="DB109" s="79">
        <v>0.0</v>
      </c>
      <c r="DC109" s="79"/>
      <c r="DD109" s="79">
        <v>0.0</v>
      </c>
      <c r="DE109" s="79">
        <v>9000.0</v>
      </c>
      <c r="DF109" s="79">
        <v>0.0</v>
      </c>
      <c r="DG109" s="79">
        <v>0.0</v>
      </c>
      <c r="DH109" s="79">
        <v>0.0</v>
      </c>
      <c r="DI109" s="79">
        <v>0.0</v>
      </c>
      <c r="DJ109" s="79" t="s">
        <v>1142</v>
      </c>
      <c r="DK109" s="79" t="s">
        <v>486</v>
      </c>
      <c r="DL109" s="79" t="s">
        <v>537</v>
      </c>
      <c r="DM109" s="79" t="s">
        <v>1143</v>
      </c>
      <c r="DN109" s="82"/>
      <c r="DO109" s="79" t="s">
        <v>1144</v>
      </c>
      <c r="DP109" s="82"/>
      <c r="DQ109" s="79"/>
      <c r="DR109" s="82"/>
      <c r="DS109" s="79"/>
      <c r="DT109" s="82"/>
      <c r="DU109" s="79"/>
      <c r="DV109" s="82"/>
      <c r="DW109" s="79"/>
      <c r="DX109" s="79"/>
      <c r="DY109" s="79"/>
      <c r="DZ109" s="79"/>
      <c r="EA109" s="79"/>
      <c r="EB109" s="79"/>
      <c r="EC109" s="79"/>
      <c r="ED109" s="79"/>
      <c r="EE109" s="79"/>
      <c r="EF109" s="82"/>
      <c r="EG109" s="79"/>
      <c r="EH109" s="82"/>
      <c r="EI109" s="79"/>
      <c r="EJ109" s="82"/>
      <c r="EK109" s="79"/>
      <c r="EL109" s="82"/>
      <c r="EM109" s="79"/>
      <c r="EN109" s="79" t="s">
        <v>79</v>
      </c>
      <c r="EO109" s="79"/>
      <c r="EP109" s="17"/>
      <c r="EQ109" s="23"/>
      <c r="ER109" s="23" t="str">
        <f t="shared" si="5"/>
        <v/>
      </c>
      <c r="ES109" s="19"/>
      <c r="ET109" s="19" t="str">
        <f t="shared" si="6"/>
        <v/>
      </c>
      <c r="EU109" s="19"/>
      <c r="EV109" s="19"/>
      <c r="EW109" s="19"/>
      <c r="EX109" s="19"/>
      <c r="EY109" s="19"/>
      <c r="EZ109" s="19"/>
      <c r="FA109" s="19"/>
      <c r="FB109" s="19"/>
    </row>
    <row r="110" ht="15.75" customHeight="1">
      <c r="A110" s="79" t="s">
        <v>1145</v>
      </c>
      <c r="B110" s="79" t="s">
        <v>475</v>
      </c>
      <c r="C110" s="79" t="s">
        <v>476</v>
      </c>
      <c r="D110" s="80">
        <v>46124.0</v>
      </c>
      <c r="E110" s="79" t="s">
        <v>1146</v>
      </c>
      <c r="F110" s="79" t="s">
        <v>568</v>
      </c>
      <c r="G110" s="79" t="s">
        <v>1012</v>
      </c>
      <c r="H110" s="79" t="s">
        <v>895</v>
      </c>
      <c r="I110" s="79"/>
      <c r="J110" s="79" t="s">
        <v>1147</v>
      </c>
      <c r="K110" s="79">
        <v>4390.0</v>
      </c>
      <c r="L110" s="79"/>
      <c r="M110" s="79" t="s">
        <v>1148</v>
      </c>
      <c r="N110" s="79" t="s">
        <v>521</v>
      </c>
      <c r="O110" s="79" t="s">
        <v>484</v>
      </c>
      <c r="P110" s="79"/>
      <c r="Q110" s="79" t="s">
        <v>1149</v>
      </c>
      <c r="R110" s="80">
        <v>46139.0</v>
      </c>
      <c r="S110" s="79"/>
      <c r="T110" s="79">
        <v>9698.0</v>
      </c>
      <c r="U110" s="79"/>
      <c r="V110" s="79"/>
      <c r="W110" s="80">
        <v>46107.0</v>
      </c>
      <c r="X110" s="79"/>
      <c r="Y110" s="80">
        <v>46114.0</v>
      </c>
      <c r="Z110" s="79" t="s">
        <v>486</v>
      </c>
      <c r="AA110" s="79" t="s">
        <v>487</v>
      </c>
      <c r="AB110" s="79" t="s">
        <v>486</v>
      </c>
      <c r="AC110" s="79" t="s">
        <v>488</v>
      </c>
      <c r="AD110" s="79">
        <v>27800.0</v>
      </c>
      <c r="AE110" s="79">
        <v>0.0</v>
      </c>
      <c r="AF110" s="79">
        <v>0.0</v>
      </c>
      <c r="AG110" s="79">
        <v>2780.0</v>
      </c>
      <c r="AH110" s="83">
        <v>30580.0</v>
      </c>
      <c r="AI110" s="79"/>
      <c r="AJ110" s="79">
        <v>0.0</v>
      </c>
      <c r="AK110" s="79">
        <v>17741.0</v>
      </c>
      <c r="AL110" s="83">
        <v>0.0</v>
      </c>
      <c r="AM110" s="79">
        <v>0.0</v>
      </c>
      <c r="AN110" s="79">
        <v>1774.0</v>
      </c>
      <c r="AO110" s="79">
        <v>19515.0</v>
      </c>
      <c r="AP110" s="79">
        <v>0.0</v>
      </c>
      <c r="AQ110" s="79">
        <v>10059.0</v>
      </c>
      <c r="AR110" s="79" t="s">
        <v>489</v>
      </c>
      <c r="AS110" s="79">
        <v>0.0</v>
      </c>
      <c r="AT110" s="79" t="s">
        <v>490</v>
      </c>
      <c r="AU110" s="79" t="s">
        <v>491</v>
      </c>
      <c r="AV110" s="79">
        <v>0.0</v>
      </c>
      <c r="AW110" s="79"/>
      <c r="AX110" s="79">
        <v>0.0</v>
      </c>
      <c r="AY110" s="79" t="s">
        <v>492</v>
      </c>
      <c r="AZ110" s="79">
        <v>0.0</v>
      </c>
      <c r="BA110" s="82"/>
      <c r="BB110" s="79">
        <v>0.0</v>
      </c>
      <c r="BC110" s="79"/>
      <c r="BD110" s="79">
        <v>0.0</v>
      </c>
      <c r="BE110" s="82"/>
      <c r="BF110" s="79">
        <v>0.0</v>
      </c>
      <c r="BG110" s="79"/>
      <c r="BH110" s="79">
        <v>0.0</v>
      </c>
      <c r="BI110" s="79" t="s">
        <v>493</v>
      </c>
      <c r="BJ110" s="79">
        <v>0.0</v>
      </c>
      <c r="BK110" s="79" t="s">
        <v>494</v>
      </c>
      <c r="BL110" s="79">
        <v>0.0</v>
      </c>
      <c r="BM110" s="79" t="s">
        <v>495</v>
      </c>
      <c r="BN110" s="79">
        <v>0.0</v>
      </c>
      <c r="BO110" s="79" t="s">
        <v>496</v>
      </c>
      <c r="BP110" s="79">
        <v>0.0</v>
      </c>
      <c r="BQ110" s="79"/>
      <c r="BR110" s="79">
        <v>0.0</v>
      </c>
      <c r="BS110" s="79"/>
      <c r="BT110" s="79">
        <v>0.0</v>
      </c>
      <c r="BU110" s="79"/>
      <c r="BV110" s="79">
        <v>0.0</v>
      </c>
      <c r="BW110" s="79"/>
      <c r="BX110" s="79">
        <v>0.0</v>
      </c>
      <c r="BY110" s="79">
        <v>0.0</v>
      </c>
      <c r="BZ110" s="79" t="s">
        <v>491</v>
      </c>
      <c r="CA110" s="79">
        <v>0.0</v>
      </c>
      <c r="CB110" s="79" t="s">
        <v>490</v>
      </c>
      <c r="CC110" s="79"/>
      <c r="CD110" s="79">
        <v>0.0</v>
      </c>
      <c r="CE110" s="79" t="s">
        <v>492</v>
      </c>
      <c r="CF110" s="79">
        <v>0.0</v>
      </c>
      <c r="CG110" s="79"/>
      <c r="CH110" s="79">
        <v>0.0</v>
      </c>
      <c r="CI110" s="79"/>
      <c r="CJ110" s="79">
        <v>0.0</v>
      </c>
      <c r="CK110" s="79"/>
      <c r="CL110" s="79">
        <v>0.0</v>
      </c>
      <c r="CM110" s="79"/>
      <c r="CN110" s="79">
        <v>0.0</v>
      </c>
      <c r="CO110" s="79" t="s">
        <v>493</v>
      </c>
      <c r="CP110" s="79">
        <v>0.0</v>
      </c>
      <c r="CQ110" s="79" t="s">
        <v>494</v>
      </c>
      <c r="CR110" s="79">
        <v>0.0</v>
      </c>
      <c r="CS110" s="79" t="s">
        <v>495</v>
      </c>
      <c r="CT110" s="79">
        <v>0.0</v>
      </c>
      <c r="CU110" s="79" t="s">
        <v>496</v>
      </c>
      <c r="CV110" s="79">
        <v>0.0</v>
      </c>
      <c r="CW110" s="79"/>
      <c r="CX110" s="79">
        <v>0.0</v>
      </c>
      <c r="CY110" s="79"/>
      <c r="CZ110" s="79">
        <v>0.0</v>
      </c>
      <c r="DA110" s="79"/>
      <c r="DB110" s="79">
        <v>0.0</v>
      </c>
      <c r="DC110" s="79"/>
      <c r="DD110" s="79">
        <v>0.0</v>
      </c>
      <c r="DE110" s="79">
        <v>0.0</v>
      </c>
      <c r="DF110" s="79">
        <v>27800.0</v>
      </c>
      <c r="DG110" s="79">
        <v>0.0</v>
      </c>
      <c r="DH110" s="79">
        <v>0.0</v>
      </c>
      <c r="DI110" s="79">
        <v>17741.0</v>
      </c>
      <c r="DJ110" s="79" t="s">
        <v>1150</v>
      </c>
      <c r="DK110" s="79" t="s">
        <v>486</v>
      </c>
      <c r="DL110" s="79" t="s">
        <v>1151</v>
      </c>
      <c r="DM110" s="79" t="s">
        <v>1152</v>
      </c>
      <c r="DN110" s="79" t="s">
        <v>1153</v>
      </c>
      <c r="DO110" s="79" t="s">
        <v>1154</v>
      </c>
      <c r="DP110" s="82"/>
      <c r="DQ110" s="79"/>
      <c r="DR110" s="82"/>
      <c r="DS110" s="79"/>
      <c r="DT110" s="82"/>
      <c r="DU110" s="79"/>
      <c r="DV110" s="82"/>
      <c r="DW110" s="79"/>
      <c r="DX110" s="79"/>
      <c r="DY110" s="79"/>
      <c r="DZ110" s="79"/>
      <c r="EA110" s="79"/>
      <c r="EB110" s="79"/>
      <c r="EC110" s="79"/>
      <c r="ED110" s="79"/>
      <c r="EE110" s="79"/>
      <c r="EF110" s="82"/>
      <c r="EG110" s="79"/>
      <c r="EH110" s="82"/>
      <c r="EI110" s="79"/>
      <c r="EJ110" s="82"/>
      <c r="EK110" s="79"/>
      <c r="EL110" s="82"/>
      <c r="EM110" s="79"/>
      <c r="EN110" s="79" t="s">
        <v>79</v>
      </c>
      <c r="EO110" s="79"/>
      <c r="EP110" s="17"/>
      <c r="EQ110" s="23"/>
      <c r="ER110" s="23" t="str">
        <f t="shared" si="5"/>
        <v/>
      </c>
      <c r="ES110" s="19"/>
      <c r="ET110" s="19" t="str">
        <f t="shared" si="6"/>
        <v/>
      </c>
      <c r="EU110" s="19"/>
      <c r="EV110" s="19"/>
      <c r="EW110" s="19"/>
      <c r="EX110" s="19"/>
      <c r="EY110" s="19"/>
      <c r="EZ110" s="19"/>
      <c r="FA110" s="19"/>
      <c r="FB110" s="19"/>
    </row>
    <row r="111" ht="15.75" customHeight="1">
      <c r="A111" s="79" t="s">
        <v>168</v>
      </c>
      <c r="B111" s="79" t="s">
        <v>475</v>
      </c>
      <c r="C111" s="79" t="s">
        <v>476</v>
      </c>
      <c r="D111" s="80">
        <v>46124.0</v>
      </c>
      <c r="E111" s="79" t="s">
        <v>1155</v>
      </c>
      <c r="F111" s="82"/>
      <c r="G111" s="79" t="s">
        <v>1156</v>
      </c>
      <c r="H111" s="79" t="s">
        <v>479</v>
      </c>
      <c r="I111" s="79" t="s">
        <v>480</v>
      </c>
      <c r="J111" s="79" t="s">
        <v>1157</v>
      </c>
      <c r="K111" s="79">
        <v>2000.0</v>
      </c>
      <c r="L111" s="79" t="s">
        <v>482</v>
      </c>
      <c r="M111" s="79" t="s">
        <v>913</v>
      </c>
      <c r="N111" s="79"/>
      <c r="O111" s="79" t="s">
        <v>484</v>
      </c>
      <c r="P111" s="79" t="s">
        <v>914</v>
      </c>
      <c r="Q111" s="79" t="s">
        <v>1158</v>
      </c>
      <c r="R111" s="80">
        <v>46605.0</v>
      </c>
      <c r="S111" s="79"/>
      <c r="T111" s="79">
        <v>26020.0</v>
      </c>
      <c r="U111" s="79"/>
      <c r="V111" s="79"/>
      <c r="W111" s="79"/>
      <c r="X111" s="79"/>
      <c r="Y111" s="79"/>
      <c r="Z111" s="79" t="s">
        <v>486</v>
      </c>
      <c r="AA111" s="79" t="s">
        <v>487</v>
      </c>
      <c r="AB111" s="79" t="s">
        <v>486</v>
      </c>
      <c r="AC111" s="79" t="s">
        <v>488</v>
      </c>
      <c r="AD111" s="79">
        <v>29800.0</v>
      </c>
      <c r="AE111" s="79">
        <v>0.0</v>
      </c>
      <c r="AF111" s="79">
        <v>0.0</v>
      </c>
      <c r="AG111" s="79">
        <v>2980.0</v>
      </c>
      <c r="AH111" s="83">
        <v>32780.0</v>
      </c>
      <c r="AI111" s="79"/>
      <c r="AJ111" s="79">
        <v>0.0</v>
      </c>
      <c r="AK111" s="79">
        <v>8450.0</v>
      </c>
      <c r="AL111" s="83">
        <v>0.0</v>
      </c>
      <c r="AM111" s="79">
        <v>0.0</v>
      </c>
      <c r="AN111" s="79">
        <v>845.0</v>
      </c>
      <c r="AO111" s="79">
        <v>9295.0</v>
      </c>
      <c r="AP111" s="79">
        <v>0.0</v>
      </c>
      <c r="AQ111" s="79">
        <v>21350.0</v>
      </c>
      <c r="AR111" s="79" t="s">
        <v>489</v>
      </c>
      <c r="AS111" s="79">
        <v>0.0</v>
      </c>
      <c r="AT111" s="79" t="s">
        <v>490</v>
      </c>
      <c r="AU111" s="79" t="s">
        <v>491</v>
      </c>
      <c r="AV111" s="79">
        <v>0.0</v>
      </c>
      <c r="AW111" s="79"/>
      <c r="AX111" s="79">
        <v>0.0</v>
      </c>
      <c r="AY111" s="79" t="s">
        <v>492</v>
      </c>
      <c r="AZ111" s="79">
        <v>0.0</v>
      </c>
      <c r="BA111" s="79"/>
      <c r="BB111" s="79">
        <v>0.0</v>
      </c>
      <c r="BC111" s="82"/>
      <c r="BD111" s="79">
        <v>0.0</v>
      </c>
      <c r="BE111" s="82"/>
      <c r="BF111" s="79">
        <v>0.0</v>
      </c>
      <c r="BG111" s="79"/>
      <c r="BH111" s="79">
        <v>0.0</v>
      </c>
      <c r="BI111" s="79" t="s">
        <v>493</v>
      </c>
      <c r="BJ111" s="79">
        <v>0.0</v>
      </c>
      <c r="BK111" s="79" t="s">
        <v>494</v>
      </c>
      <c r="BL111" s="79">
        <v>0.0</v>
      </c>
      <c r="BM111" s="79" t="s">
        <v>495</v>
      </c>
      <c r="BN111" s="79">
        <v>0.0</v>
      </c>
      <c r="BO111" s="79" t="s">
        <v>496</v>
      </c>
      <c r="BP111" s="79">
        <v>0.0</v>
      </c>
      <c r="BQ111" s="79"/>
      <c r="BR111" s="79">
        <v>0.0</v>
      </c>
      <c r="BS111" s="79"/>
      <c r="BT111" s="79">
        <v>0.0</v>
      </c>
      <c r="BU111" s="79"/>
      <c r="BV111" s="79">
        <v>0.0</v>
      </c>
      <c r="BW111" s="79"/>
      <c r="BX111" s="79">
        <v>0.0</v>
      </c>
      <c r="BY111" s="79">
        <v>0.0</v>
      </c>
      <c r="BZ111" s="79" t="s">
        <v>491</v>
      </c>
      <c r="CA111" s="79">
        <v>0.0</v>
      </c>
      <c r="CB111" s="79" t="s">
        <v>490</v>
      </c>
      <c r="CC111" s="79"/>
      <c r="CD111" s="79">
        <v>0.0</v>
      </c>
      <c r="CE111" s="79" t="s">
        <v>492</v>
      </c>
      <c r="CF111" s="79">
        <v>0.0</v>
      </c>
      <c r="CG111" s="79"/>
      <c r="CH111" s="79">
        <v>0.0</v>
      </c>
      <c r="CI111" s="79"/>
      <c r="CJ111" s="79">
        <v>0.0</v>
      </c>
      <c r="CK111" s="79"/>
      <c r="CL111" s="79">
        <v>0.0</v>
      </c>
      <c r="CM111" s="79"/>
      <c r="CN111" s="79">
        <v>0.0</v>
      </c>
      <c r="CO111" s="79" t="s">
        <v>493</v>
      </c>
      <c r="CP111" s="79">
        <v>0.0</v>
      </c>
      <c r="CQ111" s="79" t="s">
        <v>494</v>
      </c>
      <c r="CR111" s="79">
        <v>0.0</v>
      </c>
      <c r="CS111" s="79" t="s">
        <v>495</v>
      </c>
      <c r="CT111" s="79">
        <v>0.0</v>
      </c>
      <c r="CU111" s="79" t="s">
        <v>496</v>
      </c>
      <c r="CV111" s="79">
        <v>0.0</v>
      </c>
      <c r="CW111" s="79"/>
      <c r="CX111" s="79">
        <v>0.0</v>
      </c>
      <c r="CY111" s="79"/>
      <c r="CZ111" s="79">
        <v>0.0</v>
      </c>
      <c r="DA111" s="79"/>
      <c r="DB111" s="79">
        <v>0.0</v>
      </c>
      <c r="DC111" s="79"/>
      <c r="DD111" s="79">
        <v>0.0</v>
      </c>
      <c r="DE111" s="79">
        <v>5100.0</v>
      </c>
      <c r="DF111" s="79">
        <v>24700.0</v>
      </c>
      <c r="DG111" s="79">
        <v>0.0</v>
      </c>
      <c r="DH111" s="79">
        <v>0.0</v>
      </c>
      <c r="DI111" s="79">
        <v>8450.0</v>
      </c>
      <c r="DJ111" s="79" t="s">
        <v>169</v>
      </c>
      <c r="DK111" s="79" t="s">
        <v>486</v>
      </c>
      <c r="DL111" s="79" t="s">
        <v>487</v>
      </c>
      <c r="DM111" s="79" t="s">
        <v>1159</v>
      </c>
      <c r="DN111" s="82"/>
      <c r="DO111" s="79" t="s">
        <v>1160</v>
      </c>
      <c r="DP111" s="82"/>
      <c r="DQ111" s="79"/>
      <c r="DR111" s="82"/>
      <c r="DS111" s="79"/>
      <c r="DT111" s="82"/>
      <c r="DU111" s="79"/>
      <c r="DV111" s="82"/>
      <c r="DW111" s="79"/>
      <c r="DX111" s="79"/>
      <c r="DY111" s="79"/>
      <c r="DZ111" s="79"/>
      <c r="EA111" s="79"/>
      <c r="EB111" s="79"/>
      <c r="EC111" s="79"/>
      <c r="ED111" s="79"/>
      <c r="EE111" s="79"/>
      <c r="EF111" s="82"/>
      <c r="EG111" s="79"/>
      <c r="EH111" s="82"/>
      <c r="EI111" s="79"/>
      <c r="EJ111" s="82"/>
      <c r="EK111" s="79"/>
      <c r="EL111" s="82"/>
      <c r="EM111" s="79"/>
      <c r="EN111" s="79" t="s">
        <v>156</v>
      </c>
      <c r="EO111" s="79" t="s">
        <v>162</v>
      </c>
      <c r="EP111" s="17"/>
      <c r="EQ111" s="23"/>
      <c r="ER111" s="23" t="str">
        <f t="shared" si="5"/>
        <v/>
      </c>
      <c r="ES111" s="19"/>
      <c r="ET111" s="19" t="str">
        <f t="shared" si="6"/>
        <v/>
      </c>
      <c r="EU111" s="19"/>
      <c r="EV111" s="19"/>
      <c r="EW111" s="19"/>
      <c r="EX111" s="19"/>
      <c r="EY111" s="19"/>
      <c r="EZ111" s="19"/>
      <c r="FA111" s="19"/>
      <c r="FB111" s="19"/>
    </row>
    <row r="112" ht="15.75" customHeight="1">
      <c r="A112" s="79" t="s">
        <v>1161</v>
      </c>
      <c r="B112" s="79" t="s">
        <v>530</v>
      </c>
      <c r="C112" s="79" t="s">
        <v>476</v>
      </c>
      <c r="D112" s="80">
        <v>46124.0</v>
      </c>
      <c r="E112" s="79" t="s">
        <v>1162</v>
      </c>
      <c r="F112" s="79" t="s">
        <v>1163</v>
      </c>
      <c r="G112" s="79" t="s">
        <v>1164</v>
      </c>
      <c r="H112" s="79" t="s">
        <v>479</v>
      </c>
      <c r="I112" s="79" t="s">
        <v>737</v>
      </c>
      <c r="J112" s="79" t="s">
        <v>1165</v>
      </c>
      <c r="K112" s="79">
        <v>2000.0</v>
      </c>
      <c r="L112" s="79" t="s">
        <v>821</v>
      </c>
      <c r="M112" s="79" t="s">
        <v>1166</v>
      </c>
      <c r="N112" s="79" t="s">
        <v>1167</v>
      </c>
      <c r="O112" s="79" t="s">
        <v>740</v>
      </c>
      <c r="P112" s="79"/>
      <c r="Q112" s="79" t="s">
        <v>1168</v>
      </c>
      <c r="R112" s="80">
        <v>46851.0</v>
      </c>
      <c r="S112" s="79"/>
      <c r="T112" s="79">
        <v>40506.0</v>
      </c>
      <c r="U112" s="79"/>
      <c r="V112" s="79"/>
      <c r="W112" s="80">
        <v>46093.0</v>
      </c>
      <c r="X112" s="79"/>
      <c r="Y112" s="80">
        <v>46116.0</v>
      </c>
      <c r="Z112" s="79" t="s">
        <v>486</v>
      </c>
      <c r="AA112" s="79" t="s">
        <v>555</v>
      </c>
      <c r="AB112" s="79" t="s">
        <v>486</v>
      </c>
      <c r="AC112" s="79" t="s">
        <v>488</v>
      </c>
      <c r="AD112" s="79">
        <v>68182.0</v>
      </c>
      <c r="AE112" s="79">
        <v>0.0</v>
      </c>
      <c r="AF112" s="79">
        <v>0.0</v>
      </c>
      <c r="AG112" s="79">
        <v>6818.0</v>
      </c>
      <c r="AH112" s="83">
        <v>75000.0</v>
      </c>
      <c r="AI112" s="79"/>
      <c r="AJ112" s="79">
        <v>0.0</v>
      </c>
      <c r="AK112" s="79">
        <v>0.0</v>
      </c>
      <c r="AL112" s="83">
        <v>0.0</v>
      </c>
      <c r="AM112" s="79">
        <v>0.0</v>
      </c>
      <c r="AN112" s="79">
        <v>0.0</v>
      </c>
      <c r="AO112" s="79">
        <v>0.0</v>
      </c>
      <c r="AP112" s="79">
        <v>0.0</v>
      </c>
      <c r="AQ112" s="79">
        <v>68182.0</v>
      </c>
      <c r="AR112" s="79" t="s">
        <v>489</v>
      </c>
      <c r="AS112" s="79">
        <v>0.0</v>
      </c>
      <c r="AT112" s="79" t="s">
        <v>836</v>
      </c>
      <c r="AU112" s="79" t="s">
        <v>491</v>
      </c>
      <c r="AV112" s="79">
        <v>0.0</v>
      </c>
      <c r="AW112" s="79"/>
      <c r="AX112" s="79">
        <v>0.0</v>
      </c>
      <c r="AY112" s="79"/>
      <c r="AZ112" s="79">
        <v>0.0</v>
      </c>
      <c r="BA112" s="82"/>
      <c r="BB112" s="79">
        <v>0.0</v>
      </c>
      <c r="BC112" s="82"/>
      <c r="BD112" s="79">
        <v>0.0</v>
      </c>
      <c r="BE112" s="82"/>
      <c r="BF112" s="79">
        <v>0.0</v>
      </c>
      <c r="BG112" s="79"/>
      <c r="BH112" s="79">
        <v>0.0</v>
      </c>
      <c r="BI112" s="79" t="s">
        <v>493</v>
      </c>
      <c r="BJ112" s="79">
        <v>0.0</v>
      </c>
      <c r="BK112" s="79" t="s">
        <v>494</v>
      </c>
      <c r="BL112" s="79">
        <v>0.0</v>
      </c>
      <c r="BM112" s="79" t="s">
        <v>495</v>
      </c>
      <c r="BN112" s="79">
        <v>0.0</v>
      </c>
      <c r="BO112" s="79" t="s">
        <v>496</v>
      </c>
      <c r="BP112" s="79">
        <v>0.0</v>
      </c>
      <c r="BQ112" s="79"/>
      <c r="BR112" s="79">
        <v>0.0</v>
      </c>
      <c r="BS112" s="79"/>
      <c r="BT112" s="79">
        <v>0.0</v>
      </c>
      <c r="BU112" s="79"/>
      <c r="BV112" s="79">
        <v>0.0</v>
      </c>
      <c r="BW112" s="79"/>
      <c r="BX112" s="79">
        <v>0.0</v>
      </c>
      <c r="BY112" s="79">
        <v>0.0</v>
      </c>
      <c r="BZ112" s="79" t="s">
        <v>491</v>
      </c>
      <c r="CA112" s="79">
        <v>0.0</v>
      </c>
      <c r="CB112" s="79" t="s">
        <v>836</v>
      </c>
      <c r="CC112" s="79"/>
      <c r="CD112" s="79">
        <v>0.0</v>
      </c>
      <c r="CE112" s="79"/>
      <c r="CF112" s="79">
        <v>0.0</v>
      </c>
      <c r="CG112" s="79"/>
      <c r="CH112" s="79">
        <v>0.0</v>
      </c>
      <c r="CI112" s="79"/>
      <c r="CJ112" s="79">
        <v>0.0</v>
      </c>
      <c r="CK112" s="79"/>
      <c r="CL112" s="79">
        <v>0.0</v>
      </c>
      <c r="CM112" s="79"/>
      <c r="CN112" s="79">
        <v>0.0</v>
      </c>
      <c r="CO112" s="79" t="s">
        <v>493</v>
      </c>
      <c r="CP112" s="79">
        <v>0.0</v>
      </c>
      <c r="CQ112" s="79" t="s">
        <v>494</v>
      </c>
      <c r="CR112" s="79">
        <v>0.0</v>
      </c>
      <c r="CS112" s="79" t="s">
        <v>495</v>
      </c>
      <c r="CT112" s="79">
        <v>0.0</v>
      </c>
      <c r="CU112" s="79" t="s">
        <v>496</v>
      </c>
      <c r="CV112" s="79">
        <v>0.0</v>
      </c>
      <c r="CW112" s="79"/>
      <c r="CX112" s="79">
        <v>0.0</v>
      </c>
      <c r="CY112" s="79"/>
      <c r="CZ112" s="79">
        <v>0.0</v>
      </c>
      <c r="DA112" s="79"/>
      <c r="DB112" s="79">
        <v>0.0</v>
      </c>
      <c r="DC112" s="79"/>
      <c r="DD112" s="79">
        <v>0.0</v>
      </c>
      <c r="DE112" s="79">
        <v>0.0</v>
      </c>
      <c r="DF112" s="79">
        <v>68182.0</v>
      </c>
      <c r="DG112" s="79">
        <v>0.0</v>
      </c>
      <c r="DH112" s="79">
        <v>0.0</v>
      </c>
      <c r="DI112" s="79">
        <v>0.0</v>
      </c>
      <c r="DJ112" s="79" t="s">
        <v>1169</v>
      </c>
      <c r="DK112" s="79" t="s">
        <v>486</v>
      </c>
      <c r="DL112" s="79" t="s">
        <v>487</v>
      </c>
      <c r="DM112" s="79" t="s">
        <v>1170</v>
      </c>
      <c r="DN112" s="82"/>
      <c r="DO112" s="79" t="s">
        <v>1171</v>
      </c>
      <c r="DP112" s="82"/>
      <c r="DQ112" s="79"/>
      <c r="DR112" s="82"/>
      <c r="DS112" s="79"/>
      <c r="DT112" s="82"/>
      <c r="DU112" s="79"/>
      <c r="DV112" s="82"/>
      <c r="DW112" s="79"/>
      <c r="DX112" s="79"/>
      <c r="DY112" s="79"/>
      <c r="DZ112" s="79"/>
      <c r="EA112" s="79"/>
      <c r="EB112" s="79"/>
      <c r="EC112" s="79"/>
      <c r="ED112" s="79"/>
      <c r="EE112" s="79"/>
      <c r="EF112" s="82"/>
      <c r="EG112" s="79"/>
      <c r="EH112" s="82"/>
      <c r="EI112" s="79"/>
      <c r="EJ112" s="82"/>
      <c r="EK112" s="79"/>
      <c r="EL112" s="82"/>
      <c r="EM112" s="79"/>
      <c r="EN112" s="79" t="s">
        <v>156</v>
      </c>
      <c r="EO112" s="79" t="s">
        <v>48</v>
      </c>
      <c r="EP112" s="17"/>
      <c r="EQ112" s="23"/>
      <c r="ER112" s="23" t="str">
        <f t="shared" si="5"/>
        <v/>
      </c>
      <c r="ES112" s="19"/>
      <c r="ET112" s="19" t="str">
        <f t="shared" si="6"/>
        <v/>
      </c>
      <c r="EU112" s="19"/>
      <c r="EV112" s="19"/>
      <c r="EW112" s="19"/>
      <c r="EX112" s="19"/>
      <c r="EY112" s="19"/>
      <c r="EZ112" s="19"/>
      <c r="FA112" s="19"/>
      <c r="FB112" s="19"/>
    </row>
    <row r="113" ht="15.75" customHeight="1">
      <c r="A113" s="79" t="s">
        <v>1172</v>
      </c>
      <c r="B113" s="79" t="s">
        <v>475</v>
      </c>
      <c r="C113" s="79" t="s">
        <v>476</v>
      </c>
      <c r="D113" s="80">
        <v>46125.0</v>
      </c>
      <c r="E113" s="79" t="s">
        <v>1102</v>
      </c>
      <c r="F113" s="79"/>
      <c r="G113" s="79" t="s">
        <v>1173</v>
      </c>
      <c r="H113" s="79" t="s">
        <v>895</v>
      </c>
      <c r="I113" s="79"/>
      <c r="J113" s="79" t="s">
        <v>1174</v>
      </c>
      <c r="K113" s="79">
        <v>3000.0</v>
      </c>
      <c r="L113" s="79"/>
      <c r="M113" s="79" t="s">
        <v>897</v>
      </c>
      <c r="N113" s="79" t="s">
        <v>521</v>
      </c>
      <c r="O113" s="79" t="s">
        <v>484</v>
      </c>
      <c r="P113" s="79"/>
      <c r="Q113" s="79" t="s">
        <v>1175</v>
      </c>
      <c r="R113" s="80">
        <v>46288.0</v>
      </c>
      <c r="S113" s="79"/>
      <c r="T113" s="79">
        <v>43872.0</v>
      </c>
      <c r="U113" s="79"/>
      <c r="V113" s="79"/>
      <c r="W113" s="80"/>
      <c r="X113" s="79"/>
      <c r="Y113" s="80"/>
      <c r="Z113" s="79" t="s">
        <v>486</v>
      </c>
      <c r="AA113" s="79" t="s">
        <v>487</v>
      </c>
      <c r="AB113" s="79" t="s">
        <v>486</v>
      </c>
      <c r="AC113" s="79" t="s">
        <v>488</v>
      </c>
      <c r="AD113" s="79">
        <v>5900.0</v>
      </c>
      <c r="AE113" s="79">
        <v>0.0</v>
      </c>
      <c r="AF113" s="79">
        <v>0.0</v>
      </c>
      <c r="AG113" s="79">
        <v>590.0</v>
      </c>
      <c r="AH113" s="83">
        <v>6490.0</v>
      </c>
      <c r="AI113" s="79"/>
      <c r="AJ113" s="79">
        <v>0.0</v>
      </c>
      <c r="AK113" s="79">
        <v>0.0</v>
      </c>
      <c r="AL113" s="83">
        <v>0.0</v>
      </c>
      <c r="AM113" s="79">
        <v>0.0</v>
      </c>
      <c r="AN113" s="79">
        <v>0.0</v>
      </c>
      <c r="AO113" s="79">
        <v>0.0</v>
      </c>
      <c r="AP113" s="79">
        <v>0.0</v>
      </c>
      <c r="AQ113" s="79">
        <v>5900.0</v>
      </c>
      <c r="AR113" s="79" t="s">
        <v>489</v>
      </c>
      <c r="AS113" s="79">
        <v>0.0</v>
      </c>
      <c r="AT113" s="79" t="s">
        <v>490</v>
      </c>
      <c r="AU113" s="79" t="s">
        <v>491</v>
      </c>
      <c r="AV113" s="79">
        <v>0.0</v>
      </c>
      <c r="AW113" s="79"/>
      <c r="AX113" s="79">
        <v>0.0</v>
      </c>
      <c r="AY113" s="79" t="s">
        <v>492</v>
      </c>
      <c r="AZ113" s="79">
        <v>0.0</v>
      </c>
      <c r="BA113" s="79"/>
      <c r="BB113" s="79">
        <v>0.0</v>
      </c>
      <c r="BC113" s="79"/>
      <c r="BD113" s="79">
        <v>0.0</v>
      </c>
      <c r="BE113" s="82"/>
      <c r="BF113" s="79">
        <v>0.0</v>
      </c>
      <c r="BG113" s="82"/>
      <c r="BH113" s="79">
        <v>0.0</v>
      </c>
      <c r="BI113" s="79" t="s">
        <v>493</v>
      </c>
      <c r="BJ113" s="79">
        <v>0.0</v>
      </c>
      <c r="BK113" s="79" t="s">
        <v>494</v>
      </c>
      <c r="BL113" s="79">
        <v>0.0</v>
      </c>
      <c r="BM113" s="79" t="s">
        <v>495</v>
      </c>
      <c r="BN113" s="79">
        <v>0.0</v>
      </c>
      <c r="BO113" s="79" t="s">
        <v>496</v>
      </c>
      <c r="BP113" s="79">
        <v>0.0</v>
      </c>
      <c r="BQ113" s="79"/>
      <c r="BR113" s="79">
        <v>0.0</v>
      </c>
      <c r="BS113" s="79"/>
      <c r="BT113" s="79">
        <v>0.0</v>
      </c>
      <c r="BU113" s="79"/>
      <c r="BV113" s="79">
        <v>0.0</v>
      </c>
      <c r="BW113" s="79"/>
      <c r="BX113" s="79">
        <v>0.0</v>
      </c>
      <c r="BY113" s="79">
        <v>0.0</v>
      </c>
      <c r="BZ113" s="79" t="s">
        <v>491</v>
      </c>
      <c r="CA113" s="79">
        <v>0.0</v>
      </c>
      <c r="CB113" s="79" t="s">
        <v>490</v>
      </c>
      <c r="CC113" s="79"/>
      <c r="CD113" s="79">
        <v>0.0</v>
      </c>
      <c r="CE113" s="79" t="s">
        <v>492</v>
      </c>
      <c r="CF113" s="79">
        <v>0.0</v>
      </c>
      <c r="CG113" s="79"/>
      <c r="CH113" s="79">
        <v>0.0</v>
      </c>
      <c r="CI113" s="79"/>
      <c r="CJ113" s="79">
        <v>0.0</v>
      </c>
      <c r="CK113" s="79"/>
      <c r="CL113" s="79">
        <v>0.0</v>
      </c>
      <c r="CM113" s="79"/>
      <c r="CN113" s="79">
        <v>0.0</v>
      </c>
      <c r="CO113" s="79" t="s">
        <v>493</v>
      </c>
      <c r="CP113" s="79">
        <v>0.0</v>
      </c>
      <c r="CQ113" s="79" t="s">
        <v>494</v>
      </c>
      <c r="CR113" s="79">
        <v>0.0</v>
      </c>
      <c r="CS113" s="79" t="s">
        <v>495</v>
      </c>
      <c r="CT113" s="79">
        <v>0.0</v>
      </c>
      <c r="CU113" s="79" t="s">
        <v>496</v>
      </c>
      <c r="CV113" s="79">
        <v>0.0</v>
      </c>
      <c r="CW113" s="79"/>
      <c r="CX113" s="79">
        <v>0.0</v>
      </c>
      <c r="CY113" s="79"/>
      <c r="CZ113" s="79">
        <v>0.0</v>
      </c>
      <c r="DA113" s="79"/>
      <c r="DB113" s="79">
        <v>0.0</v>
      </c>
      <c r="DC113" s="79"/>
      <c r="DD113" s="79">
        <v>0.0</v>
      </c>
      <c r="DE113" s="79">
        <v>3400.0</v>
      </c>
      <c r="DF113" s="79">
        <v>2500.0</v>
      </c>
      <c r="DG113" s="79">
        <v>0.0</v>
      </c>
      <c r="DH113" s="79">
        <v>0.0</v>
      </c>
      <c r="DI113" s="79">
        <v>0.0</v>
      </c>
      <c r="DJ113" s="79" t="s">
        <v>185</v>
      </c>
      <c r="DK113" s="79" t="s">
        <v>486</v>
      </c>
      <c r="DL113" s="79" t="s">
        <v>487</v>
      </c>
      <c r="DM113" s="79" t="s">
        <v>1109</v>
      </c>
      <c r="DN113" s="79"/>
      <c r="DO113" s="79" t="s">
        <v>1110</v>
      </c>
      <c r="DP113" s="82"/>
      <c r="DQ113" s="79"/>
      <c r="DR113" s="82"/>
      <c r="DS113" s="79"/>
      <c r="DT113" s="82"/>
      <c r="DU113" s="79"/>
      <c r="DV113" s="82"/>
      <c r="DW113" s="79"/>
      <c r="DX113" s="79"/>
      <c r="DY113" s="79"/>
      <c r="DZ113" s="79"/>
      <c r="EA113" s="79"/>
      <c r="EB113" s="79"/>
      <c r="EC113" s="79"/>
      <c r="ED113" s="82"/>
      <c r="EE113" s="79"/>
      <c r="EF113" s="82"/>
      <c r="EG113" s="79"/>
      <c r="EH113" s="82"/>
      <c r="EI113" s="79"/>
      <c r="EJ113" s="82"/>
      <c r="EK113" s="79"/>
      <c r="EL113" s="82"/>
      <c r="EM113" s="79"/>
      <c r="EN113" s="79" t="s">
        <v>79</v>
      </c>
      <c r="EO113" s="79"/>
      <c r="EP113" s="17"/>
      <c r="EQ113" s="23"/>
      <c r="ER113" s="23" t="str">
        <f t="shared" si="5"/>
        <v/>
      </c>
      <c r="ES113" s="19"/>
      <c r="ET113" s="19" t="str">
        <f t="shared" si="6"/>
        <v/>
      </c>
      <c r="EU113" s="19"/>
      <c r="EV113" s="19"/>
      <c r="EW113" s="19"/>
      <c r="EX113" s="19"/>
      <c r="EY113" s="19"/>
      <c r="EZ113" s="19"/>
      <c r="FA113" s="19"/>
      <c r="FB113" s="19"/>
    </row>
    <row r="114" ht="15.75" customHeight="1">
      <c r="A114" s="79" t="s">
        <v>1176</v>
      </c>
      <c r="B114" s="79" t="s">
        <v>475</v>
      </c>
      <c r="C114" s="79" t="s">
        <v>476</v>
      </c>
      <c r="D114" s="80">
        <v>46125.0</v>
      </c>
      <c r="E114" s="79" t="s">
        <v>1177</v>
      </c>
      <c r="F114" s="79" t="s">
        <v>568</v>
      </c>
      <c r="G114" s="79" t="s">
        <v>1178</v>
      </c>
      <c r="H114" s="79" t="s">
        <v>479</v>
      </c>
      <c r="I114" s="79"/>
      <c r="J114" s="79" t="s">
        <v>1179</v>
      </c>
      <c r="K114" s="79">
        <v>1990.0</v>
      </c>
      <c r="L114" s="79"/>
      <c r="M114" s="79" t="s">
        <v>506</v>
      </c>
      <c r="N114" s="79"/>
      <c r="O114" s="79"/>
      <c r="P114" s="79"/>
      <c r="Q114" s="79"/>
      <c r="R114" s="80">
        <v>46891.0</v>
      </c>
      <c r="S114" s="79"/>
      <c r="T114" s="79">
        <v>4705.0</v>
      </c>
      <c r="U114" s="79"/>
      <c r="V114" s="79"/>
      <c r="W114" s="80">
        <v>46125.0</v>
      </c>
      <c r="X114" s="79"/>
      <c r="Y114" s="80">
        <v>46125.0</v>
      </c>
      <c r="Z114" s="79" t="s">
        <v>486</v>
      </c>
      <c r="AA114" s="79" t="s">
        <v>487</v>
      </c>
      <c r="AB114" s="79" t="s">
        <v>486</v>
      </c>
      <c r="AC114" s="79" t="s">
        <v>488</v>
      </c>
      <c r="AD114" s="79">
        <v>11000.0</v>
      </c>
      <c r="AE114" s="79">
        <v>0.0</v>
      </c>
      <c r="AF114" s="79">
        <v>0.0</v>
      </c>
      <c r="AG114" s="79">
        <v>1100.0</v>
      </c>
      <c r="AH114" s="83">
        <v>12100.0</v>
      </c>
      <c r="AI114" s="79"/>
      <c r="AJ114" s="79">
        <v>0.0</v>
      </c>
      <c r="AK114" s="79">
        <v>0.0</v>
      </c>
      <c r="AL114" s="83">
        <v>0.0</v>
      </c>
      <c r="AM114" s="79">
        <v>0.0</v>
      </c>
      <c r="AN114" s="79">
        <v>0.0</v>
      </c>
      <c r="AO114" s="79">
        <v>0.0</v>
      </c>
      <c r="AP114" s="79">
        <v>0.0</v>
      </c>
      <c r="AQ114" s="79">
        <v>11000.0</v>
      </c>
      <c r="AR114" s="79" t="s">
        <v>489</v>
      </c>
      <c r="AS114" s="79">
        <v>0.0</v>
      </c>
      <c r="AT114" s="79" t="s">
        <v>507</v>
      </c>
      <c r="AU114" s="79" t="s">
        <v>491</v>
      </c>
      <c r="AV114" s="79">
        <v>0.0</v>
      </c>
      <c r="AW114" s="79" t="s">
        <v>508</v>
      </c>
      <c r="AX114" s="79">
        <v>0.0</v>
      </c>
      <c r="AY114" s="79"/>
      <c r="AZ114" s="79">
        <v>0.0</v>
      </c>
      <c r="BA114" s="79"/>
      <c r="BB114" s="79">
        <v>0.0</v>
      </c>
      <c r="BC114" s="82"/>
      <c r="BD114" s="79">
        <v>0.0</v>
      </c>
      <c r="BE114" s="82"/>
      <c r="BF114" s="79">
        <v>0.0</v>
      </c>
      <c r="BG114" s="79"/>
      <c r="BH114" s="79">
        <v>0.0</v>
      </c>
      <c r="BI114" s="79" t="s">
        <v>493</v>
      </c>
      <c r="BJ114" s="79">
        <v>0.0</v>
      </c>
      <c r="BK114" s="79" t="s">
        <v>494</v>
      </c>
      <c r="BL114" s="79">
        <v>0.0</v>
      </c>
      <c r="BM114" s="79" t="s">
        <v>495</v>
      </c>
      <c r="BN114" s="79">
        <v>0.0</v>
      </c>
      <c r="BO114" s="79" t="s">
        <v>496</v>
      </c>
      <c r="BP114" s="79">
        <v>0.0</v>
      </c>
      <c r="BQ114" s="79"/>
      <c r="BR114" s="79">
        <v>0.0</v>
      </c>
      <c r="BS114" s="79"/>
      <c r="BT114" s="79">
        <v>0.0</v>
      </c>
      <c r="BU114" s="79"/>
      <c r="BV114" s="79">
        <v>0.0</v>
      </c>
      <c r="BW114" s="79"/>
      <c r="BX114" s="79">
        <v>0.0</v>
      </c>
      <c r="BY114" s="79">
        <v>0.0</v>
      </c>
      <c r="BZ114" s="79" t="s">
        <v>491</v>
      </c>
      <c r="CA114" s="79">
        <v>0.0</v>
      </c>
      <c r="CB114" s="79" t="s">
        <v>507</v>
      </c>
      <c r="CC114" s="79" t="s">
        <v>508</v>
      </c>
      <c r="CD114" s="79">
        <v>0.0</v>
      </c>
      <c r="CE114" s="79"/>
      <c r="CF114" s="79">
        <v>0.0</v>
      </c>
      <c r="CG114" s="79"/>
      <c r="CH114" s="79">
        <v>0.0</v>
      </c>
      <c r="CI114" s="79"/>
      <c r="CJ114" s="79">
        <v>0.0</v>
      </c>
      <c r="CK114" s="79"/>
      <c r="CL114" s="79">
        <v>0.0</v>
      </c>
      <c r="CM114" s="79"/>
      <c r="CN114" s="79">
        <v>0.0</v>
      </c>
      <c r="CO114" s="79" t="s">
        <v>493</v>
      </c>
      <c r="CP114" s="79">
        <v>0.0</v>
      </c>
      <c r="CQ114" s="79" t="s">
        <v>494</v>
      </c>
      <c r="CR114" s="79">
        <v>0.0</v>
      </c>
      <c r="CS114" s="79" t="s">
        <v>495</v>
      </c>
      <c r="CT114" s="79">
        <v>0.0</v>
      </c>
      <c r="CU114" s="79" t="s">
        <v>496</v>
      </c>
      <c r="CV114" s="79">
        <v>0.0</v>
      </c>
      <c r="CW114" s="79"/>
      <c r="CX114" s="79">
        <v>0.0</v>
      </c>
      <c r="CY114" s="79"/>
      <c r="CZ114" s="79">
        <v>0.0</v>
      </c>
      <c r="DA114" s="79"/>
      <c r="DB114" s="79">
        <v>0.0</v>
      </c>
      <c r="DC114" s="79"/>
      <c r="DD114" s="79">
        <v>0.0</v>
      </c>
      <c r="DE114" s="79">
        <v>11000.0</v>
      </c>
      <c r="DF114" s="79">
        <v>0.0</v>
      </c>
      <c r="DG114" s="79">
        <v>0.0</v>
      </c>
      <c r="DH114" s="79">
        <v>0.0</v>
      </c>
      <c r="DI114" s="79">
        <v>0.0</v>
      </c>
      <c r="DJ114" s="79" t="s">
        <v>1180</v>
      </c>
      <c r="DK114" s="79" t="s">
        <v>486</v>
      </c>
      <c r="DL114" s="79" t="s">
        <v>487</v>
      </c>
      <c r="DM114" s="79" t="s">
        <v>1181</v>
      </c>
      <c r="DN114" s="79" t="s">
        <v>1182</v>
      </c>
      <c r="DO114" s="79" t="s">
        <v>1183</v>
      </c>
      <c r="DP114" s="82"/>
      <c r="DQ114" s="79"/>
      <c r="DR114" s="82"/>
      <c r="DS114" s="79"/>
      <c r="DT114" s="82"/>
      <c r="DU114" s="79"/>
      <c r="DV114" s="82"/>
      <c r="DW114" s="79"/>
      <c r="DX114" s="79"/>
      <c r="DY114" s="79"/>
      <c r="DZ114" s="79"/>
      <c r="EA114" s="79"/>
      <c r="EB114" s="79"/>
      <c r="EC114" s="79"/>
      <c r="ED114" s="79"/>
      <c r="EE114" s="79"/>
      <c r="EF114" s="82"/>
      <c r="EG114" s="79"/>
      <c r="EH114" s="82"/>
      <c r="EI114" s="79"/>
      <c r="EJ114" s="82"/>
      <c r="EK114" s="79"/>
      <c r="EL114" s="82"/>
      <c r="EM114" s="79"/>
      <c r="EN114" s="79" t="s">
        <v>79</v>
      </c>
      <c r="EO114" s="79"/>
      <c r="EP114" s="17"/>
      <c r="EQ114" s="23"/>
      <c r="ER114" s="23" t="str">
        <f t="shared" si="5"/>
        <v/>
      </c>
      <c r="ES114" s="19"/>
      <c r="ET114" s="19" t="str">
        <f t="shared" si="6"/>
        <v/>
      </c>
      <c r="EU114" s="19"/>
      <c r="EV114" s="19"/>
      <c r="EW114" s="19"/>
      <c r="EX114" s="19"/>
      <c r="EY114" s="19"/>
      <c r="EZ114" s="19"/>
      <c r="FA114" s="19"/>
      <c r="FB114" s="19"/>
    </row>
    <row r="115" ht="15.75" customHeight="1">
      <c r="A115" s="79" t="s">
        <v>1184</v>
      </c>
      <c r="B115" s="79" t="s">
        <v>543</v>
      </c>
      <c r="C115" s="79" t="s">
        <v>476</v>
      </c>
      <c r="D115" s="80">
        <v>46128.0</v>
      </c>
      <c r="E115" s="79" t="s">
        <v>990</v>
      </c>
      <c r="F115" s="79" t="s">
        <v>634</v>
      </c>
      <c r="G115" s="79" t="s">
        <v>991</v>
      </c>
      <c r="H115" s="79" t="s">
        <v>992</v>
      </c>
      <c r="I115" s="79"/>
      <c r="J115" s="79" t="s">
        <v>993</v>
      </c>
      <c r="K115" s="79">
        <v>2000.0</v>
      </c>
      <c r="L115" s="79"/>
      <c r="M115" s="79" t="s">
        <v>994</v>
      </c>
      <c r="N115" s="79" t="s">
        <v>572</v>
      </c>
      <c r="O115" s="79"/>
      <c r="P115" s="79"/>
      <c r="Q115" s="79" t="s">
        <v>995</v>
      </c>
      <c r="R115" s="80">
        <v>46655.0</v>
      </c>
      <c r="S115" s="79"/>
      <c r="T115" s="79">
        <v>64950.0</v>
      </c>
      <c r="U115" s="79"/>
      <c r="V115" s="79"/>
      <c r="W115" s="79"/>
      <c r="X115" s="79"/>
      <c r="Y115" s="79"/>
      <c r="Z115" s="79" t="s">
        <v>486</v>
      </c>
      <c r="AA115" s="79" t="s">
        <v>487</v>
      </c>
      <c r="AB115" s="79" t="s">
        <v>486</v>
      </c>
      <c r="AC115" s="79" t="s">
        <v>488</v>
      </c>
      <c r="AD115" s="79">
        <v>165727.0</v>
      </c>
      <c r="AE115" s="79">
        <v>0.0</v>
      </c>
      <c r="AF115" s="79">
        <v>0.0</v>
      </c>
      <c r="AG115" s="79">
        <v>16573.0</v>
      </c>
      <c r="AH115" s="83">
        <v>182300.0</v>
      </c>
      <c r="AI115" s="79"/>
      <c r="AJ115" s="79">
        <v>0.0</v>
      </c>
      <c r="AK115" s="79">
        <v>0.0</v>
      </c>
      <c r="AL115" s="83">
        <v>0.0</v>
      </c>
      <c r="AM115" s="79">
        <v>0.0</v>
      </c>
      <c r="AN115" s="79">
        <v>0.0</v>
      </c>
      <c r="AO115" s="79">
        <v>0.0</v>
      </c>
      <c r="AP115" s="79">
        <v>0.0</v>
      </c>
      <c r="AQ115" s="79">
        <v>165727.0</v>
      </c>
      <c r="AR115" s="79" t="s">
        <v>489</v>
      </c>
      <c r="AS115" s="79">
        <v>0.0</v>
      </c>
      <c r="AT115" s="79" t="s">
        <v>507</v>
      </c>
      <c r="AU115" s="79" t="s">
        <v>491</v>
      </c>
      <c r="AV115" s="79">
        <v>0.0</v>
      </c>
      <c r="AW115" s="79" t="s">
        <v>508</v>
      </c>
      <c r="AX115" s="79">
        <v>0.0</v>
      </c>
      <c r="AY115" s="82"/>
      <c r="AZ115" s="79">
        <v>0.0</v>
      </c>
      <c r="BA115" s="82"/>
      <c r="BB115" s="79">
        <v>0.0</v>
      </c>
      <c r="BC115" s="82"/>
      <c r="BD115" s="79">
        <v>0.0</v>
      </c>
      <c r="BE115" s="82"/>
      <c r="BF115" s="79">
        <v>0.0</v>
      </c>
      <c r="BG115" s="79"/>
      <c r="BH115" s="79">
        <v>0.0</v>
      </c>
      <c r="BI115" s="79" t="s">
        <v>493</v>
      </c>
      <c r="BJ115" s="79">
        <v>0.0</v>
      </c>
      <c r="BK115" s="79" t="s">
        <v>494</v>
      </c>
      <c r="BL115" s="79">
        <v>0.0</v>
      </c>
      <c r="BM115" s="79" t="s">
        <v>495</v>
      </c>
      <c r="BN115" s="79">
        <v>0.0</v>
      </c>
      <c r="BO115" s="79" t="s">
        <v>496</v>
      </c>
      <c r="BP115" s="79">
        <v>0.0</v>
      </c>
      <c r="BQ115" s="79"/>
      <c r="BR115" s="79">
        <v>0.0</v>
      </c>
      <c r="BS115" s="79"/>
      <c r="BT115" s="79">
        <v>0.0</v>
      </c>
      <c r="BU115" s="79"/>
      <c r="BV115" s="79">
        <v>0.0</v>
      </c>
      <c r="BW115" s="79"/>
      <c r="BX115" s="79">
        <v>0.0</v>
      </c>
      <c r="BY115" s="79">
        <v>0.0</v>
      </c>
      <c r="BZ115" s="79" t="s">
        <v>491</v>
      </c>
      <c r="CA115" s="79">
        <v>0.0</v>
      </c>
      <c r="CB115" s="79" t="s">
        <v>507</v>
      </c>
      <c r="CC115" s="79" t="s">
        <v>508</v>
      </c>
      <c r="CD115" s="79">
        <v>0.0</v>
      </c>
      <c r="CE115" s="79"/>
      <c r="CF115" s="79">
        <v>0.0</v>
      </c>
      <c r="CG115" s="79"/>
      <c r="CH115" s="79">
        <v>0.0</v>
      </c>
      <c r="CI115" s="79"/>
      <c r="CJ115" s="79">
        <v>0.0</v>
      </c>
      <c r="CK115" s="79"/>
      <c r="CL115" s="79">
        <v>0.0</v>
      </c>
      <c r="CM115" s="79"/>
      <c r="CN115" s="79">
        <v>0.0</v>
      </c>
      <c r="CO115" s="79" t="s">
        <v>493</v>
      </c>
      <c r="CP115" s="79">
        <v>0.0</v>
      </c>
      <c r="CQ115" s="79" t="s">
        <v>494</v>
      </c>
      <c r="CR115" s="79">
        <v>0.0</v>
      </c>
      <c r="CS115" s="79" t="s">
        <v>495</v>
      </c>
      <c r="CT115" s="79">
        <v>0.0</v>
      </c>
      <c r="CU115" s="79" t="s">
        <v>496</v>
      </c>
      <c r="CV115" s="79">
        <v>0.0</v>
      </c>
      <c r="CW115" s="79"/>
      <c r="CX115" s="79">
        <v>0.0</v>
      </c>
      <c r="CY115" s="79"/>
      <c r="CZ115" s="79">
        <v>0.0</v>
      </c>
      <c r="DA115" s="79"/>
      <c r="DB115" s="79">
        <v>0.0</v>
      </c>
      <c r="DC115" s="79"/>
      <c r="DD115" s="79">
        <v>0.0</v>
      </c>
      <c r="DE115" s="79">
        <v>0.0</v>
      </c>
      <c r="DF115" s="79">
        <v>165727.0</v>
      </c>
      <c r="DG115" s="79">
        <v>0.0</v>
      </c>
      <c r="DH115" s="79">
        <v>0.0</v>
      </c>
      <c r="DI115" s="79">
        <v>0.0</v>
      </c>
      <c r="DJ115" s="79" t="s">
        <v>996</v>
      </c>
      <c r="DK115" s="79" t="s">
        <v>486</v>
      </c>
      <c r="DL115" s="79" t="s">
        <v>487</v>
      </c>
      <c r="DM115" s="79" t="s">
        <v>997</v>
      </c>
      <c r="DN115" s="79" t="s">
        <v>998</v>
      </c>
      <c r="DO115" s="79" t="s">
        <v>999</v>
      </c>
      <c r="DP115" s="82"/>
      <c r="DQ115" s="79"/>
      <c r="DR115" s="82"/>
      <c r="DS115" s="79"/>
      <c r="DT115" s="82"/>
      <c r="DU115" s="79"/>
      <c r="DV115" s="82"/>
      <c r="DW115" s="79"/>
      <c r="DX115" s="79"/>
      <c r="DY115" s="79"/>
      <c r="DZ115" s="79"/>
      <c r="EA115" s="79"/>
      <c r="EB115" s="79"/>
      <c r="EC115" s="79"/>
      <c r="ED115" s="79"/>
      <c r="EE115" s="79"/>
      <c r="EF115" s="82"/>
      <c r="EG115" s="79"/>
      <c r="EH115" s="82"/>
      <c r="EI115" s="79"/>
      <c r="EJ115" s="82"/>
      <c r="EK115" s="79"/>
      <c r="EL115" s="82"/>
      <c r="EM115" s="79"/>
      <c r="EN115" s="79" t="s">
        <v>79</v>
      </c>
      <c r="EO115" s="79"/>
      <c r="EP115" s="17"/>
      <c r="EQ115" s="23"/>
      <c r="ER115" s="23" t="str">
        <f t="shared" si="5"/>
        <v/>
      </c>
      <c r="ES115" s="19"/>
      <c r="ET115" s="19" t="str">
        <f t="shared" si="6"/>
        <v/>
      </c>
      <c r="EU115" s="19"/>
      <c r="EV115" s="19"/>
      <c r="EW115" s="19"/>
      <c r="EX115" s="19"/>
      <c r="EY115" s="19"/>
      <c r="EZ115" s="19"/>
      <c r="FA115" s="19"/>
      <c r="FB115" s="19"/>
    </row>
    <row r="116" ht="15.75" customHeight="1">
      <c r="A116" s="79" t="s">
        <v>1185</v>
      </c>
      <c r="B116" s="79" t="s">
        <v>475</v>
      </c>
      <c r="C116" s="79" t="s">
        <v>476</v>
      </c>
      <c r="D116" s="80">
        <v>46128.0</v>
      </c>
      <c r="E116" s="79" t="s">
        <v>1186</v>
      </c>
      <c r="F116" s="82"/>
      <c r="G116" s="79" t="s">
        <v>991</v>
      </c>
      <c r="H116" s="79" t="s">
        <v>1187</v>
      </c>
      <c r="I116" s="79"/>
      <c r="J116" s="79" t="s">
        <v>1188</v>
      </c>
      <c r="K116" s="79">
        <v>2000.0</v>
      </c>
      <c r="L116" s="79"/>
      <c r="M116" s="79" t="s">
        <v>1189</v>
      </c>
      <c r="N116" s="79" t="s">
        <v>1190</v>
      </c>
      <c r="O116" s="79" t="s">
        <v>484</v>
      </c>
      <c r="P116" s="79"/>
      <c r="Q116" s="79" t="s">
        <v>1191</v>
      </c>
      <c r="R116" s="80">
        <v>46657.0</v>
      </c>
      <c r="S116" s="79"/>
      <c r="T116" s="79">
        <v>92373.0</v>
      </c>
      <c r="U116" s="79"/>
      <c r="V116" s="79"/>
      <c r="W116" s="80"/>
      <c r="X116" s="79"/>
      <c r="Y116" s="80"/>
      <c r="Z116" s="79" t="s">
        <v>554</v>
      </c>
      <c r="AA116" s="79" t="s">
        <v>487</v>
      </c>
      <c r="AB116" s="79" t="s">
        <v>554</v>
      </c>
      <c r="AC116" s="79" t="s">
        <v>488</v>
      </c>
      <c r="AD116" s="79">
        <v>7250.0</v>
      </c>
      <c r="AE116" s="79">
        <v>0.0</v>
      </c>
      <c r="AF116" s="79">
        <v>0.0</v>
      </c>
      <c r="AG116" s="79">
        <v>725.0</v>
      </c>
      <c r="AH116" s="83">
        <v>7975.0</v>
      </c>
      <c r="AI116" s="79"/>
      <c r="AJ116" s="79">
        <v>0.0</v>
      </c>
      <c r="AK116" s="79">
        <v>3800.0</v>
      </c>
      <c r="AL116" s="83">
        <v>0.0</v>
      </c>
      <c r="AM116" s="79">
        <v>0.0</v>
      </c>
      <c r="AN116" s="79">
        <v>380.0</v>
      </c>
      <c r="AO116" s="79">
        <v>4180.0</v>
      </c>
      <c r="AP116" s="79">
        <v>0.0</v>
      </c>
      <c r="AQ116" s="79">
        <v>3450.0</v>
      </c>
      <c r="AR116" s="79" t="s">
        <v>556</v>
      </c>
      <c r="AS116" s="79">
        <v>0.0</v>
      </c>
      <c r="AT116" s="79" t="s">
        <v>490</v>
      </c>
      <c r="AU116" s="79" t="s">
        <v>491</v>
      </c>
      <c r="AV116" s="79">
        <v>0.0</v>
      </c>
      <c r="AW116" s="79"/>
      <c r="AX116" s="79">
        <v>0.0</v>
      </c>
      <c r="AY116" s="79" t="s">
        <v>492</v>
      </c>
      <c r="AZ116" s="79">
        <v>0.0</v>
      </c>
      <c r="BA116" s="79"/>
      <c r="BB116" s="79">
        <v>0.0</v>
      </c>
      <c r="BC116" s="79"/>
      <c r="BD116" s="79">
        <v>0.0</v>
      </c>
      <c r="BE116" s="82"/>
      <c r="BF116" s="79">
        <v>0.0</v>
      </c>
      <c r="BG116" s="79"/>
      <c r="BH116" s="79">
        <v>0.0</v>
      </c>
      <c r="BI116" s="79" t="s">
        <v>493</v>
      </c>
      <c r="BJ116" s="79">
        <v>0.0</v>
      </c>
      <c r="BK116" s="79" t="s">
        <v>494</v>
      </c>
      <c r="BL116" s="79">
        <v>0.0</v>
      </c>
      <c r="BM116" s="79" t="s">
        <v>495</v>
      </c>
      <c r="BN116" s="79">
        <v>0.0</v>
      </c>
      <c r="BO116" s="79" t="s">
        <v>496</v>
      </c>
      <c r="BP116" s="79">
        <v>0.0</v>
      </c>
      <c r="BQ116" s="79"/>
      <c r="BR116" s="79">
        <v>0.0</v>
      </c>
      <c r="BS116" s="79"/>
      <c r="BT116" s="79">
        <v>0.0</v>
      </c>
      <c r="BU116" s="79"/>
      <c r="BV116" s="79">
        <v>0.0</v>
      </c>
      <c r="BW116" s="79"/>
      <c r="BX116" s="79">
        <v>0.0</v>
      </c>
      <c r="BY116" s="79">
        <v>0.0</v>
      </c>
      <c r="BZ116" s="79" t="s">
        <v>491</v>
      </c>
      <c r="CA116" s="79">
        <v>0.0</v>
      </c>
      <c r="CB116" s="79" t="s">
        <v>490</v>
      </c>
      <c r="CC116" s="79"/>
      <c r="CD116" s="79">
        <v>0.0</v>
      </c>
      <c r="CE116" s="79" t="s">
        <v>492</v>
      </c>
      <c r="CF116" s="79">
        <v>0.0</v>
      </c>
      <c r="CG116" s="79"/>
      <c r="CH116" s="79">
        <v>0.0</v>
      </c>
      <c r="CI116" s="79"/>
      <c r="CJ116" s="79">
        <v>0.0</v>
      </c>
      <c r="CK116" s="79"/>
      <c r="CL116" s="79">
        <v>0.0</v>
      </c>
      <c r="CM116" s="79"/>
      <c r="CN116" s="79">
        <v>0.0</v>
      </c>
      <c r="CO116" s="79" t="s">
        <v>493</v>
      </c>
      <c r="CP116" s="79">
        <v>0.0</v>
      </c>
      <c r="CQ116" s="79" t="s">
        <v>494</v>
      </c>
      <c r="CR116" s="79">
        <v>0.0</v>
      </c>
      <c r="CS116" s="79" t="s">
        <v>495</v>
      </c>
      <c r="CT116" s="79">
        <v>0.0</v>
      </c>
      <c r="CU116" s="79" t="s">
        <v>496</v>
      </c>
      <c r="CV116" s="79">
        <v>0.0</v>
      </c>
      <c r="CW116" s="79"/>
      <c r="CX116" s="79">
        <v>0.0</v>
      </c>
      <c r="CY116" s="79"/>
      <c r="CZ116" s="79">
        <v>0.0</v>
      </c>
      <c r="DA116" s="79"/>
      <c r="DB116" s="79">
        <v>0.0</v>
      </c>
      <c r="DC116" s="79"/>
      <c r="DD116" s="79">
        <v>0.0</v>
      </c>
      <c r="DE116" s="79">
        <v>1000.0</v>
      </c>
      <c r="DF116" s="79">
        <v>6250.0</v>
      </c>
      <c r="DG116" s="79">
        <v>0.0</v>
      </c>
      <c r="DH116" s="79">
        <v>0.0</v>
      </c>
      <c r="DI116" s="79">
        <v>3800.0</v>
      </c>
      <c r="DJ116" s="79" t="s">
        <v>1192</v>
      </c>
      <c r="DK116" s="79" t="s">
        <v>554</v>
      </c>
      <c r="DL116" s="79" t="s">
        <v>487</v>
      </c>
      <c r="DM116" s="79" t="s">
        <v>1193</v>
      </c>
      <c r="DN116" s="82"/>
      <c r="DO116" s="79" t="s">
        <v>1194</v>
      </c>
      <c r="DP116" s="82"/>
      <c r="DQ116" s="79"/>
      <c r="DR116" s="82"/>
      <c r="DS116" s="79"/>
      <c r="DT116" s="82"/>
      <c r="DU116" s="79"/>
      <c r="DV116" s="82"/>
      <c r="DW116" s="79"/>
      <c r="DX116" s="79"/>
      <c r="DY116" s="79"/>
      <c r="DZ116" s="79"/>
      <c r="EA116" s="79"/>
      <c r="EB116" s="79"/>
      <c r="EC116" s="79"/>
      <c r="ED116" s="79"/>
      <c r="EE116" s="79"/>
      <c r="EF116" s="82"/>
      <c r="EG116" s="79"/>
      <c r="EH116" s="82"/>
      <c r="EI116" s="79"/>
      <c r="EJ116" s="82"/>
      <c r="EK116" s="79"/>
      <c r="EL116" s="82"/>
      <c r="EM116" s="79"/>
      <c r="EN116" s="79" t="s">
        <v>79</v>
      </c>
      <c r="EO116" s="79"/>
      <c r="EP116" s="17"/>
      <c r="EQ116" s="23"/>
      <c r="ER116" s="23" t="str">
        <f t="shared" si="5"/>
        <v/>
      </c>
      <c r="ES116" s="19"/>
      <c r="ET116" s="19" t="str">
        <f t="shared" si="6"/>
        <v/>
      </c>
      <c r="EU116" s="19"/>
      <c r="EV116" s="19"/>
      <c r="EW116" s="19"/>
      <c r="EX116" s="19"/>
      <c r="EY116" s="19"/>
      <c r="EZ116" s="19"/>
      <c r="FA116" s="19"/>
      <c r="FB116" s="19"/>
    </row>
    <row r="117" ht="15.75" customHeight="1">
      <c r="A117" s="79" t="s">
        <v>1195</v>
      </c>
      <c r="B117" s="79" t="s">
        <v>475</v>
      </c>
      <c r="C117" s="79" t="s">
        <v>476</v>
      </c>
      <c r="D117" s="80">
        <v>46128.0</v>
      </c>
      <c r="E117" s="79" t="s">
        <v>1196</v>
      </c>
      <c r="F117" s="82"/>
      <c r="G117" s="79" t="s">
        <v>1197</v>
      </c>
      <c r="H117" s="79" t="s">
        <v>1198</v>
      </c>
      <c r="I117" s="79"/>
      <c r="J117" s="79" t="s">
        <v>1199</v>
      </c>
      <c r="K117" s="79">
        <v>2000.0</v>
      </c>
      <c r="L117" s="79"/>
      <c r="M117" s="79" t="s">
        <v>1200</v>
      </c>
      <c r="N117" s="79" t="s">
        <v>1201</v>
      </c>
      <c r="O117" s="79" t="s">
        <v>740</v>
      </c>
      <c r="P117" s="79"/>
      <c r="Q117" s="79" t="s">
        <v>1202</v>
      </c>
      <c r="R117" s="80">
        <v>46172.0</v>
      </c>
      <c r="S117" s="79"/>
      <c r="T117" s="79">
        <v>50797.0</v>
      </c>
      <c r="U117" s="79"/>
      <c r="V117" s="79"/>
      <c r="W117" s="80">
        <v>46128.0</v>
      </c>
      <c r="X117" s="79"/>
      <c r="Y117" s="80">
        <v>46128.0</v>
      </c>
      <c r="Z117" s="79" t="s">
        <v>486</v>
      </c>
      <c r="AA117" s="79" t="s">
        <v>487</v>
      </c>
      <c r="AB117" s="79" t="s">
        <v>486</v>
      </c>
      <c r="AC117" s="79" t="s">
        <v>488</v>
      </c>
      <c r="AD117" s="79">
        <v>8400.0</v>
      </c>
      <c r="AE117" s="79">
        <v>0.0</v>
      </c>
      <c r="AF117" s="79">
        <v>0.0</v>
      </c>
      <c r="AG117" s="79">
        <v>840.0</v>
      </c>
      <c r="AH117" s="83">
        <v>9240.0</v>
      </c>
      <c r="AI117" s="79"/>
      <c r="AJ117" s="79">
        <v>0.0</v>
      </c>
      <c r="AK117" s="79">
        <v>0.0</v>
      </c>
      <c r="AL117" s="83">
        <v>0.0</v>
      </c>
      <c r="AM117" s="79">
        <v>0.0</v>
      </c>
      <c r="AN117" s="79">
        <v>0.0</v>
      </c>
      <c r="AO117" s="79">
        <v>0.0</v>
      </c>
      <c r="AP117" s="79">
        <v>0.0</v>
      </c>
      <c r="AQ117" s="79">
        <v>8400.0</v>
      </c>
      <c r="AR117" s="79" t="s">
        <v>489</v>
      </c>
      <c r="AS117" s="79">
        <v>0.0</v>
      </c>
      <c r="AT117" s="79" t="s">
        <v>490</v>
      </c>
      <c r="AU117" s="79" t="s">
        <v>491</v>
      </c>
      <c r="AV117" s="79">
        <v>0.0</v>
      </c>
      <c r="AW117" s="79"/>
      <c r="AX117" s="79">
        <v>0.0</v>
      </c>
      <c r="AY117" s="79" t="s">
        <v>492</v>
      </c>
      <c r="AZ117" s="79">
        <v>0.0</v>
      </c>
      <c r="BA117" s="79"/>
      <c r="BB117" s="79">
        <v>0.0</v>
      </c>
      <c r="BC117" s="82"/>
      <c r="BD117" s="79">
        <v>0.0</v>
      </c>
      <c r="BE117" s="79"/>
      <c r="BF117" s="79">
        <v>0.0</v>
      </c>
      <c r="BG117" s="79"/>
      <c r="BH117" s="79">
        <v>0.0</v>
      </c>
      <c r="BI117" s="79" t="s">
        <v>493</v>
      </c>
      <c r="BJ117" s="79">
        <v>0.0</v>
      </c>
      <c r="BK117" s="79" t="s">
        <v>494</v>
      </c>
      <c r="BL117" s="79">
        <v>0.0</v>
      </c>
      <c r="BM117" s="79" t="s">
        <v>495</v>
      </c>
      <c r="BN117" s="79">
        <v>0.0</v>
      </c>
      <c r="BO117" s="79" t="s">
        <v>496</v>
      </c>
      <c r="BP117" s="79">
        <v>0.0</v>
      </c>
      <c r="BQ117" s="79"/>
      <c r="BR117" s="79">
        <v>0.0</v>
      </c>
      <c r="BS117" s="79"/>
      <c r="BT117" s="79">
        <v>0.0</v>
      </c>
      <c r="BU117" s="79"/>
      <c r="BV117" s="79">
        <v>0.0</v>
      </c>
      <c r="BW117" s="79"/>
      <c r="BX117" s="79">
        <v>0.0</v>
      </c>
      <c r="BY117" s="79">
        <v>0.0</v>
      </c>
      <c r="BZ117" s="79" t="s">
        <v>491</v>
      </c>
      <c r="CA117" s="79">
        <v>0.0</v>
      </c>
      <c r="CB117" s="79" t="s">
        <v>490</v>
      </c>
      <c r="CC117" s="79"/>
      <c r="CD117" s="79">
        <v>0.0</v>
      </c>
      <c r="CE117" s="79" t="s">
        <v>492</v>
      </c>
      <c r="CF117" s="79">
        <v>0.0</v>
      </c>
      <c r="CG117" s="79"/>
      <c r="CH117" s="79">
        <v>0.0</v>
      </c>
      <c r="CI117" s="79"/>
      <c r="CJ117" s="79">
        <v>0.0</v>
      </c>
      <c r="CK117" s="79"/>
      <c r="CL117" s="79">
        <v>0.0</v>
      </c>
      <c r="CM117" s="79"/>
      <c r="CN117" s="79">
        <v>0.0</v>
      </c>
      <c r="CO117" s="79" t="s">
        <v>493</v>
      </c>
      <c r="CP117" s="79">
        <v>0.0</v>
      </c>
      <c r="CQ117" s="79" t="s">
        <v>494</v>
      </c>
      <c r="CR117" s="79">
        <v>0.0</v>
      </c>
      <c r="CS117" s="79" t="s">
        <v>495</v>
      </c>
      <c r="CT117" s="79">
        <v>0.0</v>
      </c>
      <c r="CU117" s="79" t="s">
        <v>496</v>
      </c>
      <c r="CV117" s="79">
        <v>0.0</v>
      </c>
      <c r="CW117" s="79"/>
      <c r="CX117" s="79">
        <v>0.0</v>
      </c>
      <c r="CY117" s="79"/>
      <c r="CZ117" s="79">
        <v>0.0</v>
      </c>
      <c r="DA117" s="79"/>
      <c r="DB117" s="79">
        <v>0.0</v>
      </c>
      <c r="DC117" s="79"/>
      <c r="DD117" s="79">
        <v>0.0</v>
      </c>
      <c r="DE117" s="79">
        <v>3400.0</v>
      </c>
      <c r="DF117" s="79">
        <v>5000.0</v>
      </c>
      <c r="DG117" s="79">
        <v>0.0</v>
      </c>
      <c r="DH117" s="79">
        <v>0.0</v>
      </c>
      <c r="DI117" s="79">
        <v>0.0</v>
      </c>
      <c r="DJ117" s="79" t="s">
        <v>1203</v>
      </c>
      <c r="DK117" s="79" t="s">
        <v>486</v>
      </c>
      <c r="DL117" s="79" t="s">
        <v>487</v>
      </c>
      <c r="DM117" s="79" t="s">
        <v>1204</v>
      </c>
      <c r="DN117" s="79"/>
      <c r="DO117" s="79" t="s">
        <v>1194</v>
      </c>
      <c r="DP117" s="82"/>
      <c r="DQ117" s="79"/>
      <c r="DR117" s="82"/>
      <c r="DS117" s="79"/>
      <c r="DT117" s="82"/>
      <c r="DU117" s="79"/>
      <c r="DV117" s="82"/>
      <c r="DW117" s="79"/>
      <c r="DX117" s="79"/>
      <c r="DY117" s="79"/>
      <c r="DZ117" s="79"/>
      <c r="EA117" s="79"/>
      <c r="EB117" s="79"/>
      <c r="EC117" s="79"/>
      <c r="ED117" s="79"/>
      <c r="EE117" s="79"/>
      <c r="EF117" s="82"/>
      <c r="EG117" s="79"/>
      <c r="EH117" s="82"/>
      <c r="EI117" s="79"/>
      <c r="EJ117" s="82"/>
      <c r="EK117" s="79"/>
      <c r="EL117" s="82"/>
      <c r="EM117" s="79"/>
      <c r="EN117" s="79" t="s">
        <v>79</v>
      </c>
      <c r="EO117" s="79"/>
      <c r="EP117" s="17"/>
      <c r="EQ117" s="23"/>
      <c r="ER117" s="23" t="str">
        <f t="shared" si="5"/>
        <v/>
      </c>
      <c r="ES117" s="19"/>
      <c r="ET117" s="19" t="str">
        <f t="shared" si="6"/>
        <v/>
      </c>
      <c r="EU117" s="19"/>
      <c r="EV117" s="19"/>
      <c r="EW117" s="19"/>
      <c r="EX117" s="19"/>
      <c r="EY117" s="19"/>
      <c r="EZ117" s="19"/>
      <c r="FA117" s="19"/>
      <c r="FB117" s="19"/>
    </row>
    <row r="118" ht="15.75" customHeight="1">
      <c r="A118" s="19"/>
      <c r="B118" s="4" t="s">
        <v>468</v>
      </c>
      <c r="C118" s="4" t="s">
        <v>469</v>
      </c>
      <c r="D118" s="78">
        <v>46128.0</v>
      </c>
      <c r="E118" s="4" t="s">
        <v>1205</v>
      </c>
      <c r="F118" s="19"/>
      <c r="AH118" s="23">
        <v>842430.0</v>
      </c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19"/>
      <c r="CW118" s="19"/>
      <c r="CX118" s="19"/>
      <c r="CY118" s="19"/>
      <c r="CZ118" s="19"/>
      <c r="DA118" s="19"/>
      <c r="DB118" s="19"/>
      <c r="DC118" s="19"/>
      <c r="DD118" s="19"/>
      <c r="DE118" s="19"/>
      <c r="DF118" s="19"/>
      <c r="DG118" s="19"/>
      <c r="DH118" s="19"/>
      <c r="DI118" s="19"/>
      <c r="DJ118" s="19"/>
      <c r="DK118" s="19"/>
      <c r="DL118" s="19"/>
      <c r="DM118" s="19"/>
      <c r="DN118" s="19"/>
      <c r="DO118" s="19"/>
      <c r="DP118" s="19"/>
      <c r="DQ118" s="19"/>
      <c r="DR118" s="19"/>
      <c r="DS118" s="19"/>
      <c r="DT118" s="19"/>
      <c r="DU118" s="19"/>
      <c r="DV118" s="19"/>
      <c r="DW118" s="19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4" t="s">
        <v>79</v>
      </c>
      <c r="EO118" s="19"/>
      <c r="EP118" s="17"/>
      <c r="EQ118" s="23"/>
      <c r="ER118" s="23" t="str">
        <f t="shared" si="5"/>
        <v/>
      </c>
      <c r="ES118" s="19"/>
      <c r="ET118" s="19" t="str">
        <f t="shared" si="6"/>
        <v/>
      </c>
      <c r="EU118" s="19"/>
      <c r="EV118" s="19"/>
      <c r="EW118" s="19"/>
      <c r="EX118" s="19"/>
      <c r="EY118" s="19"/>
      <c r="EZ118" s="19"/>
      <c r="FA118" s="19"/>
      <c r="FB118" s="19"/>
    </row>
    <row r="119" ht="15.75" customHeight="1">
      <c r="A119" s="4" t="s">
        <v>1206</v>
      </c>
      <c r="B119" s="4" t="s">
        <v>778</v>
      </c>
      <c r="C119" s="4" t="s">
        <v>476</v>
      </c>
      <c r="D119" s="78">
        <v>46128.0</v>
      </c>
      <c r="E119" s="4" t="s">
        <v>592</v>
      </c>
      <c r="F119" s="4" t="s">
        <v>1033</v>
      </c>
      <c r="G119" s="4" t="s">
        <v>1207</v>
      </c>
      <c r="H119" s="4" t="s">
        <v>890</v>
      </c>
      <c r="V119" s="4" t="s">
        <v>1208</v>
      </c>
      <c r="Y119" s="4" t="s">
        <v>1208</v>
      </c>
      <c r="Z119" s="4" t="s">
        <v>597</v>
      </c>
      <c r="AB119" s="4" t="s">
        <v>597</v>
      </c>
      <c r="AH119" s="23">
        <v>97152.0</v>
      </c>
      <c r="AL119" s="19"/>
      <c r="AM119" s="19"/>
      <c r="AN119" s="19"/>
      <c r="AO119" s="19"/>
      <c r="AP119" s="19"/>
      <c r="AQ119" s="4">
        <v>83448.0</v>
      </c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19"/>
      <c r="CW119" s="19"/>
      <c r="CX119" s="19"/>
      <c r="CY119" s="19"/>
      <c r="CZ119" s="19"/>
      <c r="DA119" s="19"/>
      <c r="DB119" s="19"/>
      <c r="DC119" s="19"/>
      <c r="DD119" s="19"/>
      <c r="DE119" s="19"/>
      <c r="DF119" s="19"/>
      <c r="DG119" s="19"/>
      <c r="DH119" s="19"/>
      <c r="DI119" s="19"/>
      <c r="DJ119" s="19"/>
      <c r="DK119" s="19"/>
      <c r="DL119" s="19"/>
      <c r="DM119" s="19"/>
      <c r="DN119" s="19"/>
      <c r="DO119" s="19"/>
      <c r="DP119" s="19"/>
      <c r="DQ119" s="19"/>
      <c r="DR119" s="19"/>
      <c r="DS119" s="19"/>
      <c r="DT119" s="19"/>
      <c r="DU119" s="19"/>
      <c r="DV119" s="19"/>
      <c r="DW119" s="19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4" t="s">
        <v>79</v>
      </c>
      <c r="EO119" s="19"/>
      <c r="EP119" s="17"/>
      <c r="EQ119" s="23"/>
      <c r="ER119" s="23" t="str">
        <f t="shared" si="5"/>
        <v/>
      </c>
      <c r="ES119" s="19"/>
      <c r="ET119" s="19" t="str">
        <f t="shared" si="6"/>
        <v/>
      </c>
      <c r="EU119" s="19"/>
      <c r="EV119" s="19"/>
      <c r="EW119" s="19"/>
      <c r="EX119" s="19"/>
      <c r="EY119" s="19"/>
      <c r="EZ119" s="19"/>
      <c r="FA119" s="19"/>
      <c r="FB119" s="19"/>
    </row>
    <row r="120" ht="15.75" customHeight="1">
      <c r="A120" s="4" t="s">
        <v>1209</v>
      </c>
      <c r="B120" s="4" t="s">
        <v>475</v>
      </c>
      <c r="C120" s="4" t="s">
        <v>476</v>
      </c>
      <c r="D120" s="78">
        <v>46128.0</v>
      </c>
      <c r="E120" s="4" t="s">
        <v>1210</v>
      </c>
      <c r="F120" s="4" t="s">
        <v>1033</v>
      </c>
      <c r="G120" s="4" t="s">
        <v>655</v>
      </c>
      <c r="H120" s="4" t="s">
        <v>679</v>
      </c>
      <c r="V120" s="4" t="s">
        <v>1211</v>
      </c>
      <c r="Y120" s="4" t="s">
        <v>1211</v>
      </c>
      <c r="Z120" s="4" t="s">
        <v>597</v>
      </c>
      <c r="AB120" s="4" t="s">
        <v>597</v>
      </c>
      <c r="AH120" s="23">
        <v>270820.0</v>
      </c>
      <c r="AL120" s="19"/>
      <c r="AM120" s="19"/>
      <c r="AN120" s="19"/>
      <c r="AO120" s="19"/>
      <c r="AP120" s="19"/>
      <c r="AQ120" s="4">
        <v>118200.0</v>
      </c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19"/>
      <c r="CW120" s="19"/>
      <c r="CX120" s="19"/>
      <c r="CY120" s="19"/>
      <c r="CZ120" s="19"/>
      <c r="DA120" s="19"/>
      <c r="DB120" s="19"/>
      <c r="DC120" s="19"/>
      <c r="DD120" s="19"/>
      <c r="DE120" s="19"/>
      <c r="DF120" s="19"/>
      <c r="DG120" s="19"/>
      <c r="DH120" s="19"/>
      <c r="DI120" s="19"/>
      <c r="DJ120" s="19"/>
      <c r="DK120" s="19"/>
      <c r="DL120" s="19"/>
      <c r="DM120" s="19"/>
      <c r="DN120" s="19"/>
      <c r="DO120" s="19"/>
      <c r="DP120" s="19"/>
      <c r="DQ120" s="19"/>
      <c r="DR120" s="19"/>
      <c r="DS120" s="19"/>
      <c r="DT120" s="19"/>
      <c r="DU120" s="19"/>
      <c r="DV120" s="19"/>
      <c r="DW120" s="19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4" t="s">
        <v>79</v>
      </c>
      <c r="EO120" s="19"/>
      <c r="EP120" s="17"/>
      <c r="EQ120" s="23"/>
      <c r="ER120" s="23" t="str">
        <f t="shared" si="5"/>
        <v/>
      </c>
      <c r="ES120" s="19"/>
      <c r="ET120" s="19" t="str">
        <f t="shared" si="6"/>
        <v/>
      </c>
      <c r="EU120" s="19"/>
      <c r="EV120" s="19"/>
      <c r="EW120" s="19"/>
      <c r="EX120" s="19"/>
      <c r="EY120" s="19"/>
      <c r="EZ120" s="19"/>
      <c r="FA120" s="19"/>
      <c r="FB120" s="19"/>
    </row>
    <row r="121" ht="15.75" customHeight="1">
      <c r="A121" s="4" t="s">
        <v>1212</v>
      </c>
      <c r="B121" s="4" t="s">
        <v>475</v>
      </c>
      <c r="C121" s="4" t="s">
        <v>1022</v>
      </c>
      <c r="D121" s="78">
        <v>46128.0</v>
      </c>
      <c r="E121" s="4" t="s">
        <v>1213</v>
      </c>
      <c r="F121" s="4" t="s">
        <v>1033</v>
      </c>
      <c r="G121" s="4" t="s">
        <v>1214</v>
      </c>
      <c r="H121" s="4" t="s">
        <v>781</v>
      </c>
      <c r="V121" s="4" t="s">
        <v>1208</v>
      </c>
      <c r="Z121" s="4" t="s">
        <v>597</v>
      </c>
      <c r="AB121" s="4" t="s">
        <v>597</v>
      </c>
      <c r="AH121" s="23">
        <v>353925.0</v>
      </c>
      <c r="AL121" s="19"/>
      <c r="AM121" s="19"/>
      <c r="AN121" s="19"/>
      <c r="AO121" s="19"/>
      <c r="AP121" s="19"/>
      <c r="AQ121" s="4">
        <v>98690.0</v>
      </c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4" t="s">
        <v>79</v>
      </c>
      <c r="EO121" s="19"/>
      <c r="EP121" s="17"/>
      <c r="EQ121" s="23"/>
      <c r="ER121" s="23" t="str">
        <f t="shared" si="5"/>
        <v/>
      </c>
      <c r="ES121" s="19"/>
      <c r="ET121" s="19" t="str">
        <f t="shared" si="6"/>
        <v/>
      </c>
      <c r="EU121" s="19"/>
      <c r="EV121" s="19"/>
      <c r="EW121" s="19"/>
      <c r="EX121" s="19"/>
      <c r="EY121" s="19"/>
      <c r="EZ121" s="19"/>
      <c r="FA121" s="19"/>
      <c r="FB121" s="19"/>
    </row>
    <row r="122" ht="15.75" customHeight="1">
      <c r="A122" s="4" t="s">
        <v>1215</v>
      </c>
      <c r="B122" s="4" t="s">
        <v>778</v>
      </c>
      <c r="C122" s="4" t="s">
        <v>476</v>
      </c>
      <c r="D122" s="78">
        <v>46128.0</v>
      </c>
      <c r="E122" s="4" t="s">
        <v>1213</v>
      </c>
      <c r="F122" s="4" t="s">
        <v>1033</v>
      </c>
      <c r="G122" s="4" t="s">
        <v>1214</v>
      </c>
      <c r="H122" s="4" t="s">
        <v>781</v>
      </c>
      <c r="V122" s="4" t="s">
        <v>1208</v>
      </c>
      <c r="Z122" s="4" t="s">
        <v>597</v>
      </c>
      <c r="AB122" s="4" t="s">
        <v>597</v>
      </c>
      <c r="AH122" s="23">
        <v>124740.0</v>
      </c>
      <c r="AL122" s="19"/>
      <c r="AM122" s="19"/>
      <c r="AN122" s="19"/>
      <c r="AO122" s="19"/>
      <c r="AP122" s="19"/>
      <c r="AQ122" s="4">
        <v>92426.0</v>
      </c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19"/>
      <c r="CW122" s="19"/>
      <c r="CX122" s="19"/>
      <c r="CY122" s="19"/>
      <c r="CZ122" s="19"/>
      <c r="DA122" s="19"/>
      <c r="DB122" s="19"/>
      <c r="DC122" s="19"/>
      <c r="DD122" s="19"/>
      <c r="DE122" s="19"/>
      <c r="DF122" s="19"/>
      <c r="DG122" s="19"/>
      <c r="DH122" s="19"/>
      <c r="DI122" s="19"/>
      <c r="DJ122" s="19"/>
      <c r="DK122" s="19"/>
      <c r="DL122" s="19"/>
      <c r="DM122" s="19"/>
      <c r="DN122" s="19"/>
      <c r="DO122" s="19"/>
      <c r="DP122" s="19"/>
      <c r="DQ122" s="19"/>
      <c r="DR122" s="19"/>
      <c r="DS122" s="19"/>
      <c r="DT122" s="19"/>
      <c r="DU122" s="19"/>
      <c r="DV122" s="19"/>
      <c r="DW122" s="19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4" t="s">
        <v>79</v>
      </c>
      <c r="EO122" s="19"/>
      <c r="EP122" s="17"/>
      <c r="EQ122" s="23"/>
      <c r="ER122" s="23" t="str">
        <f t="shared" si="5"/>
        <v/>
      </c>
      <c r="ES122" s="19"/>
      <c r="ET122" s="19" t="str">
        <f t="shared" si="6"/>
        <v/>
      </c>
      <c r="EU122" s="19"/>
      <c r="EV122" s="19"/>
      <c r="EW122" s="19"/>
      <c r="EX122" s="19"/>
      <c r="EY122" s="19"/>
      <c r="EZ122" s="19"/>
      <c r="FA122" s="19"/>
      <c r="FB122" s="19"/>
    </row>
    <row r="123" ht="15.75" customHeight="1">
      <c r="A123" s="79" t="s">
        <v>1216</v>
      </c>
      <c r="B123" s="79" t="s">
        <v>591</v>
      </c>
      <c r="C123" s="79" t="s">
        <v>476</v>
      </c>
      <c r="D123" s="80">
        <v>46129.0</v>
      </c>
      <c r="E123" s="79" t="s">
        <v>1217</v>
      </c>
      <c r="F123" s="82"/>
      <c r="G123" s="79" t="s">
        <v>1218</v>
      </c>
      <c r="H123" s="79" t="s">
        <v>1219</v>
      </c>
      <c r="I123" s="79"/>
      <c r="J123" s="79" t="s">
        <v>1220</v>
      </c>
      <c r="K123" s="79">
        <v>3000.0</v>
      </c>
      <c r="L123" s="79"/>
      <c r="M123" s="79" t="s">
        <v>1221</v>
      </c>
      <c r="N123" s="79" t="s">
        <v>1131</v>
      </c>
      <c r="O123" s="79" t="s">
        <v>484</v>
      </c>
      <c r="P123" s="79" t="s">
        <v>1222</v>
      </c>
      <c r="Q123" s="79" t="s">
        <v>1223</v>
      </c>
      <c r="R123" s="80">
        <v>46864.0</v>
      </c>
      <c r="S123" s="79"/>
      <c r="T123" s="79">
        <v>16144.0</v>
      </c>
      <c r="U123" s="79"/>
      <c r="V123" s="79"/>
      <c r="W123" s="80"/>
      <c r="X123" s="79"/>
      <c r="Y123" s="80"/>
      <c r="Z123" s="79" t="s">
        <v>486</v>
      </c>
      <c r="AA123" s="79" t="s">
        <v>487</v>
      </c>
      <c r="AB123" s="79" t="s">
        <v>486</v>
      </c>
      <c r="AC123" s="79" t="s">
        <v>488</v>
      </c>
      <c r="AD123" s="79">
        <v>90100.0</v>
      </c>
      <c r="AE123" s="79">
        <v>12000.0</v>
      </c>
      <c r="AF123" s="79">
        <v>53050.0</v>
      </c>
      <c r="AG123" s="79">
        <v>10210.0</v>
      </c>
      <c r="AH123" s="83">
        <v>165360.0</v>
      </c>
      <c r="AI123" s="79"/>
      <c r="AJ123" s="79">
        <v>0.0</v>
      </c>
      <c r="AK123" s="79">
        <v>255.0</v>
      </c>
      <c r="AL123" s="83">
        <v>800.0</v>
      </c>
      <c r="AM123" s="79">
        <v>53050.0</v>
      </c>
      <c r="AN123" s="79">
        <v>106.0</v>
      </c>
      <c r="AO123" s="79">
        <v>54211.0</v>
      </c>
      <c r="AP123" s="79">
        <v>0.0</v>
      </c>
      <c r="AQ123" s="79">
        <v>101045.0</v>
      </c>
      <c r="AR123" s="79" t="s">
        <v>489</v>
      </c>
      <c r="AS123" s="79">
        <v>12000.0</v>
      </c>
      <c r="AT123" s="79" t="s">
        <v>836</v>
      </c>
      <c r="AU123" s="79" t="s">
        <v>491</v>
      </c>
      <c r="AV123" s="79">
        <v>0.0</v>
      </c>
      <c r="AW123" s="79"/>
      <c r="AX123" s="79">
        <v>0.0</v>
      </c>
      <c r="AY123" s="79"/>
      <c r="AZ123" s="79">
        <v>0.0</v>
      </c>
      <c r="BA123" s="79"/>
      <c r="BB123" s="79">
        <v>0.0</v>
      </c>
      <c r="BC123" s="82"/>
      <c r="BD123" s="79">
        <v>0.0</v>
      </c>
      <c r="BE123" s="82"/>
      <c r="BF123" s="79">
        <v>0.0</v>
      </c>
      <c r="BG123" s="82"/>
      <c r="BH123" s="79">
        <v>0.0</v>
      </c>
      <c r="BI123" s="79" t="s">
        <v>493</v>
      </c>
      <c r="BJ123" s="79">
        <v>17650.0</v>
      </c>
      <c r="BK123" s="79" t="s">
        <v>494</v>
      </c>
      <c r="BL123" s="79">
        <v>32800.0</v>
      </c>
      <c r="BM123" s="79" t="s">
        <v>495</v>
      </c>
      <c r="BN123" s="79">
        <v>2600.0</v>
      </c>
      <c r="BO123" s="79" t="s">
        <v>496</v>
      </c>
      <c r="BP123" s="79">
        <v>0.0</v>
      </c>
      <c r="BQ123" s="79"/>
      <c r="BR123" s="79">
        <v>0.0</v>
      </c>
      <c r="BS123" s="79"/>
      <c r="BT123" s="79">
        <v>0.0</v>
      </c>
      <c r="BU123" s="79"/>
      <c r="BV123" s="79">
        <v>0.0</v>
      </c>
      <c r="BW123" s="79"/>
      <c r="BX123" s="79">
        <v>0.0</v>
      </c>
      <c r="BY123" s="79">
        <v>0.0</v>
      </c>
      <c r="BZ123" s="79" t="s">
        <v>491</v>
      </c>
      <c r="CA123" s="79">
        <v>800.0</v>
      </c>
      <c r="CB123" s="79" t="s">
        <v>836</v>
      </c>
      <c r="CC123" s="79"/>
      <c r="CD123" s="79">
        <v>0.0</v>
      </c>
      <c r="CE123" s="79"/>
      <c r="CF123" s="79">
        <v>0.0</v>
      </c>
      <c r="CG123" s="79"/>
      <c r="CH123" s="79">
        <v>0.0</v>
      </c>
      <c r="CI123" s="79"/>
      <c r="CJ123" s="79">
        <v>0.0</v>
      </c>
      <c r="CK123" s="79"/>
      <c r="CL123" s="79">
        <v>0.0</v>
      </c>
      <c r="CM123" s="79"/>
      <c r="CN123" s="79">
        <v>0.0</v>
      </c>
      <c r="CO123" s="79" t="s">
        <v>493</v>
      </c>
      <c r="CP123" s="79">
        <v>17650.0</v>
      </c>
      <c r="CQ123" s="79" t="s">
        <v>494</v>
      </c>
      <c r="CR123" s="79">
        <v>32800.0</v>
      </c>
      <c r="CS123" s="79" t="s">
        <v>495</v>
      </c>
      <c r="CT123" s="79">
        <v>2600.0</v>
      </c>
      <c r="CU123" s="79" t="s">
        <v>496</v>
      </c>
      <c r="CV123" s="79">
        <v>0.0</v>
      </c>
      <c r="CW123" s="79"/>
      <c r="CX123" s="79">
        <v>0.0</v>
      </c>
      <c r="CY123" s="79"/>
      <c r="CZ123" s="79">
        <v>0.0</v>
      </c>
      <c r="DA123" s="79"/>
      <c r="DB123" s="79">
        <v>0.0</v>
      </c>
      <c r="DC123" s="79"/>
      <c r="DD123" s="79">
        <v>0.0</v>
      </c>
      <c r="DE123" s="79">
        <v>79100.0</v>
      </c>
      <c r="DF123" s="79">
        <v>11000.0</v>
      </c>
      <c r="DG123" s="79">
        <v>0.0</v>
      </c>
      <c r="DH123" s="79">
        <v>0.0</v>
      </c>
      <c r="DI123" s="79">
        <v>255.0</v>
      </c>
      <c r="DJ123" s="79" t="s">
        <v>1224</v>
      </c>
      <c r="DK123" s="79" t="s">
        <v>486</v>
      </c>
      <c r="DL123" s="79" t="s">
        <v>487</v>
      </c>
      <c r="DM123" s="79" t="s">
        <v>1225</v>
      </c>
      <c r="DN123" s="79" t="s">
        <v>1226</v>
      </c>
      <c r="DO123" s="79" t="s">
        <v>1227</v>
      </c>
      <c r="DP123" s="82"/>
      <c r="DQ123" s="79"/>
      <c r="DR123" s="82"/>
      <c r="DS123" s="79"/>
      <c r="DT123" s="82"/>
      <c r="DU123" s="79"/>
      <c r="DV123" s="82"/>
      <c r="DW123" s="79"/>
      <c r="DX123" s="79"/>
      <c r="DY123" s="79"/>
      <c r="DZ123" s="79"/>
      <c r="EA123" s="79"/>
      <c r="EB123" s="79"/>
      <c r="EC123" s="79"/>
      <c r="ED123" s="82"/>
      <c r="EE123" s="79"/>
      <c r="EF123" s="82"/>
      <c r="EG123" s="79"/>
      <c r="EH123" s="82"/>
      <c r="EI123" s="79"/>
      <c r="EJ123" s="82"/>
      <c r="EK123" s="79"/>
      <c r="EL123" s="82"/>
      <c r="EM123" s="79"/>
      <c r="EN123" s="79" t="s">
        <v>79</v>
      </c>
      <c r="EO123" s="79"/>
      <c r="EP123" s="17"/>
      <c r="EQ123" s="23"/>
      <c r="ER123" s="23" t="str">
        <f t="shared" si="5"/>
        <v/>
      </c>
      <c r="ES123" s="19"/>
      <c r="ET123" s="19" t="str">
        <f t="shared" si="6"/>
        <v/>
      </c>
      <c r="EU123" s="19"/>
      <c r="EV123" s="19"/>
      <c r="EW123" s="19"/>
      <c r="EX123" s="19"/>
      <c r="EY123" s="19"/>
      <c r="EZ123" s="19"/>
      <c r="FA123" s="19"/>
      <c r="FB123" s="19"/>
    </row>
    <row r="124" ht="15.75" customHeight="1">
      <c r="A124" s="4" t="s">
        <v>1228</v>
      </c>
      <c r="B124" s="4" t="s">
        <v>605</v>
      </c>
      <c r="C124" s="4" t="s">
        <v>1022</v>
      </c>
      <c r="D124" s="78">
        <v>46129.0</v>
      </c>
      <c r="E124" s="4" t="s">
        <v>1229</v>
      </c>
      <c r="F124" s="4" t="s">
        <v>1033</v>
      </c>
      <c r="G124" s="4" t="s">
        <v>1230</v>
      </c>
      <c r="H124" s="4" t="s">
        <v>1231</v>
      </c>
      <c r="V124" s="4" t="s">
        <v>1232</v>
      </c>
      <c r="Y124" s="4" t="s">
        <v>1232</v>
      </c>
      <c r="Z124" s="4" t="s">
        <v>597</v>
      </c>
      <c r="AB124" s="4" t="s">
        <v>597</v>
      </c>
      <c r="AH124" s="23">
        <v>284020.0</v>
      </c>
      <c r="AL124" s="19"/>
      <c r="AM124" s="19"/>
      <c r="AN124" s="19"/>
      <c r="AO124" s="19"/>
      <c r="AP124" s="19"/>
      <c r="AQ124" s="4">
        <v>195840.0</v>
      </c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19"/>
      <c r="CW124" s="19"/>
      <c r="CX124" s="19"/>
      <c r="CY124" s="19"/>
      <c r="CZ124" s="19"/>
      <c r="DA124" s="19"/>
      <c r="DB124" s="19"/>
      <c r="DC124" s="19"/>
      <c r="DD124" s="19"/>
      <c r="DE124" s="19"/>
      <c r="DF124" s="19"/>
      <c r="DG124" s="19"/>
      <c r="DH124" s="19"/>
      <c r="DI124" s="19"/>
      <c r="DJ124" s="19"/>
      <c r="DK124" s="19"/>
      <c r="DL124" s="19"/>
      <c r="DM124" s="19"/>
      <c r="DN124" s="19"/>
      <c r="DO124" s="19"/>
      <c r="DP124" s="19"/>
      <c r="DQ124" s="19"/>
      <c r="DR124" s="19"/>
      <c r="DS124" s="19"/>
      <c r="DT124" s="19"/>
      <c r="DU124" s="19"/>
      <c r="DV124" s="19"/>
      <c r="DW124" s="19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4" t="s">
        <v>79</v>
      </c>
      <c r="EO124" s="19"/>
      <c r="EP124" s="17"/>
      <c r="EQ124" s="23"/>
      <c r="ER124" s="23" t="str">
        <f t="shared" si="5"/>
        <v/>
      </c>
      <c r="ES124" s="19"/>
      <c r="ET124" s="19" t="str">
        <f t="shared" si="6"/>
        <v/>
      </c>
      <c r="EU124" s="19"/>
      <c r="EV124" s="19"/>
      <c r="EW124" s="19"/>
      <c r="EX124" s="19"/>
      <c r="EY124" s="19"/>
      <c r="EZ124" s="19"/>
      <c r="FA124" s="19"/>
      <c r="FB124" s="19"/>
    </row>
    <row r="125" ht="15.75" customHeight="1">
      <c r="A125" s="79" t="s">
        <v>1233</v>
      </c>
      <c r="B125" s="79" t="s">
        <v>475</v>
      </c>
      <c r="C125" s="79" t="s">
        <v>476</v>
      </c>
      <c r="D125" s="80">
        <v>46130.0</v>
      </c>
      <c r="E125" s="79" t="s">
        <v>1234</v>
      </c>
      <c r="F125" s="79" t="s">
        <v>568</v>
      </c>
      <c r="G125" s="79" t="s">
        <v>655</v>
      </c>
      <c r="H125" s="79" t="s">
        <v>479</v>
      </c>
      <c r="I125" s="79"/>
      <c r="J125" s="79" t="s">
        <v>1235</v>
      </c>
      <c r="K125" s="79">
        <v>2000.0</v>
      </c>
      <c r="L125" s="79"/>
      <c r="M125" s="79" t="s">
        <v>506</v>
      </c>
      <c r="N125" s="79" t="s">
        <v>831</v>
      </c>
      <c r="O125" s="79" t="s">
        <v>740</v>
      </c>
      <c r="P125" s="79"/>
      <c r="Q125" s="79" t="s">
        <v>1236</v>
      </c>
      <c r="R125" s="80">
        <v>46293.0</v>
      </c>
      <c r="S125" s="79"/>
      <c r="T125" s="79">
        <v>18303.0</v>
      </c>
      <c r="U125" s="79" t="s">
        <v>1237</v>
      </c>
      <c r="V125" s="79"/>
      <c r="W125" s="80">
        <v>46130.0</v>
      </c>
      <c r="X125" s="79"/>
      <c r="Y125" s="80">
        <v>46131.0</v>
      </c>
      <c r="Z125" s="79" t="s">
        <v>486</v>
      </c>
      <c r="AA125" s="79" t="s">
        <v>487</v>
      </c>
      <c r="AB125" s="79" t="s">
        <v>486</v>
      </c>
      <c r="AC125" s="79" t="s">
        <v>488</v>
      </c>
      <c r="AD125" s="79">
        <v>14000.0</v>
      </c>
      <c r="AE125" s="79">
        <v>0.0</v>
      </c>
      <c r="AF125" s="79">
        <v>0.0</v>
      </c>
      <c r="AG125" s="79">
        <v>1400.0</v>
      </c>
      <c r="AH125" s="83">
        <v>15400.0</v>
      </c>
      <c r="AI125" s="79"/>
      <c r="AJ125" s="79">
        <v>0.0</v>
      </c>
      <c r="AK125" s="79">
        <v>0.0</v>
      </c>
      <c r="AL125" s="83">
        <v>0.0</v>
      </c>
      <c r="AM125" s="79">
        <v>0.0</v>
      </c>
      <c r="AN125" s="79">
        <v>0.0</v>
      </c>
      <c r="AO125" s="79">
        <v>0.0</v>
      </c>
      <c r="AP125" s="79">
        <v>0.0</v>
      </c>
      <c r="AQ125" s="79">
        <v>14000.0</v>
      </c>
      <c r="AR125" s="79" t="s">
        <v>489</v>
      </c>
      <c r="AS125" s="79">
        <v>0.0</v>
      </c>
      <c r="AT125" s="79" t="s">
        <v>490</v>
      </c>
      <c r="AU125" s="79" t="s">
        <v>491</v>
      </c>
      <c r="AV125" s="79">
        <v>0.0</v>
      </c>
      <c r="AW125" s="79"/>
      <c r="AX125" s="79">
        <v>0.0</v>
      </c>
      <c r="AY125" s="79" t="s">
        <v>492</v>
      </c>
      <c r="AZ125" s="79">
        <v>0.0</v>
      </c>
      <c r="BA125" s="79"/>
      <c r="BB125" s="79">
        <v>0.0</v>
      </c>
      <c r="BC125" s="79"/>
      <c r="BD125" s="79">
        <v>0.0</v>
      </c>
      <c r="BE125" s="82"/>
      <c r="BF125" s="79">
        <v>0.0</v>
      </c>
      <c r="BG125" s="82"/>
      <c r="BH125" s="79">
        <v>0.0</v>
      </c>
      <c r="BI125" s="79" t="s">
        <v>493</v>
      </c>
      <c r="BJ125" s="79">
        <v>0.0</v>
      </c>
      <c r="BK125" s="79" t="s">
        <v>494</v>
      </c>
      <c r="BL125" s="79">
        <v>0.0</v>
      </c>
      <c r="BM125" s="79" t="s">
        <v>495</v>
      </c>
      <c r="BN125" s="79">
        <v>0.0</v>
      </c>
      <c r="BO125" s="79" t="s">
        <v>496</v>
      </c>
      <c r="BP125" s="79">
        <v>0.0</v>
      </c>
      <c r="BQ125" s="79"/>
      <c r="BR125" s="79">
        <v>0.0</v>
      </c>
      <c r="BS125" s="79"/>
      <c r="BT125" s="79">
        <v>0.0</v>
      </c>
      <c r="BU125" s="79"/>
      <c r="BV125" s="79">
        <v>0.0</v>
      </c>
      <c r="BW125" s="79"/>
      <c r="BX125" s="79">
        <v>0.0</v>
      </c>
      <c r="BY125" s="79">
        <v>0.0</v>
      </c>
      <c r="BZ125" s="79" t="s">
        <v>491</v>
      </c>
      <c r="CA125" s="79">
        <v>0.0</v>
      </c>
      <c r="CB125" s="79" t="s">
        <v>490</v>
      </c>
      <c r="CC125" s="79"/>
      <c r="CD125" s="79">
        <v>0.0</v>
      </c>
      <c r="CE125" s="79" t="s">
        <v>492</v>
      </c>
      <c r="CF125" s="79">
        <v>0.0</v>
      </c>
      <c r="CG125" s="79"/>
      <c r="CH125" s="79">
        <v>0.0</v>
      </c>
      <c r="CI125" s="79"/>
      <c r="CJ125" s="79">
        <v>0.0</v>
      </c>
      <c r="CK125" s="79"/>
      <c r="CL125" s="79">
        <v>0.0</v>
      </c>
      <c r="CM125" s="79"/>
      <c r="CN125" s="79">
        <v>0.0</v>
      </c>
      <c r="CO125" s="79" t="s">
        <v>493</v>
      </c>
      <c r="CP125" s="79">
        <v>0.0</v>
      </c>
      <c r="CQ125" s="79" t="s">
        <v>494</v>
      </c>
      <c r="CR125" s="79">
        <v>0.0</v>
      </c>
      <c r="CS125" s="79" t="s">
        <v>495</v>
      </c>
      <c r="CT125" s="79">
        <v>0.0</v>
      </c>
      <c r="CU125" s="79" t="s">
        <v>496</v>
      </c>
      <c r="CV125" s="79">
        <v>0.0</v>
      </c>
      <c r="CW125" s="79"/>
      <c r="CX125" s="79">
        <v>0.0</v>
      </c>
      <c r="CY125" s="79"/>
      <c r="CZ125" s="79">
        <v>0.0</v>
      </c>
      <c r="DA125" s="79"/>
      <c r="DB125" s="79">
        <v>0.0</v>
      </c>
      <c r="DC125" s="79"/>
      <c r="DD125" s="79">
        <v>0.0</v>
      </c>
      <c r="DE125" s="79">
        <v>11000.0</v>
      </c>
      <c r="DF125" s="79">
        <v>3000.0</v>
      </c>
      <c r="DG125" s="79">
        <v>0.0</v>
      </c>
      <c r="DH125" s="79">
        <v>0.0</v>
      </c>
      <c r="DI125" s="79">
        <v>0.0</v>
      </c>
      <c r="DJ125" s="79" t="s">
        <v>1238</v>
      </c>
      <c r="DK125" s="79" t="s">
        <v>486</v>
      </c>
      <c r="DL125" s="79" t="s">
        <v>487</v>
      </c>
      <c r="DM125" s="79" t="s">
        <v>1239</v>
      </c>
      <c r="DN125" s="82"/>
      <c r="DO125" s="79" t="s">
        <v>1240</v>
      </c>
      <c r="DP125" s="82"/>
      <c r="DQ125" s="79"/>
      <c r="DR125" s="82"/>
      <c r="DS125" s="79"/>
      <c r="DT125" s="82"/>
      <c r="DU125" s="79"/>
      <c r="DV125" s="82"/>
      <c r="DW125" s="79"/>
      <c r="DX125" s="79"/>
      <c r="DY125" s="79"/>
      <c r="DZ125" s="79"/>
      <c r="EA125" s="79"/>
      <c r="EB125" s="79"/>
      <c r="EC125" s="79"/>
      <c r="ED125" s="79"/>
      <c r="EE125" s="79"/>
      <c r="EF125" s="82"/>
      <c r="EG125" s="79"/>
      <c r="EH125" s="82"/>
      <c r="EI125" s="79"/>
      <c r="EJ125" s="82"/>
      <c r="EK125" s="79"/>
      <c r="EL125" s="82"/>
      <c r="EM125" s="79"/>
      <c r="EN125" s="79" t="s">
        <v>57</v>
      </c>
      <c r="EO125" s="79"/>
      <c r="EP125" s="17"/>
      <c r="EQ125" s="23"/>
      <c r="ER125" s="23" t="str">
        <f t="shared" si="5"/>
        <v/>
      </c>
      <c r="ES125" s="19"/>
      <c r="ET125" s="19" t="str">
        <f t="shared" si="6"/>
        <v/>
      </c>
      <c r="EU125" s="19"/>
      <c r="EV125" s="19"/>
      <c r="EW125" s="19"/>
      <c r="EX125" s="19"/>
      <c r="EY125" s="19"/>
      <c r="EZ125" s="19"/>
      <c r="FA125" s="19"/>
      <c r="FB125" s="19" t="s">
        <v>1241</v>
      </c>
    </row>
    <row r="126" ht="15.75" customHeight="1">
      <c r="A126" s="79" t="s">
        <v>1242</v>
      </c>
      <c r="B126" s="79" t="s">
        <v>475</v>
      </c>
      <c r="C126" s="79" t="s">
        <v>476</v>
      </c>
      <c r="D126" s="80">
        <v>46130.0</v>
      </c>
      <c r="E126" s="79" t="s">
        <v>1234</v>
      </c>
      <c r="F126" s="79" t="s">
        <v>568</v>
      </c>
      <c r="G126" s="79" t="s">
        <v>655</v>
      </c>
      <c r="H126" s="79" t="s">
        <v>479</v>
      </c>
      <c r="I126" s="79"/>
      <c r="J126" s="79" t="s">
        <v>1235</v>
      </c>
      <c r="K126" s="79">
        <v>2000.0</v>
      </c>
      <c r="L126" s="79"/>
      <c r="M126" s="79" t="s">
        <v>506</v>
      </c>
      <c r="N126" s="79" t="s">
        <v>831</v>
      </c>
      <c r="O126" s="79" t="s">
        <v>740</v>
      </c>
      <c r="P126" s="79"/>
      <c r="Q126" s="79" t="s">
        <v>1236</v>
      </c>
      <c r="R126" s="80">
        <v>46293.0</v>
      </c>
      <c r="S126" s="79"/>
      <c r="T126" s="79">
        <v>18303.0</v>
      </c>
      <c r="U126" s="79" t="s">
        <v>1237</v>
      </c>
      <c r="V126" s="79"/>
      <c r="W126" s="80">
        <v>46130.0</v>
      </c>
      <c r="X126" s="79"/>
      <c r="Y126" s="80">
        <v>46131.0</v>
      </c>
      <c r="Z126" s="79" t="s">
        <v>486</v>
      </c>
      <c r="AA126" s="79" t="s">
        <v>487</v>
      </c>
      <c r="AB126" s="79" t="s">
        <v>486</v>
      </c>
      <c r="AC126" s="79" t="s">
        <v>488</v>
      </c>
      <c r="AD126" s="79">
        <v>8000.0</v>
      </c>
      <c r="AE126" s="79">
        <v>0.0</v>
      </c>
      <c r="AF126" s="79">
        <v>0.0</v>
      </c>
      <c r="AG126" s="79">
        <v>800.0</v>
      </c>
      <c r="AH126" s="83">
        <v>8800.0</v>
      </c>
      <c r="AI126" s="79"/>
      <c r="AJ126" s="79">
        <v>0.0</v>
      </c>
      <c r="AK126" s="79">
        <v>0.0</v>
      </c>
      <c r="AL126" s="83">
        <v>0.0</v>
      </c>
      <c r="AM126" s="79">
        <v>0.0</v>
      </c>
      <c r="AN126" s="79">
        <v>0.0</v>
      </c>
      <c r="AO126" s="79">
        <v>0.0</v>
      </c>
      <c r="AP126" s="79">
        <v>0.0</v>
      </c>
      <c r="AQ126" s="79">
        <v>8000.0</v>
      </c>
      <c r="AR126" s="79" t="s">
        <v>489</v>
      </c>
      <c r="AS126" s="79">
        <v>0.0</v>
      </c>
      <c r="AT126" s="79" t="s">
        <v>490</v>
      </c>
      <c r="AU126" s="79" t="s">
        <v>491</v>
      </c>
      <c r="AV126" s="79">
        <v>0.0</v>
      </c>
      <c r="AW126" s="79"/>
      <c r="AX126" s="79">
        <v>0.0</v>
      </c>
      <c r="AY126" s="79" t="s">
        <v>492</v>
      </c>
      <c r="AZ126" s="79">
        <v>0.0</v>
      </c>
      <c r="BA126" s="79"/>
      <c r="BB126" s="79">
        <v>0.0</v>
      </c>
      <c r="BC126" s="79"/>
      <c r="BD126" s="79">
        <v>0.0</v>
      </c>
      <c r="BE126" s="82"/>
      <c r="BF126" s="79">
        <v>0.0</v>
      </c>
      <c r="BG126" s="79"/>
      <c r="BH126" s="79">
        <v>0.0</v>
      </c>
      <c r="BI126" s="79" t="s">
        <v>493</v>
      </c>
      <c r="BJ126" s="79">
        <v>0.0</v>
      </c>
      <c r="BK126" s="79" t="s">
        <v>494</v>
      </c>
      <c r="BL126" s="79">
        <v>0.0</v>
      </c>
      <c r="BM126" s="79" t="s">
        <v>495</v>
      </c>
      <c r="BN126" s="79">
        <v>0.0</v>
      </c>
      <c r="BO126" s="79" t="s">
        <v>496</v>
      </c>
      <c r="BP126" s="79">
        <v>0.0</v>
      </c>
      <c r="BQ126" s="79"/>
      <c r="BR126" s="79">
        <v>0.0</v>
      </c>
      <c r="BS126" s="79"/>
      <c r="BT126" s="79">
        <v>0.0</v>
      </c>
      <c r="BU126" s="79"/>
      <c r="BV126" s="79">
        <v>0.0</v>
      </c>
      <c r="BW126" s="79"/>
      <c r="BX126" s="79">
        <v>0.0</v>
      </c>
      <c r="BY126" s="79">
        <v>0.0</v>
      </c>
      <c r="BZ126" s="79" t="s">
        <v>491</v>
      </c>
      <c r="CA126" s="79">
        <v>0.0</v>
      </c>
      <c r="CB126" s="79" t="s">
        <v>490</v>
      </c>
      <c r="CC126" s="79"/>
      <c r="CD126" s="79">
        <v>0.0</v>
      </c>
      <c r="CE126" s="79" t="s">
        <v>492</v>
      </c>
      <c r="CF126" s="79">
        <v>0.0</v>
      </c>
      <c r="CG126" s="79"/>
      <c r="CH126" s="79">
        <v>0.0</v>
      </c>
      <c r="CI126" s="79"/>
      <c r="CJ126" s="79">
        <v>0.0</v>
      </c>
      <c r="CK126" s="79"/>
      <c r="CL126" s="79">
        <v>0.0</v>
      </c>
      <c r="CM126" s="79"/>
      <c r="CN126" s="79">
        <v>0.0</v>
      </c>
      <c r="CO126" s="79" t="s">
        <v>493</v>
      </c>
      <c r="CP126" s="79">
        <v>0.0</v>
      </c>
      <c r="CQ126" s="79" t="s">
        <v>494</v>
      </c>
      <c r="CR126" s="79">
        <v>0.0</v>
      </c>
      <c r="CS126" s="79" t="s">
        <v>495</v>
      </c>
      <c r="CT126" s="79">
        <v>0.0</v>
      </c>
      <c r="CU126" s="79" t="s">
        <v>496</v>
      </c>
      <c r="CV126" s="79">
        <v>0.0</v>
      </c>
      <c r="CW126" s="79"/>
      <c r="CX126" s="79">
        <v>0.0</v>
      </c>
      <c r="CY126" s="79"/>
      <c r="CZ126" s="79">
        <v>0.0</v>
      </c>
      <c r="DA126" s="79"/>
      <c r="DB126" s="79">
        <v>0.0</v>
      </c>
      <c r="DC126" s="79"/>
      <c r="DD126" s="79">
        <v>0.0</v>
      </c>
      <c r="DE126" s="79">
        <v>8000.0</v>
      </c>
      <c r="DF126" s="79">
        <v>0.0</v>
      </c>
      <c r="DG126" s="79">
        <v>0.0</v>
      </c>
      <c r="DH126" s="79">
        <v>0.0</v>
      </c>
      <c r="DI126" s="79">
        <v>0.0</v>
      </c>
      <c r="DJ126" s="79" t="s">
        <v>1238</v>
      </c>
      <c r="DK126" s="79" t="s">
        <v>486</v>
      </c>
      <c r="DL126" s="79" t="s">
        <v>487</v>
      </c>
      <c r="DM126" s="79" t="s">
        <v>1239</v>
      </c>
      <c r="DN126" s="82"/>
      <c r="DO126" s="79" t="s">
        <v>1240</v>
      </c>
      <c r="DP126" s="82"/>
      <c r="DQ126" s="79"/>
      <c r="DR126" s="82"/>
      <c r="DS126" s="79"/>
      <c r="DT126" s="82"/>
      <c r="DU126" s="79"/>
      <c r="DV126" s="82"/>
      <c r="DW126" s="79"/>
      <c r="DX126" s="79"/>
      <c r="DY126" s="79"/>
      <c r="DZ126" s="79"/>
      <c r="EA126" s="79"/>
      <c r="EB126" s="79"/>
      <c r="EC126" s="79"/>
      <c r="ED126" s="79"/>
      <c r="EE126" s="79"/>
      <c r="EF126" s="82"/>
      <c r="EG126" s="79"/>
      <c r="EH126" s="82"/>
      <c r="EI126" s="79"/>
      <c r="EJ126" s="82"/>
      <c r="EK126" s="79"/>
      <c r="EL126" s="82"/>
      <c r="EM126" s="79"/>
      <c r="EN126" s="79" t="s">
        <v>57</v>
      </c>
      <c r="EO126" s="79"/>
      <c r="EP126" s="17"/>
      <c r="EQ126" s="23"/>
      <c r="ER126" s="23" t="str">
        <f t="shared" si="5"/>
        <v/>
      </c>
      <c r="ES126" s="19"/>
      <c r="ET126" s="19" t="str">
        <f t="shared" si="6"/>
        <v/>
      </c>
      <c r="EU126" s="19"/>
      <c r="EV126" s="19"/>
      <c r="EW126" s="19"/>
      <c r="EX126" s="19"/>
      <c r="EY126" s="19"/>
      <c r="EZ126" s="19"/>
      <c r="FA126" s="19"/>
      <c r="FB126" s="19" t="s">
        <v>1241</v>
      </c>
    </row>
    <row r="127" ht="15.75" customHeight="1">
      <c r="A127" s="79" t="s">
        <v>1243</v>
      </c>
      <c r="B127" s="79" t="s">
        <v>475</v>
      </c>
      <c r="C127" s="79" t="s">
        <v>476</v>
      </c>
      <c r="D127" s="80">
        <v>46130.0</v>
      </c>
      <c r="E127" s="79" t="s">
        <v>1041</v>
      </c>
      <c r="F127" s="82"/>
      <c r="G127" s="79" t="s">
        <v>1042</v>
      </c>
      <c r="H127" s="79" t="s">
        <v>1043</v>
      </c>
      <c r="I127" s="79"/>
      <c r="J127" s="79" t="s">
        <v>1044</v>
      </c>
      <c r="K127" s="79">
        <v>2680.0</v>
      </c>
      <c r="L127" s="79"/>
      <c r="M127" s="79" t="s">
        <v>1045</v>
      </c>
      <c r="N127" s="79"/>
      <c r="O127" s="79"/>
      <c r="P127" s="79"/>
      <c r="Q127" s="79"/>
      <c r="R127" s="84">
        <v>46742.0</v>
      </c>
      <c r="S127" s="79"/>
      <c r="T127" s="79">
        <v>39081.0</v>
      </c>
      <c r="U127" s="79"/>
      <c r="V127" s="79"/>
      <c r="W127" s="80">
        <v>46129.0</v>
      </c>
      <c r="X127" s="79"/>
      <c r="Y127" s="80">
        <v>46130.0</v>
      </c>
      <c r="Z127" s="79" t="s">
        <v>524</v>
      </c>
      <c r="AA127" s="79" t="s">
        <v>487</v>
      </c>
      <c r="AB127" s="79" t="s">
        <v>524</v>
      </c>
      <c r="AC127" s="79" t="s">
        <v>488</v>
      </c>
      <c r="AD127" s="79">
        <v>17000.0</v>
      </c>
      <c r="AE127" s="79">
        <v>0.0</v>
      </c>
      <c r="AF127" s="79">
        <v>0.0</v>
      </c>
      <c r="AG127" s="79">
        <v>1700.0</v>
      </c>
      <c r="AH127" s="83">
        <v>18700.0</v>
      </c>
      <c r="AI127" s="79"/>
      <c r="AJ127" s="79">
        <v>0.0</v>
      </c>
      <c r="AK127" s="79">
        <v>0.0</v>
      </c>
      <c r="AL127" s="83">
        <v>0.0</v>
      </c>
      <c r="AM127" s="79">
        <v>0.0</v>
      </c>
      <c r="AN127" s="79">
        <v>0.0</v>
      </c>
      <c r="AO127" s="79">
        <v>0.0</v>
      </c>
      <c r="AP127" s="79">
        <v>0.0</v>
      </c>
      <c r="AQ127" s="79">
        <v>17000.0</v>
      </c>
      <c r="AR127" s="79" t="s">
        <v>525</v>
      </c>
      <c r="AS127" s="79">
        <v>0.0</v>
      </c>
      <c r="AT127" s="79" t="s">
        <v>490</v>
      </c>
      <c r="AU127" s="79" t="s">
        <v>491</v>
      </c>
      <c r="AV127" s="79">
        <v>0.0</v>
      </c>
      <c r="AW127" s="79"/>
      <c r="AX127" s="79">
        <v>0.0</v>
      </c>
      <c r="AY127" s="79" t="s">
        <v>492</v>
      </c>
      <c r="AZ127" s="79">
        <v>0.0</v>
      </c>
      <c r="BA127" s="82"/>
      <c r="BB127" s="79">
        <v>0.0</v>
      </c>
      <c r="BC127" s="79"/>
      <c r="BD127" s="79">
        <v>0.0</v>
      </c>
      <c r="BE127" s="82"/>
      <c r="BF127" s="79">
        <v>0.0</v>
      </c>
      <c r="BG127" s="82"/>
      <c r="BH127" s="79">
        <v>0.0</v>
      </c>
      <c r="BI127" s="79" t="s">
        <v>493</v>
      </c>
      <c r="BJ127" s="79">
        <v>0.0</v>
      </c>
      <c r="BK127" s="79" t="s">
        <v>494</v>
      </c>
      <c r="BL127" s="79">
        <v>0.0</v>
      </c>
      <c r="BM127" s="79" t="s">
        <v>495</v>
      </c>
      <c r="BN127" s="79">
        <v>0.0</v>
      </c>
      <c r="BO127" s="79" t="s">
        <v>496</v>
      </c>
      <c r="BP127" s="79">
        <v>0.0</v>
      </c>
      <c r="BQ127" s="79"/>
      <c r="BR127" s="79">
        <v>0.0</v>
      </c>
      <c r="BS127" s="79"/>
      <c r="BT127" s="79">
        <v>0.0</v>
      </c>
      <c r="BU127" s="79"/>
      <c r="BV127" s="79">
        <v>0.0</v>
      </c>
      <c r="BW127" s="79"/>
      <c r="BX127" s="79">
        <v>0.0</v>
      </c>
      <c r="BY127" s="79">
        <v>0.0</v>
      </c>
      <c r="BZ127" s="79" t="s">
        <v>491</v>
      </c>
      <c r="CA127" s="79">
        <v>0.0</v>
      </c>
      <c r="CB127" s="79" t="s">
        <v>490</v>
      </c>
      <c r="CC127" s="79"/>
      <c r="CD127" s="79">
        <v>0.0</v>
      </c>
      <c r="CE127" s="79" t="s">
        <v>492</v>
      </c>
      <c r="CF127" s="79">
        <v>0.0</v>
      </c>
      <c r="CG127" s="79"/>
      <c r="CH127" s="79">
        <v>0.0</v>
      </c>
      <c r="CI127" s="79"/>
      <c r="CJ127" s="79">
        <v>0.0</v>
      </c>
      <c r="CK127" s="79"/>
      <c r="CL127" s="79">
        <v>0.0</v>
      </c>
      <c r="CM127" s="79"/>
      <c r="CN127" s="79">
        <v>0.0</v>
      </c>
      <c r="CO127" s="79" t="s">
        <v>493</v>
      </c>
      <c r="CP127" s="79">
        <v>0.0</v>
      </c>
      <c r="CQ127" s="79" t="s">
        <v>494</v>
      </c>
      <c r="CR127" s="79">
        <v>0.0</v>
      </c>
      <c r="CS127" s="79" t="s">
        <v>495</v>
      </c>
      <c r="CT127" s="79">
        <v>0.0</v>
      </c>
      <c r="CU127" s="79" t="s">
        <v>496</v>
      </c>
      <c r="CV127" s="79">
        <v>0.0</v>
      </c>
      <c r="CW127" s="79"/>
      <c r="CX127" s="79">
        <v>0.0</v>
      </c>
      <c r="CY127" s="79"/>
      <c r="CZ127" s="79">
        <v>0.0</v>
      </c>
      <c r="DA127" s="79"/>
      <c r="DB127" s="79">
        <v>0.0</v>
      </c>
      <c r="DC127" s="79"/>
      <c r="DD127" s="79">
        <v>0.0</v>
      </c>
      <c r="DE127" s="79">
        <v>17000.0</v>
      </c>
      <c r="DF127" s="79">
        <v>0.0</v>
      </c>
      <c r="DG127" s="79">
        <v>0.0</v>
      </c>
      <c r="DH127" s="79">
        <v>0.0</v>
      </c>
      <c r="DI127" s="79">
        <v>0.0</v>
      </c>
      <c r="DJ127" s="79" t="s">
        <v>320</v>
      </c>
      <c r="DK127" s="79" t="s">
        <v>524</v>
      </c>
      <c r="DL127" s="79" t="s">
        <v>487</v>
      </c>
      <c r="DM127" s="79" t="s">
        <v>1046</v>
      </c>
      <c r="DN127" s="79" t="s">
        <v>1047</v>
      </c>
      <c r="DO127" s="79" t="s">
        <v>1048</v>
      </c>
      <c r="DP127" s="82"/>
      <c r="DQ127" s="79"/>
      <c r="DR127" s="82"/>
      <c r="DS127" s="79"/>
      <c r="DT127" s="82"/>
      <c r="DU127" s="79"/>
      <c r="DV127" s="82"/>
      <c r="DW127" s="79"/>
      <c r="DX127" s="79"/>
      <c r="DY127" s="79"/>
      <c r="DZ127" s="79"/>
      <c r="EA127" s="79"/>
      <c r="EB127" s="79"/>
      <c r="EC127" s="79"/>
      <c r="ED127" s="79"/>
      <c r="EE127" s="79"/>
      <c r="EF127" s="82"/>
      <c r="EG127" s="79"/>
      <c r="EH127" s="82"/>
      <c r="EI127" s="79"/>
      <c r="EJ127" s="82"/>
      <c r="EK127" s="79"/>
      <c r="EL127" s="82"/>
      <c r="EM127" s="79"/>
      <c r="EN127" s="79" t="s">
        <v>57</v>
      </c>
      <c r="EO127" s="79"/>
      <c r="EP127" s="17"/>
      <c r="EQ127" s="23"/>
      <c r="ER127" s="23" t="str">
        <f t="shared" si="5"/>
        <v/>
      </c>
      <c r="ES127" s="19"/>
      <c r="ET127" s="19" t="str">
        <f t="shared" si="6"/>
        <v/>
      </c>
      <c r="EU127" s="19"/>
      <c r="EV127" s="19"/>
      <c r="EW127" s="19"/>
      <c r="EX127" s="19"/>
      <c r="EY127" s="19"/>
      <c r="EZ127" s="19"/>
      <c r="FA127" s="19"/>
      <c r="FB127" s="19"/>
    </row>
    <row r="128" ht="15.75" customHeight="1">
      <c r="A128" s="4" t="s">
        <v>1244</v>
      </c>
      <c r="B128" s="4" t="s">
        <v>475</v>
      </c>
      <c r="C128" s="4" t="s">
        <v>476</v>
      </c>
      <c r="D128" s="78">
        <v>46130.0</v>
      </c>
      <c r="E128" s="4" t="s">
        <v>1245</v>
      </c>
      <c r="F128" s="4" t="s">
        <v>1033</v>
      </c>
      <c r="G128" s="4" t="s">
        <v>1173</v>
      </c>
      <c r="H128" s="4" t="s">
        <v>1246</v>
      </c>
      <c r="V128" s="4" t="s">
        <v>1070</v>
      </c>
      <c r="Y128" s="4" t="s">
        <v>1070</v>
      </c>
      <c r="Z128" s="4" t="s">
        <v>597</v>
      </c>
      <c r="AB128" s="4" t="s">
        <v>597</v>
      </c>
      <c r="AH128" s="23">
        <v>84480.0</v>
      </c>
      <c r="AL128" s="19"/>
      <c r="AM128" s="19"/>
      <c r="AN128" s="19"/>
      <c r="AO128" s="19"/>
      <c r="AP128" s="19"/>
      <c r="AQ128" s="4">
        <v>16800.0</v>
      </c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19"/>
      <c r="CW128" s="19"/>
      <c r="CX128" s="19"/>
      <c r="CY128" s="19"/>
      <c r="CZ128" s="19"/>
      <c r="DA128" s="19"/>
      <c r="DB128" s="19"/>
      <c r="DC128" s="19"/>
      <c r="DD128" s="19"/>
      <c r="DE128" s="19"/>
      <c r="DF128" s="19"/>
      <c r="DG128" s="19"/>
      <c r="DH128" s="19"/>
      <c r="DI128" s="19"/>
      <c r="DJ128" s="19"/>
      <c r="DK128" s="19"/>
      <c r="DL128" s="19"/>
      <c r="DM128" s="19"/>
      <c r="DN128" s="19"/>
      <c r="DO128" s="19"/>
      <c r="DP128" s="19"/>
      <c r="DQ128" s="19"/>
      <c r="DR128" s="19"/>
      <c r="DS128" s="19"/>
      <c r="DT128" s="19"/>
      <c r="DU128" s="19"/>
      <c r="DV128" s="19"/>
      <c r="DW128" s="19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4" t="s">
        <v>79</v>
      </c>
      <c r="EO128" s="19"/>
      <c r="EP128" s="17"/>
      <c r="EQ128" s="23"/>
      <c r="ER128" s="23" t="str">
        <f t="shared" si="5"/>
        <v/>
      </c>
      <c r="ES128" s="19"/>
      <c r="ET128" s="19" t="str">
        <f t="shared" si="6"/>
        <v/>
      </c>
      <c r="EU128" s="19"/>
      <c r="EV128" s="19"/>
      <c r="EW128" s="19"/>
      <c r="EX128" s="19"/>
      <c r="EY128" s="19"/>
      <c r="EZ128" s="19"/>
      <c r="FA128" s="19"/>
      <c r="FB128" s="19"/>
    </row>
    <row r="129" ht="15.75" customHeight="1">
      <c r="A129" s="4" t="s">
        <v>1247</v>
      </c>
      <c r="B129" s="4" t="s">
        <v>605</v>
      </c>
      <c r="C129" s="4" t="s">
        <v>476</v>
      </c>
      <c r="D129" s="78">
        <v>46130.0</v>
      </c>
      <c r="E129" s="4" t="s">
        <v>1069</v>
      </c>
      <c r="F129" s="4" t="s">
        <v>1033</v>
      </c>
      <c r="G129" s="4" t="s">
        <v>879</v>
      </c>
      <c r="H129" s="4" t="s">
        <v>1064</v>
      </c>
      <c r="V129" s="4" t="s">
        <v>1070</v>
      </c>
      <c r="Z129" s="4" t="s">
        <v>597</v>
      </c>
      <c r="AB129" s="4" t="s">
        <v>597</v>
      </c>
      <c r="AH129" s="23">
        <v>141416.0</v>
      </c>
      <c r="AL129" s="19"/>
      <c r="AM129" s="19"/>
      <c r="AN129" s="19"/>
      <c r="AO129" s="19"/>
      <c r="AP129" s="19"/>
      <c r="AQ129" s="4">
        <v>101248.0</v>
      </c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19"/>
      <c r="CW129" s="19"/>
      <c r="CX129" s="19"/>
      <c r="CY129" s="19"/>
      <c r="CZ129" s="19"/>
      <c r="DA129" s="19"/>
      <c r="DB129" s="19"/>
      <c r="DC129" s="19"/>
      <c r="DD129" s="19"/>
      <c r="DE129" s="19"/>
      <c r="DF129" s="19"/>
      <c r="DG129" s="19"/>
      <c r="DH129" s="19"/>
      <c r="DI129" s="19"/>
      <c r="DJ129" s="19"/>
      <c r="DK129" s="19"/>
      <c r="DL129" s="19"/>
      <c r="DM129" s="19"/>
      <c r="DN129" s="19"/>
      <c r="DO129" s="19"/>
      <c r="DP129" s="19"/>
      <c r="DQ129" s="19"/>
      <c r="DR129" s="19"/>
      <c r="DS129" s="19"/>
      <c r="DT129" s="19"/>
      <c r="DU129" s="19"/>
      <c r="DV129" s="19"/>
      <c r="DW129" s="19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4" t="s">
        <v>79</v>
      </c>
      <c r="EO129" s="19"/>
      <c r="EP129" s="17"/>
      <c r="EQ129" s="23"/>
      <c r="ER129" s="23" t="str">
        <f t="shared" si="5"/>
        <v/>
      </c>
      <c r="ES129" s="19"/>
      <c r="ET129" s="19" t="str">
        <f t="shared" si="6"/>
        <v/>
      </c>
      <c r="EU129" s="19"/>
      <c r="EV129" s="19"/>
      <c r="EW129" s="19"/>
      <c r="EX129" s="19"/>
      <c r="EY129" s="19"/>
      <c r="EZ129" s="19"/>
      <c r="FA129" s="19"/>
      <c r="FB129" s="19"/>
    </row>
    <row r="130" ht="15.75" customHeight="1">
      <c r="A130" s="4" t="s">
        <v>1248</v>
      </c>
      <c r="B130" s="4" t="s">
        <v>605</v>
      </c>
      <c r="C130" s="4" t="s">
        <v>476</v>
      </c>
      <c r="D130" s="78">
        <v>46130.0</v>
      </c>
      <c r="E130" s="4" t="s">
        <v>1069</v>
      </c>
      <c r="F130" s="4" t="s">
        <v>1033</v>
      </c>
      <c r="G130" s="4" t="s">
        <v>879</v>
      </c>
      <c r="H130" s="4" t="s">
        <v>1064</v>
      </c>
      <c r="V130" s="4" t="s">
        <v>1070</v>
      </c>
      <c r="Z130" s="4" t="s">
        <v>597</v>
      </c>
      <c r="AB130" s="4" t="s">
        <v>597</v>
      </c>
      <c r="AH130" s="23">
        <v>3080.0</v>
      </c>
      <c r="AL130" s="19"/>
      <c r="AM130" s="19"/>
      <c r="AN130" s="19"/>
      <c r="AO130" s="19"/>
      <c r="AP130" s="19"/>
      <c r="AQ130" s="4">
        <v>0.0</v>
      </c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19"/>
      <c r="CW130" s="19"/>
      <c r="CX130" s="19"/>
      <c r="CY130" s="19"/>
      <c r="CZ130" s="19"/>
      <c r="DA130" s="19"/>
      <c r="DB130" s="19"/>
      <c r="DC130" s="19"/>
      <c r="DD130" s="19"/>
      <c r="DE130" s="19"/>
      <c r="DF130" s="19"/>
      <c r="DG130" s="19"/>
      <c r="DH130" s="19"/>
      <c r="DI130" s="19"/>
      <c r="DJ130" s="19"/>
      <c r="DK130" s="19"/>
      <c r="DL130" s="19"/>
      <c r="DM130" s="19"/>
      <c r="DN130" s="19"/>
      <c r="DO130" s="19"/>
      <c r="DP130" s="19"/>
      <c r="DQ130" s="19"/>
      <c r="DR130" s="19"/>
      <c r="DS130" s="19"/>
      <c r="DT130" s="19"/>
      <c r="DU130" s="19"/>
      <c r="DV130" s="19"/>
      <c r="DW130" s="19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4" t="s">
        <v>79</v>
      </c>
      <c r="EO130" s="19"/>
      <c r="EP130" s="17"/>
      <c r="EQ130" s="23"/>
      <c r="ER130" s="23" t="str">
        <f t="shared" si="5"/>
        <v/>
      </c>
      <c r="ES130" s="19"/>
      <c r="ET130" s="19" t="str">
        <f t="shared" si="6"/>
        <v/>
      </c>
      <c r="EU130" s="19"/>
      <c r="EV130" s="19"/>
      <c r="EW130" s="19"/>
      <c r="EX130" s="19"/>
      <c r="EY130" s="19"/>
      <c r="EZ130" s="19"/>
      <c r="FA130" s="19"/>
      <c r="FB130" s="19"/>
    </row>
    <row r="131" ht="15.75" customHeight="1">
      <c r="A131" s="4" t="s">
        <v>1249</v>
      </c>
      <c r="B131" s="4" t="s">
        <v>605</v>
      </c>
      <c r="C131" s="4" t="s">
        <v>476</v>
      </c>
      <c r="D131" s="78">
        <v>46130.0</v>
      </c>
      <c r="E131" s="4" t="s">
        <v>1069</v>
      </c>
      <c r="F131" s="4" t="s">
        <v>1033</v>
      </c>
      <c r="G131" s="4" t="s">
        <v>879</v>
      </c>
      <c r="H131" s="4" t="s">
        <v>1064</v>
      </c>
      <c r="V131" s="4" t="s">
        <v>1070</v>
      </c>
      <c r="Z131" s="4" t="s">
        <v>597</v>
      </c>
      <c r="AB131" s="4" t="s">
        <v>597</v>
      </c>
      <c r="AH131" s="23">
        <v>616.0</v>
      </c>
      <c r="AL131" s="19"/>
      <c r="AM131" s="19"/>
      <c r="AN131" s="19"/>
      <c r="AO131" s="19"/>
      <c r="AP131" s="19"/>
      <c r="AQ131" s="4">
        <v>0.0</v>
      </c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/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4" t="s">
        <v>79</v>
      </c>
      <c r="EO131" s="19"/>
      <c r="EP131" s="17"/>
      <c r="EQ131" s="23"/>
      <c r="ER131" s="23" t="str">
        <f t="shared" si="5"/>
        <v/>
      </c>
      <c r="ES131" s="19"/>
      <c r="ET131" s="19" t="str">
        <f t="shared" si="6"/>
        <v/>
      </c>
      <c r="EU131" s="19"/>
      <c r="EV131" s="19"/>
      <c r="EW131" s="19"/>
      <c r="EX131" s="19"/>
      <c r="EY131" s="19"/>
      <c r="EZ131" s="19"/>
      <c r="FA131" s="19"/>
      <c r="FB131" s="19"/>
    </row>
    <row r="132" ht="15.75" customHeight="1">
      <c r="A132" s="79" t="s">
        <v>1250</v>
      </c>
      <c r="B132" s="79" t="s">
        <v>475</v>
      </c>
      <c r="C132" s="79" t="s">
        <v>1022</v>
      </c>
      <c r="D132" s="80">
        <v>46131.0</v>
      </c>
      <c r="E132" s="79" t="s">
        <v>1251</v>
      </c>
      <c r="F132" s="79"/>
      <c r="G132" s="79" t="s">
        <v>1252</v>
      </c>
      <c r="H132" s="79" t="s">
        <v>1253</v>
      </c>
      <c r="I132" s="79"/>
      <c r="J132" s="79" t="s">
        <v>1254</v>
      </c>
      <c r="K132" s="79">
        <v>4000.0</v>
      </c>
      <c r="L132" s="79"/>
      <c r="M132" s="79" t="s">
        <v>1255</v>
      </c>
      <c r="N132" s="79" t="s">
        <v>1256</v>
      </c>
      <c r="O132" s="79" t="s">
        <v>484</v>
      </c>
      <c r="P132" s="79"/>
      <c r="Q132" s="79" t="s">
        <v>1257</v>
      </c>
      <c r="R132" s="79">
        <v>46407.0</v>
      </c>
      <c r="S132" s="79" t="s">
        <v>1258</v>
      </c>
      <c r="T132" s="79">
        <v>31110.0</v>
      </c>
      <c r="U132" s="79"/>
      <c r="V132" s="79"/>
      <c r="W132" s="80"/>
      <c r="X132" s="79"/>
      <c r="Y132" s="80"/>
      <c r="Z132" s="79" t="s">
        <v>557</v>
      </c>
      <c r="AA132" s="79" t="s">
        <v>487</v>
      </c>
      <c r="AB132" s="79" t="s">
        <v>557</v>
      </c>
      <c r="AC132" s="79" t="s">
        <v>488</v>
      </c>
      <c r="AD132" s="79">
        <v>392000.0</v>
      </c>
      <c r="AE132" s="79">
        <v>0.0</v>
      </c>
      <c r="AF132" s="79">
        <v>0.0</v>
      </c>
      <c r="AG132" s="79">
        <v>39200.0</v>
      </c>
      <c r="AH132" s="83">
        <v>431200.0</v>
      </c>
      <c r="AI132" s="79"/>
      <c r="AJ132" s="79">
        <v>0.0</v>
      </c>
      <c r="AK132" s="79"/>
      <c r="AL132" s="83"/>
      <c r="AM132" s="79"/>
      <c r="AN132" s="79"/>
      <c r="AO132" s="79"/>
      <c r="AP132" s="79">
        <v>0.0</v>
      </c>
      <c r="AQ132" s="79">
        <v>172000.0</v>
      </c>
      <c r="AR132" s="79" t="s">
        <v>525</v>
      </c>
      <c r="AS132" s="79">
        <v>0.0</v>
      </c>
      <c r="AT132" s="79" t="s">
        <v>507</v>
      </c>
      <c r="AU132" s="79" t="s">
        <v>491</v>
      </c>
      <c r="AV132" s="79">
        <v>0.0</v>
      </c>
      <c r="AW132" s="79" t="s">
        <v>508</v>
      </c>
      <c r="AX132" s="79">
        <v>0.0</v>
      </c>
      <c r="AY132" s="79"/>
      <c r="AZ132" s="79">
        <v>0.0</v>
      </c>
      <c r="BA132" s="79"/>
      <c r="BB132" s="79">
        <v>0.0</v>
      </c>
      <c r="BC132" s="79"/>
      <c r="BD132" s="79">
        <v>0.0</v>
      </c>
      <c r="BE132" s="82"/>
      <c r="BF132" s="79">
        <v>0.0</v>
      </c>
      <c r="BG132" s="79"/>
      <c r="BH132" s="79">
        <v>0.0</v>
      </c>
      <c r="BI132" s="79" t="s">
        <v>493</v>
      </c>
      <c r="BJ132" s="79">
        <v>0.0</v>
      </c>
      <c r="BK132" s="79" t="s">
        <v>494</v>
      </c>
      <c r="BL132" s="79">
        <v>0.0</v>
      </c>
      <c r="BM132" s="79" t="s">
        <v>495</v>
      </c>
      <c r="BN132" s="79">
        <v>0.0</v>
      </c>
      <c r="BO132" s="79" t="s">
        <v>496</v>
      </c>
      <c r="BP132" s="79">
        <v>0.0</v>
      </c>
      <c r="BQ132" s="79"/>
      <c r="BR132" s="79">
        <v>0.0</v>
      </c>
      <c r="BS132" s="79"/>
      <c r="BT132" s="79">
        <v>0.0</v>
      </c>
      <c r="BU132" s="79"/>
      <c r="BV132" s="79">
        <v>0.0</v>
      </c>
      <c r="BW132" s="79"/>
      <c r="BX132" s="79">
        <v>0.0</v>
      </c>
      <c r="BY132" s="79"/>
      <c r="BZ132" s="79"/>
      <c r="CA132" s="79"/>
      <c r="CB132" s="79"/>
      <c r="CC132" s="79"/>
      <c r="CD132" s="79"/>
      <c r="CE132" s="79"/>
      <c r="CF132" s="79"/>
      <c r="CG132" s="79"/>
      <c r="CH132" s="79"/>
      <c r="CI132" s="79"/>
      <c r="CJ132" s="79"/>
      <c r="CK132" s="79"/>
      <c r="CL132" s="79"/>
      <c r="CM132" s="79"/>
      <c r="CN132" s="79"/>
      <c r="CO132" s="79"/>
      <c r="CP132" s="79"/>
      <c r="CQ132" s="79"/>
      <c r="CR132" s="79"/>
      <c r="CS132" s="79"/>
      <c r="CT132" s="79"/>
      <c r="CU132" s="79"/>
      <c r="CV132" s="79"/>
      <c r="CW132" s="79"/>
      <c r="CX132" s="79"/>
      <c r="CY132" s="79"/>
      <c r="CZ132" s="79"/>
      <c r="DA132" s="79"/>
      <c r="DB132" s="79"/>
      <c r="DC132" s="79"/>
      <c r="DD132" s="79"/>
      <c r="DE132" s="79"/>
      <c r="DF132" s="79"/>
      <c r="DG132" s="79"/>
      <c r="DH132" s="79"/>
      <c r="DI132" s="79"/>
      <c r="DJ132" s="79" t="s">
        <v>1259</v>
      </c>
      <c r="DK132" s="79" t="s">
        <v>1260</v>
      </c>
      <c r="DL132" s="79" t="s">
        <v>555</v>
      </c>
      <c r="DM132" s="79" t="s">
        <v>558</v>
      </c>
      <c r="DN132" s="79" t="s">
        <v>1261</v>
      </c>
      <c r="DO132" s="79"/>
      <c r="DP132" s="82"/>
      <c r="DQ132" s="79"/>
      <c r="DR132" s="82"/>
      <c r="DS132" s="79"/>
      <c r="DT132" s="82"/>
      <c r="DU132" s="79"/>
      <c r="DV132" s="82"/>
      <c r="DW132" s="79"/>
      <c r="DX132" s="79"/>
      <c r="DY132" s="79"/>
      <c r="DZ132" s="79"/>
      <c r="EA132" s="79"/>
      <c r="EB132" s="79"/>
      <c r="EC132" s="79"/>
      <c r="ED132" s="79"/>
      <c r="EE132" s="79"/>
      <c r="EF132" s="82"/>
      <c r="EG132" s="79"/>
      <c r="EH132" s="82"/>
      <c r="EI132" s="79"/>
      <c r="EJ132" s="82"/>
      <c r="EK132" s="79"/>
      <c r="EL132" s="82"/>
      <c r="EM132" s="79">
        <v>0.0</v>
      </c>
      <c r="EN132" s="79" t="s">
        <v>79</v>
      </c>
      <c r="EO132" s="79"/>
      <c r="EP132" s="17"/>
      <c r="EQ132" s="23"/>
      <c r="ER132" s="23" t="str">
        <f t="shared" si="5"/>
        <v/>
      </c>
      <c r="ES132" s="19"/>
      <c r="ET132" s="19" t="str">
        <f t="shared" si="6"/>
        <v/>
      </c>
      <c r="EU132" s="19"/>
      <c r="EV132" s="19"/>
      <c r="EW132" s="19"/>
      <c r="EX132" s="19"/>
      <c r="EY132" s="19"/>
      <c r="EZ132" s="19"/>
      <c r="FA132" s="19"/>
      <c r="FB132" s="19"/>
    </row>
    <row r="133" ht="15.75" customHeight="1">
      <c r="A133" s="79" t="s">
        <v>179</v>
      </c>
      <c r="B133" s="79" t="s">
        <v>475</v>
      </c>
      <c r="C133" s="79" t="s">
        <v>476</v>
      </c>
      <c r="D133" s="80">
        <v>46131.0</v>
      </c>
      <c r="E133" s="79" t="s">
        <v>1262</v>
      </c>
      <c r="F133" s="82"/>
      <c r="G133" s="79" t="s">
        <v>1263</v>
      </c>
      <c r="H133" s="79" t="s">
        <v>1264</v>
      </c>
      <c r="I133" s="79"/>
      <c r="J133" s="79" t="s">
        <v>1265</v>
      </c>
      <c r="K133" s="79">
        <v>3000.0</v>
      </c>
      <c r="L133" s="79"/>
      <c r="M133" s="79" t="s">
        <v>1266</v>
      </c>
      <c r="N133" s="79" t="s">
        <v>572</v>
      </c>
      <c r="O133" s="79" t="s">
        <v>573</v>
      </c>
      <c r="P133" s="79"/>
      <c r="Q133" s="79" t="s">
        <v>1267</v>
      </c>
      <c r="R133" s="80">
        <v>46594.0</v>
      </c>
      <c r="S133" s="79"/>
      <c r="T133" s="79">
        <v>32586.0</v>
      </c>
      <c r="U133" s="79"/>
      <c r="V133" s="79"/>
      <c r="W133" s="79"/>
      <c r="X133" s="79"/>
      <c r="Y133" s="79"/>
      <c r="Z133" s="79" t="s">
        <v>557</v>
      </c>
      <c r="AA133" s="79" t="s">
        <v>487</v>
      </c>
      <c r="AB133" s="79" t="s">
        <v>557</v>
      </c>
      <c r="AC133" s="79" t="s">
        <v>488</v>
      </c>
      <c r="AD133" s="79">
        <v>50000.0</v>
      </c>
      <c r="AE133" s="79">
        <v>0.0</v>
      </c>
      <c r="AF133" s="79">
        <v>0.0</v>
      </c>
      <c r="AG133" s="79">
        <v>5000.0</v>
      </c>
      <c r="AH133" s="83">
        <v>55000.0</v>
      </c>
      <c r="AI133" s="79"/>
      <c r="AJ133" s="79">
        <v>0.0</v>
      </c>
      <c r="AK133" s="79">
        <v>6596.0</v>
      </c>
      <c r="AL133" s="83">
        <v>0.0</v>
      </c>
      <c r="AM133" s="79">
        <v>0.0</v>
      </c>
      <c r="AN133" s="79">
        <v>660.0</v>
      </c>
      <c r="AO133" s="79">
        <v>7256.0</v>
      </c>
      <c r="AP133" s="79">
        <v>0.0</v>
      </c>
      <c r="AQ133" s="79">
        <v>43404.0</v>
      </c>
      <c r="AR133" s="79" t="s">
        <v>1268</v>
      </c>
      <c r="AS133" s="79">
        <v>0.0</v>
      </c>
      <c r="AT133" s="79" t="s">
        <v>490</v>
      </c>
      <c r="AU133" s="79" t="s">
        <v>491</v>
      </c>
      <c r="AV133" s="79">
        <v>0.0</v>
      </c>
      <c r="AW133" s="79"/>
      <c r="AX133" s="79">
        <v>0.0</v>
      </c>
      <c r="AY133" s="79" t="s">
        <v>492</v>
      </c>
      <c r="AZ133" s="79">
        <v>0.0</v>
      </c>
      <c r="BA133" s="79"/>
      <c r="BB133" s="79">
        <v>0.0</v>
      </c>
      <c r="BC133" s="82"/>
      <c r="BD133" s="79">
        <v>0.0</v>
      </c>
      <c r="BE133" s="82"/>
      <c r="BF133" s="79">
        <v>0.0</v>
      </c>
      <c r="BG133" s="82"/>
      <c r="BH133" s="79">
        <v>0.0</v>
      </c>
      <c r="BI133" s="79" t="s">
        <v>493</v>
      </c>
      <c r="BJ133" s="79">
        <v>0.0</v>
      </c>
      <c r="BK133" s="79" t="s">
        <v>494</v>
      </c>
      <c r="BL133" s="79">
        <v>0.0</v>
      </c>
      <c r="BM133" s="79" t="s">
        <v>495</v>
      </c>
      <c r="BN133" s="79">
        <v>0.0</v>
      </c>
      <c r="BO133" s="79" t="s">
        <v>496</v>
      </c>
      <c r="BP133" s="79">
        <v>0.0</v>
      </c>
      <c r="BQ133" s="79"/>
      <c r="BR133" s="79">
        <v>0.0</v>
      </c>
      <c r="BS133" s="79"/>
      <c r="BT133" s="79">
        <v>0.0</v>
      </c>
      <c r="BU133" s="79"/>
      <c r="BV133" s="79">
        <v>0.0</v>
      </c>
      <c r="BW133" s="79"/>
      <c r="BX133" s="79">
        <v>0.0</v>
      </c>
      <c r="BY133" s="79">
        <v>0.0</v>
      </c>
      <c r="BZ133" s="79" t="s">
        <v>491</v>
      </c>
      <c r="CA133" s="79">
        <v>0.0</v>
      </c>
      <c r="CB133" s="79" t="s">
        <v>490</v>
      </c>
      <c r="CC133" s="79"/>
      <c r="CD133" s="79">
        <v>0.0</v>
      </c>
      <c r="CE133" s="79" t="s">
        <v>492</v>
      </c>
      <c r="CF133" s="79">
        <v>0.0</v>
      </c>
      <c r="CG133" s="79"/>
      <c r="CH133" s="79">
        <v>0.0</v>
      </c>
      <c r="CI133" s="79"/>
      <c r="CJ133" s="79">
        <v>0.0</v>
      </c>
      <c r="CK133" s="79"/>
      <c r="CL133" s="79">
        <v>0.0</v>
      </c>
      <c r="CM133" s="79"/>
      <c r="CN133" s="79">
        <v>0.0</v>
      </c>
      <c r="CO133" s="79" t="s">
        <v>493</v>
      </c>
      <c r="CP133" s="79">
        <v>0.0</v>
      </c>
      <c r="CQ133" s="79" t="s">
        <v>494</v>
      </c>
      <c r="CR133" s="79">
        <v>0.0</v>
      </c>
      <c r="CS133" s="79" t="s">
        <v>495</v>
      </c>
      <c r="CT133" s="79">
        <v>0.0</v>
      </c>
      <c r="CU133" s="79" t="s">
        <v>496</v>
      </c>
      <c r="CV133" s="79">
        <v>0.0</v>
      </c>
      <c r="CW133" s="79"/>
      <c r="CX133" s="79">
        <v>0.0</v>
      </c>
      <c r="CY133" s="79"/>
      <c r="CZ133" s="79">
        <v>0.0</v>
      </c>
      <c r="DA133" s="79"/>
      <c r="DB133" s="79">
        <v>0.0</v>
      </c>
      <c r="DC133" s="79"/>
      <c r="DD133" s="79">
        <v>0.0</v>
      </c>
      <c r="DE133" s="79">
        <v>25000.0</v>
      </c>
      <c r="DF133" s="79">
        <v>25000.0</v>
      </c>
      <c r="DG133" s="79">
        <v>0.0</v>
      </c>
      <c r="DH133" s="79">
        <v>0.0</v>
      </c>
      <c r="DI133" s="79">
        <v>6596.0</v>
      </c>
      <c r="DJ133" s="79" t="s">
        <v>180</v>
      </c>
      <c r="DK133" s="79" t="s">
        <v>1260</v>
      </c>
      <c r="DL133" s="79" t="s">
        <v>555</v>
      </c>
      <c r="DM133" s="79" t="s">
        <v>1269</v>
      </c>
      <c r="DN133" s="79" t="s">
        <v>1270</v>
      </c>
      <c r="DO133" s="79" t="s">
        <v>1271</v>
      </c>
      <c r="DP133" s="82"/>
      <c r="DQ133" s="79"/>
      <c r="DR133" s="82"/>
      <c r="DS133" s="79"/>
      <c r="DT133" s="82"/>
      <c r="DU133" s="79"/>
      <c r="DV133" s="82"/>
      <c r="DW133" s="79"/>
      <c r="DX133" s="79"/>
      <c r="DY133" s="79"/>
      <c r="DZ133" s="79"/>
      <c r="EA133" s="79"/>
      <c r="EB133" s="79"/>
      <c r="EC133" s="79"/>
      <c r="ED133" s="79"/>
      <c r="EE133" s="79"/>
      <c r="EF133" s="82"/>
      <c r="EG133" s="79"/>
      <c r="EH133" s="82"/>
      <c r="EI133" s="79"/>
      <c r="EJ133" s="82"/>
      <c r="EK133" s="79"/>
      <c r="EL133" s="82"/>
      <c r="EM133" s="79"/>
      <c r="EN133" s="79" t="s">
        <v>156</v>
      </c>
      <c r="EO133" s="79" t="s">
        <v>173</v>
      </c>
      <c r="EP133" s="17"/>
      <c r="EQ133" s="23"/>
      <c r="ER133" s="23" t="str">
        <f t="shared" si="5"/>
        <v/>
      </c>
      <c r="ES133" s="19"/>
      <c r="ET133" s="19" t="str">
        <f t="shared" si="6"/>
        <v/>
      </c>
      <c r="EU133" s="19"/>
      <c r="EV133" s="19"/>
      <c r="EW133" s="19"/>
      <c r="EX133" s="19"/>
      <c r="EY133" s="19"/>
      <c r="EZ133" s="19"/>
      <c r="FA133" s="19"/>
      <c r="FB133" s="19"/>
    </row>
    <row r="134" ht="15.75" customHeight="1">
      <c r="A134" s="79" t="s">
        <v>1272</v>
      </c>
      <c r="B134" s="79" t="s">
        <v>591</v>
      </c>
      <c r="C134" s="79" t="s">
        <v>476</v>
      </c>
      <c r="D134" s="80">
        <v>46135.0</v>
      </c>
      <c r="E134" s="79" t="s">
        <v>1273</v>
      </c>
      <c r="F134" s="82"/>
      <c r="G134" s="79" t="s">
        <v>533</v>
      </c>
      <c r="H134" s="79" t="s">
        <v>1274</v>
      </c>
      <c r="I134" s="79"/>
      <c r="J134" s="79" t="s">
        <v>1275</v>
      </c>
      <c r="K134" s="79">
        <v>0.0</v>
      </c>
      <c r="L134" s="79"/>
      <c r="M134" s="79" t="s">
        <v>1276</v>
      </c>
      <c r="N134" s="79"/>
      <c r="O134" s="79"/>
      <c r="P134" s="79"/>
      <c r="Q134" s="79"/>
      <c r="R134" s="79">
        <v>46902.0</v>
      </c>
      <c r="S134" s="79" t="s">
        <v>1277</v>
      </c>
      <c r="T134" s="79">
        <v>25190.0</v>
      </c>
      <c r="U134" s="79"/>
      <c r="V134" s="79"/>
      <c r="W134" s="79">
        <v>46130.0</v>
      </c>
      <c r="X134" s="79"/>
      <c r="Y134" s="79">
        <v>46136.0</v>
      </c>
      <c r="Z134" s="79" t="s">
        <v>486</v>
      </c>
      <c r="AA134" s="79" t="s">
        <v>537</v>
      </c>
      <c r="AB134" s="79" t="s">
        <v>486</v>
      </c>
      <c r="AC134" s="79" t="s">
        <v>488</v>
      </c>
      <c r="AD134" s="79">
        <v>150100.0</v>
      </c>
      <c r="AE134" s="79">
        <v>12000.0</v>
      </c>
      <c r="AF134" s="79">
        <v>61250.0</v>
      </c>
      <c r="AG134" s="79">
        <v>16210.0</v>
      </c>
      <c r="AH134" s="83">
        <v>239560.0</v>
      </c>
      <c r="AI134" s="79"/>
      <c r="AJ134" s="79">
        <v>0.0</v>
      </c>
      <c r="AK134" s="79"/>
      <c r="AL134" s="83"/>
      <c r="AM134" s="79"/>
      <c r="AN134" s="79"/>
      <c r="AO134" s="79"/>
      <c r="AP134" s="79">
        <v>0.0</v>
      </c>
      <c r="AQ134" s="79">
        <v>124466.0</v>
      </c>
      <c r="AR134" s="79" t="s">
        <v>489</v>
      </c>
      <c r="AS134" s="79">
        <v>12000.0</v>
      </c>
      <c r="AT134" s="79" t="s">
        <v>836</v>
      </c>
      <c r="AU134" s="79" t="s">
        <v>491</v>
      </c>
      <c r="AV134" s="79">
        <v>0.0</v>
      </c>
      <c r="AW134" s="79"/>
      <c r="AX134" s="79">
        <v>0.0</v>
      </c>
      <c r="AY134" s="79"/>
      <c r="AZ134" s="79">
        <v>0.0</v>
      </c>
      <c r="BA134" s="79"/>
      <c r="BB134" s="79">
        <v>0.0</v>
      </c>
      <c r="BC134" s="82"/>
      <c r="BD134" s="79">
        <v>0.0</v>
      </c>
      <c r="BE134" s="82"/>
      <c r="BF134" s="79">
        <v>0.0</v>
      </c>
      <c r="BG134" s="82"/>
      <c r="BH134" s="79">
        <v>0.0</v>
      </c>
      <c r="BI134" s="79" t="s">
        <v>493</v>
      </c>
      <c r="BJ134" s="79">
        <v>17650.0</v>
      </c>
      <c r="BK134" s="79" t="s">
        <v>494</v>
      </c>
      <c r="BL134" s="79">
        <v>41000.0</v>
      </c>
      <c r="BM134" s="79" t="s">
        <v>495</v>
      </c>
      <c r="BN134" s="79">
        <v>2600.0</v>
      </c>
      <c r="BO134" s="79" t="s">
        <v>496</v>
      </c>
      <c r="BP134" s="79">
        <v>0.0</v>
      </c>
      <c r="BQ134" s="79"/>
      <c r="BR134" s="79">
        <v>0.0</v>
      </c>
      <c r="BS134" s="79"/>
      <c r="BT134" s="79">
        <v>0.0</v>
      </c>
      <c r="BU134" s="79"/>
      <c r="BV134" s="79">
        <v>0.0</v>
      </c>
      <c r="BW134" s="79"/>
      <c r="BX134" s="79">
        <v>0.0</v>
      </c>
      <c r="BY134" s="79"/>
      <c r="BZ134" s="79"/>
      <c r="CA134" s="79"/>
      <c r="CB134" s="79"/>
      <c r="CC134" s="79"/>
      <c r="CD134" s="79"/>
      <c r="CE134" s="79"/>
      <c r="CF134" s="79"/>
      <c r="CG134" s="79"/>
      <c r="CH134" s="79"/>
      <c r="CI134" s="79"/>
      <c r="CJ134" s="79"/>
      <c r="CK134" s="79"/>
      <c r="CL134" s="79"/>
      <c r="CM134" s="79"/>
      <c r="CN134" s="79"/>
      <c r="CO134" s="79"/>
      <c r="CP134" s="79"/>
      <c r="CQ134" s="79"/>
      <c r="CR134" s="79"/>
      <c r="CS134" s="79"/>
      <c r="CT134" s="79"/>
      <c r="CU134" s="79"/>
      <c r="CV134" s="79"/>
      <c r="CW134" s="79"/>
      <c r="CX134" s="79"/>
      <c r="CY134" s="79"/>
      <c r="CZ134" s="79"/>
      <c r="DA134" s="79"/>
      <c r="DB134" s="79"/>
      <c r="DC134" s="79"/>
      <c r="DD134" s="79"/>
      <c r="DE134" s="79"/>
      <c r="DF134" s="79"/>
      <c r="DG134" s="79"/>
      <c r="DH134" s="79"/>
      <c r="DI134" s="79"/>
      <c r="DJ134" s="79" t="s">
        <v>1278</v>
      </c>
      <c r="DK134" s="79" t="s">
        <v>486</v>
      </c>
      <c r="DL134" s="79" t="s">
        <v>537</v>
      </c>
      <c r="DM134" s="79" t="s">
        <v>1279</v>
      </c>
      <c r="DN134" s="79"/>
      <c r="DO134" s="79" t="s">
        <v>733</v>
      </c>
      <c r="DP134" s="82"/>
      <c r="DQ134" s="79"/>
      <c r="DR134" s="82"/>
      <c r="DS134" s="79"/>
      <c r="DT134" s="82"/>
      <c r="DU134" s="79"/>
      <c r="DV134" s="82"/>
      <c r="DW134" s="79"/>
      <c r="DX134" s="79"/>
      <c r="DY134" s="79"/>
      <c r="DZ134" s="79"/>
      <c r="EA134" s="79"/>
      <c r="EB134" s="79"/>
      <c r="EC134" s="79"/>
      <c r="ED134" s="79"/>
      <c r="EE134" s="79"/>
      <c r="EF134" s="82"/>
      <c r="EG134" s="79"/>
      <c r="EH134" s="82"/>
      <c r="EI134" s="79"/>
      <c r="EJ134" s="82"/>
      <c r="EK134" s="79"/>
      <c r="EL134" s="82"/>
      <c r="EM134" s="79">
        <v>0.0</v>
      </c>
      <c r="EN134" s="79" t="s">
        <v>79</v>
      </c>
      <c r="EO134" s="79"/>
      <c r="EP134" s="17"/>
      <c r="EQ134" s="23"/>
      <c r="ER134" s="23" t="str">
        <f t="shared" si="5"/>
        <v/>
      </c>
      <c r="ES134" s="19"/>
      <c r="ET134" s="19" t="str">
        <f t="shared" si="6"/>
        <v/>
      </c>
      <c r="EU134" s="19"/>
      <c r="EV134" s="19"/>
      <c r="EW134" s="19"/>
      <c r="EX134" s="19"/>
      <c r="EY134" s="19"/>
      <c r="EZ134" s="19"/>
      <c r="FA134" s="19"/>
      <c r="FB134" s="19"/>
    </row>
    <row r="135" ht="15.75" customHeight="1">
      <c r="A135" s="79" t="s">
        <v>184</v>
      </c>
      <c r="B135" s="79" t="s">
        <v>475</v>
      </c>
      <c r="C135" s="79" t="s">
        <v>476</v>
      </c>
      <c r="D135" s="80">
        <v>46135.0</v>
      </c>
      <c r="E135" s="79" t="s">
        <v>1102</v>
      </c>
      <c r="F135" s="82"/>
      <c r="G135" s="79" t="s">
        <v>1173</v>
      </c>
      <c r="H135" s="79" t="s">
        <v>895</v>
      </c>
      <c r="I135" s="79"/>
      <c r="J135" s="79" t="s">
        <v>1174</v>
      </c>
      <c r="K135" s="79">
        <v>3000.0</v>
      </c>
      <c r="L135" s="79"/>
      <c r="M135" s="79" t="s">
        <v>897</v>
      </c>
      <c r="N135" s="79" t="s">
        <v>521</v>
      </c>
      <c r="O135" s="79" t="s">
        <v>484</v>
      </c>
      <c r="P135" s="79"/>
      <c r="Q135" s="79" t="s">
        <v>1175</v>
      </c>
      <c r="R135" s="79">
        <v>46288.0</v>
      </c>
      <c r="S135" s="79" t="s">
        <v>1280</v>
      </c>
      <c r="T135" s="79">
        <v>43872.0</v>
      </c>
      <c r="U135" s="79"/>
      <c r="V135" s="79"/>
      <c r="W135" s="79">
        <v>46135.0</v>
      </c>
      <c r="X135" s="79"/>
      <c r="Y135" s="79"/>
      <c r="Z135" s="79" t="s">
        <v>486</v>
      </c>
      <c r="AA135" s="79" t="s">
        <v>487</v>
      </c>
      <c r="AB135" s="79" t="s">
        <v>486</v>
      </c>
      <c r="AC135" s="79" t="s">
        <v>488</v>
      </c>
      <c r="AD135" s="79">
        <v>26400.0</v>
      </c>
      <c r="AE135" s="79">
        <v>0.0</v>
      </c>
      <c r="AF135" s="79">
        <v>0.0</v>
      </c>
      <c r="AG135" s="79">
        <v>2640.0</v>
      </c>
      <c r="AH135" s="83">
        <v>29040.0</v>
      </c>
      <c r="AI135" s="79"/>
      <c r="AJ135" s="79">
        <v>0.0</v>
      </c>
      <c r="AK135" s="79"/>
      <c r="AL135" s="83"/>
      <c r="AM135" s="79"/>
      <c r="AN135" s="79"/>
      <c r="AO135" s="79"/>
      <c r="AP135" s="79">
        <v>0.0</v>
      </c>
      <c r="AQ135" s="79">
        <v>20290.0</v>
      </c>
      <c r="AR135" s="79" t="s">
        <v>489</v>
      </c>
      <c r="AS135" s="79">
        <v>0.0</v>
      </c>
      <c r="AT135" s="79" t="s">
        <v>490</v>
      </c>
      <c r="AU135" s="79" t="s">
        <v>491</v>
      </c>
      <c r="AV135" s="79">
        <v>0.0</v>
      </c>
      <c r="AW135" s="79"/>
      <c r="AX135" s="79">
        <v>0.0</v>
      </c>
      <c r="AY135" s="79" t="s">
        <v>492</v>
      </c>
      <c r="AZ135" s="79">
        <v>0.0</v>
      </c>
      <c r="BA135" s="79"/>
      <c r="BB135" s="79">
        <v>0.0</v>
      </c>
      <c r="BC135" s="82"/>
      <c r="BD135" s="79">
        <v>0.0</v>
      </c>
      <c r="BE135" s="82"/>
      <c r="BF135" s="79">
        <v>0.0</v>
      </c>
      <c r="BG135" s="82"/>
      <c r="BH135" s="79">
        <v>0.0</v>
      </c>
      <c r="BI135" s="79" t="s">
        <v>493</v>
      </c>
      <c r="BJ135" s="79">
        <v>0.0</v>
      </c>
      <c r="BK135" s="79" t="s">
        <v>494</v>
      </c>
      <c r="BL135" s="79">
        <v>0.0</v>
      </c>
      <c r="BM135" s="79" t="s">
        <v>495</v>
      </c>
      <c r="BN135" s="79">
        <v>0.0</v>
      </c>
      <c r="BO135" s="79" t="s">
        <v>496</v>
      </c>
      <c r="BP135" s="79">
        <v>0.0</v>
      </c>
      <c r="BQ135" s="79"/>
      <c r="BR135" s="79">
        <v>0.0</v>
      </c>
      <c r="BS135" s="79"/>
      <c r="BT135" s="79">
        <v>0.0</v>
      </c>
      <c r="BU135" s="79"/>
      <c r="BV135" s="79">
        <v>0.0</v>
      </c>
      <c r="BW135" s="79"/>
      <c r="BX135" s="79">
        <v>0.0</v>
      </c>
      <c r="BY135" s="79"/>
      <c r="BZ135" s="79"/>
      <c r="CA135" s="79"/>
      <c r="CB135" s="79"/>
      <c r="CC135" s="79"/>
      <c r="CD135" s="79"/>
      <c r="CE135" s="79"/>
      <c r="CF135" s="79"/>
      <c r="CG135" s="79"/>
      <c r="CH135" s="79"/>
      <c r="CI135" s="79"/>
      <c r="CJ135" s="79"/>
      <c r="CK135" s="79"/>
      <c r="CL135" s="79"/>
      <c r="CM135" s="79"/>
      <c r="CN135" s="79"/>
      <c r="CO135" s="79"/>
      <c r="CP135" s="79"/>
      <c r="CQ135" s="79"/>
      <c r="CR135" s="79"/>
      <c r="CS135" s="79"/>
      <c r="CT135" s="79"/>
      <c r="CU135" s="79"/>
      <c r="CV135" s="79"/>
      <c r="CW135" s="79"/>
      <c r="CX135" s="79"/>
      <c r="CY135" s="79"/>
      <c r="CZ135" s="79"/>
      <c r="DA135" s="79"/>
      <c r="DB135" s="79"/>
      <c r="DC135" s="79"/>
      <c r="DD135" s="79"/>
      <c r="DE135" s="79"/>
      <c r="DF135" s="79"/>
      <c r="DG135" s="79"/>
      <c r="DH135" s="79"/>
      <c r="DI135" s="79"/>
      <c r="DJ135" s="79" t="s">
        <v>185</v>
      </c>
      <c r="DK135" s="79" t="s">
        <v>486</v>
      </c>
      <c r="DL135" s="79" t="s">
        <v>487</v>
      </c>
      <c r="DM135" s="79" t="s">
        <v>1109</v>
      </c>
      <c r="DN135" s="79"/>
      <c r="DO135" s="79" t="s">
        <v>1110</v>
      </c>
      <c r="DP135" s="82"/>
      <c r="DQ135" s="79"/>
      <c r="DR135" s="82"/>
      <c r="DS135" s="79"/>
      <c r="DT135" s="82"/>
      <c r="DU135" s="79"/>
      <c r="DV135" s="82"/>
      <c r="DW135" s="79"/>
      <c r="DX135" s="79"/>
      <c r="DY135" s="79"/>
      <c r="DZ135" s="79"/>
      <c r="EA135" s="79"/>
      <c r="EB135" s="79"/>
      <c r="EC135" s="79"/>
      <c r="ED135" s="79"/>
      <c r="EE135" s="79"/>
      <c r="EF135" s="82"/>
      <c r="EG135" s="79"/>
      <c r="EH135" s="82"/>
      <c r="EI135" s="79"/>
      <c r="EJ135" s="82"/>
      <c r="EK135" s="79"/>
      <c r="EL135" s="82"/>
      <c r="EM135" s="79">
        <v>0.0</v>
      </c>
      <c r="EN135" s="79" t="s">
        <v>156</v>
      </c>
      <c r="EO135" s="79" t="s">
        <v>152</v>
      </c>
      <c r="EP135" s="17"/>
      <c r="EQ135" s="23"/>
      <c r="ER135" s="23" t="str">
        <f t="shared" si="5"/>
        <v/>
      </c>
      <c r="ES135" s="19"/>
      <c r="ET135" s="19" t="str">
        <f t="shared" si="6"/>
        <v/>
      </c>
      <c r="EU135" s="19"/>
      <c r="EV135" s="19"/>
      <c r="EW135" s="19"/>
      <c r="EX135" s="19"/>
      <c r="EY135" s="19"/>
      <c r="EZ135" s="19"/>
      <c r="FA135" s="19"/>
      <c r="FB135" s="19"/>
    </row>
    <row r="136" ht="15.75" customHeight="1">
      <c r="A136" s="79" t="s">
        <v>1281</v>
      </c>
      <c r="B136" s="79" t="s">
        <v>530</v>
      </c>
      <c r="C136" s="79" t="s">
        <v>476</v>
      </c>
      <c r="D136" s="80">
        <v>46137.0</v>
      </c>
      <c r="E136" s="79" t="s">
        <v>1041</v>
      </c>
      <c r="F136" s="79" t="s">
        <v>1136</v>
      </c>
      <c r="G136" s="79" t="s">
        <v>1042</v>
      </c>
      <c r="H136" s="79" t="s">
        <v>1043</v>
      </c>
      <c r="I136" s="79"/>
      <c r="J136" s="79" t="s">
        <v>1044</v>
      </c>
      <c r="K136" s="79">
        <v>2680.0</v>
      </c>
      <c r="L136" s="79"/>
      <c r="M136" s="79" t="s">
        <v>1045</v>
      </c>
      <c r="N136" s="79"/>
      <c r="O136" s="79"/>
      <c r="P136" s="79"/>
      <c r="Q136" s="79"/>
      <c r="R136" s="79">
        <v>46742.0</v>
      </c>
      <c r="S136" s="79" t="s">
        <v>1282</v>
      </c>
      <c r="T136" s="79">
        <v>39081.0</v>
      </c>
      <c r="U136" s="79"/>
      <c r="V136" s="79"/>
      <c r="W136" s="79"/>
      <c r="X136" s="79"/>
      <c r="Y136" s="79"/>
      <c r="Z136" s="79" t="s">
        <v>524</v>
      </c>
      <c r="AA136" s="79" t="s">
        <v>487</v>
      </c>
      <c r="AB136" s="79" t="s">
        <v>524</v>
      </c>
      <c r="AC136" s="79" t="s">
        <v>488</v>
      </c>
      <c r="AD136" s="79">
        <v>870600.0</v>
      </c>
      <c r="AE136" s="79">
        <v>0.0</v>
      </c>
      <c r="AF136" s="79">
        <v>0.0</v>
      </c>
      <c r="AG136" s="79">
        <v>87060.0</v>
      </c>
      <c r="AH136" s="83">
        <v>957660.0</v>
      </c>
      <c r="AI136" s="79"/>
      <c r="AJ136" s="79">
        <v>0.0</v>
      </c>
      <c r="AK136" s="79"/>
      <c r="AL136" s="83"/>
      <c r="AM136" s="79"/>
      <c r="AN136" s="79"/>
      <c r="AO136" s="79"/>
      <c r="AP136" s="79">
        <v>0.0</v>
      </c>
      <c r="AQ136" s="79">
        <v>132754.0</v>
      </c>
      <c r="AR136" s="79" t="s">
        <v>525</v>
      </c>
      <c r="AS136" s="79">
        <v>0.0</v>
      </c>
      <c r="AT136" s="79" t="s">
        <v>507</v>
      </c>
      <c r="AU136" s="79" t="s">
        <v>491</v>
      </c>
      <c r="AV136" s="79">
        <v>0.0</v>
      </c>
      <c r="AW136" s="79" t="s">
        <v>508</v>
      </c>
      <c r="AX136" s="79">
        <v>0.0</v>
      </c>
      <c r="AY136" s="79"/>
      <c r="AZ136" s="79">
        <v>0.0</v>
      </c>
      <c r="BA136" s="79"/>
      <c r="BB136" s="79">
        <v>0.0</v>
      </c>
      <c r="BC136" s="82"/>
      <c r="BD136" s="79">
        <v>0.0</v>
      </c>
      <c r="BE136" s="82"/>
      <c r="BF136" s="79">
        <v>0.0</v>
      </c>
      <c r="BG136" s="82"/>
      <c r="BH136" s="79">
        <v>0.0</v>
      </c>
      <c r="BI136" s="79" t="s">
        <v>493</v>
      </c>
      <c r="BJ136" s="79">
        <v>0.0</v>
      </c>
      <c r="BK136" s="79" t="s">
        <v>494</v>
      </c>
      <c r="BL136" s="79">
        <v>0.0</v>
      </c>
      <c r="BM136" s="79" t="s">
        <v>495</v>
      </c>
      <c r="BN136" s="79">
        <v>0.0</v>
      </c>
      <c r="BO136" s="79" t="s">
        <v>496</v>
      </c>
      <c r="BP136" s="79">
        <v>0.0</v>
      </c>
      <c r="BQ136" s="79"/>
      <c r="BR136" s="79">
        <v>0.0</v>
      </c>
      <c r="BS136" s="79"/>
      <c r="BT136" s="79">
        <v>0.0</v>
      </c>
      <c r="BU136" s="79"/>
      <c r="BV136" s="79">
        <v>0.0</v>
      </c>
      <c r="BW136" s="79"/>
      <c r="BX136" s="79">
        <v>0.0</v>
      </c>
      <c r="BY136" s="79"/>
      <c r="BZ136" s="79"/>
      <c r="CA136" s="79"/>
      <c r="CB136" s="79"/>
      <c r="CC136" s="79"/>
      <c r="CD136" s="79"/>
      <c r="CE136" s="79"/>
      <c r="CF136" s="79"/>
      <c r="CG136" s="79"/>
      <c r="CH136" s="79"/>
      <c r="CI136" s="79"/>
      <c r="CJ136" s="79"/>
      <c r="CK136" s="79"/>
      <c r="CL136" s="79"/>
      <c r="CM136" s="79"/>
      <c r="CN136" s="79"/>
      <c r="CO136" s="79"/>
      <c r="CP136" s="79"/>
      <c r="CQ136" s="79"/>
      <c r="CR136" s="79"/>
      <c r="CS136" s="79"/>
      <c r="CT136" s="79"/>
      <c r="CU136" s="79"/>
      <c r="CV136" s="79"/>
      <c r="CW136" s="79"/>
      <c r="CX136" s="79"/>
      <c r="CY136" s="79"/>
      <c r="CZ136" s="79"/>
      <c r="DA136" s="79"/>
      <c r="DB136" s="79"/>
      <c r="DC136" s="79"/>
      <c r="DD136" s="79"/>
      <c r="DE136" s="79"/>
      <c r="DF136" s="79"/>
      <c r="DG136" s="79"/>
      <c r="DH136" s="79"/>
      <c r="DI136" s="79"/>
      <c r="DJ136" s="79" t="s">
        <v>320</v>
      </c>
      <c r="DK136" s="79" t="s">
        <v>524</v>
      </c>
      <c r="DL136" s="79" t="s">
        <v>487</v>
      </c>
      <c r="DM136" s="79" t="s">
        <v>1046</v>
      </c>
      <c r="DN136" s="79" t="s">
        <v>1047</v>
      </c>
      <c r="DO136" s="79" t="s">
        <v>1048</v>
      </c>
      <c r="DP136" s="82"/>
      <c r="DQ136" s="79"/>
      <c r="DR136" s="82"/>
      <c r="DS136" s="79"/>
      <c r="DT136" s="82"/>
      <c r="DU136" s="79"/>
      <c r="DV136" s="82"/>
      <c r="DW136" s="79"/>
      <c r="DX136" s="79"/>
      <c r="DY136" s="79"/>
      <c r="DZ136" s="79"/>
      <c r="EA136" s="79"/>
      <c r="EB136" s="79"/>
      <c r="EC136" s="79"/>
      <c r="ED136" s="79"/>
      <c r="EE136" s="79"/>
      <c r="EF136" s="82"/>
      <c r="EG136" s="79"/>
      <c r="EH136" s="82"/>
      <c r="EI136" s="79"/>
      <c r="EJ136" s="82"/>
      <c r="EK136" s="79"/>
      <c r="EL136" s="82"/>
      <c r="EM136" s="79">
        <v>0.0</v>
      </c>
      <c r="EN136" s="79" t="s">
        <v>79</v>
      </c>
      <c r="EO136" s="79"/>
      <c r="EP136" s="17"/>
      <c r="EQ136" s="23"/>
      <c r="ER136" s="23" t="str">
        <f t="shared" si="5"/>
        <v/>
      </c>
      <c r="ES136" s="19"/>
      <c r="ET136" s="19" t="str">
        <f t="shared" si="6"/>
        <v/>
      </c>
      <c r="EU136" s="19"/>
      <c r="EV136" s="19"/>
      <c r="EW136" s="19"/>
      <c r="EX136" s="19"/>
      <c r="EY136" s="19"/>
      <c r="EZ136" s="19"/>
      <c r="FA136" s="19"/>
      <c r="FB136" s="19" t="s">
        <v>1283</v>
      </c>
    </row>
    <row r="137" ht="15.75" customHeight="1">
      <c r="A137" s="79" t="s">
        <v>1284</v>
      </c>
      <c r="B137" s="79" t="s">
        <v>543</v>
      </c>
      <c r="C137" s="79" t="s">
        <v>476</v>
      </c>
      <c r="D137" s="80">
        <v>46137.0</v>
      </c>
      <c r="E137" s="79" t="s">
        <v>618</v>
      </c>
      <c r="F137" s="79" t="s">
        <v>634</v>
      </c>
      <c r="G137" s="79" t="s">
        <v>619</v>
      </c>
      <c r="H137" s="79" t="s">
        <v>620</v>
      </c>
      <c r="I137" s="79" t="s">
        <v>621</v>
      </c>
      <c r="J137" s="79" t="s">
        <v>622</v>
      </c>
      <c r="K137" s="79">
        <v>3800.0</v>
      </c>
      <c r="L137" s="79" t="s">
        <v>623</v>
      </c>
      <c r="M137" s="79" t="s">
        <v>624</v>
      </c>
      <c r="N137" s="79" t="s">
        <v>521</v>
      </c>
      <c r="O137" s="79" t="s">
        <v>484</v>
      </c>
      <c r="P137" s="79" t="s">
        <v>625</v>
      </c>
      <c r="Q137" s="79" t="s">
        <v>626</v>
      </c>
      <c r="R137" s="79">
        <v>46822.0</v>
      </c>
      <c r="S137" s="79" t="s">
        <v>1285</v>
      </c>
      <c r="T137" s="79">
        <v>34767.0</v>
      </c>
      <c r="U137" s="79"/>
      <c r="V137" s="79"/>
      <c r="W137" s="79">
        <v>46107.0</v>
      </c>
      <c r="X137" s="79"/>
      <c r="Y137" s="79">
        <v>46107.0</v>
      </c>
      <c r="Z137" s="79" t="s">
        <v>557</v>
      </c>
      <c r="AA137" s="79" t="s">
        <v>627</v>
      </c>
      <c r="AB137" s="79" t="s">
        <v>557</v>
      </c>
      <c r="AC137" s="79" t="s">
        <v>488</v>
      </c>
      <c r="AD137" s="79">
        <v>1122727.0</v>
      </c>
      <c r="AE137" s="79">
        <v>0.0</v>
      </c>
      <c r="AF137" s="79">
        <v>0.0</v>
      </c>
      <c r="AG137" s="79">
        <v>112273.0</v>
      </c>
      <c r="AH137" s="83">
        <v>1235000.0</v>
      </c>
      <c r="AI137" s="79"/>
      <c r="AJ137" s="79">
        <v>0.0</v>
      </c>
      <c r="AK137" s="79"/>
      <c r="AL137" s="83"/>
      <c r="AM137" s="79"/>
      <c r="AN137" s="79"/>
      <c r="AO137" s="79"/>
      <c r="AP137" s="79">
        <v>0.0</v>
      </c>
      <c r="AQ137" s="79">
        <v>166123.0</v>
      </c>
      <c r="AR137" s="79" t="s">
        <v>525</v>
      </c>
      <c r="AS137" s="79">
        <v>0.0</v>
      </c>
      <c r="AT137" s="79" t="s">
        <v>507</v>
      </c>
      <c r="AU137" s="79" t="s">
        <v>491</v>
      </c>
      <c r="AV137" s="79">
        <v>0.0</v>
      </c>
      <c r="AW137" s="79" t="s">
        <v>508</v>
      </c>
      <c r="AX137" s="79">
        <v>0.0</v>
      </c>
      <c r="AY137" s="79"/>
      <c r="AZ137" s="79">
        <v>0.0</v>
      </c>
      <c r="BA137" s="79"/>
      <c r="BB137" s="79">
        <v>0.0</v>
      </c>
      <c r="BC137" s="82"/>
      <c r="BD137" s="79">
        <v>0.0</v>
      </c>
      <c r="BE137" s="82"/>
      <c r="BF137" s="79">
        <v>0.0</v>
      </c>
      <c r="BG137" s="82"/>
      <c r="BH137" s="79">
        <v>0.0</v>
      </c>
      <c r="BI137" s="79" t="s">
        <v>493</v>
      </c>
      <c r="BJ137" s="79">
        <v>0.0</v>
      </c>
      <c r="BK137" s="79" t="s">
        <v>494</v>
      </c>
      <c r="BL137" s="79">
        <v>0.0</v>
      </c>
      <c r="BM137" s="79" t="s">
        <v>495</v>
      </c>
      <c r="BN137" s="79">
        <v>0.0</v>
      </c>
      <c r="BO137" s="79" t="s">
        <v>496</v>
      </c>
      <c r="BP137" s="79">
        <v>0.0</v>
      </c>
      <c r="BQ137" s="79"/>
      <c r="BR137" s="79">
        <v>0.0</v>
      </c>
      <c r="BS137" s="79"/>
      <c r="BT137" s="79">
        <v>0.0</v>
      </c>
      <c r="BU137" s="79"/>
      <c r="BV137" s="79">
        <v>0.0</v>
      </c>
      <c r="BW137" s="79"/>
      <c r="BX137" s="79">
        <v>0.0</v>
      </c>
      <c r="BY137" s="79"/>
      <c r="BZ137" s="79"/>
      <c r="CA137" s="79"/>
      <c r="CB137" s="79"/>
      <c r="CC137" s="79"/>
      <c r="CD137" s="79"/>
      <c r="CE137" s="79"/>
      <c r="CF137" s="79"/>
      <c r="CG137" s="79"/>
      <c r="CH137" s="79"/>
      <c r="CI137" s="79"/>
      <c r="CJ137" s="79"/>
      <c r="CK137" s="79"/>
      <c r="CL137" s="79"/>
      <c r="CM137" s="79"/>
      <c r="CN137" s="79"/>
      <c r="CO137" s="79"/>
      <c r="CP137" s="79"/>
      <c r="CQ137" s="79"/>
      <c r="CR137" s="79"/>
      <c r="CS137" s="79"/>
      <c r="CT137" s="79"/>
      <c r="CU137" s="79"/>
      <c r="CV137" s="79"/>
      <c r="CW137" s="79"/>
      <c r="CX137" s="79"/>
      <c r="CY137" s="79"/>
      <c r="CZ137" s="79"/>
      <c r="DA137" s="79"/>
      <c r="DB137" s="79"/>
      <c r="DC137" s="79"/>
      <c r="DD137" s="79"/>
      <c r="DE137" s="79"/>
      <c r="DF137" s="79"/>
      <c r="DG137" s="79"/>
      <c r="DH137" s="79"/>
      <c r="DI137" s="79"/>
      <c r="DJ137" s="79" t="s">
        <v>628</v>
      </c>
      <c r="DK137" s="79" t="s">
        <v>557</v>
      </c>
      <c r="DL137" s="79" t="s">
        <v>487</v>
      </c>
      <c r="DM137" s="79" t="s">
        <v>629</v>
      </c>
      <c r="DN137" s="79" t="s">
        <v>630</v>
      </c>
      <c r="DO137" s="79">
        <v>9.037442434E9</v>
      </c>
      <c r="DP137" s="82"/>
      <c r="DQ137" s="79"/>
      <c r="DR137" s="82"/>
      <c r="DS137" s="79"/>
      <c r="DT137" s="82"/>
      <c r="DU137" s="79"/>
      <c r="DV137" s="82"/>
      <c r="DW137" s="79"/>
      <c r="DX137" s="79"/>
      <c r="DY137" s="79"/>
      <c r="DZ137" s="79"/>
      <c r="EA137" s="79"/>
      <c r="EB137" s="79"/>
      <c r="EC137" s="79"/>
      <c r="ED137" s="79"/>
      <c r="EE137" s="79"/>
      <c r="EF137" s="82"/>
      <c r="EG137" s="79"/>
      <c r="EH137" s="82"/>
      <c r="EI137" s="79"/>
      <c r="EJ137" s="82"/>
      <c r="EK137" s="79"/>
      <c r="EL137" s="82"/>
      <c r="EM137" s="79">
        <v>0.0</v>
      </c>
      <c r="EN137" s="79" t="s">
        <v>79</v>
      </c>
      <c r="EO137" s="79"/>
      <c r="EP137" s="17"/>
      <c r="EQ137" s="23"/>
      <c r="ER137" s="23" t="str">
        <f t="shared" si="5"/>
        <v/>
      </c>
      <c r="ES137" s="19"/>
      <c r="ET137" s="19" t="str">
        <f t="shared" si="6"/>
        <v/>
      </c>
      <c r="EU137" s="19"/>
      <c r="EV137" s="19"/>
      <c r="EW137" s="19"/>
      <c r="EX137" s="19"/>
      <c r="EY137" s="19"/>
      <c r="EZ137" s="19"/>
      <c r="FA137" s="19"/>
      <c r="FB137" s="19"/>
    </row>
    <row r="138" ht="15.75" customHeight="1">
      <c r="A138" s="79" t="s">
        <v>333</v>
      </c>
      <c r="B138" s="79" t="s">
        <v>530</v>
      </c>
      <c r="C138" s="79" t="s">
        <v>476</v>
      </c>
      <c r="D138" s="80">
        <v>46137.0</v>
      </c>
      <c r="E138" s="79" t="s">
        <v>1286</v>
      </c>
      <c r="F138" s="79"/>
      <c r="G138" s="79" t="s">
        <v>1287</v>
      </c>
      <c r="H138" s="79" t="s">
        <v>1288</v>
      </c>
      <c r="I138" s="79"/>
      <c r="J138" s="79" t="s">
        <v>1289</v>
      </c>
      <c r="K138" s="79">
        <v>1400.0</v>
      </c>
      <c r="L138" s="79"/>
      <c r="M138" s="79" t="s">
        <v>1290</v>
      </c>
      <c r="N138" s="79" t="s">
        <v>1291</v>
      </c>
      <c r="O138" s="79" t="s">
        <v>484</v>
      </c>
      <c r="P138" s="79"/>
      <c r="Q138" s="79" t="s">
        <v>1292</v>
      </c>
      <c r="R138" s="79">
        <v>46565.0</v>
      </c>
      <c r="S138" s="79" t="s">
        <v>1293</v>
      </c>
      <c r="T138" s="79">
        <v>12041.0</v>
      </c>
      <c r="U138" s="79" t="s">
        <v>1294</v>
      </c>
      <c r="V138" s="79"/>
      <c r="W138" s="79">
        <v>46058.0</v>
      </c>
      <c r="X138" s="79"/>
      <c r="Y138" s="79">
        <v>46104.0</v>
      </c>
      <c r="Z138" s="79" t="s">
        <v>524</v>
      </c>
      <c r="AA138" s="79" t="s">
        <v>487</v>
      </c>
      <c r="AB138" s="79" t="s">
        <v>524</v>
      </c>
      <c r="AC138" s="79" t="s">
        <v>488</v>
      </c>
      <c r="AD138" s="79">
        <v>0.0</v>
      </c>
      <c r="AE138" s="79">
        <v>0.0</v>
      </c>
      <c r="AF138" s="79">
        <v>200000.0</v>
      </c>
      <c r="AG138" s="79">
        <v>0.0</v>
      </c>
      <c r="AH138" s="83">
        <v>200000.0</v>
      </c>
      <c r="AI138" s="79"/>
      <c r="AJ138" s="79">
        <v>0.0</v>
      </c>
      <c r="AK138" s="79"/>
      <c r="AL138" s="83"/>
      <c r="AM138" s="79"/>
      <c r="AN138" s="79"/>
      <c r="AO138" s="79"/>
      <c r="AP138" s="79">
        <v>0.0</v>
      </c>
      <c r="AQ138" s="79">
        <v>200000.0</v>
      </c>
      <c r="AR138" s="79" t="s">
        <v>525</v>
      </c>
      <c r="AS138" s="79">
        <v>0.0</v>
      </c>
      <c r="AT138" s="79" t="s">
        <v>507</v>
      </c>
      <c r="AU138" s="79" t="s">
        <v>491</v>
      </c>
      <c r="AV138" s="79">
        <v>0.0</v>
      </c>
      <c r="AW138" s="79" t="s">
        <v>508</v>
      </c>
      <c r="AX138" s="79">
        <v>0.0</v>
      </c>
      <c r="AY138" s="79"/>
      <c r="AZ138" s="79">
        <v>0.0</v>
      </c>
      <c r="BA138" s="79"/>
      <c r="BB138" s="79">
        <v>0.0</v>
      </c>
      <c r="BC138" s="82"/>
      <c r="BD138" s="79">
        <v>0.0</v>
      </c>
      <c r="BE138" s="82"/>
      <c r="BF138" s="79">
        <v>0.0</v>
      </c>
      <c r="BG138" s="82"/>
      <c r="BH138" s="79">
        <v>0.0</v>
      </c>
      <c r="BI138" s="79" t="s">
        <v>493</v>
      </c>
      <c r="BJ138" s="79">
        <v>0.0</v>
      </c>
      <c r="BK138" s="79" t="s">
        <v>494</v>
      </c>
      <c r="BL138" s="79">
        <v>0.0</v>
      </c>
      <c r="BM138" s="79" t="s">
        <v>495</v>
      </c>
      <c r="BN138" s="79">
        <v>0.0</v>
      </c>
      <c r="BO138" s="79" t="s">
        <v>496</v>
      </c>
      <c r="BP138" s="79">
        <v>200000.0</v>
      </c>
      <c r="BQ138" s="79"/>
      <c r="BR138" s="79">
        <v>0.0</v>
      </c>
      <c r="BS138" s="79"/>
      <c r="BT138" s="79">
        <v>0.0</v>
      </c>
      <c r="BU138" s="79"/>
      <c r="BV138" s="79">
        <v>0.0</v>
      </c>
      <c r="BW138" s="79"/>
      <c r="BX138" s="79">
        <v>0.0</v>
      </c>
      <c r="BY138" s="79"/>
      <c r="BZ138" s="79"/>
      <c r="CA138" s="79"/>
      <c r="CB138" s="79"/>
      <c r="CC138" s="79"/>
      <c r="CD138" s="79"/>
      <c r="CE138" s="79"/>
      <c r="CF138" s="79"/>
      <c r="CG138" s="79"/>
      <c r="CH138" s="79"/>
      <c r="CI138" s="79"/>
      <c r="CJ138" s="79"/>
      <c r="CK138" s="79"/>
      <c r="CL138" s="79"/>
      <c r="CM138" s="79"/>
      <c r="CN138" s="79"/>
      <c r="CO138" s="79"/>
      <c r="CP138" s="79"/>
      <c r="CQ138" s="79"/>
      <c r="CR138" s="79"/>
      <c r="CS138" s="79"/>
      <c r="CT138" s="79"/>
      <c r="CU138" s="79"/>
      <c r="CV138" s="79"/>
      <c r="CW138" s="79"/>
      <c r="CX138" s="79"/>
      <c r="CY138" s="79"/>
      <c r="CZ138" s="79"/>
      <c r="DA138" s="79"/>
      <c r="DB138" s="79"/>
      <c r="DC138" s="79"/>
      <c r="DD138" s="79"/>
      <c r="DE138" s="79"/>
      <c r="DF138" s="79"/>
      <c r="DG138" s="79"/>
      <c r="DH138" s="79"/>
      <c r="DI138" s="79"/>
      <c r="DJ138" s="79" t="s">
        <v>334</v>
      </c>
      <c r="DK138" s="79" t="s">
        <v>524</v>
      </c>
      <c r="DL138" s="79" t="s">
        <v>487</v>
      </c>
      <c r="DM138" s="79" t="s">
        <v>1295</v>
      </c>
      <c r="DN138" s="79" t="s">
        <v>1296</v>
      </c>
      <c r="DO138" s="79"/>
      <c r="DP138" s="82"/>
      <c r="DQ138" s="79"/>
      <c r="DR138" s="82"/>
      <c r="DS138" s="79"/>
      <c r="DT138" s="82"/>
      <c r="DU138" s="79"/>
      <c r="DV138" s="82"/>
      <c r="DW138" s="79"/>
      <c r="DX138" s="79"/>
      <c r="DY138" s="79"/>
      <c r="DZ138" s="79"/>
      <c r="EA138" s="79"/>
      <c r="EB138" s="79"/>
      <c r="EC138" s="79"/>
      <c r="ED138" s="79"/>
      <c r="EE138" s="79"/>
      <c r="EF138" s="82"/>
      <c r="EG138" s="79"/>
      <c r="EH138" s="82"/>
      <c r="EI138" s="79"/>
      <c r="EJ138" s="82"/>
      <c r="EK138" s="79"/>
      <c r="EL138" s="82"/>
      <c r="EM138" s="79">
        <v>0.0</v>
      </c>
      <c r="EN138" s="79" t="s">
        <v>156</v>
      </c>
      <c r="EO138" s="79" t="s">
        <v>48</v>
      </c>
      <c r="EP138" s="17"/>
      <c r="EQ138" s="23"/>
      <c r="ER138" s="23" t="str">
        <f t="shared" si="5"/>
        <v/>
      </c>
      <c r="ES138" s="19"/>
      <c r="ET138" s="19" t="str">
        <f t="shared" si="6"/>
        <v/>
      </c>
      <c r="EU138" s="19"/>
      <c r="EV138" s="19"/>
      <c r="EW138" s="19"/>
      <c r="EX138" s="19"/>
      <c r="EY138" s="19"/>
      <c r="EZ138" s="19"/>
      <c r="FA138" s="19"/>
      <c r="FB138" s="19" t="s">
        <v>1297</v>
      </c>
    </row>
    <row r="139" ht="15.75" customHeight="1">
      <c r="A139" s="79" t="s">
        <v>1298</v>
      </c>
      <c r="B139" s="79" t="s">
        <v>475</v>
      </c>
      <c r="C139" s="79" t="s">
        <v>476</v>
      </c>
      <c r="D139" s="80">
        <v>46137.0</v>
      </c>
      <c r="E139" s="79" t="s">
        <v>1299</v>
      </c>
      <c r="F139" s="79" t="s">
        <v>568</v>
      </c>
      <c r="G139" s="79" t="s">
        <v>1300</v>
      </c>
      <c r="H139" s="79" t="s">
        <v>479</v>
      </c>
      <c r="I139" s="79"/>
      <c r="J139" s="79" t="s">
        <v>1301</v>
      </c>
      <c r="K139" s="79">
        <v>2000.0</v>
      </c>
      <c r="L139" s="79"/>
      <c r="M139" s="79" t="s">
        <v>1302</v>
      </c>
      <c r="N139" s="79" t="s">
        <v>572</v>
      </c>
      <c r="O139" s="79"/>
      <c r="P139" s="79"/>
      <c r="Q139" s="79" t="s">
        <v>1303</v>
      </c>
      <c r="R139" s="79">
        <v>46656.0</v>
      </c>
      <c r="S139" s="79" t="s">
        <v>1304</v>
      </c>
      <c r="T139" s="79">
        <v>64909.0</v>
      </c>
      <c r="U139" s="79"/>
      <c r="V139" s="79"/>
      <c r="W139" s="79"/>
      <c r="X139" s="79"/>
      <c r="Y139" s="79"/>
      <c r="Z139" s="79" t="s">
        <v>486</v>
      </c>
      <c r="AA139" s="79" t="s">
        <v>487</v>
      </c>
      <c r="AB139" s="79" t="s">
        <v>486</v>
      </c>
      <c r="AC139" s="79" t="s">
        <v>488</v>
      </c>
      <c r="AD139" s="79">
        <v>11000.0</v>
      </c>
      <c r="AE139" s="79">
        <v>0.0</v>
      </c>
      <c r="AF139" s="79">
        <v>0.0</v>
      </c>
      <c r="AG139" s="79">
        <v>1100.0</v>
      </c>
      <c r="AH139" s="83">
        <v>12100.0</v>
      </c>
      <c r="AI139" s="79"/>
      <c r="AJ139" s="79">
        <v>0.0</v>
      </c>
      <c r="AK139" s="79"/>
      <c r="AL139" s="83"/>
      <c r="AM139" s="79"/>
      <c r="AN139" s="79"/>
      <c r="AO139" s="79"/>
      <c r="AP139" s="79">
        <v>0.0</v>
      </c>
      <c r="AQ139" s="79">
        <v>11000.0</v>
      </c>
      <c r="AR139" s="79" t="s">
        <v>489</v>
      </c>
      <c r="AS139" s="79">
        <v>0.0</v>
      </c>
      <c r="AT139" s="79" t="s">
        <v>490</v>
      </c>
      <c r="AU139" s="79" t="s">
        <v>491</v>
      </c>
      <c r="AV139" s="79">
        <v>0.0</v>
      </c>
      <c r="AW139" s="79"/>
      <c r="AX139" s="79">
        <v>0.0</v>
      </c>
      <c r="AY139" s="79" t="s">
        <v>492</v>
      </c>
      <c r="AZ139" s="79">
        <v>0.0</v>
      </c>
      <c r="BA139" s="79"/>
      <c r="BB139" s="79">
        <v>0.0</v>
      </c>
      <c r="BC139" s="82"/>
      <c r="BD139" s="79">
        <v>0.0</v>
      </c>
      <c r="BE139" s="82"/>
      <c r="BF139" s="79">
        <v>0.0</v>
      </c>
      <c r="BG139" s="82"/>
      <c r="BH139" s="79">
        <v>0.0</v>
      </c>
      <c r="BI139" s="79" t="s">
        <v>493</v>
      </c>
      <c r="BJ139" s="79">
        <v>0.0</v>
      </c>
      <c r="BK139" s="79" t="s">
        <v>494</v>
      </c>
      <c r="BL139" s="79">
        <v>0.0</v>
      </c>
      <c r="BM139" s="79" t="s">
        <v>495</v>
      </c>
      <c r="BN139" s="79">
        <v>0.0</v>
      </c>
      <c r="BO139" s="79" t="s">
        <v>1305</v>
      </c>
      <c r="BP139" s="79">
        <v>0.0</v>
      </c>
      <c r="BQ139" s="79"/>
      <c r="BR139" s="79">
        <v>0.0</v>
      </c>
      <c r="BS139" s="79"/>
      <c r="BT139" s="79">
        <v>0.0</v>
      </c>
      <c r="BU139" s="79"/>
      <c r="BV139" s="79">
        <v>0.0</v>
      </c>
      <c r="BW139" s="79"/>
      <c r="BX139" s="79">
        <v>0.0</v>
      </c>
      <c r="BY139" s="79"/>
      <c r="BZ139" s="79"/>
      <c r="CA139" s="79"/>
      <c r="CB139" s="79"/>
      <c r="CC139" s="79"/>
      <c r="CD139" s="79"/>
      <c r="CE139" s="79"/>
      <c r="CF139" s="79"/>
      <c r="CG139" s="79"/>
      <c r="CH139" s="79"/>
      <c r="CI139" s="79"/>
      <c r="CJ139" s="79"/>
      <c r="CK139" s="79"/>
      <c r="CL139" s="79"/>
      <c r="CM139" s="79"/>
      <c r="CN139" s="79"/>
      <c r="CO139" s="79"/>
      <c r="CP139" s="79"/>
      <c r="CQ139" s="79"/>
      <c r="CR139" s="79"/>
      <c r="CS139" s="79"/>
      <c r="CT139" s="79"/>
      <c r="CU139" s="79"/>
      <c r="CV139" s="79"/>
      <c r="CW139" s="79"/>
      <c r="CX139" s="79"/>
      <c r="CY139" s="79"/>
      <c r="CZ139" s="79"/>
      <c r="DA139" s="79"/>
      <c r="DB139" s="79"/>
      <c r="DC139" s="79"/>
      <c r="DD139" s="79"/>
      <c r="DE139" s="79"/>
      <c r="DF139" s="79"/>
      <c r="DG139" s="79"/>
      <c r="DH139" s="79"/>
      <c r="DI139" s="79"/>
      <c r="DJ139" s="79" t="s">
        <v>1306</v>
      </c>
      <c r="DK139" s="79" t="s">
        <v>486</v>
      </c>
      <c r="DL139" s="79" t="s">
        <v>487</v>
      </c>
      <c r="DM139" s="79" t="s">
        <v>1307</v>
      </c>
      <c r="DN139" s="79" t="s">
        <v>1308</v>
      </c>
      <c r="DO139" s="79" t="s">
        <v>1309</v>
      </c>
      <c r="DP139" s="82"/>
      <c r="DQ139" s="79"/>
      <c r="DR139" s="82"/>
      <c r="DS139" s="79"/>
      <c r="DT139" s="82"/>
      <c r="DU139" s="79"/>
      <c r="DV139" s="82"/>
      <c r="DW139" s="79"/>
      <c r="DX139" s="79"/>
      <c r="DY139" s="79"/>
      <c r="DZ139" s="79"/>
      <c r="EA139" s="79"/>
      <c r="EB139" s="79"/>
      <c r="EC139" s="79"/>
      <c r="ED139" s="79"/>
      <c r="EE139" s="79"/>
      <c r="EF139" s="82"/>
      <c r="EG139" s="79"/>
      <c r="EH139" s="82"/>
      <c r="EI139" s="79"/>
      <c r="EJ139" s="82"/>
      <c r="EK139" s="79"/>
      <c r="EL139" s="82"/>
      <c r="EM139" s="79">
        <v>0.0</v>
      </c>
      <c r="EN139" s="79" t="s">
        <v>79</v>
      </c>
      <c r="EO139" s="79"/>
      <c r="EP139" s="17"/>
      <c r="EQ139" s="23"/>
      <c r="ER139" s="23" t="str">
        <f t="shared" si="5"/>
        <v/>
      </c>
      <c r="ES139" s="19"/>
      <c r="ET139" s="19" t="str">
        <f t="shared" si="6"/>
        <v/>
      </c>
      <c r="EU139" s="19"/>
      <c r="EV139" s="19"/>
      <c r="EW139" s="19"/>
      <c r="EX139" s="19"/>
      <c r="EY139" s="19"/>
      <c r="EZ139" s="19"/>
      <c r="FA139" s="19"/>
      <c r="FB139" s="19"/>
    </row>
    <row r="140" ht="15.75" customHeight="1">
      <c r="A140" s="79" t="s">
        <v>1310</v>
      </c>
      <c r="B140" s="79" t="s">
        <v>475</v>
      </c>
      <c r="C140" s="79" t="s">
        <v>476</v>
      </c>
      <c r="D140" s="80">
        <v>46137.0</v>
      </c>
      <c r="E140" s="79" t="s">
        <v>1311</v>
      </c>
      <c r="F140" s="79" t="s">
        <v>568</v>
      </c>
      <c r="G140" s="79" t="s">
        <v>685</v>
      </c>
      <c r="H140" s="79" t="s">
        <v>479</v>
      </c>
      <c r="I140" s="79"/>
      <c r="J140" s="79" t="s">
        <v>1312</v>
      </c>
      <c r="K140" s="79">
        <v>2000.0</v>
      </c>
      <c r="L140" s="79"/>
      <c r="M140" s="79" t="s">
        <v>1313</v>
      </c>
      <c r="N140" s="79" t="s">
        <v>1314</v>
      </c>
      <c r="O140" s="79"/>
      <c r="P140" s="79"/>
      <c r="Q140" s="79" t="s">
        <v>711</v>
      </c>
      <c r="R140" s="79">
        <v>46504.0</v>
      </c>
      <c r="S140" s="79" t="s">
        <v>1315</v>
      </c>
      <c r="T140" s="79">
        <v>40562.0</v>
      </c>
      <c r="U140" s="79"/>
      <c r="V140" s="79"/>
      <c r="W140" s="79">
        <v>46132.0</v>
      </c>
      <c r="X140" s="79"/>
      <c r="Y140" s="79">
        <v>46139.0</v>
      </c>
      <c r="Z140" s="79" t="s">
        <v>486</v>
      </c>
      <c r="AA140" s="79" t="s">
        <v>537</v>
      </c>
      <c r="AB140" s="79" t="s">
        <v>486</v>
      </c>
      <c r="AC140" s="79" t="s">
        <v>488</v>
      </c>
      <c r="AD140" s="79">
        <v>11000.0</v>
      </c>
      <c r="AE140" s="79">
        <v>0.0</v>
      </c>
      <c r="AF140" s="79">
        <v>0.0</v>
      </c>
      <c r="AG140" s="79">
        <v>1100.0</v>
      </c>
      <c r="AH140" s="83">
        <v>12100.0</v>
      </c>
      <c r="AI140" s="79"/>
      <c r="AJ140" s="79">
        <v>0.0</v>
      </c>
      <c r="AK140" s="79"/>
      <c r="AL140" s="83"/>
      <c r="AM140" s="79"/>
      <c r="AN140" s="79"/>
      <c r="AO140" s="79"/>
      <c r="AP140" s="79">
        <v>0.0</v>
      </c>
      <c r="AQ140" s="79">
        <v>11000.0</v>
      </c>
      <c r="AR140" s="79" t="s">
        <v>489</v>
      </c>
      <c r="AS140" s="79">
        <v>0.0</v>
      </c>
      <c r="AT140" s="79" t="s">
        <v>490</v>
      </c>
      <c r="AU140" s="79" t="s">
        <v>491</v>
      </c>
      <c r="AV140" s="79">
        <v>0.0</v>
      </c>
      <c r="AW140" s="79"/>
      <c r="AX140" s="79">
        <v>0.0</v>
      </c>
      <c r="AY140" s="79" t="s">
        <v>492</v>
      </c>
      <c r="AZ140" s="79">
        <v>0.0</v>
      </c>
      <c r="BA140" s="79"/>
      <c r="BB140" s="79">
        <v>0.0</v>
      </c>
      <c r="BC140" s="82"/>
      <c r="BD140" s="79">
        <v>0.0</v>
      </c>
      <c r="BE140" s="82"/>
      <c r="BF140" s="79">
        <v>0.0</v>
      </c>
      <c r="BG140" s="82"/>
      <c r="BH140" s="79">
        <v>0.0</v>
      </c>
      <c r="BI140" s="79" t="s">
        <v>493</v>
      </c>
      <c r="BJ140" s="79">
        <v>0.0</v>
      </c>
      <c r="BK140" s="79" t="s">
        <v>494</v>
      </c>
      <c r="BL140" s="79">
        <v>0.0</v>
      </c>
      <c r="BM140" s="79" t="s">
        <v>495</v>
      </c>
      <c r="BN140" s="79">
        <v>0.0</v>
      </c>
      <c r="BO140" s="79" t="s">
        <v>1305</v>
      </c>
      <c r="BP140" s="79">
        <v>0.0</v>
      </c>
      <c r="BQ140" s="79"/>
      <c r="BR140" s="79">
        <v>0.0</v>
      </c>
      <c r="BS140" s="79"/>
      <c r="BT140" s="79">
        <v>0.0</v>
      </c>
      <c r="BU140" s="79"/>
      <c r="BV140" s="79">
        <v>0.0</v>
      </c>
      <c r="BW140" s="79"/>
      <c r="BX140" s="79">
        <v>0.0</v>
      </c>
      <c r="BY140" s="79"/>
      <c r="BZ140" s="79"/>
      <c r="CA140" s="79"/>
      <c r="CB140" s="79"/>
      <c r="CC140" s="79"/>
      <c r="CD140" s="79"/>
      <c r="CE140" s="79"/>
      <c r="CF140" s="79"/>
      <c r="CG140" s="79"/>
      <c r="CH140" s="79"/>
      <c r="CI140" s="79"/>
      <c r="CJ140" s="79"/>
      <c r="CK140" s="79"/>
      <c r="CL140" s="79"/>
      <c r="CM140" s="79"/>
      <c r="CN140" s="79"/>
      <c r="CO140" s="79"/>
      <c r="CP140" s="79"/>
      <c r="CQ140" s="79"/>
      <c r="CR140" s="79"/>
      <c r="CS140" s="79"/>
      <c r="CT140" s="79"/>
      <c r="CU140" s="79"/>
      <c r="CV140" s="79"/>
      <c r="CW140" s="79"/>
      <c r="CX140" s="79"/>
      <c r="CY140" s="79"/>
      <c r="CZ140" s="79"/>
      <c r="DA140" s="79"/>
      <c r="DB140" s="79"/>
      <c r="DC140" s="79"/>
      <c r="DD140" s="79"/>
      <c r="DE140" s="79"/>
      <c r="DF140" s="79"/>
      <c r="DG140" s="79"/>
      <c r="DH140" s="79"/>
      <c r="DI140" s="79"/>
      <c r="DJ140" s="79" t="s">
        <v>1316</v>
      </c>
      <c r="DK140" s="79" t="s">
        <v>486</v>
      </c>
      <c r="DL140" s="79" t="s">
        <v>537</v>
      </c>
      <c r="DM140" s="79" t="s">
        <v>1317</v>
      </c>
      <c r="DN140" s="79"/>
      <c r="DO140" s="79" t="s">
        <v>1318</v>
      </c>
      <c r="DP140" s="82"/>
      <c r="DQ140" s="79"/>
      <c r="DR140" s="82"/>
      <c r="DS140" s="79"/>
      <c r="DT140" s="82"/>
      <c r="DU140" s="79"/>
      <c r="DV140" s="82"/>
      <c r="DW140" s="79"/>
      <c r="DX140" s="79"/>
      <c r="DY140" s="79"/>
      <c r="DZ140" s="79"/>
      <c r="EA140" s="79"/>
      <c r="EB140" s="79"/>
      <c r="EC140" s="79"/>
      <c r="ED140" s="79"/>
      <c r="EE140" s="79"/>
      <c r="EF140" s="82"/>
      <c r="EG140" s="79"/>
      <c r="EH140" s="82"/>
      <c r="EI140" s="79"/>
      <c r="EJ140" s="82"/>
      <c r="EK140" s="79"/>
      <c r="EL140" s="82"/>
      <c r="EM140" s="79">
        <v>0.0</v>
      </c>
      <c r="EN140" s="79" t="s">
        <v>79</v>
      </c>
      <c r="EO140" s="79"/>
      <c r="EP140" s="17"/>
      <c r="EQ140" s="23"/>
      <c r="ER140" s="23" t="str">
        <f t="shared" si="5"/>
        <v/>
      </c>
      <c r="ES140" s="19"/>
      <c r="ET140" s="19" t="str">
        <f t="shared" si="6"/>
        <v/>
      </c>
      <c r="EU140" s="19"/>
      <c r="EV140" s="19"/>
      <c r="EW140" s="19"/>
      <c r="EX140" s="19"/>
      <c r="EY140" s="19"/>
      <c r="EZ140" s="19"/>
      <c r="FA140" s="19"/>
      <c r="FB140" s="19"/>
    </row>
    <row r="141" ht="15.75" customHeight="1">
      <c r="A141" s="19"/>
      <c r="B141" s="4" t="s">
        <v>468</v>
      </c>
      <c r="C141" s="4" t="s">
        <v>1319</v>
      </c>
      <c r="D141" s="78">
        <v>46142.0</v>
      </c>
      <c r="E141" s="4" t="s">
        <v>1320</v>
      </c>
      <c r="F141" s="19"/>
      <c r="AH141" s="23">
        <v>8266050.0</v>
      </c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19"/>
      <c r="CW141" s="19"/>
      <c r="CX141" s="19"/>
      <c r="CY141" s="19"/>
      <c r="CZ141" s="19"/>
      <c r="DA141" s="19"/>
      <c r="DB141" s="19"/>
      <c r="DC141" s="19"/>
      <c r="DD141" s="19"/>
      <c r="DE141" s="19"/>
      <c r="DF141" s="19"/>
      <c r="DG141" s="19"/>
      <c r="DH141" s="19"/>
      <c r="DI141" s="19"/>
      <c r="DJ141" s="19"/>
      <c r="DK141" s="19"/>
      <c r="DL141" s="19"/>
      <c r="DM141" s="19"/>
      <c r="DN141" s="19"/>
      <c r="DO141" s="19"/>
      <c r="DP141" s="19"/>
      <c r="DQ141" s="19"/>
      <c r="DR141" s="19"/>
      <c r="DS141" s="19"/>
      <c r="DT141" s="19"/>
      <c r="DU141" s="19"/>
      <c r="DV141" s="19"/>
      <c r="DW141" s="19"/>
      <c r="DX141" s="19"/>
      <c r="DY141" s="19"/>
      <c r="DZ141" s="19"/>
      <c r="EA141" s="19"/>
      <c r="EB141" s="19"/>
      <c r="EC141" s="19"/>
      <c r="ED141" s="19"/>
      <c r="EE141" s="19"/>
      <c r="EF141" s="19"/>
      <c r="EG141" s="19"/>
      <c r="EH141" s="19"/>
      <c r="EI141" s="19"/>
      <c r="EJ141" s="19"/>
      <c r="EK141" s="19"/>
      <c r="EL141" s="19"/>
      <c r="EM141" s="19"/>
      <c r="EN141" s="4" t="s">
        <v>79</v>
      </c>
      <c r="EO141" s="19"/>
      <c r="EP141" s="17"/>
      <c r="EQ141" s="23"/>
      <c r="ER141" s="23" t="str">
        <f t="shared" si="5"/>
        <v/>
      </c>
      <c r="ES141" s="19"/>
      <c r="ET141" s="19" t="str">
        <f t="shared" si="6"/>
        <v/>
      </c>
      <c r="EU141" s="19"/>
      <c r="EV141" s="19"/>
      <c r="EW141" s="19"/>
      <c r="EX141" s="19"/>
      <c r="EY141" s="19"/>
      <c r="EZ141" s="19"/>
      <c r="FA141" s="19"/>
      <c r="FB141" s="19"/>
    </row>
    <row r="142" ht="15.75" customHeight="1">
      <c r="A142" s="19"/>
      <c r="B142" s="4" t="s">
        <v>468</v>
      </c>
      <c r="C142" s="4" t="s">
        <v>1319</v>
      </c>
      <c r="D142" s="78">
        <v>46142.0</v>
      </c>
      <c r="E142" s="4" t="s">
        <v>1321</v>
      </c>
      <c r="F142" s="1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23">
        <v>8439760.0</v>
      </c>
      <c r="AI142" s="4"/>
      <c r="AJ142" s="4"/>
      <c r="AK142" s="4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19"/>
      <c r="CW142" s="19"/>
      <c r="CX142" s="19"/>
      <c r="CY142" s="19"/>
      <c r="CZ142" s="19"/>
      <c r="DA142" s="19"/>
      <c r="DB142" s="19"/>
      <c r="DC142" s="19"/>
      <c r="DD142" s="19"/>
      <c r="DE142" s="19"/>
      <c r="DF142" s="19"/>
      <c r="DG142" s="19"/>
      <c r="DH142" s="19"/>
      <c r="DI142" s="19"/>
      <c r="DJ142" s="19"/>
      <c r="DK142" s="19"/>
      <c r="DL142" s="19"/>
      <c r="DM142" s="19"/>
      <c r="DN142" s="19"/>
      <c r="DO142" s="19"/>
      <c r="DP142" s="19"/>
      <c r="DQ142" s="19"/>
      <c r="DR142" s="19"/>
      <c r="DS142" s="19"/>
      <c r="DT142" s="19"/>
      <c r="DU142" s="19"/>
      <c r="DV142" s="19"/>
      <c r="DW142" s="19"/>
      <c r="DX142" s="19"/>
      <c r="DY142" s="19"/>
      <c r="DZ142" s="19"/>
      <c r="EA142" s="19"/>
      <c r="EB142" s="19"/>
      <c r="EC142" s="19"/>
      <c r="ED142" s="19"/>
      <c r="EE142" s="19"/>
      <c r="EF142" s="19"/>
      <c r="EG142" s="19"/>
      <c r="EH142" s="19"/>
      <c r="EI142" s="19"/>
      <c r="EJ142" s="19"/>
      <c r="EK142" s="19"/>
      <c r="EL142" s="19"/>
      <c r="EM142" s="19"/>
      <c r="EN142" s="4" t="s">
        <v>156</v>
      </c>
      <c r="EO142" s="4" t="s">
        <v>48</v>
      </c>
      <c r="EP142" s="17"/>
      <c r="EQ142" s="23"/>
      <c r="ER142" s="23" t="str">
        <f t="shared" si="5"/>
        <v/>
      </c>
      <c r="ES142" s="19"/>
      <c r="ET142" s="19" t="str">
        <f t="shared" si="6"/>
        <v/>
      </c>
      <c r="EU142" s="19"/>
      <c r="EV142" s="19"/>
      <c r="EW142" s="19"/>
      <c r="EX142" s="19"/>
      <c r="EY142" s="19"/>
      <c r="EZ142" s="19"/>
      <c r="FA142" s="19"/>
      <c r="FB142" s="19"/>
    </row>
    <row r="143" ht="15.75" customHeight="1">
      <c r="A143" s="4" t="s">
        <v>1322</v>
      </c>
      <c r="B143" s="4" t="s">
        <v>778</v>
      </c>
      <c r="C143" s="4" t="s">
        <v>1022</v>
      </c>
      <c r="D143" s="78">
        <v>46159.0</v>
      </c>
      <c r="E143" s="4" t="s">
        <v>1323</v>
      </c>
      <c r="F143" s="4" t="s">
        <v>1324</v>
      </c>
      <c r="G143" s="4" t="s">
        <v>1325</v>
      </c>
      <c r="H143" s="4" t="s">
        <v>601</v>
      </c>
      <c r="R143" s="4" t="s">
        <v>1326</v>
      </c>
      <c r="Y143" s="4" t="s">
        <v>1327</v>
      </c>
      <c r="Z143" s="4" t="s">
        <v>597</v>
      </c>
      <c r="AB143" s="4" t="s">
        <v>597</v>
      </c>
      <c r="AH143" s="23">
        <v>0.0</v>
      </c>
      <c r="AL143" s="19"/>
      <c r="AM143" s="19"/>
      <c r="AN143" s="19"/>
      <c r="AO143" s="19"/>
      <c r="AP143" s="19"/>
      <c r="AQ143" s="4">
        <v>0.0</v>
      </c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  <c r="CY143" s="19"/>
      <c r="CZ143" s="19"/>
      <c r="DA143" s="19"/>
      <c r="DB143" s="19"/>
      <c r="DC143" s="19"/>
      <c r="DD143" s="19"/>
      <c r="DE143" s="19"/>
      <c r="DF143" s="19"/>
      <c r="DG143" s="19"/>
      <c r="DH143" s="19"/>
      <c r="DI143" s="19"/>
      <c r="DJ143" s="19"/>
      <c r="DK143" s="19"/>
      <c r="DL143" s="19"/>
      <c r="DM143" s="19"/>
      <c r="DN143" s="19"/>
      <c r="DO143" s="19"/>
      <c r="DP143" s="19"/>
      <c r="DQ143" s="19"/>
      <c r="DR143" s="19"/>
      <c r="DS143" s="19"/>
      <c r="DT143" s="19"/>
      <c r="DU143" s="19"/>
      <c r="DV143" s="19"/>
      <c r="DW143" s="19"/>
      <c r="DX143" s="19"/>
      <c r="DY143" s="19"/>
      <c r="DZ143" s="19"/>
      <c r="EA143" s="19"/>
      <c r="EB143" s="19"/>
      <c r="EC143" s="19"/>
      <c r="ED143" s="19"/>
      <c r="EE143" s="19"/>
      <c r="EF143" s="19"/>
      <c r="EG143" s="19"/>
      <c r="EH143" s="19"/>
      <c r="EI143" s="19"/>
      <c r="EJ143" s="19"/>
      <c r="EK143" s="19"/>
      <c r="EL143" s="19"/>
      <c r="EM143" s="19"/>
      <c r="EN143" s="4" t="s">
        <v>79</v>
      </c>
      <c r="EO143" s="19"/>
      <c r="EP143" s="17"/>
      <c r="EQ143" s="23"/>
      <c r="ER143" s="23" t="str">
        <f t="shared" si="5"/>
        <v/>
      </c>
      <c r="ES143" s="19"/>
      <c r="ET143" s="19" t="str">
        <f t="shared" si="6"/>
        <v/>
      </c>
      <c r="EU143" s="19"/>
      <c r="EV143" s="19"/>
      <c r="EW143" s="19"/>
      <c r="EX143" s="19"/>
      <c r="EY143" s="19"/>
      <c r="EZ143" s="19"/>
      <c r="FA143" s="19"/>
      <c r="FB143" s="19"/>
    </row>
    <row r="144" ht="15.75" customHeight="1">
      <c r="A144" s="4" t="s">
        <v>1328</v>
      </c>
      <c r="B144" s="4" t="s">
        <v>778</v>
      </c>
      <c r="C144" s="4" t="s">
        <v>1022</v>
      </c>
      <c r="D144" s="78">
        <v>46166.0</v>
      </c>
      <c r="E144" s="4" t="s">
        <v>1329</v>
      </c>
      <c r="F144" s="4" t="s">
        <v>1330</v>
      </c>
      <c r="G144" s="4" t="s">
        <v>931</v>
      </c>
      <c r="H144" s="4" t="s">
        <v>1331</v>
      </c>
      <c r="Y144" s="4" t="s">
        <v>1054</v>
      </c>
      <c r="Z144" s="4" t="s">
        <v>597</v>
      </c>
      <c r="AB144" s="4" t="s">
        <v>597</v>
      </c>
      <c r="AH144" s="23">
        <v>0.0</v>
      </c>
      <c r="AL144" s="19"/>
      <c r="AM144" s="19"/>
      <c r="AN144" s="19"/>
      <c r="AO144" s="19"/>
      <c r="AP144" s="19"/>
      <c r="AQ144" s="4">
        <v>0.0</v>
      </c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  <c r="CY144" s="19"/>
      <c r="CZ144" s="19"/>
      <c r="DA144" s="19"/>
      <c r="DB144" s="19"/>
      <c r="DC144" s="19"/>
      <c r="DD144" s="19"/>
      <c r="DE144" s="19"/>
      <c r="DF144" s="19"/>
      <c r="DG144" s="19"/>
      <c r="DH144" s="19"/>
      <c r="DI144" s="19"/>
      <c r="DJ144" s="19"/>
      <c r="DK144" s="19"/>
      <c r="DL144" s="19"/>
      <c r="DM144" s="19"/>
      <c r="DN144" s="19"/>
      <c r="DO144" s="19"/>
      <c r="DP144" s="19"/>
      <c r="DQ144" s="19"/>
      <c r="DR144" s="19"/>
      <c r="DS144" s="19"/>
      <c r="DT144" s="19"/>
      <c r="DU144" s="19"/>
      <c r="DV144" s="19"/>
      <c r="DW144" s="19"/>
      <c r="DX144" s="19"/>
      <c r="DY144" s="19"/>
      <c r="DZ144" s="19"/>
      <c r="EA144" s="19"/>
      <c r="EB144" s="19"/>
      <c r="EC144" s="19"/>
      <c r="ED144" s="19"/>
      <c r="EE144" s="19"/>
      <c r="EF144" s="19"/>
      <c r="EG144" s="19"/>
      <c r="EH144" s="19"/>
      <c r="EI144" s="19"/>
      <c r="EJ144" s="19"/>
      <c r="EK144" s="19"/>
      <c r="EL144" s="19"/>
      <c r="EM144" s="19"/>
      <c r="EN144" s="4" t="s">
        <v>79</v>
      </c>
      <c r="EO144" s="19"/>
      <c r="EP144" s="17"/>
      <c r="EQ144" s="23"/>
      <c r="ER144" s="23" t="str">
        <f t="shared" si="5"/>
        <v/>
      </c>
      <c r="ES144" s="19"/>
      <c r="ET144" s="19" t="str">
        <f t="shared" si="6"/>
        <v/>
      </c>
      <c r="EU144" s="19"/>
      <c r="EV144" s="19"/>
      <c r="EW144" s="19"/>
      <c r="EX144" s="19"/>
      <c r="EY144" s="19"/>
      <c r="EZ144" s="19"/>
      <c r="FA144" s="19"/>
      <c r="FB144" s="19"/>
    </row>
    <row r="145" ht="15.75" customHeight="1">
      <c r="A145" s="19"/>
      <c r="B145" s="4" t="s">
        <v>468</v>
      </c>
      <c r="C145" s="4" t="s">
        <v>1332</v>
      </c>
      <c r="D145" s="78">
        <v>46204.0</v>
      </c>
      <c r="E145" s="4" t="s">
        <v>1333</v>
      </c>
      <c r="F145" s="19"/>
      <c r="AH145" s="23">
        <v>8823110.0</v>
      </c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  <c r="CY145" s="19"/>
      <c r="CZ145" s="19"/>
      <c r="DA145" s="19"/>
      <c r="DB145" s="19"/>
      <c r="DC145" s="19"/>
      <c r="DD145" s="19"/>
      <c r="DE145" s="19"/>
      <c r="DF145" s="19"/>
      <c r="DG145" s="19"/>
      <c r="DH145" s="19"/>
      <c r="DI145" s="19"/>
      <c r="DJ145" s="19"/>
      <c r="DK145" s="19"/>
      <c r="DL145" s="19"/>
      <c r="DM145" s="19"/>
      <c r="DN145" s="19"/>
      <c r="DO145" s="19"/>
      <c r="DP145" s="19"/>
      <c r="DQ145" s="19"/>
      <c r="DR145" s="19"/>
      <c r="DS145" s="19"/>
      <c r="DT145" s="19"/>
      <c r="DU145" s="19"/>
      <c r="DV145" s="19"/>
      <c r="DW145" s="19"/>
      <c r="DX145" s="19"/>
      <c r="DY145" s="19"/>
      <c r="DZ145" s="19"/>
      <c r="EA145" s="19"/>
      <c r="EB145" s="19"/>
      <c r="EC145" s="19"/>
      <c r="ED145" s="19"/>
      <c r="EE145" s="19"/>
      <c r="EF145" s="19"/>
      <c r="EG145" s="19"/>
      <c r="EH145" s="19"/>
      <c r="EI145" s="19"/>
      <c r="EJ145" s="19"/>
      <c r="EK145" s="19"/>
      <c r="EL145" s="19"/>
      <c r="EM145" s="19"/>
      <c r="EN145" s="4" t="s">
        <v>79</v>
      </c>
      <c r="EO145" s="19"/>
      <c r="EP145" s="17"/>
      <c r="EQ145" s="23"/>
      <c r="ER145" s="23" t="str">
        <f t="shared" si="5"/>
        <v/>
      </c>
      <c r="ES145" s="19"/>
      <c r="ET145" s="19" t="str">
        <f t="shared" si="6"/>
        <v/>
      </c>
      <c r="EU145" s="19"/>
      <c r="EV145" s="19"/>
      <c r="EW145" s="19"/>
      <c r="EX145" s="19"/>
      <c r="EY145" s="19"/>
      <c r="EZ145" s="19"/>
      <c r="FA145" s="19"/>
      <c r="FB145" s="19"/>
    </row>
    <row r="146" ht="15.75" customHeight="1">
      <c r="A146" s="19"/>
      <c r="B146" s="4" t="s">
        <v>468</v>
      </c>
      <c r="C146" s="4" t="s">
        <v>1332</v>
      </c>
      <c r="D146" s="78">
        <v>46295.0</v>
      </c>
      <c r="E146" s="4" t="s">
        <v>1334</v>
      </c>
      <c r="F146" s="19"/>
      <c r="AH146" s="23">
        <v>1.049528E7</v>
      </c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  <c r="CY146" s="19"/>
      <c r="CZ146" s="19"/>
      <c r="DA146" s="19"/>
      <c r="DB146" s="19"/>
      <c r="DC146" s="19"/>
      <c r="DD146" s="19"/>
      <c r="DE146" s="19"/>
      <c r="DF146" s="19"/>
      <c r="DG146" s="19"/>
      <c r="DH146" s="19"/>
      <c r="DI146" s="19"/>
      <c r="DJ146" s="19"/>
      <c r="DK146" s="19"/>
      <c r="DL146" s="19"/>
      <c r="DM146" s="19"/>
      <c r="DN146" s="19"/>
      <c r="DO146" s="19"/>
      <c r="DP146" s="19"/>
      <c r="DQ146" s="19"/>
      <c r="DR146" s="19"/>
      <c r="DS146" s="19"/>
      <c r="DT146" s="19"/>
      <c r="DU146" s="19"/>
      <c r="DV146" s="19"/>
      <c r="DW146" s="19"/>
      <c r="DX146" s="19"/>
      <c r="DY146" s="19"/>
      <c r="DZ146" s="19"/>
      <c r="EA146" s="19"/>
      <c r="EB146" s="19"/>
      <c r="EC146" s="19"/>
      <c r="ED146" s="19"/>
      <c r="EE146" s="19"/>
      <c r="EF146" s="19"/>
      <c r="EG146" s="19"/>
      <c r="EH146" s="19"/>
      <c r="EI146" s="19"/>
      <c r="EJ146" s="19"/>
      <c r="EK146" s="19"/>
      <c r="EL146" s="19"/>
      <c r="EM146" s="19"/>
      <c r="EN146" s="4" t="s">
        <v>79</v>
      </c>
      <c r="EO146" s="19"/>
      <c r="EP146" s="17"/>
      <c r="EQ146" s="23"/>
      <c r="ER146" s="23" t="str">
        <f t="shared" si="5"/>
        <v/>
      </c>
      <c r="ES146" s="19"/>
      <c r="ET146" s="19" t="str">
        <f t="shared" si="6"/>
        <v/>
      </c>
      <c r="EU146" s="19"/>
      <c r="EV146" s="19"/>
      <c r="EW146" s="19"/>
      <c r="EX146" s="19"/>
      <c r="EY146" s="19"/>
      <c r="EZ146" s="19"/>
      <c r="FA146" s="19"/>
      <c r="FB146" s="19"/>
    </row>
    <row r="147" ht="15.75" customHeight="1">
      <c r="A147" s="19"/>
      <c r="B147" s="4" t="s">
        <v>468</v>
      </c>
      <c r="C147" s="4" t="s">
        <v>1332</v>
      </c>
      <c r="D147" s="78">
        <v>46296.0</v>
      </c>
      <c r="E147" s="4" t="s">
        <v>1335</v>
      </c>
      <c r="F147" s="19"/>
      <c r="AH147" s="23">
        <v>1.3365393E7</v>
      </c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  <c r="CY147" s="19"/>
      <c r="CZ147" s="19"/>
      <c r="DA147" s="19"/>
      <c r="DB147" s="19"/>
      <c r="DC147" s="19"/>
      <c r="DD147" s="19"/>
      <c r="DE147" s="19"/>
      <c r="DF147" s="19"/>
      <c r="DG147" s="19"/>
      <c r="DH147" s="19"/>
      <c r="DI147" s="19"/>
      <c r="DJ147" s="19"/>
      <c r="DK147" s="19"/>
      <c r="DL147" s="19"/>
      <c r="DM147" s="19"/>
      <c r="DN147" s="19"/>
      <c r="DO147" s="19"/>
      <c r="DP147" s="19"/>
      <c r="DQ147" s="19"/>
      <c r="DR147" s="19"/>
      <c r="DS147" s="19"/>
      <c r="DT147" s="19"/>
      <c r="DU147" s="19"/>
      <c r="DV147" s="19"/>
      <c r="DW147" s="19"/>
      <c r="DX147" s="19"/>
      <c r="DY147" s="19"/>
      <c r="DZ147" s="19"/>
      <c r="EA147" s="19"/>
      <c r="EB147" s="19"/>
      <c r="EC147" s="19"/>
      <c r="ED147" s="19"/>
      <c r="EE147" s="19"/>
      <c r="EF147" s="19"/>
      <c r="EG147" s="19"/>
      <c r="EH147" s="19"/>
      <c r="EI147" s="19"/>
      <c r="EJ147" s="19"/>
      <c r="EK147" s="19"/>
      <c r="EL147" s="19"/>
      <c r="EM147" s="19"/>
      <c r="EN147" s="4" t="s">
        <v>79</v>
      </c>
      <c r="EO147" s="19"/>
      <c r="EP147" s="17"/>
      <c r="EQ147" s="23"/>
      <c r="ER147" s="23" t="str">
        <f t="shared" si="5"/>
        <v/>
      </c>
      <c r="ES147" s="19"/>
      <c r="ET147" s="19" t="str">
        <f t="shared" si="6"/>
        <v/>
      </c>
      <c r="EU147" s="19"/>
      <c r="EV147" s="19"/>
      <c r="EW147" s="19"/>
      <c r="EX147" s="19"/>
      <c r="EY147" s="19"/>
      <c r="EZ147" s="19"/>
      <c r="FA147" s="19"/>
      <c r="FB147" s="19"/>
    </row>
    <row r="148" ht="15.75" customHeight="1">
      <c r="A148" s="19"/>
      <c r="B148" s="4" t="s">
        <v>468</v>
      </c>
      <c r="C148" s="4" t="s">
        <v>1332</v>
      </c>
      <c r="D148" s="78">
        <v>46296.0</v>
      </c>
      <c r="E148" s="4" t="s">
        <v>1336</v>
      </c>
      <c r="F148" s="19"/>
      <c r="AH148" s="23">
        <v>1.185382E7</v>
      </c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  <c r="CY148" s="19"/>
      <c r="CZ148" s="19"/>
      <c r="DA148" s="19"/>
      <c r="DB148" s="19"/>
      <c r="DC148" s="19"/>
      <c r="DD148" s="19"/>
      <c r="DE148" s="19"/>
      <c r="DF148" s="19"/>
      <c r="DG148" s="19"/>
      <c r="DH148" s="19"/>
      <c r="DI148" s="19"/>
      <c r="DJ148" s="19"/>
      <c r="DK148" s="19"/>
      <c r="DL148" s="19"/>
      <c r="DM148" s="19"/>
      <c r="DN148" s="19"/>
      <c r="DO148" s="19"/>
      <c r="DP148" s="19"/>
      <c r="DQ148" s="19"/>
      <c r="DR148" s="19"/>
      <c r="DS148" s="19"/>
      <c r="DT148" s="19"/>
      <c r="DU148" s="19"/>
      <c r="DV148" s="19"/>
      <c r="DW148" s="19"/>
      <c r="DX148" s="19"/>
      <c r="DY148" s="19"/>
      <c r="DZ148" s="19"/>
      <c r="EA148" s="19"/>
      <c r="EB148" s="19"/>
      <c r="EC148" s="19"/>
      <c r="ED148" s="19"/>
      <c r="EE148" s="19"/>
      <c r="EF148" s="19"/>
      <c r="EG148" s="19"/>
      <c r="EH148" s="19"/>
      <c r="EI148" s="19"/>
      <c r="EJ148" s="19"/>
      <c r="EK148" s="19"/>
      <c r="EL148" s="19"/>
      <c r="EM148" s="19"/>
      <c r="EN148" s="4" t="s">
        <v>79</v>
      </c>
      <c r="EO148" s="19"/>
      <c r="EP148" s="17"/>
      <c r="EQ148" s="23"/>
      <c r="ER148" s="23" t="str">
        <f t="shared" si="5"/>
        <v/>
      </c>
      <c r="ES148" s="19"/>
      <c r="ET148" s="19" t="str">
        <f t="shared" si="6"/>
        <v/>
      </c>
      <c r="EU148" s="19"/>
      <c r="EV148" s="19"/>
      <c r="EW148" s="19"/>
      <c r="EX148" s="19"/>
      <c r="EY148" s="19"/>
      <c r="EZ148" s="19"/>
      <c r="FA148" s="19"/>
      <c r="FB148" s="19"/>
    </row>
    <row r="149" ht="15.75" customHeight="1">
      <c r="A149" s="19"/>
      <c r="B149" s="4" t="s">
        <v>468</v>
      </c>
      <c r="C149" s="4" t="s">
        <v>1332</v>
      </c>
      <c r="D149" s="78">
        <v>46357.0</v>
      </c>
      <c r="E149" s="4" t="s">
        <v>1337</v>
      </c>
      <c r="F149" s="19"/>
      <c r="AH149" s="23">
        <v>3.425163E7</v>
      </c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  <c r="CD149" s="19"/>
      <c r="CE149" s="19"/>
      <c r="CF149" s="19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19"/>
      <c r="CW149" s="19"/>
      <c r="CX149" s="19"/>
      <c r="CY149" s="19"/>
      <c r="CZ149" s="19"/>
      <c r="DA149" s="19"/>
      <c r="DB149" s="19"/>
      <c r="DC149" s="19"/>
      <c r="DD149" s="19"/>
      <c r="DE149" s="19"/>
      <c r="DF149" s="19"/>
      <c r="DG149" s="19"/>
      <c r="DH149" s="19"/>
      <c r="DI149" s="19"/>
      <c r="DJ149" s="19"/>
      <c r="DK149" s="19"/>
      <c r="DL149" s="19"/>
      <c r="DM149" s="19"/>
      <c r="DN149" s="19"/>
      <c r="DO149" s="19"/>
      <c r="DP149" s="19"/>
      <c r="DQ149" s="19"/>
      <c r="DR149" s="19"/>
      <c r="DS149" s="19"/>
      <c r="DT149" s="19"/>
      <c r="DU149" s="19"/>
      <c r="DV149" s="19"/>
      <c r="DW149" s="19"/>
      <c r="DX149" s="19"/>
      <c r="DY149" s="19"/>
      <c r="DZ149" s="19"/>
      <c r="EA149" s="19"/>
      <c r="EB149" s="19"/>
      <c r="EC149" s="19"/>
      <c r="ED149" s="19"/>
      <c r="EE149" s="19"/>
      <c r="EF149" s="19"/>
      <c r="EG149" s="19"/>
      <c r="EH149" s="19"/>
      <c r="EI149" s="19"/>
      <c r="EJ149" s="19"/>
      <c r="EK149" s="19"/>
      <c r="EL149" s="19"/>
      <c r="EM149" s="19"/>
      <c r="EN149" s="4" t="s">
        <v>79</v>
      </c>
      <c r="EO149" s="19"/>
      <c r="EP149" s="17"/>
      <c r="EQ149" s="23"/>
      <c r="ER149" s="23" t="str">
        <f t="shared" si="5"/>
        <v/>
      </c>
      <c r="ES149" s="19"/>
      <c r="ET149" s="19" t="str">
        <f t="shared" si="6"/>
        <v/>
      </c>
      <c r="EU149" s="19"/>
      <c r="EV149" s="19"/>
      <c r="EW149" s="19"/>
      <c r="EX149" s="19"/>
      <c r="EY149" s="19"/>
      <c r="EZ149" s="19"/>
      <c r="FA149" s="19"/>
      <c r="FB149" s="19"/>
    </row>
    <row r="150" ht="15.75" customHeight="1">
      <c r="A150" s="4" t="s">
        <v>1338</v>
      </c>
      <c r="B150" s="4" t="s">
        <v>591</v>
      </c>
      <c r="C150" s="4" t="s">
        <v>476</v>
      </c>
      <c r="D150" s="17">
        <v>46139.0</v>
      </c>
      <c r="E150" s="4" t="s">
        <v>1339</v>
      </c>
      <c r="F150" s="19"/>
      <c r="G150" s="4" t="s">
        <v>791</v>
      </c>
      <c r="H150" s="4" t="s">
        <v>1340</v>
      </c>
      <c r="J150" s="4" t="s">
        <v>1341</v>
      </c>
      <c r="K150" s="4">
        <v>2000.0</v>
      </c>
      <c r="M150" s="4" t="s">
        <v>1342</v>
      </c>
      <c r="N150" s="4" t="s">
        <v>1343</v>
      </c>
      <c r="O150" s="4" t="s">
        <v>740</v>
      </c>
      <c r="Q150" s="4" t="s">
        <v>1344</v>
      </c>
      <c r="R150" s="17">
        <v>46841.0</v>
      </c>
      <c r="S150" s="4" t="s">
        <v>1345</v>
      </c>
      <c r="T150" s="4">
        <v>57433.0</v>
      </c>
      <c r="W150" s="17">
        <v>46095.0</v>
      </c>
      <c r="Z150" s="4" t="s">
        <v>486</v>
      </c>
      <c r="AA150" s="4" t="s">
        <v>555</v>
      </c>
      <c r="AB150" s="4" t="s">
        <v>486</v>
      </c>
      <c r="AC150" s="4" t="s">
        <v>488</v>
      </c>
      <c r="AD150" s="4">
        <v>189600.0</v>
      </c>
      <c r="AE150" s="4">
        <v>12000.0</v>
      </c>
      <c r="AF150" s="4">
        <v>52750.0</v>
      </c>
      <c r="AG150" s="4">
        <v>20160.0</v>
      </c>
      <c r="AH150" s="23">
        <v>274510.0</v>
      </c>
      <c r="AJ150" s="4">
        <v>0.0</v>
      </c>
      <c r="AK150" s="4">
        <v>50366.0</v>
      </c>
      <c r="AL150" s="4">
        <v>0.0</v>
      </c>
      <c r="AM150" s="4">
        <v>52750.0</v>
      </c>
      <c r="AN150" s="4">
        <v>5037.0</v>
      </c>
      <c r="AO150" s="4">
        <v>108153.0</v>
      </c>
      <c r="AP150" s="4">
        <v>0.0</v>
      </c>
      <c r="AQ150" s="4">
        <v>151234.0</v>
      </c>
      <c r="AR150" s="4" t="s">
        <v>489</v>
      </c>
      <c r="AS150" s="4" t="s">
        <v>490</v>
      </c>
      <c r="AT150" s="4">
        <v>12000.0</v>
      </c>
      <c r="AU150" s="4" t="s">
        <v>491</v>
      </c>
      <c r="AV150" s="4">
        <v>0.0</v>
      </c>
      <c r="AW150" s="19"/>
      <c r="AX150" s="4">
        <v>0.0</v>
      </c>
      <c r="AY150" s="19"/>
      <c r="AZ150" s="4">
        <v>0.0</v>
      </c>
      <c r="BA150" s="19"/>
      <c r="BB150" s="4">
        <v>0.0</v>
      </c>
      <c r="BC150" s="19"/>
      <c r="BD150" s="4">
        <v>0.0</v>
      </c>
      <c r="BE150" s="19"/>
      <c r="BF150" s="4">
        <v>0.0</v>
      </c>
      <c r="BG150" s="19"/>
      <c r="BH150" s="4">
        <v>0.0</v>
      </c>
      <c r="BI150" s="4" t="s">
        <v>493</v>
      </c>
      <c r="BJ150" s="4">
        <v>17650.0</v>
      </c>
      <c r="BK150" s="4" t="s">
        <v>494</v>
      </c>
      <c r="BL150" s="4">
        <v>32800.0</v>
      </c>
      <c r="BM150" s="4" t="s">
        <v>495</v>
      </c>
      <c r="BN150" s="4">
        <v>2300.0</v>
      </c>
      <c r="BO150" s="4" t="s">
        <v>496</v>
      </c>
      <c r="BP150" s="4">
        <v>0.0</v>
      </c>
      <c r="BQ150" s="19"/>
      <c r="BR150" s="4">
        <v>0.0</v>
      </c>
      <c r="BS150" s="19"/>
      <c r="BT150" s="4">
        <v>0.0</v>
      </c>
      <c r="BU150" s="19"/>
      <c r="BV150" s="4">
        <v>0.0</v>
      </c>
      <c r="BW150" s="19"/>
      <c r="BX150" s="4">
        <v>0.0</v>
      </c>
      <c r="BY150" s="4" t="s">
        <v>490</v>
      </c>
      <c r="BZ150" s="4">
        <v>0.0</v>
      </c>
      <c r="CA150" s="4" t="s">
        <v>491</v>
      </c>
      <c r="CB150" s="4">
        <v>0.0</v>
      </c>
      <c r="CC150" s="19"/>
      <c r="CD150" s="4">
        <v>0.0</v>
      </c>
      <c r="CE150" s="19"/>
      <c r="CF150" s="4">
        <v>0.0</v>
      </c>
      <c r="CG150" s="19"/>
      <c r="CH150" s="4">
        <v>0.0</v>
      </c>
      <c r="CI150" s="19"/>
      <c r="CJ150" s="4">
        <v>0.0</v>
      </c>
      <c r="CK150" s="19"/>
      <c r="CL150" s="4">
        <v>0.0</v>
      </c>
      <c r="CM150" s="19"/>
      <c r="CN150" s="4">
        <v>0.0</v>
      </c>
      <c r="CO150" s="4" t="s">
        <v>493</v>
      </c>
      <c r="CP150" s="4">
        <v>17650.0</v>
      </c>
      <c r="CQ150" s="4" t="s">
        <v>494</v>
      </c>
      <c r="CR150" s="4">
        <v>32800.0</v>
      </c>
      <c r="CS150" s="4" t="s">
        <v>495</v>
      </c>
      <c r="CT150" s="4">
        <v>2300.0</v>
      </c>
      <c r="CU150" s="4" t="s">
        <v>496</v>
      </c>
      <c r="CV150" s="4">
        <v>0.0</v>
      </c>
      <c r="CW150" s="19"/>
      <c r="CX150" s="4">
        <v>0.0</v>
      </c>
      <c r="CY150" s="19"/>
      <c r="CZ150" s="4">
        <v>0.0</v>
      </c>
      <c r="DA150" s="19"/>
      <c r="DB150" s="4">
        <v>0.0</v>
      </c>
      <c r="DC150" s="19"/>
      <c r="DD150" s="4">
        <v>0.0</v>
      </c>
      <c r="DE150" s="4">
        <v>91700.0</v>
      </c>
      <c r="DF150" s="4">
        <v>97900.0</v>
      </c>
      <c r="DG150" s="4">
        <v>0.0</v>
      </c>
      <c r="DH150" s="4">
        <v>0.0</v>
      </c>
      <c r="DI150" s="4">
        <v>50366.0</v>
      </c>
      <c r="DJ150" s="4" t="s">
        <v>1346</v>
      </c>
      <c r="DK150" s="4" t="s">
        <v>486</v>
      </c>
      <c r="DL150" s="4" t="s">
        <v>555</v>
      </c>
      <c r="DM150" s="4" t="s">
        <v>1347</v>
      </c>
      <c r="DN150" s="4" t="s">
        <v>1348</v>
      </c>
      <c r="DO150" s="4" t="s">
        <v>1349</v>
      </c>
      <c r="DP150" s="19"/>
      <c r="DQ150" s="19"/>
      <c r="DR150" s="19"/>
      <c r="DS150" s="19"/>
      <c r="DT150" s="19"/>
      <c r="DU150" s="19"/>
      <c r="DV150" s="19"/>
      <c r="DW150" s="19"/>
      <c r="DX150" s="19"/>
      <c r="DY150" s="19"/>
      <c r="DZ150" s="19"/>
      <c r="EA150" s="19"/>
      <c r="EB150" s="19"/>
      <c r="EC150" s="19"/>
      <c r="ED150" s="19"/>
      <c r="EE150" s="19"/>
      <c r="EF150" s="19"/>
      <c r="EG150" s="19"/>
      <c r="EH150" s="19"/>
      <c r="EI150" s="19"/>
      <c r="EJ150" s="19"/>
      <c r="EK150" s="19"/>
      <c r="EL150" s="19"/>
      <c r="EM150" s="19"/>
      <c r="EN150" s="4" t="s">
        <v>79</v>
      </c>
      <c r="EO150" s="19"/>
      <c r="EP150" s="17"/>
      <c r="EQ150" s="23"/>
      <c r="ER150" s="23"/>
      <c r="ES150" s="19"/>
      <c r="ET150" s="19"/>
      <c r="EU150" s="19"/>
      <c r="EV150" s="19"/>
      <c r="EW150" s="19"/>
      <c r="EX150" s="19"/>
      <c r="EY150" s="19"/>
      <c r="EZ150" s="19"/>
      <c r="FA150" s="19"/>
      <c r="FB150" s="19"/>
    </row>
    <row r="151" ht="15.75" customHeight="1">
      <c r="A151" s="4" t="s">
        <v>1350</v>
      </c>
      <c r="B151" s="4" t="s">
        <v>530</v>
      </c>
      <c r="C151" s="4" t="s">
        <v>476</v>
      </c>
      <c r="D151" s="17">
        <v>46137.0</v>
      </c>
      <c r="E151" s="4" t="s">
        <v>1286</v>
      </c>
      <c r="F151" s="4" t="s">
        <v>634</v>
      </c>
      <c r="G151" s="4" t="s">
        <v>1287</v>
      </c>
      <c r="H151" s="4" t="s">
        <v>1288</v>
      </c>
      <c r="J151" s="4" t="s">
        <v>1289</v>
      </c>
      <c r="K151" s="4">
        <v>1400.0</v>
      </c>
      <c r="M151" s="4" t="s">
        <v>1290</v>
      </c>
      <c r="N151" s="4" t="s">
        <v>1291</v>
      </c>
      <c r="O151" s="4" t="s">
        <v>484</v>
      </c>
      <c r="Q151" s="4" t="s">
        <v>1292</v>
      </c>
      <c r="R151" s="17">
        <v>46565.0</v>
      </c>
      <c r="S151" s="4" t="s">
        <v>1293</v>
      </c>
      <c r="T151" s="4">
        <v>12041.0</v>
      </c>
      <c r="U151" s="4" t="s">
        <v>1294</v>
      </c>
      <c r="W151" s="17">
        <v>46058.0</v>
      </c>
      <c r="Y151" s="17">
        <v>46104.0</v>
      </c>
      <c r="Z151" s="4" t="s">
        <v>524</v>
      </c>
      <c r="AA151" s="4" t="s">
        <v>487</v>
      </c>
      <c r="AB151" s="4" t="s">
        <v>524</v>
      </c>
      <c r="AC151" s="4" t="s">
        <v>488</v>
      </c>
      <c r="AD151" s="4">
        <v>870600.0</v>
      </c>
      <c r="AE151" s="4">
        <v>0.0</v>
      </c>
      <c r="AF151" s="4">
        <v>-200000.0</v>
      </c>
      <c r="AG151" s="4">
        <v>87060.0</v>
      </c>
      <c r="AH151" s="23">
        <v>757660.0</v>
      </c>
      <c r="AJ151" s="4">
        <v>0.0</v>
      </c>
      <c r="AK151" s="4">
        <v>635496.0</v>
      </c>
      <c r="AL151" s="4">
        <v>0.0</v>
      </c>
      <c r="AM151" s="4">
        <v>0.0</v>
      </c>
      <c r="AN151" s="4">
        <v>63550.0</v>
      </c>
      <c r="AO151" s="4">
        <v>699046.0</v>
      </c>
      <c r="AP151" s="4">
        <v>0.0</v>
      </c>
      <c r="AQ151" s="4">
        <v>35104.0</v>
      </c>
      <c r="AR151" s="4" t="s">
        <v>525</v>
      </c>
      <c r="AS151" s="4" t="s">
        <v>507</v>
      </c>
      <c r="AT151" s="4">
        <v>0.0</v>
      </c>
      <c r="AU151" s="4" t="s">
        <v>491</v>
      </c>
      <c r="AV151" s="4">
        <v>0.0</v>
      </c>
      <c r="AW151" s="4" t="s">
        <v>508</v>
      </c>
      <c r="AX151" s="4">
        <v>0.0</v>
      </c>
      <c r="AY151" s="19"/>
      <c r="AZ151" s="4">
        <v>0.0</v>
      </c>
      <c r="BA151" s="19"/>
      <c r="BB151" s="4">
        <v>0.0</v>
      </c>
      <c r="BC151" s="19"/>
      <c r="BD151" s="4">
        <v>0.0</v>
      </c>
      <c r="BE151" s="19"/>
      <c r="BF151" s="4">
        <v>0.0</v>
      </c>
      <c r="BG151" s="19"/>
      <c r="BH151" s="4">
        <v>0.0</v>
      </c>
      <c r="BI151" s="4" t="s">
        <v>493</v>
      </c>
      <c r="BJ151" s="4">
        <v>0.0</v>
      </c>
      <c r="BK151" s="4" t="s">
        <v>494</v>
      </c>
      <c r="BL151" s="4">
        <v>0.0</v>
      </c>
      <c r="BM151" s="4" t="s">
        <v>495</v>
      </c>
      <c r="BN151" s="4">
        <v>0.0</v>
      </c>
      <c r="BO151" s="4" t="s">
        <v>496</v>
      </c>
      <c r="BP151" s="4">
        <v>-200000.0</v>
      </c>
      <c r="BQ151" s="19"/>
      <c r="BR151" s="4">
        <v>0.0</v>
      </c>
      <c r="BS151" s="19"/>
      <c r="BT151" s="4">
        <v>0.0</v>
      </c>
      <c r="BU151" s="19"/>
      <c r="BV151" s="4">
        <v>0.0</v>
      </c>
      <c r="BW151" s="19"/>
      <c r="BX151" s="4">
        <v>0.0</v>
      </c>
      <c r="BY151" s="4" t="s">
        <v>507</v>
      </c>
      <c r="BZ151" s="4">
        <v>0.0</v>
      </c>
      <c r="CA151" s="4" t="s">
        <v>491</v>
      </c>
      <c r="CB151" s="4">
        <v>0.0</v>
      </c>
      <c r="CC151" s="4" t="s">
        <v>508</v>
      </c>
      <c r="CD151" s="4">
        <v>0.0</v>
      </c>
      <c r="CE151" s="19"/>
      <c r="CF151" s="4">
        <v>0.0</v>
      </c>
      <c r="CG151" s="19"/>
      <c r="CH151" s="4">
        <v>0.0</v>
      </c>
      <c r="CI151" s="19"/>
      <c r="CJ151" s="4">
        <v>0.0</v>
      </c>
      <c r="CK151" s="19"/>
      <c r="CL151" s="4">
        <v>0.0</v>
      </c>
      <c r="CM151" s="19"/>
      <c r="CN151" s="4">
        <v>0.0</v>
      </c>
      <c r="CO151" s="4" t="s">
        <v>493</v>
      </c>
      <c r="CP151" s="4">
        <v>0.0</v>
      </c>
      <c r="CQ151" s="4" t="s">
        <v>494</v>
      </c>
      <c r="CR151" s="4">
        <v>0.0</v>
      </c>
      <c r="CS151" s="4" t="s">
        <v>495</v>
      </c>
      <c r="CT151" s="4">
        <v>0.0</v>
      </c>
      <c r="CU151" s="4" t="s">
        <v>496</v>
      </c>
      <c r="CV151" s="4">
        <v>0.0</v>
      </c>
      <c r="CW151" s="19"/>
      <c r="CX151" s="4">
        <v>0.0</v>
      </c>
      <c r="CY151" s="19"/>
      <c r="CZ151" s="4">
        <v>0.0</v>
      </c>
      <c r="DA151" s="19"/>
      <c r="DB151" s="4">
        <v>0.0</v>
      </c>
      <c r="DC151" s="19"/>
      <c r="DD151" s="4">
        <v>0.0</v>
      </c>
      <c r="DE151" s="4">
        <v>520000.0</v>
      </c>
      <c r="DF151" s="4">
        <v>350600.0</v>
      </c>
      <c r="DG151" s="4">
        <v>0.0</v>
      </c>
      <c r="DH151" s="4">
        <v>364000.0</v>
      </c>
      <c r="DI151" s="4">
        <v>271496.0</v>
      </c>
      <c r="DJ151" s="4" t="s">
        <v>334</v>
      </c>
      <c r="DK151" s="4" t="s">
        <v>524</v>
      </c>
      <c r="DL151" s="4" t="s">
        <v>487</v>
      </c>
      <c r="DM151" s="4" t="s">
        <v>1295</v>
      </c>
      <c r="DN151" s="4" t="s">
        <v>1296</v>
      </c>
      <c r="DO151" s="19"/>
      <c r="DP151" s="19"/>
      <c r="DQ151" s="19"/>
      <c r="DR151" s="19"/>
      <c r="DS151" s="19"/>
      <c r="DT151" s="19"/>
      <c r="DU151" s="19"/>
      <c r="DV151" s="19"/>
      <c r="DW151" s="19"/>
      <c r="DX151" s="19"/>
      <c r="DY151" s="19"/>
      <c r="DZ151" s="19"/>
      <c r="EA151" s="19"/>
      <c r="EB151" s="19"/>
      <c r="EC151" s="19"/>
      <c r="ED151" s="19"/>
      <c r="EE151" s="19"/>
      <c r="EF151" s="19"/>
      <c r="EG151" s="19"/>
      <c r="EH151" s="19"/>
      <c r="EI151" s="19"/>
      <c r="EJ151" s="19"/>
      <c r="EK151" s="19"/>
      <c r="EL151" s="19"/>
      <c r="EM151" s="19"/>
      <c r="EN151" s="4" t="s">
        <v>79</v>
      </c>
      <c r="EO151" s="19"/>
      <c r="EP151" s="17"/>
      <c r="EQ151" s="23"/>
      <c r="ER151" s="23"/>
      <c r="ES151" s="19"/>
      <c r="ET151" s="19"/>
      <c r="EU151" s="19"/>
      <c r="EV151" s="19"/>
      <c r="EW151" s="19"/>
      <c r="EX151" s="19"/>
      <c r="EY151" s="19"/>
      <c r="EZ151" s="19"/>
      <c r="FA151" s="19"/>
      <c r="FB151" s="19"/>
    </row>
    <row r="152" ht="15.75" customHeight="1">
      <c r="A152" s="4" t="s">
        <v>1351</v>
      </c>
      <c r="B152" s="4" t="s">
        <v>515</v>
      </c>
      <c r="C152" s="4" t="s">
        <v>476</v>
      </c>
      <c r="D152" s="17">
        <v>46139.0</v>
      </c>
      <c r="E152" s="4" t="s">
        <v>1251</v>
      </c>
      <c r="F152" s="19"/>
      <c r="G152" s="4" t="s">
        <v>1252</v>
      </c>
      <c r="H152" s="4" t="s">
        <v>1253</v>
      </c>
      <c r="J152" s="4" t="s">
        <v>1254</v>
      </c>
      <c r="K152" s="4">
        <v>4000.0</v>
      </c>
      <c r="M152" s="4" t="s">
        <v>1255</v>
      </c>
      <c r="N152" s="4" t="s">
        <v>1256</v>
      </c>
      <c r="O152" s="4" t="s">
        <v>484</v>
      </c>
      <c r="Q152" s="4" t="s">
        <v>1257</v>
      </c>
      <c r="R152" s="17">
        <v>46407.0</v>
      </c>
      <c r="S152" s="4" t="s">
        <v>1258</v>
      </c>
      <c r="T152" s="4">
        <v>45230.0</v>
      </c>
      <c r="Z152" s="4" t="s">
        <v>524</v>
      </c>
      <c r="AA152" s="4" t="s">
        <v>487</v>
      </c>
      <c r="AB152" s="4" t="s">
        <v>524</v>
      </c>
      <c r="AC152" s="4" t="s">
        <v>488</v>
      </c>
      <c r="AD152" s="4">
        <v>254573.0</v>
      </c>
      <c r="AE152" s="4">
        <v>0.0</v>
      </c>
      <c r="AF152" s="4">
        <v>0.0</v>
      </c>
      <c r="AG152" s="4">
        <v>25457.0</v>
      </c>
      <c r="AH152" s="23">
        <v>280030.0</v>
      </c>
      <c r="AJ152" s="4">
        <v>0.0</v>
      </c>
      <c r="AK152" s="4">
        <v>231430.0</v>
      </c>
      <c r="AL152" s="4">
        <v>0.0</v>
      </c>
      <c r="AM152" s="4">
        <v>0.0</v>
      </c>
      <c r="AN152" s="4">
        <v>23143.0</v>
      </c>
      <c r="AO152" s="4">
        <v>254573.0</v>
      </c>
      <c r="AP152" s="4">
        <v>0.0</v>
      </c>
      <c r="AQ152" s="4">
        <v>23143.0</v>
      </c>
      <c r="AR152" s="4" t="s">
        <v>525</v>
      </c>
      <c r="AS152" s="4" t="s">
        <v>507</v>
      </c>
      <c r="AT152" s="4">
        <v>0.0</v>
      </c>
      <c r="AU152" s="4" t="s">
        <v>491</v>
      </c>
      <c r="AV152" s="4">
        <v>0.0</v>
      </c>
      <c r="AW152" s="4" t="s">
        <v>508</v>
      </c>
      <c r="AX152" s="4">
        <v>0.0</v>
      </c>
      <c r="AY152" s="19"/>
      <c r="AZ152" s="4">
        <v>0.0</v>
      </c>
      <c r="BA152" s="19"/>
      <c r="BB152" s="4">
        <v>0.0</v>
      </c>
      <c r="BC152" s="19"/>
      <c r="BD152" s="4">
        <v>0.0</v>
      </c>
      <c r="BE152" s="19"/>
      <c r="BF152" s="4">
        <v>0.0</v>
      </c>
      <c r="BG152" s="19"/>
      <c r="BH152" s="4">
        <v>0.0</v>
      </c>
      <c r="BI152" s="4" t="s">
        <v>493</v>
      </c>
      <c r="BJ152" s="4">
        <v>0.0</v>
      </c>
      <c r="BK152" s="4" t="s">
        <v>494</v>
      </c>
      <c r="BL152" s="4">
        <v>0.0</v>
      </c>
      <c r="BM152" s="4" t="s">
        <v>495</v>
      </c>
      <c r="BN152" s="4">
        <v>0.0</v>
      </c>
      <c r="BO152" s="4" t="s">
        <v>496</v>
      </c>
      <c r="BP152" s="4">
        <v>0.0</v>
      </c>
      <c r="BQ152" s="19"/>
      <c r="BR152" s="4">
        <v>0.0</v>
      </c>
      <c r="BS152" s="19"/>
      <c r="BT152" s="4">
        <v>0.0</v>
      </c>
      <c r="BU152" s="19"/>
      <c r="BV152" s="4">
        <v>0.0</v>
      </c>
      <c r="BW152" s="19"/>
      <c r="BX152" s="4">
        <v>0.0</v>
      </c>
      <c r="BY152" s="4" t="s">
        <v>507</v>
      </c>
      <c r="BZ152" s="4">
        <v>0.0</v>
      </c>
      <c r="CA152" s="4" t="s">
        <v>491</v>
      </c>
      <c r="CB152" s="4">
        <v>0.0</v>
      </c>
      <c r="CC152" s="4" t="s">
        <v>508</v>
      </c>
      <c r="CD152" s="4">
        <v>0.0</v>
      </c>
      <c r="CE152" s="19"/>
      <c r="CF152" s="4">
        <v>0.0</v>
      </c>
      <c r="CG152" s="19"/>
      <c r="CH152" s="4">
        <v>0.0</v>
      </c>
      <c r="CI152" s="19"/>
      <c r="CJ152" s="4">
        <v>0.0</v>
      </c>
      <c r="CK152" s="19"/>
      <c r="CL152" s="4">
        <v>0.0</v>
      </c>
      <c r="CM152" s="19"/>
      <c r="CN152" s="4">
        <v>0.0</v>
      </c>
      <c r="CO152" s="4" t="s">
        <v>493</v>
      </c>
      <c r="CP152" s="4">
        <v>0.0</v>
      </c>
      <c r="CQ152" s="4" t="s">
        <v>494</v>
      </c>
      <c r="CR152" s="4">
        <v>0.0</v>
      </c>
      <c r="CS152" s="4" t="s">
        <v>495</v>
      </c>
      <c r="CT152" s="4">
        <v>0.0</v>
      </c>
      <c r="CU152" s="4" t="s">
        <v>496</v>
      </c>
      <c r="CV152" s="4">
        <v>0.0</v>
      </c>
      <c r="CW152" s="19"/>
      <c r="CX152" s="4">
        <v>0.0</v>
      </c>
      <c r="CY152" s="19"/>
      <c r="CZ152" s="4">
        <v>0.0</v>
      </c>
      <c r="DA152" s="19"/>
      <c r="DB152" s="4">
        <v>0.0</v>
      </c>
      <c r="DC152" s="19"/>
      <c r="DD152" s="4">
        <v>0.0</v>
      </c>
      <c r="DE152" s="4">
        <v>63311.0</v>
      </c>
      <c r="DF152" s="4">
        <v>191262.0</v>
      </c>
      <c r="DG152" s="4">
        <v>0.0</v>
      </c>
      <c r="DH152" s="4">
        <v>231430.0</v>
      </c>
      <c r="DI152" s="4">
        <v>0.0</v>
      </c>
      <c r="DJ152" s="4" t="s">
        <v>1259</v>
      </c>
      <c r="DK152" s="4" t="s">
        <v>1260</v>
      </c>
      <c r="DL152" s="4" t="s">
        <v>555</v>
      </c>
      <c r="DM152" s="4" t="s">
        <v>558</v>
      </c>
      <c r="DN152" s="4" t="s">
        <v>1261</v>
      </c>
      <c r="DO152" s="19"/>
      <c r="DP152" s="19"/>
      <c r="DQ152" s="19"/>
      <c r="DR152" s="19"/>
      <c r="DS152" s="19"/>
      <c r="DT152" s="19"/>
      <c r="DU152" s="19"/>
      <c r="DV152" s="19"/>
      <c r="DW152" s="19"/>
      <c r="DX152" s="19"/>
      <c r="DY152" s="19"/>
      <c r="DZ152" s="19"/>
      <c r="EA152" s="19"/>
      <c r="EB152" s="19"/>
      <c r="EC152" s="19"/>
      <c r="ED152" s="19"/>
      <c r="EE152" s="19"/>
      <c r="EF152" s="19"/>
      <c r="EG152" s="19"/>
      <c r="EH152" s="19"/>
      <c r="EI152" s="19"/>
      <c r="EJ152" s="19"/>
      <c r="EK152" s="19"/>
      <c r="EL152" s="19"/>
      <c r="EM152" s="19"/>
      <c r="EN152" s="4" t="s">
        <v>79</v>
      </c>
      <c r="EO152" s="19"/>
      <c r="EP152" s="17"/>
      <c r="EQ152" s="23"/>
      <c r="ER152" s="23"/>
      <c r="ES152" s="19"/>
      <c r="ET152" s="19"/>
      <c r="EU152" s="19"/>
      <c r="EV152" s="19"/>
      <c r="EW152" s="19"/>
      <c r="EX152" s="19"/>
      <c r="EY152" s="19"/>
      <c r="EZ152" s="19"/>
      <c r="FA152" s="19"/>
      <c r="FB152" s="19"/>
    </row>
    <row r="153" ht="15.75" customHeight="1">
      <c r="A153" s="4" t="s">
        <v>1352</v>
      </c>
      <c r="B153" s="4" t="s">
        <v>543</v>
      </c>
      <c r="C153" s="4" t="s">
        <v>476</v>
      </c>
      <c r="D153" s="17">
        <v>46137.0</v>
      </c>
      <c r="E153" s="4" t="s">
        <v>618</v>
      </c>
      <c r="F153" s="4" t="s">
        <v>634</v>
      </c>
      <c r="G153" s="4" t="s">
        <v>619</v>
      </c>
      <c r="H153" s="4" t="s">
        <v>620</v>
      </c>
      <c r="I153" s="4" t="s">
        <v>621</v>
      </c>
      <c r="J153" s="4" t="s">
        <v>622</v>
      </c>
      <c r="K153" s="4">
        <v>3800.0</v>
      </c>
      <c r="L153" s="4" t="s">
        <v>623</v>
      </c>
      <c r="M153" s="4" t="s">
        <v>624</v>
      </c>
      <c r="N153" s="4" t="s">
        <v>521</v>
      </c>
      <c r="O153" s="4" t="s">
        <v>484</v>
      </c>
      <c r="P153" s="4" t="s">
        <v>625</v>
      </c>
      <c r="Q153" s="4" t="s">
        <v>626</v>
      </c>
      <c r="R153" s="17">
        <v>46822.0</v>
      </c>
      <c r="S153" s="4" t="s">
        <v>1285</v>
      </c>
      <c r="T153" s="4">
        <v>34767.0</v>
      </c>
      <c r="W153" s="17">
        <v>46107.0</v>
      </c>
      <c r="Y153" s="17">
        <v>46107.0</v>
      </c>
      <c r="Z153" s="4" t="s">
        <v>557</v>
      </c>
      <c r="AA153" s="4" t="s">
        <v>627</v>
      </c>
      <c r="AB153" s="4" t="s">
        <v>557</v>
      </c>
      <c r="AC153" s="4" t="s">
        <v>488</v>
      </c>
      <c r="AD153" s="4">
        <v>66000.0</v>
      </c>
      <c r="AE153" s="4">
        <v>0.0</v>
      </c>
      <c r="AF153" s="4">
        <v>0.0</v>
      </c>
      <c r="AG153" s="4">
        <v>6600.0</v>
      </c>
      <c r="AH153" s="23">
        <v>72600.0</v>
      </c>
      <c r="AJ153" s="4">
        <v>0.0</v>
      </c>
      <c r="AK153" s="4">
        <v>0.0</v>
      </c>
      <c r="AL153" s="4">
        <v>0.0</v>
      </c>
      <c r="AM153" s="4">
        <v>0.0</v>
      </c>
      <c r="AN153" s="4">
        <v>0.0</v>
      </c>
      <c r="AO153" s="4">
        <v>0.0</v>
      </c>
      <c r="AP153" s="4">
        <v>0.0</v>
      </c>
      <c r="AQ153" s="4">
        <v>66000.0</v>
      </c>
      <c r="AR153" s="4" t="s">
        <v>525</v>
      </c>
      <c r="AS153" s="4" t="s">
        <v>507</v>
      </c>
      <c r="AT153" s="4">
        <v>0.0</v>
      </c>
      <c r="AU153" s="4" t="s">
        <v>491</v>
      </c>
      <c r="AV153" s="4">
        <v>0.0</v>
      </c>
      <c r="AW153" s="4" t="s">
        <v>508</v>
      </c>
      <c r="AX153" s="4">
        <v>0.0</v>
      </c>
      <c r="AY153" s="19"/>
      <c r="AZ153" s="4">
        <v>0.0</v>
      </c>
      <c r="BA153" s="19"/>
      <c r="BB153" s="4">
        <v>0.0</v>
      </c>
      <c r="BC153" s="19"/>
      <c r="BD153" s="4">
        <v>0.0</v>
      </c>
      <c r="BE153" s="19"/>
      <c r="BF153" s="4">
        <v>0.0</v>
      </c>
      <c r="BG153" s="19"/>
      <c r="BH153" s="4">
        <v>0.0</v>
      </c>
      <c r="BI153" s="4" t="s">
        <v>493</v>
      </c>
      <c r="BJ153" s="4">
        <v>0.0</v>
      </c>
      <c r="BK153" s="4" t="s">
        <v>494</v>
      </c>
      <c r="BL153" s="4">
        <v>0.0</v>
      </c>
      <c r="BM153" s="4" t="s">
        <v>495</v>
      </c>
      <c r="BN153" s="4">
        <v>0.0</v>
      </c>
      <c r="BO153" s="4" t="s">
        <v>496</v>
      </c>
      <c r="BP153" s="4">
        <v>0.0</v>
      </c>
      <c r="BQ153" s="19"/>
      <c r="BR153" s="4">
        <v>0.0</v>
      </c>
      <c r="BS153" s="19"/>
      <c r="BT153" s="4">
        <v>0.0</v>
      </c>
      <c r="BU153" s="19"/>
      <c r="BV153" s="4">
        <v>0.0</v>
      </c>
      <c r="BW153" s="19"/>
      <c r="BX153" s="4">
        <v>0.0</v>
      </c>
      <c r="BY153" s="4" t="s">
        <v>507</v>
      </c>
      <c r="BZ153" s="4">
        <v>0.0</v>
      </c>
      <c r="CA153" s="4" t="s">
        <v>491</v>
      </c>
      <c r="CB153" s="4">
        <v>0.0</v>
      </c>
      <c r="CC153" s="4" t="s">
        <v>508</v>
      </c>
      <c r="CD153" s="4">
        <v>0.0</v>
      </c>
      <c r="CE153" s="19"/>
      <c r="CF153" s="4">
        <v>0.0</v>
      </c>
      <c r="CG153" s="19"/>
      <c r="CH153" s="4">
        <v>0.0</v>
      </c>
      <c r="CI153" s="19"/>
      <c r="CJ153" s="4">
        <v>0.0</v>
      </c>
      <c r="CK153" s="19"/>
      <c r="CL153" s="4">
        <v>0.0</v>
      </c>
      <c r="CM153" s="19"/>
      <c r="CN153" s="4">
        <v>0.0</v>
      </c>
      <c r="CO153" s="4" t="s">
        <v>493</v>
      </c>
      <c r="CP153" s="4">
        <v>0.0</v>
      </c>
      <c r="CQ153" s="4" t="s">
        <v>494</v>
      </c>
      <c r="CR153" s="4">
        <v>0.0</v>
      </c>
      <c r="CS153" s="4" t="s">
        <v>495</v>
      </c>
      <c r="CT153" s="4">
        <v>0.0</v>
      </c>
      <c r="CU153" s="4" t="s">
        <v>496</v>
      </c>
      <c r="CV153" s="4">
        <v>0.0</v>
      </c>
      <c r="CW153" s="19"/>
      <c r="CX153" s="4">
        <v>0.0</v>
      </c>
      <c r="CY153" s="19"/>
      <c r="CZ153" s="4">
        <v>0.0</v>
      </c>
      <c r="DA153" s="19"/>
      <c r="DB153" s="4">
        <v>0.0</v>
      </c>
      <c r="DC153" s="19"/>
      <c r="DD153" s="4">
        <v>0.0</v>
      </c>
      <c r="DE153" s="4">
        <v>30000.0</v>
      </c>
      <c r="DF153" s="4">
        <v>36000.0</v>
      </c>
      <c r="DG153" s="4">
        <v>0.0</v>
      </c>
      <c r="DH153" s="4">
        <v>0.0</v>
      </c>
      <c r="DI153" s="4">
        <v>0.0</v>
      </c>
      <c r="DJ153" s="4" t="s">
        <v>628</v>
      </c>
      <c r="DK153" s="4" t="s">
        <v>557</v>
      </c>
      <c r="DL153" s="4" t="s">
        <v>487</v>
      </c>
      <c r="DM153" s="4" t="s">
        <v>629</v>
      </c>
      <c r="DN153" s="4" t="s">
        <v>630</v>
      </c>
      <c r="DO153" s="4">
        <v>9.037442434E9</v>
      </c>
      <c r="DP153" s="19"/>
      <c r="DQ153" s="19"/>
      <c r="DR153" s="19"/>
      <c r="DS153" s="19"/>
      <c r="DT153" s="19"/>
      <c r="DU153" s="19"/>
      <c r="DV153" s="19"/>
      <c r="DW153" s="19"/>
      <c r="DX153" s="19"/>
      <c r="DY153" s="19"/>
      <c r="DZ153" s="19"/>
      <c r="EA153" s="19"/>
      <c r="EB153" s="19"/>
      <c r="EC153" s="19"/>
      <c r="ED153" s="19"/>
      <c r="EE153" s="19"/>
      <c r="EF153" s="19"/>
      <c r="EG153" s="19"/>
      <c r="EH153" s="19"/>
      <c r="EI153" s="19"/>
      <c r="EJ153" s="19"/>
      <c r="EK153" s="19"/>
      <c r="EL153" s="19"/>
      <c r="EM153" s="19"/>
      <c r="EN153" s="4" t="s">
        <v>79</v>
      </c>
      <c r="EO153" s="19"/>
      <c r="EP153" s="17"/>
      <c r="EQ153" s="23"/>
      <c r="ER153" s="23"/>
      <c r="ES153" s="19"/>
      <c r="ET153" s="19"/>
      <c r="EU153" s="19"/>
      <c r="EV153" s="19"/>
      <c r="EW153" s="19"/>
      <c r="EX153" s="19"/>
      <c r="EY153" s="19"/>
      <c r="EZ153" s="19"/>
      <c r="FA153" s="19"/>
      <c r="FB153" s="19"/>
    </row>
    <row r="154" ht="15.75" customHeight="1">
      <c r="A154" s="4" t="s">
        <v>1250</v>
      </c>
      <c r="B154" s="4" t="s">
        <v>475</v>
      </c>
      <c r="C154" s="4" t="s">
        <v>476</v>
      </c>
      <c r="D154" s="17">
        <v>46139.0</v>
      </c>
      <c r="E154" s="4" t="s">
        <v>1251</v>
      </c>
      <c r="F154" s="19"/>
      <c r="G154" s="4" t="s">
        <v>1252</v>
      </c>
      <c r="H154" s="4" t="s">
        <v>1253</v>
      </c>
      <c r="J154" s="4" t="s">
        <v>1254</v>
      </c>
      <c r="K154" s="4">
        <v>4000.0</v>
      </c>
      <c r="M154" s="4" t="s">
        <v>1255</v>
      </c>
      <c r="N154" s="4" t="s">
        <v>1256</v>
      </c>
      <c r="O154" s="4" t="s">
        <v>484</v>
      </c>
      <c r="Q154" s="4" t="s">
        <v>1257</v>
      </c>
      <c r="R154" s="17">
        <v>46407.0</v>
      </c>
      <c r="S154" s="4" t="s">
        <v>1258</v>
      </c>
      <c r="T154" s="4">
        <v>45230.0</v>
      </c>
      <c r="W154" s="17">
        <v>46139.0</v>
      </c>
      <c r="Y154" s="17">
        <v>46139.0</v>
      </c>
      <c r="Z154" s="4" t="s">
        <v>557</v>
      </c>
      <c r="AA154" s="4" t="s">
        <v>487</v>
      </c>
      <c r="AB154" s="4" t="s">
        <v>557</v>
      </c>
      <c r="AC154" s="4" t="s">
        <v>488</v>
      </c>
      <c r="AD154" s="4">
        <v>392000.0</v>
      </c>
      <c r="AE154" s="4">
        <v>0.0</v>
      </c>
      <c r="AF154" s="4">
        <v>0.0</v>
      </c>
      <c r="AG154" s="4">
        <v>39200.0</v>
      </c>
      <c r="AH154" s="23">
        <v>431200.0</v>
      </c>
      <c r="AJ154" s="4">
        <v>0.0</v>
      </c>
      <c r="AK154" s="4">
        <v>220000.0</v>
      </c>
      <c r="AL154" s="4">
        <v>0.0</v>
      </c>
      <c r="AM154" s="4">
        <v>0.0</v>
      </c>
      <c r="AN154" s="4">
        <v>22000.0</v>
      </c>
      <c r="AO154" s="4">
        <v>242000.0</v>
      </c>
      <c r="AP154" s="4">
        <v>0.0</v>
      </c>
      <c r="AQ154" s="4">
        <v>172000.0</v>
      </c>
      <c r="AR154" s="4" t="s">
        <v>525</v>
      </c>
      <c r="AS154" s="4" t="s">
        <v>507</v>
      </c>
      <c r="AT154" s="4">
        <v>0.0</v>
      </c>
      <c r="AU154" s="4" t="s">
        <v>491</v>
      </c>
      <c r="AV154" s="4">
        <v>0.0</v>
      </c>
      <c r="AW154" s="4" t="s">
        <v>508</v>
      </c>
      <c r="AX154" s="4">
        <v>0.0</v>
      </c>
      <c r="AY154" s="19"/>
      <c r="AZ154" s="4">
        <v>0.0</v>
      </c>
      <c r="BA154" s="19"/>
      <c r="BB154" s="4">
        <v>0.0</v>
      </c>
      <c r="BC154" s="19"/>
      <c r="BD154" s="4">
        <v>0.0</v>
      </c>
      <c r="BE154" s="19"/>
      <c r="BF154" s="4">
        <v>0.0</v>
      </c>
      <c r="BG154" s="19"/>
      <c r="BH154" s="4">
        <v>0.0</v>
      </c>
      <c r="BI154" s="4" t="s">
        <v>493</v>
      </c>
      <c r="BJ154" s="4">
        <v>0.0</v>
      </c>
      <c r="BK154" s="4" t="s">
        <v>494</v>
      </c>
      <c r="BL154" s="4">
        <v>0.0</v>
      </c>
      <c r="BM154" s="4" t="s">
        <v>495</v>
      </c>
      <c r="BN154" s="4">
        <v>0.0</v>
      </c>
      <c r="BO154" s="4" t="s">
        <v>496</v>
      </c>
      <c r="BP154" s="4">
        <v>0.0</v>
      </c>
      <c r="BQ154" s="19"/>
      <c r="BR154" s="4">
        <v>0.0</v>
      </c>
      <c r="BS154" s="19"/>
      <c r="BT154" s="4">
        <v>0.0</v>
      </c>
      <c r="BU154" s="19"/>
      <c r="BV154" s="4">
        <v>0.0</v>
      </c>
      <c r="BW154" s="19"/>
      <c r="BX154" s="4">
        <v>0.0</v>
      </c>
      <c r="BY154" s="4" t="s">
        <v>507</v>
      </c>
      <c r="BZ154" s="4">
        <v>0.0</v>
      </c>
      <c r="CA154" s="4" t="s">
        <v>491</v>
      </c>
      <c r="CB154" s="4">
        <v>0.0</v>
      </c>
      <c r="CC154" s="4" t="s">
        <v>508</v>
      </c>
      <c r="CD154" s="4">
        <v>0.0</v>
      </c>
      <c r="CE154" s="19"/>
      <c r="CF154" s="4">
        <v>0.0</v>
      </c>
      <c r="CG154" s="19"/>
      <c r="CH154" s="4">
        <v>0.0</v>
      </c>
      <c r="CI154" s="19"/>
      <c r="CJ154" s="4">
        <v>0.0</v>
      </c>
      <c r="CK154" s="19"/>
      <c r="CL154" s="4">
        <v>0.0</v>
      </c>
      <c r="CM154" s="19"/>
      <c r="CN154" s="4">
        <v>0.0</v>
      </c>
      <c r="CO154" s="4" t="s">
        <v>493</v>
      </c>
      <c r="CP154" s="4">
        <v>0.0</v>
      </c>
      <c r="CQ154" s="4" t="s">
        <v>494</v>
      </c>
      <c r="CR154" s="4">
        <v>0.0</v>
      </c>
      <c r="CS154" s="4" t="s">
        <v>495</v>
      </c>
      <c r="CT154" s="4">
        <v>0.0</v>
      </c>
      <c r="CU154" s="4" t="s">
        <v>496</v>
      </c>
      <c r="CV154" s="4">
        <v>0.0</v>
      </c>
      <c r="CW154" s="19"/>
      <c r="CX154" s="4">
        <v>0.0</v>
      </c>
      <c r="CY154" s="19"/>
      <c r="CZ154" s="4">
        <v>0.0</v>
      </c>
      <c r="DA154" s="19"/>
      <c r="DB154" s="4">
        <v>0.0</v>
      </c>
      <c r="DC154" s="19"/>
      <c r="DD154" s="4">
        <v>0.0</v>
      </c>
      <c r="DE154" s="4">
        <v>32000.0</v>
      </c>
      <c r="DF154" s="4">
        <v>360000.0</v>
      </c>
      <c r="DG154" s="4">
        <v>0.0</v>
      </c>
      <c r="DH154" s="4">
        <v>0.0</v>
      </c>
      <c r="DI154" s="4">
        <v>220000.0</v>
      </c>
      <c r="DJ154" s="4" t="s">
        <v>1259</v>
      </c>
      <c r="DK154" s="4" t="s">
        <v>1260</v>
      </c>
      <c r="DL154" s="4" t="s">
        <v>555</v>
      </c>
      <c r="DM154" s="4" t="s">
        <v>558</v>
      </c>
      <c r="DN154" s="4" t="s">
        <v>1261</v>
      </c>
      <c r="DO154" s="19"/>
      <c r="DP154" s="19"/>
      <c r="DQ154" s="19"/>
      <c r="DR154" s="19"/>
      <c r="DS154" s="19"/>
      <c r="DT154" s="19"/>
      <c r="DU154" s="19"/>
      <c r="DV154" s="19"/>
      <c r="DW154" s="19"/>
      <c r="DX154" s="19"/>
      <c r="DY154" s="19"/>
      <c r="DZ154" s="19"/>
      <c r="EA154" s="19"/>
      <c r="EB154" s="19"/>
      <c r="EC154" s="19"/>
      <c r="ED154" s="19"/>
      <c r="EE154" s="19"/>
      <c r="EF154" s="19"/>
      <c r="EG154" s="19"/>
      <c r="EH154" s="19"/>
      <c r="EI154" s="19"/>
      <c r="EJ154" s="19"/>
      <c r="EK154" s="19"/>
      <c r="EL154" s="19"/>
      <c r="EM154" s="19"/>
      <c r="EN154" s="4" t="s">
        <v>79</v>
      </c>
      <c r="EO154" s="19"/>
      <c r="EP154" s="17"/>
      <c r="EQ154" s="23"/>
      <c r="ER154" s="23"/>
      <c r="ES154" s="19"/>
      <c r="ET154" s="19"/>
      <c r="EU154" s="19"/>
      <c r="EV154" s="19"/>
      <c r="EW154" s="19"/>
      <c r="EX154" s="19"/>
      <c r="EY154" s="19"/>
      <c r="EZ154" s="19"/>
      <c r="FA154" s="19"/>
      <c r="FB154" s="19"/>
    </row>
    <row r="155" ht="15.75" customHeight="1">
      <c r="A155" s="4" t="s">
        <v>1353</v>
      </c>
      <c r="B155" s="4" t="s">
        <v>515</v>
      </c>
      <c r="C155" s="4" t="s">
        <v>476</v>
      </c>
      <c r="D155" s="17">
        <v>46135.0</v>
      </c>
      <c r="E155" s="4" t="s">
        <v>1354</v>
      </c>
      <c r="F155" s="4" t="s">
        <v>568</v>
      </c>
      <c r="G155" s="4" t="s">
        <v>1086</v>
      </c>
      <c r="H155" s="4" t="s">
        <v>479</v>
      </c>
      <c r="J155" s="4" t="s">
        <v>1355</v>
      </c>
      <c r="K155" s="4">
        <v>0.0</v>
      </c>
      <c r="M155" s="4" t="s">
        <v>506</v>
      </c>
      <c r="Q155" s="4" t="s">
        <v>711</v>
      </c>
      <c r="R155" s="17">
        <v>46870.0</v>
      </c>
      <c r="S155" s="4" t="s">
        <v>1356</v>
      </c>
      <c r="T155" s="4">
        <v>6185.0</v>
      </c>
      <c r="W155" s="17">
        <v>46135.0</v>
      </c>
      <c r="Y155" s="17">
        <v>46137.0</v>
      </c>
      <c r="Z155" s="4" t="s">
        <v>486</v>
      </c>
      <c r="AA155" s="4" t="s">
        <v>487</v>
      </c>
      <c r="AB155" s="4" t="s">
        <v>486</v>
      </c>
      <c r="AC155" s="4" t="s">
        <v>488</v>
      </c>
      <c r="AD155" s="4">
        <v>17985.0</v>
      </c>
      <c r="AE155" s="4">
        <v>0.0</v>
      </c>
      <c r="AF155" s="4">
        <v>0.0</v>
      </c>
      <c r="AG155" s="4">
        <v>1799.0</v>
      </c>
      <c r="AH155" s="23">
        <v>19784.0</v>
      </c>
      <c r="AJ155" s="4">
        <v>0.0</v>
      </c>
      <c r="AK155" s="4">
        <v>650.0</v>
      </c>
      <c r="AL155" s="4">
        <v>0.0</v>
      </c>
      <c r="AM155" s="4">
        <v>0.0</v>
      </c>
      <c r="AN155" s="4">
        <v>65.0</v>
      </c>
      <c r="AO155" s="4">
        <v>715.0</v>
      </c>
      <c r="AP155" s="4">
        <v>0.0</v>
      </c>
      <c r="AQ155" s="4">
        <v>17335.0</v>
      </c>
      <c r="AR155" s="4" t="s">
        <v>489</v>
      </c>
      <c r="AS155" s="4" t="s">
        <v>507</v>
      </c>
      <c r="AT155" s="4">
        <v>0.0</v>
      </c>
      <c r="AU155" s="4" t="s">
        <v>491</v>
      </c>
      <c r="AV155" s="4">
        <v>0.0</v>
      </c>
      <c r="AW155" s="4" t="s">
        <v>508</v>
      </c>
      <c r="AX155" s="4">
        <v>0.0</v>
      </c>
      <c r="AY155" s="19"/>
      <c r="AZ155" s="4">
        <v>0.0</v>
      </c>
      <c r="BA155" s="19"/>
      <c r="BB155" s="4">
        <v>0.0</v>
      </c>
      <c r="BC155" s="19"/>
      <c r="BD155" s="4">
        <v>0.0</v>
      </c>
      <c r="BE155" s="19"/>
      <c r="BF155" s="4">
        <v>0.0</v>
      </c>
      <c r="BG155" s="19"/>
      <c r="BH155" s="4">
        <v>0.0</v>
      </c>
      <c r="BI155" s="4" t="s">
        <v>493</v>
      </c>
      <c r="BJ155" s="4">
        <v>0.0</v>
      </c>
      <c r="BK155" s="4" t="s">
        <v>494</v>
      </c>
      <c r="BL155" s="4">
        <v>0.0</v>
      </c>
      <c r="BM155" s="4" t="s">
        <v>495</v>
      </c>
      <c r="BN155" s="4">
        <v>0.0</v>
      </c>
      <c r="BO155" s="4" t="s">
        <v>496</v>
      </c>
      <c r="BP155" s="4">
        <v>0.0</v>
      </c>
      <c r="BQ155" s="19"/>
      <c r="BR155" s="4">
        <v>0.0</v>
      </c>
      <c r="BS155" s="19"/>
      <c r="BT155" s="4">
        <v>0.0</v>
      </c>
      <c r="BU155" s="19"/>
      <c r="BV155" s="4">
        <v>0.0</v>
      </c>
      <c r="BW155" s="19"/>
      <c r="BX155" s="4">
        <v>0.0</v>
      </c>
      <c r="BY155" s="4" t="s">
        <v>507</v>
      </c>
      <c r="BZ155" s="4">
        <v>0.0</v>
      </c>
      <c r="CA155" s="4" t="s">
        <v>491</v>
      </c>
      <c r="CB155" s="4">
        <v>0.0</v>
      </c>
      <c r="CC155" s="4" t="s">
        <v>508</v>
      </c>
      <c r="CD155" s="4">
        <v>0.0</v>
      </c>
      <c r="CE155" s="19"/>
      <c r="CF155" s="4">
        <v>0.0</v>
      </c>
      <c r="CG155" s="19"/>
      <c r="CH155" s="4">
        <v>0.0</v>
      </c>
      <c r="CI155" s="19"/>
      <c r="CJ155" s="4">
        <v>0.0</v>
      </c>
      <c r="CK155" s="19"/>
      <c r="CL155" s="4">
        <v>0.0</v>
      </c>
      <c r="CM155" s="19"/>
      <c r="CN155" s="4">
        <v>0.0</v>
      </c>
      <c r="CO155" s="4" t="s">
        <v>493</v>
      </c>
      <c r="CP155" s="4">
        <v>0.0</v>
      </c>
      <c r="CQ155" s="4" t="s">
        <v>494</v>
      </c>
      <c r="CR155" s="4">
        <v>0.0</v>
      </c>
      <c r="CS155" s="4" t="s">
        <v>495</v>
      </c>
      <c r="CT155" s="4">
        <v>0.0</v>
      </c>
      <c r="CU155" s="4" t="s">
        <v>496</v>
      </c>
      <c r="CV155" s="4">
        <v>0.0</v>
      </c>
      <c r="CW155" s="19"/>
      <c r="CX155" s="4">
        <v>0.0</v>
      </c>
      <c r="CY155" s="19"/>
      <c r="CZ155" s="4">
        <v>0.0</v>
      </c>
      <c r="DA155" s="19"/>
      <c r="DB155" s="4">
        <v>0.0</v>
      </c>
      <c r="DC155" s="19"/>
      <c r="DD155" s="4">
        <v>0.0</v>
      </c>
      <c r="DE155" s="4">
        <v>16435.0</v>
      </c>
      <c r="DF155" s="4">
        <v>1550.0</v>
      </c>
      <c r="DG155" s="4">
        <v>0.0</v>
      </c>
      <c r="DH155" s="4">
        <v>0.0</v>
      </c>
      <c r="DI155" s="4">
        <v>650.0</v>
      </c>
      <c r="DJ155" s="4" t="s">
        <v>1357</v>
      </c>
      <c r="DK155" s="4" t="s">
        <v>486</v>
      </c>
      <c r="DL155" s="4" t="s">
        <v>487</v>
      </c>
      <c r="DM155" s="4" t="s">
        <v>1358</v>
      </c>
      <c r="DN155" s="4" t="s">
        <v>1359</v>
      </c>
      <c r="DO155" s="4" t="s">
        <v>1360</v>
      </c>
      <c r="DP155" s="19"/>
      <c r="DQ155" s="19"/>
      <c r="DR155" s="19"/>
      <c r="DS155" s="19"/>
      <c r="DT155" s="19"/>
      <c r="DU155" s="19"/>
      <c r="DV155" s="19"/>
      <c r="DW155" s="19"/>
      <c r="DX155" s="19"/>
      <c r="DY155" s="19"/>
      <c r="DZ155" s="19"/>
      <c r="EA155" s="19"/>
      <c r="EB155" s="19"/>
      <c r="EC155" s="19"/>
      <c r="ED155" s="19"/>
      <c r="EE155" s="19"/>
      <c r="EF155" s="19"/>
      <c r="EG155" s="19"/>
      <c r="EH155" s="19"/>
      <c r="EI155" s="19"/>
      <c r="EJ155" s="19"/>
      <c r="EK155" s="19"/>
      <c r="EL155" s="19"/>
      <c r="EM155" s="19"/>
      <c r="EN155" s="4" t="s">
        <v>79</v>
      </c>
      <c r="EO155" s="19"/>
      <c r="EP155" s="17"/>
      <c r="EQ155" s="23"/>
      <c r="ER155" s="23"/>
      <c r="ES155" s="19"/>
      <c r="ET155" s="19"/>
      <c r="EU155" s="19"/>
      <c r="EV155" s="19"/>
      <c r="EW155" s="19"/>
      <c r="EX155" s="19"/>
      <c r="EY155" s="19"/>
      <c r="EZ155" s="19"/>
      <c r="FA155" s="19"/>
      <c r="FB155" s="19"/>
    </row>
    <row r="156" ht="15.75" customHeight="1">
      <c r="A156" s="4" t="s">
        <v>1361</v>
      </c>
      <c r="B156" s="4" t="s">
        <v>530</v>
      </c>
      <c r="C156" s="4" t="s">
        <v>476</v>
      </c>
      <c r="D156" s="17">
        <v>46137.0</v>
      </c>
      <c r="E156" s="4" t="s">
        <v>633</v>
      </c>
      <c r="F156" s="19"/>
      <c r="G156" s="4" t="s">
        <v>635</v>
      </c>
      <c r="H156" s="4" t="s">
        <v>636</v>
      </c>
      <c r="I156" s="4" t="s">
        <v>480</v>
      </c>
      <c r="J156" s="4" t="s">
        <v>637</v>
      </c>
      <c r="K156" s="4">
        <v>3000.0</v>
      </c>
      <c r="M156" s="4" t="s">
        <v>613</v>
      </c>
      <c r="N156" s="4" t="s">
        <v>638</v>
      </c>
      <c r="O156" s="4" t="s">
        <v>573</v>
      </c>
      <c r="Q156" s="4" t="s">
        <v>639</v>
      </c>
      <c r="R156" s="17">
        <v>47147.0</v>
      </c>
      <c r="S156" s="4" t="s">
        <v>1362</v>
      </c>
      <c r="Z156" s="4" t="s">
        <v>486</v>
      </c>
      <c r="AA156" s="4" t="s">
        <v>537</v>
      </c>
      <c r="AB156" s="4" t="s">
        <v>486</v>
      </c>
      <c r="AC156" s="4" t="s">
        <v>488</v>
      </c>
      <c r="AD156" s="4">
        <v>0.0</v>
      </c>
      <c r="AE156" s="4">
        <v>0.0</v>
      </c>
      <c r="AF156" s="4">
        <v>10000.0</v>
      </c>
      <c r="AG156" s="4">
        <v>0.0</v>
      </c>
      <c r="AH156" s="23">
        <v>10000.0</v>
      </c>
      <c r="AJ156" s="4">
        <v>0.0</v>
      </c>
      <c r="AK156" s="4">
        <v>0.0</v>
      </c>
      <c r="AL156" s="4">
        <v>0.0</v>
      </c>
      <c r="AM156" s="4">
        <v>0.0</v>
      </c>
      <c r="AN156" s="4">
        <v>0.0</v>
      </c>
      <c r="AO156" s="4">
        <v>0.0</v>
      </c>
      <c r="AP156" s="4">
        <v>0.0</v>
      </c>
      <c r="AQ156" s="4">
        <v>10000.0</v>
      </c>
      <c r="AR156" s="4" t="s">
        <v>489</v>
      </c>
      <c r="AS156" s="4" t="s">
        <v>507</v>
      </c>
      <c r="AT156" s="4">
        <v>0.0</v>
      </c>
      <c r="AU156" s="4" t="s">
        <v>491</v>
      </c>
      <c r="AV156" s="4">
        <v>0.0</v>
      </c>
      <c r="AW156" s="4" t="s">
        <v>508</v>
      </c>
      <c r="AX156" s="4">
        <v>0.0</v>
      </c>
      <c r="AY156" s="19"/>
      <c r="AZ156" s="4">
        <v>0.0</v>
      </c>
      <c r="BA156" s="19"/>
      <c r="BB156" s="4">
        <v>0.0</v>
      </c>
      <c r="BC156" s="19"/>
      <c r="BD156" s="4">
        <v>0.0</v>
      </c>
      <c r="BE156" s="19"/>
      <c r="BF156" s="4">
        <v>0.0</v>
      </c>
      <c r="BG156" s="19"/>
      <c r="BH156" s="4">
        <v>0.0</v>
      </c>
      <c r="BI156" s="4" t="s">
        <v>493</v>
      </c>
      <c r="BJ156" s="4">
        <v>0.0</v>
      </c>
      <c r="BK156" s="4" t="s">
        <v>494</v>
      </c>
      <c r="BL156" s="4">
        <v>0.0</v>
      </c>
      <c r="BM156" s="4" t="s">
        <v>495</v>
      </c>
      <c r="BN156" s="4">
        <v>0.0</v>
      </c>
      <c r="BO156" s="4" t="s">
        <v>496</v>
      </c>
      <c r="BP156" s="4">
        <v>10000.0</v>
      </c>
      <c r="BQ156" s="19"/>
      <c r="BR156" s="4">
        <v>0.0</v>
      </c>
      <c r="BS156" s="19"/>
      <c r="BT156" s="4">
        <v>0.0</v>
      </c>
      <c r="BU156" s="19"/>
      <c r="BV156" s="4">
        <v>0.0</v>
      </c>
      <c r="BW156" s="19"/>
      <c r="BX156" s="4">
        <v>0.0</v>
      </c>
      <c r="BY156" s="4" t="s">
        <v>507</v>
      </c>
      <c r="BZ156" s="4">
        <v>0.0</v>
      </c>
      <c r="CA156" s="4" t="s">
        <v>491</v>
      </c>
      <c r="CB156" s="4">
        <v>0.0</v>
      </c>
      <c r="CC156" s="4" t="s">
        <v>508</v>
      </c>
      <c r="CD156" s="4">
        <v>0.0</v>
      </c>
      <c r="CE156" s="19"/>
      <c r="CF156" s="4">
        <v>0.0</v>
      </c>
      <c r="CG156" s="19"/>
      <c r="CH156" s="4">
        <v>0.0</v>
      </c>
      <c r="CI156" s="19"/>
      <c r="CJ156" s="4">
        <v>0.0</v>
      </c>
      <c r="CK156" s="19"/>
      <c r="CL156" s="4">
        <v>0.0</v>
      </c>
      <c r="CM156" s="19"/>
      <c r="CN156" s="4">
        <v>0.0</v>
      </c>
      <c r="CO156" s="4" t="s">
        <v>493</v>
      </c>
      <c r="CP156" s="4">
        <v>0.0</v>
      </c>
      <c r="CQ156" s="4" t="s">
        <v>494</v>
      </c>
      <c r="CR156" s="4">
        <v>0.0</v>
      </c>
      <c r="CS156" s="4" t="s">
        <v>495</v>
      </c>
      <c r="CT156" s="4">
        <v>0.0</v>
      </c>
      <c r="CU156" s="4" t="s">
        <v>496</v>
      </c>
      <c r="CV156" s="4">
        <v>0.0</v>
      </c>
      <c r="CW156" s="19"/>
      <c r="CX156" s="4">
        <v>0.0</v>
      </c>
      <c r="CY156" s="19"/>
      <c r="CZ156" s="4">
        <v>0.0</v>
      </c>
      <c r="DA156" s="19"/>
      <c r="DB156" s="4">
        <v>0.0</v>
      </c>
      <c r="DC156" s="19"/>
      <c r="DD156" s="4">
        <v>0.0</v>
      </c>
      <c r="DE156" s="4">
        <v>0.0</v>
      </c>
      <c r="DF156" s="4">
        <v>0.0</v>
      </c>
      <c r="DG156" s="4">
        <v>0.0</v>
      </c>
      <c r="DH156" s="4">
        <v>0.0</v>
      </c>
      <c r="DI156" s="4">
        <v>0.0</v>
      </c>
      <c r="DJ156" s="4" t="s">
        <v>640</v>
      </c>
      <c r="DK156" s="4" t="s">
        <v>486</v>
      </c>
      <c r="DL156" s="4" t="s">
        <v>537</v>
      </c>
      <c r="DM156" s="4" t="s">
        <v>641</v>
      </c>
      <c r="DN156" s="19"/>
      <c r="DO156" s="4" t="s">
        <v>642</v>
      </c>
      <c r="DP156" s="19"/>
      <c r="DQ156" s="19"/>
      <c r="DR156" s="19"/>
      <c r="DS156" s="19"/>
      <c r="DT156" s="19"/>
      <c r="DU156" s="19"/>
      <c r="DV156" s="19"/>
      <c r="DW156" s="19"/>
      <c r="DX156" s="19"/>
      <c r="DY156" s="19"/>
      <c r="DZ156" s="19"/>
      <c r="EA156" s="19"/>
      <c r="EB156" s="19"/>
      <c r="EC156" s="19"/>
      <c r="ED156" s="19"/>
      <c r="EE156" s="19"/>
      <c r="EF156" s="19"/>
      <c r="EG156" s="19"/>
      <c r="EH156" s="19"/>
      <c r="EI156" s="19"/>
      <c r="EJ156" s="19"/>
      <c r="EK156" s="19"/>
      <c r="EL156" s="19"/>
      <c r="EM156" s="19"/>
      <c r="EN156" s="4" t="s">
        <v>79</v>
      </c>
      <c r="EO156" s="19"/>
      <c r="EP156" s="17"/>
      <c r="EQ156" s="23"/>
      <c r="ER156" s="23"/>
      <c r="ES156" s="19"/>
      <c r="ET156" s="19"/>
      <c r="EU156" s="19"/>
      <c r="EV156" s="19"/>
      <c r="EW156" s="19"/>
      <c r="EX156" s="19"/>
      <c r="EY156" s="19"/>
      <c r="EZ156" s="19"/>
      <c r="FA156" s="19"/>
      <c r="FB156" s="19"/>
    </row>
    <row r="157" ht="15.75" customHeight="1">
      <c r="A157" s="4" t="s">
        <v>1363</v>
      </c>
      <c r="B157" s="4" t="s">
        <v>591</v>
      </c>
      <c r="C157" s="4" t="s">
        <v>476</v>
      </c>
      <c r="D157" s="17">
        <v>46139.0</v>
      </c>
      <c r="E157" s="4" t="s">
        <v>1196</v>
      </c>
      <c r="F157" s="19"/>
      <c r="G157" s="4" t="s">
        <v>1197</v>
      </c>
      <c r="H157" s="4" t="s">
        <v>1198</v>
      </c>
      <c r="J157" s="4" t="s">
        <v>1199</v>
      </c>
      <c r="K157" s="4">
        <v>2000.0</v>
      </c>
      <c r="M157" s="4" t="s">
        <v>1200</v>
      </c>
      <c r="N157" s="4" t="s">
        <v>1364</v>
      </c>
      <c r="O157" s="4" t="s">
        <v>740</v>
      </c>
      <c r="Q157" s="4" t="s">
        <v>1202</v>
      </c>
      <c r="R157" s="17">
        <v>46903.0</v>
      </c>
      <c r="S157" s="4" t="s">
        <v>1365</v>
      </c>
      <c r="T157" s="4">
        <v>50797.0</v>
      </c>
      <c r="W157" s="17">
        <v>46136.0</v>
      </c>
      <c r="Y157" s="17">
        <v>46139.0</v>
      </c>
      <c r="Z157" s="4" t="s">
        <v>486</v>
      </c>
      <c r="AA157" s="4" t="s">
        <v>487</v>
      </c>
      <c r="AB157" s="4" t="s">
        <v>486</v>
      </c>
      <c r="AC157" s="4" t="s">
        <v>488</v>
      </c>
      <c r="AD157" s="4">
        <v>217700.0</v>
      </c>
      <c r="AE157" s="4">
        <v>12000.0</v>
      </c>
      <c r="AF157" s="4">
        <v>53050.0</v>
      </c>
      <c r="AG157" s="4">
        <v>22970.0</v>
      </c>
      <c r="AH157" s="23">
        <v>305720.0</v>
      </c>
      <c r="AJ157" s="4">
        <v>0.0</v>
      </c>
      <c r="AK157" s="4">
        <v>37625.0</v>
      </c>
      <c r="AL157" s="4">
        <v>800.0</v>
      </c>
      <c r="AM157" s="4">
        <v>53050.0</v>
      </c>
      <c r="AN157" s="4">
        <v>3844.0</v>
      </c>
      <c r="AO157" s="4">
        <v>95319.0</v>
      </c>
      <c r="AP157" s="4">
        <v>0.0</v>
      </c>
      <c r="AQ157" s="4">
        <v>191275.0</v>
      </c>
      <c r="AR157" s="4" t="s">
        <v>489</v>
      </c>
      <c r="AS157" s="4" t="s">
        <v>836</v>
      </c>
      <c r="AT157" s="4">
        <v>12000.0</v>
      </c>
      <c r="AU157" s="4" t="s">
        <v>491</v>
      </c>
      <c r="AV157" s="4">
        <v>0.0</v>
      </c>
      <c r="AW157" s="19"/>
      <c r="AX157" s="4">
        <v>0.0</v>
      </c>
      <c r="AY157" s="19"/>
      <c r="AZ157" s="4">
        <v>0.0</v>
      </c>
      <c r="BA157" s="19"/>
      <c r="BB157" s="4">
        <v>0.0</v>
      </c>
      <c r="BC157" s="19"/>
      <c r="BD157" s="4">
        <v>0.0</v>
      </c>
      <c r="BE157" s="19"/>
      <c r="BF157" s="4">
        <v>0.0</v>
      </c>
      <c r="BG157" s="19"/>
      <c r="BH157" s="4">
        <v>0.0</v>
      </c>
      <c r="BI157" s="4" t="s">
        <v>493</v>
      </c>
      <c r="BJ157" s="4">
        <v>17650.0</v>
      </c>
      <c r="BK157" s="4" t="s">
        <v>494</v>
      </c>
      <c r="BL157" s="4">
        <v>32800.0</v>
      </c>
      <c r="BM157" s="4" t="s">
        <v>495</v>
      </c>
      <c r="BN157" s="4">
        <v>2600.0</v>
      </c>
      <c r="BO157" s="4" t="s">
        <v>496</v>
      </c>
      <c r="BP157" s="4">
        <v>0.0</v>
      </c>
      <c r="BQ157" s="19"/>
      <c r="BR157" s="4">
        <v>0.0</v>
      </c>
      <c r="BS157" s="19"/>
      <c r="BT157" s="4">
        <v>0.0</v>
      </c>
      <c r="BU157" s="19"/>
      <c r="BV157" s="4">
        <v>0.0</v>
      </c>
      <c r="BW157" s="19"/>
      <c r="BX157" s="4">
        <v>0.0</v>
      </c>
      <c r="BY157" s="4" t="s">
        <v>836</v>
      </c>
      <c r="BZ157" s="4">
        <v>0.0</v>
      </c>
      <c r="CA157" s="4" t="s">
        <v>491</v>
      </c>
      <c r="CB157" s="4">
        <v>800.0</v>
      </c>
      <c r="CC157" s="19"/>
      <c r="CD157" s="4">
        <v>0.0</v>
      </c>
      <c r="CE157" s="19"/>
      <c r="CF157" s="4">
        <v>0.0</v>
      </c>
      <c r="CG157" s="19"/>
      <c r="CH157" s="4">
        <v>0.0</v>
      </c>
      <c r="CI157" s="19"/>
      <c r="CJ157" s="4">
        <v>0.0</v>
      </c>
      <c r="CK157" s="19"/>
      <c r="CL157" s="4">
        <v>0.0</v>
      </c>
      <c r="CM157" s="19"/>
      <c r="CN157" s="4">
        <v>0.0</v>
      </c>
      <c r="CO157" s="4" t="s">
        <v>493</v>
      </c>
      <c r="CP157" s="4">
        <v>17650.0</v>
      </c>
      <c r="CQ157" s="4" t="s">
        <v>494</v>
      </c>
      <c r="CR157" s="4">
        <v>32800.0</v>
      </c>
      <c r="CS157" s="4" t="s">
        <v>495</v>
      </c>
      <c r="CT157" s="4">
        <v>2600.0</v>
      </c>
      <c r="CU157" s="4" t="s">
        <v>496</v>
      </c>
      <c r="CV157" s="4">
        <v>0.0</v>
      </c>
      <c r="CW157" s="19"/>
      <c r="CX157" s="4">
        <v>0.0</v>
      </c>
      <c r="CY157" s="19"/>
      <c r="CZ157" s="4">
        <v>0.0</v>
      </c>
      <c r="DA157" s="19"/>
      <c r="DB157" s="4">
        <v>0.0</v>
      </c>
      <c r="DC157" s="19"/>
      <c r="DD157" s="4">
        <v>0.0</v>
      </c>
      <c r="DE157" s="4">
        <v>100400.0</v>
      </c>
      <c r="DF157" s="4">
        <v>117300.0</v>
      </c>
      <c r="DG157" s="4">
        <v>0.0</v>
      </c>
      <c r="DH157" s="4">
        <v>0.0</v>
      </c>
      <c r="DI157" s="4">
        <v>37625.0</v>
      </c>
      <c r="DJ157" s="4" t="s">
        <v>1203</v>
      </c>
      <c r="DK157" s="4" t="s">
        <v>486</v>
      </c>
      <c r="DL157" s="4" t="s">
        <v>487</v>
      </c>
      <c r="DM157" s="4" t="s">
        <v>1204</v>
      </c>
      <c r="DN157" s="19"/>
      <c r="DO157" s="4" t="s">
        <v>1194</v>
      </c>
      <c r="DP157" s="19"/>
      <c r="DQ157" s="19"/>
      <c r="DR157" s="19"/>
      <c r="DS157" s="19"/>
      <c r="DT157" s="19"/>
      <c r="DU157" s="19"/>
      <c r="DV157" s="19"/>
      <c r="DW157" s="19"/>
      <c r="DX157" s="19"/>
      <c r="DY157" s="19"/>
      <c r="DZ157" s="19"/>
      <c r="EA157" s="19"/>
      <c r="EB157" s="19"/>
      <c r="EC157" s="19"/>
      <c r="ED157" s="19"/>
      <c r="EE157" s="19"/>
      <c r="EF157" s="19"/>
      <c r="EG157" s="19"/>
      <c r="EH157" s="19"/>
      <c r="EI157" s="19"/>
      <c r="EJ157" s="19"/>
      <c r="EK157" s="19"/>
      <c r="EL157" s="19"/>
      <c r="EM157" s="19"/>
      <c r="EN157" s="4" t="s">
        <v>79</v>
      </c>
      <c r="EO157" s="19"/>
      <c r="EP157" s="17"/>
      <c r="EQ157" s="23"/>
      <c r="ER157" s="23"/>
      <c r="ES157" s="19"/>
      <c r="ET157" s="19"/>
      <c r="EU157" s="19"/>
      <c r="EV157" s="19"/>
      <c r="EW157" s="19"/>
      <c r="EX157" s="19"/>
      <c r="EY157" s="19"/>
      <c r="EZ157" s="19"/>
      <c r="FA157" s="19"/>
      <c r="FB157" s="19"/>
    </row>
    <row r="158" ht="15.75" customHeight="1">
      <c r="A158" s="4" t="s">
        <v>1281</v>
      </c>
      <c r="B158" s="4" t="s">
        <v>530</v>
      </c>
      <c r="C158" s="4" t="s">
        <v>476</v>
      </c>
      <c r="D158" s="17">
        <v>46137.0</v>
      </c>
      <c r="E158" s="4" t="s">
        <v>1041</v>
      </c>
      <c r="F158" s="4" t="s">
        <v>1136</v>
      </c>
      <c r="G158" s="4" t="s">
        <v>1042</v>
      </c>
      <c r="H158" s="4" t="s">
        <v>1043</v>
      </c>
      <c r="J158" s="4" t="s">
        <v>1044</v>
      </c>
      <c r="K158" s="4">
        <v>2680.0</v>
      </c>
      <c r="M158" s="4" t="s">
        <v>1045</v>
      </c>
      <c r="R158" s="78">
        <v>46742.0</v>
      </c>
      <c r="S158" s="4" t="s">
        <v>1282</v>
      </c>
      <c r="T158" s="4">
        <v>39081.0</v>
      </c>
      <c r="Z158" s="4" t="s">
        <v>524</v>
      </c>
      <c r="AA158" s="4" t="s">
        <v>487</v>
      </c>
      <c r="AB158" s="4" t="s">
        <v>524</v>
      </c>
      <c r="AC158" s="4" t="s">
        <v>488</v>
      </c>
      <c r="AD158" s="4">
        <v>870600.0</v>
      </c>
      <c r="AE158" s="4">
        <v>0.0</v>
      </c>
      <c r="AF158" s="4">
        <v>0.0</v>
      </c>
      <c r="AG158" s="4">
        <v>87060.0</v>
      </c>
      <c r="AH158" s="23">
        <v>957660.0</v>
      </c>
      <c r="AJ158" s="4">
        <v>0.0</v>
      </c>
      <c r="AK158" s="4">
        <v>737846.0</v>
      </c>
      <c r="AL158" s="4">
        <v>0.0</v>
      </c>
      <c r="AM158" s="4">
        <v>0.0</v>
      </c>
      <c r="AN158" s="4">
        <v>73786.0</v>
      </c>
      <c r="AO158" s="4">
        <v>811632.0</v>
      </c>
      <c r="AP158" s="4">
        <v>0.0</v>
      </c>
      <c r="AQ158" s="4">
        <v>132754.0</v>
      </c>
      <c r="AR158" s="4" t="s">
        <v>525</v>
      </c>
      <c r="AS158" s="4" t="s">
        <v>507</v>
      </c>
      <c r="AT158" s="4">
        <v>0.0</v>
      </c>
      <c r="AU158" s="4" t="s">
        <v>491</v>
      </c>
      <c r="AV158" s="4">
        <v>0.0</v>
      </c>
      <c r="AW158" s="4" t="s">
        <v>508</v>
      </c>
      <c r="AX158" s="4">
        <v>0.0</v>
      </c>
      <c r="AY158" s="19"/>
      <c r="AZ158" s="4">
        <v>0.0</v>
      </c>
      <c r="BA158" s="19"/>
      <c r="BB158" s="4">
        <v>0.0</v>
      </c>
      <c r="BC158" s="19"/>
      <c r="BD158" s="4">
        <v>0.0</v>
      </c>
      <c r="BE158" s="19"/>
      <c r="BF158" s="4">
        <v>0.0</v>
      </c>
      <c r="BG158" s="19"/>
      <c r="BH158" s="4">
        <v>0.0</v>
      </c>
      <c r="BI158" s="4" t="s">
        <v>493</v>
      </c>
      <c r="BJ158" s="4">
        <v>0.0</v>
      </c>
      <c r="BK158" s="4" t="s">
        <v>494</v>
      </c>
      <c r="BL158" s="4">
        <v>0.0</v>
      </c>
      <c r="BM158" s="4" t="s">
        <v>495</v>
      </c>
      <c r="BN158" s="4">
        <v>0.0</v>
      </c>
      <c r="BO158" s="4" t="s">
        <v>496</v>
      </c>
      <c r="BP158" s="4">
        <v>0.0</v>
      </c>
      <c r="BQ158" s="19"/>
      <c r="BR158" s="4">
        <v>0.0</v>
      </c>
      <c r="BS158" s="19"/>
      <c r="BT158" s="4">
        <v>0.0</v>
      </c>
      <c r="BU158" s="19"/>
      <c r="BV158" s="4">
        <v>0.0</v>
      </c>
      <c r="BW158" s="19"/>
      <c r="BX158" s="4">
        <v>0.0</v>
      </c>
      <c r="BY158" s="4" t="s">
        <v>507</v>
      </c>
      <c r="BZ158" s="4">
        <v>0.0</v>
      </c>
      <c r="CA158" s="4" t="s">
        <v>491</v>
      </c>
      <c r="CB158" s="4">
        <v>0.0</v>
      </c>
      <c r="CC158" s="4" t="s">
        <v>508</v>
      </c>
      <c r="CD158" s="4">
        <v>0.0</v>
      </c>
      <c r="CE158" s="19"/>
      <c r="CF158" s="4">
        <v>0.0</v>
      </c>
      <c r="CG158" s="19"/>
      <c r="CH158" s="4">
        <v>0.0</v>
      </c>
      <c r="CI158" s="19"/>
      <c r="CJ158" s="4">
        <v>0.0</v>
      </c>
      <c r="CK158" s="19"/>
      <c r="CL158" s="4">
        <v>0.0</v>
      </c>
      <c r="CM158" s="19"/>
      <c r="CN158" s="4">
        <v>0.0</v>
      </c>
      <c r="CO158" s="4" t="s">
        <v>493</v>
      </c>
      <c r="CP158" s="4">
        <v>0.0</v>
      </c>
      <c r="CQ158" s="4" t="s">
        <v>494</v>
      </c>
      <c r="CR158" s="4">
        <v>0.0</v>
      </c>
      <c r="CS158" s="4" t="s">
        <v>495</v>
      </c>
      <c r="CT158" s="4">
        <v>0.0</v>
      </c>
      <c r="CU158" s="4" t="s">
        <v>496</v>
      </c>
      <c r="CV158" s="4">
        <v>0.0</v>
      </c>
      <c r="CW158" s="19"/>
      <c r="CX158" s="4">
        <v>0.0</v>
      </c>
      <c r="CY158" s="19"/>
      <c r="CZ158" s="4">
        <v>0.0</v>
      </c>
      <c r="DA158" s="19"/>
      <c r="DB158" s="4">
        <v>0.0</v>
      </c>
      <c r="DC158" s="19"/>
      <c r="DD158" s="4">
        <v>0.0</v>
      </c>
      <c r="DE158" s="4">
        <v>517000.0</v>
      </c>
      <c r="DF158" s="4">
        <v>353600.0</v>
      </c>
      <c r="DG158" s="4">
        <v>0.0</v>
      </c>
      <c r="DH158" s="4">
        <v>443645.0</v>
      </c>
      <c r="DI158" s="4">
        <v>294201.0</v>
      </c>
      <c r="DJ158" s="4" t="s">
        <v>320</v>
      </c>
      <c r="DK158" s="4" t="s">
        <v>524</v>
      </c>
      <c r="DL158" s="4" t="s">
        <v>487</v>
      </c>
      <c r="DM158" s="4" t="s">
        <v>1046</v>
      </c>
      <c r="DN158" s="4" t="s">
        <v>1047</v>
      </c>
      <c r="DO158" s="4" t="s">
        <v>1048</v>
      </c>
      <c r="DP158" s="19"/>
      <c r="DQ158" s="19"/>
      <c r="DR158" s="19"/>
      <c r="DS158" s="19"/>
      <c r="DT158" s="19"/>
      <c r="DU158" s="19"/>
      <c r="DV158" s="19"/>
      <c r="DW158" s="19"/>
      <c r="DX158" s="19"/>
      <c r="DY158" s="19"/>
      <c r="DZ158" s="19"/>
      <c r="EA158" s="19"/>
      <c r="EB158" s="19"/>
      <c r="EC158" s="19"/>
      <c r="ED158" s="19"/>
      <c r="EE158" s="19"/>
      <c r="EF158" s="19"/>
      <c r="EG158" s="19"/>
      <c r="EH158" s="19"/>
      <c r="EI158" s="19"/>
      <c r="EJ158" s="19"/>
      <c r="EK158" s="19"/>
      <c r="EL158" s="19"/>
      <c r="EM158" s="19"/>
      <c r="EN158" s="4" t="s">
        <v>79</v>
      </c>
      <c r="EO158" s="19"/>
      <c r="EP158" s="17"/>
      <c r="EQ158" s="23"/>
      <c r="ER158" s="23"/>
      <c r="ES158" s="19"/>
      <c r="ET158" s="19"/>
      <c r="EU158" s="19"/>
      <c r="EV158" s="19"/>
      <c r="EW158" s="19"/>
      <c r="EX158" s="19"/>
      <c r="EY158" s="19"/>
      <c r="EZ158" s="19"/>
      <c r="FA158" s="19"/>
      <c r="FB158" s="19"/>
    </row>
    <row r="159" ht="15.75" customHeight="1">
      <c r="A159" s="4" t="s">
        <v>1272</v>
      </c>
      <c r="B159" s="4" t="s">
        <v>591</v>
      </c>
      <c r="C159" s="4" t="s">
        <v>476</v>
      </c>
      <c r="D159" s="17">
        <v>46135.0</v>
      </c>
      <c r="E159" s="4" t="s">
        <v>1273</v>
      </c>
      <c r="F159" s="19"/>
      <c r="G159" s="4" t="s">
        <v>533</v>
      </c>
      <c r="H159" s="4" t="s">
        <v>1274</v>
      </c>
      <c r="J159" s="4" t="s">
        <v>1275</v>
      </c>
      <c r="K159" s="4">
        <v>0.0</v>
      </c>
      <c r="M159" s="4" t="s">
        <v>1276</v>
      </c>
      <c r="R159" s="17">
        <v>46902.0</v>
      </c>
      <c r="S159" s="4" t="s">
        <v>1277</v>
      </c>
      <c r="T159" s="4">
        <v>25190.0</v>
      </c>
      <c r="W159" s="17">
        <v>46130.0</v>
      </c>
      <c r="Y159" s="17">
        <v>46136.0</v>
      </c>
      <c r="Z159" s="4" t="s">
        <v>486</v>
      </c>
      <c r="AA159" s="4" t="s">
        <v>537</v>
      </c>
      <c r="AB159" s="4" t="s">
        <v>486</v>
      </c>
      <c r="AC159" s="4" t="s">
        <v>488</v>
      </c>
      <c r="AD159" s="4">
        <v>150100.0</v>
      </c>
      <c r="AE159" s="4">
        <v>12000.0</v>
      </c>
      <c r="AF159" s="4">
        <v>61250.0</v>
      </c>
      <c r="AG159" s="4">
        <v>16210.0</v>
      </c>
      <c r="AH159" s="23">
        <v>239560.0</v>
      </c>
      <c r="AJ159" s="4">
        <v>0.0</v>
      </c>
      <c r="AK159" s="4">
        <v>37634.0</v>
      </c>
      <c r="AL159" s="4">
        <v>0.0</v>
      </c>
      <c r="AM159" s="4">
        <v>61250.0</v>
      </c>
      <c r="AN159" s="4">
        <v>3763.0</v>
      </c>
      <c r="AO159" s="4">
        <v>102647.0</v>
      </c>
      <c r="AP159" s="4">
        <v>0.0</v>
      </c>
      <c r="AQ159" s="4">
        <v>124466.0</v>
      </c>
      <c r="AR159" s="4" t="s">
        <v>489</v>
      </c>
      <c r="AS159" s="4" t="s">
        <v>836</v>
      </c>
      <c r="AT159" s="4">
        <v>12000.0</v>
      </c>
      <c r="AU159" s="4" t="s">
        <v>491</v>
      </c>
      <c r="AV159" s="4">
        <v>0.0</v>
      </c>
      <c r="AW159" s="19"/>
      <c r="AX159" s="4">
        <v>0.0</v>
      </c>
      <c r="AY159" s="19"/>
      <c r="AZ159" s="4">
        <v>0.0</v>
      </c>
      <c r="BA159" s="19"/>
      <c r="BB159" s="4">
        <v>0.0</v>
      </c>
      <c r="BC159" s="19"/>
      <c r="BD159" s="4">
        <v>0.0</v>
      </c>
      <c r="BE159" s="19"/>
      <c r="BF159" s="4">
        <v>0.0</v>
      </c>
      <c r="BG159" s="19"/>
      <c r="BH159" s="4">
        <v>0.0</v>
      </c>
      <c r="BI159" s="4" t="s">
        <v>493</v>
      </c>
      <c r="BJ159" s="4">
        <v>17650.0</v>
      </c>
      <c r="BK159" s="4" t="s">
        <v>494</v>
      </c>
      <c r="BL159" s="4">
        <v>41000.0</v>
      </c>
      <c r="BM159" s="4" t="s">
        <v>495</v>
      </c>
      <c r="BN159" s="4">
        <v>2600.0</v>
      </c>
      <c r="BO159" s="4" t="s">
        <v>496</v>
      </c>
      <c r="BP159" s="4">
        <v>0.0</v>
      </c>
      <c r="BQ159" s="19"/>
      <c r="BR159" s="4">
        <v>0.0</v>
      </c>
      <c r="BS159" s="19"/>
      <c r="BT159" s="4">
        <v>0.0</v>
      </c>
      <c r="BU159" s="19"/>
      <c r="BV159" s="4">
        <v>0.0</v>
      </c>
      <c r="BW159" s="19"/>
      <c r="BX159" s="4">
        <v>0.0</v>
      </c>
      <c r="BY159" s="4" t="s">
        <v>836</v>
      </c>
      <c r="BZ159" s="4">
        <v>0.0</v>
      </c>
      <c r="CA159" s="4" t="s">
        <v>491</v>
      </c>
      <c r="CB159" s="4">
        <v>0.0</v>
      </c>
      <c r="CC159" s="19"/>
      <c r="CD159" s="4">
        <v>0.0</v>
      </c>
      <c r="CE159" s="19"/>
      <c r="CF159" s="4">
        <v>0.0</v>
      </c>
      <c r="CG159" s="19"/>
      <c r="CH159" s="4">
        <v>0.0</v>
      </c>
      <c r="CI159" s="19"/>
      <c r="CJ159" s="4">
        <v>0.0</v>
      </c>
      <c r="CK159" s="19"/>
      <c r="CL159" s="4">
        <v>0.0</v>
      </c>
      <c r="CM159" s="19"/>
      <c r="CN159" s="4">
        <v>0.0</v>
      </c>
      <c r="CO159" s="4" t="s">
        <v>493</v>
      </c>
      <c r="CP159" s="4">
        <v>17650.0</v>
      </c>
      <c r="CQ159" s="4" t="s">
        <v>494</v>
      </c>
      <c r="CR159" s="4">
        <v>41000.0</v>
      </c>
      <c r="CS159" s="4" t="s">
        <v>495</v>
      </c>
      <c r="CT159" s="4">
        <v>2600.0</v>
      </c>
      <c r="CU159" s="4" t="s">
        <v>496</v>
      </c>
      <c r="CV159" s="4">
        <v>0.0</v>
      </c>
      <c r="CW159" s="19"/>
      <c r="CX159" s="4">
        <v>0.0</v>
      </c>
      <c r="CY159" s="19"/>
      <c r="CZ159" s="4">
        <v>0.0</v>
      </c>
      <c r="DA159" s="19"/>
      <c r="DB159" s="4">
        <v>0.0</v>
      </c>
      <c r="DC159" s="19"/>
      <c r="DD159" s="4">
        <v>0.0</v>
      </c>
      <c r="DE159" s="4">
        <v>85900.0</v>
      </c>
      <c r="DF159" s="4">
        <v>64200.0</v>
      </c>
      <c r="DG159" s="4">
        <v>0.0</v>
      </c>
      <c r="DH159" s="4">
        <v>0.0</v>
      </c>
      <c r="DI159" s="4">
        <v>37634.0</v>
      </c>
      <c r="DJ159" s="4" t="s">
        <v>1278</v>
      </c>
      <c r="DK159" s="4" t="s">
        <v>486</v>
      </c>
      <c r="DL159" s="4" t="s">
        <v>537</v>
      </c>
      <c r="DM159" s="4" t="s">
        <v>1279</v>
      </c>
      <c r="DN159" s="19"/>
      <c r="DO159" s="4" t="s">
        <v>733</v>
      </c>
      <c r="DP159" s="19"/>
      <c r="DQ159" s="19"/>
      <c r="DR159" s="19"/>
      <c r="DS159" s="19"/>
      <c r="DT159" s="19"/>
      <c r="DU159" s="19"/>
      <c r="DV159" s="19"/>
      <c r="DW159" s="19"/>
      <c r="DX159" s="19"/>
      <c r="DY159" s="19"/>
      <c r="DZ159" s="19"/>
      <c r="EA159" s="19"/>
      <c r="EB159" s="19"/>
      <c r="EC159" s="19"/>
      <c r="ED159" s="19"/>
      <c r="EE159" s="19"/>
      <c r="EF159" s="19"/>
      <c r="EG159" s="19"/>
      <c r="EH159" s="19"/>
      <c r="EI159" s="19"/>
      <c r="EJ159" s="19"/>
      <c r="EK159" s="19"/>
      <c r="EL159" s="19"/>
      <c r="EM159" s="19"/>
      <c r="EN159" s="4" t="s">
        <v>79</v>
      </c>
      <c r="EO159" s="19"/>
      <c r="EP159" s="17"/>
      <c r="EQ159" s="23"/>
      <c r="ER159" s="23"/>
      <c r="ES159" s="19"/>
      <c r="ET159" s="19"/>
      <c r="EU159" s="19"/>
      <c r="EV159" s="19"/>
      <c r="EW159" s="19"/>
      <c r="EX159" s="19"/>
      <c r="EY159" s="19"/>
      <c r="EZ159" s="19"/>
      <c r="FA159" s="19"/>
      <c r="FB159" s="19"/>
    </row>
    <row r="160" ht="15.75" customHeight="1">
      <c r="A160" s="4" t="s">
        <v>1366</v>
      </c>
      <c r="B160" s="4" t="s">
        <v>475</v>
      </c>
      <c r="C160" s="4" t="s">
        <v>476</v>
      </c>
      <c r="D160" s="17">
        <v>46139.0</v>
      </c>
      <c r="E160" s="4" t="s">
        <v>1234</v>
      </c>
      <c r="F160" s="19"/>
      <c r="G160" s="4" t="s">
        <v>655</v>
      </c>
      <c r="H160" s="4" t="s">
        <v>479</v>
      </c>
      <c r="J160" s="4" t="s">
        <v>1235</v>
      </c>
      <c r="K160" s="4">
        <v>2000.0</v>
      </c>
      <c r="M160" s="4" t="s">
        <v>506</v>
      </c>
      <c r="N160" s="4" t="s">
        <v>831</v>
      </c>
      <c r="O160" s="4" t="s">
        <v>740</v>
      </c>
      <c r="Q160" s="4" t="s">
        <v>1236</v>
      </c>
      <c r="R160" s="17">
        <v>46293.0</v>
      </c>
      <c r="S160" s="4" t="s">
        <v>1367</v>
      </c>
      <c r="T160" s="4">
        <v>18303.0</v>
      </c>
      <c r="U160" s="4" t="s">
        <v>1237</v>
      </c>
      <c r="W160" s="17">
        <v>46130.0</v>
      </c>
      <c r="Y160" s="17">
        <v>46131.0</v>
      </c>
      <c r="Z160" s="4" t="s">
        <v>486</v>
      </c>
      <c r="AA160" s="4" t="s">
        <v>487</v>
      </c>
      <c r="AB160" s="4" t="s">
        <v>486</v>
      </c>
      <c r="AC160" s="4" t="s">
        <v>488</v>
      </c>
      <c r="AD160" s="4">
        <v>58500.0</v>
      </c>
      <c r="AE160" s="4">
        <v>0.0</v>
      </c>
      <c r="AF160" s="4">
        <v>0.0</v>
      </c>
      <c r="AG160" s="4">
        <v>5850.0</v>
      </c>
      <c r="AH160" s="23">
        <v>64350.0</v>
      </c>
      <c r="AJ160" s="4">
        <v>0.0</v>
      </c>
      <c r="AK160" s="4">
        <v>28880.0</v>
      </c>
      <c r="AL160" s="4">
        <v>0.0</v>
      </c>
      <c r="AM160" s="4">
        <v>0.0</v>
      </c>
      <c r="AN160" s="4">
        <v>2888.0</v>
      </c>
      <c r="AO160" s="4">
        <v>31768.0</v>
      </c>
      <c r="AP160" s="4">
        <v>0.0</v>
      </c>
      <c r="AQ160" s="4">
        <v>29620.0</v>
      </c>
      <c r="AR160" s="4" t="s">
        <v>489</v>
      </c>
      <c r="AS160" s="4" t="s">
        <v>490</v>
      </c>
      <c r="AT160" s="4">
        <v>0.0</v>
      </c>
      <c r="AU160" s="4" t="s">
        <v>491</v>
      </c>
      <c r="AV160" s="4">
        <v>0.0</v>
      </c>
      <c r="AW160" s="19"/>
      <c r="AX160" s="4">
        <v>0.0</v>
      </c>
      <c r="AY160" s="4" t="s">
        <v>492</v>
      </c>
      <c r="AZ160" s="4">
        <v>0.0</v>
      </c>
      <c r="BA160" s="19"/>
      <c r="BB160" s="4">
        <v>0.0</v>
      </c>
      <c r="BC160" s="19"/>
      <c r="BD160" s="4">
        <v>0.0</v>
      </c>
      <c r="BE160" s="19"/>
      <c r="BF160" s="4">
        <v>0.0</v>
      </c>
      <c r="BG160" s="19"/>
      <c r="BH160" s="4">
        <v>0.0</v>
      </c>
      <c r="BI160" s="4" t="s">
        <v>493</v>
      </c>
      <c r="BJ160" s="4">
        <v>0.0</v>
      </c>
      <c r="BK160" s="4" t="s">
        <v>494</v>
      </c>
      <c r="BL160" s="4">
        <v>0.0</v>
      </c>
      <c r="BM160" s="4" t="s">
        <v>495</v>
      </c>
      <c r="BN160" s="4">
        <v>0.0</v>
      </c>
      <c r="BO160" s="4" t="s">
        <v>496</v>
      </c>
      <c r="BP160" s="4">
        <v>0.0</v>
      </c>
      <c r="BQ160" s="19"/>
      <c r="BR160" s="4">
        <v>0.0</v>
      </c>
      <c r="BS160" s="19"/>
      <c r="BT160" s="4">
        <v>0.0</v>
      </c>
      <c r="BU160" s="19"/>
      <c r="BV160" s="4">
        <v>0.0</v>
      </c>
      <c r="BW160" s="19"/>
      <c r="BX160" s="4">
        <v>0.0</v>
      </c>
      <c r="BY160" s="4" t="s">
        <v>490</v>
      </c>
      <c r="BZ160" s="4">
        <v>0.0</v>
      </c>
      <c r="CA160" s="4" t="s">
        <v>491</v>
      </c>
      <c r="CB160" s="4">
        <v>0.0</v>
      </c>
      <c r="CC160" s="19"/>
      <c r="CD160" s="4">
        <v>0.0</v>
      </c>
      <c r="CE160" s="4" t="s">
        <v>492</v>
      </c>
      <c r="CF160" s="4">
        <v>0.0</v>
      </c>
      <c r="CG160" s="19"/>
      <c r="CH160" s="4">
        <v>0.0</v>
      </c>
      <c r="CI160" s="19"/>
      <c r="CJ160" s="4">
        <v>0.0</v>
      </c>
      <c r="CK160" s="19"/>
      <c r="CL160" s="4">
        <v>0.0</v>
      </c>
      <c r="CM160" s="19"/>
      <c r="CN160" s="4">
        <v>0.0</v>
      </c>
      <c r="CO160" s="4" t="s">
        <v>493</v>
      </c>
      <c r="CP160" s="4">
        <v>0.0</v>
      </c>
      <c r="CQ160" s="4" t="s">
        <v>494</v>
      </c>
      <c r="CR160" s="4">
        <v>0.0</v>
      </c>
      <c r="CS160" s="4" t="s">
        <v>495</v>
      </c>
      <c r="CT160" s="4">
        <v>0.0</v>
      </c>
      <c r="CU160" s="4" t="s">
        <v>496</v>
      </c>
      <c r="CV160" s="4">
        <v>0.0</v>
      </c>
      <c r="CW160" s="19"/>
      <c r="CX160" s="4">
        <v>0.0</v>
      </c>
      <c r="CY160" s="19"/>
      <c r="CZ160" s="4">
        <v>0.0</v>
      </c>
      <c r="DA160" s="19"/>
      <c r="DB160" s="4">
        <v>0.0</v>
      </c>
      <c r="DC160" s="19"/>
      <c r="DD160" s="4">
        <v>0.0</v>
      </c>
      <c r="DE160" s="4">
        <v>8500.0</v>
      </c>
      <c r="DF160" s="4">
        <v>50000.0</v>
      </c>
      <c r="DG160" s="4">
        <v>0.0</v>
      </c>
      <c r="DH160" s="4">
        <v>0.0</v>
      </c>
      <c r="DI160" s="4">
        <v>28880.0</v>
      </c>
      <c r="DJ160" s="4" t="s">
        <v>1238</v>
      </c>
      <c r="DK160" s="4" t="s">
        <v>486</v>
      </c>
      <c r="DL160" s="4" t="s">
        <v>487</v>
      </c>
      <c r="DM160" s="4" t="s">
        <v>1368</v>
      </c>
      <c r="DN160" s="19"/>
      <c r="DO160" s="4" t="s">
        <v>1240</v>
      </c>
      <c r="DP160" s="19"/>
      <c r="DQ160" s="19"/>
      <c r="DR160" s="19"/>
      <c r="DS160" s="19"/>
      <c r="DT160" s="19"/>
      <c r="DU160" s="19"/>
      <c r="DV160" s="19"/>
      <c r="DW160" s="19"/>
      <c r="DX160" s="19"/>
      <c r="DY160" s="19"/>
      <c r="DZ160" s="19"/>
      <c r="EA160" s="19"/>
      <c r="EB160" s="19"/>
      <c r="EC160" s="19"/>
      <c r="ED160" s="19"/>
      <c r="EE160" s="19"/>
      <c r="EF160" s="19"/>
      <c r="EG160" s="19"/>
      <c r="EH160" s="19"/>
      <c r="EI160" s="19"/>
      <c r="EJ160" s="19"/>
      <c r="EK160" s="19"/>
      <c r="EL160" s="19"/>
      <c r="EM160" s="19"/>
      <c r="EN160" s="4" t="s">
        <v>79</v>
      </c>
      <c r="EO160" s="19"/>
      <c r="EP160" s="17"/>
      <c r="EQ160" s="23"/>
      <c r="ER160" s="23"/>
      <c r="ES160" s="19"/>
      <c r="ET160" s="19"/>
      <c r="EU160" s="19"/>
      <c r="EV160" s="19"/>
      <c r="EW160" s="19"/>
      <c r="EX160" s="19"/>
      <c r="EY160" s="19"/>
      <c r="EZ160" s="19"/>
      <c r="FA160" s="19"/>
      <c r="FB160" s="19"/>
    </row>
    <row r="161" ht="15.75" customHeight="1">
      <c r="A161" s="4" t="s">
        <v>184</v>
      </c>
      <c r="B161" s="4" t="s">
        <v>475</v>
      </c>
      <c r="C161" s="4" t="s">
        <v>476</v>
      </c>
      <c r="D161" s="17">
        <v>46135.0</v>
      </c>
      <c r="E161" s="4" t="s">
        <v>1102</v>
      </c>
      <c r="F161" s="19"/>
      <c r="G161" s="4" t="s">
        <v>1173</v>
      </c>
      <c r="H161" s="4" t="s">
        <v>895</v>
      </c>
      <c r="J161" s="4" t="s">
        <v>1174</v>
      </c>
      <c r="K161" s="4">
        <v>3000.0</v>
      </c>
      <c r="M161" s="4" t="s">
        <v>897</v>
      </c>
      <c r="N161" s="4" t="s">
        <v>521</v>
      </c>
      <c r="O161" s="4" t="s">
        <v>484</v>
      </c>
      <c r="Q161" s="4" t="s">
        <v>1175</v>
      </c>
      <c r="R161" s="17">
        <v>46288.0</v>
      </c>
      <c r="S161" s="4" t="s">
        <v>1280</v>
      </c>
      <c r="T161" s="4">
        <v>43872.0</v>
      </c>
      <c r="W161" s="17">
        <v>46135.0</v>
      </c>
      <c r="Z161" s="4" t="s">
        <v>486</v>
      </c>
      <c r="AA161" s="4" t="s">
        <v>487</v>
      </c>
      <c r="AB161" s="4" t="s">
        <v>486</v>
      </c>
      <c r="AC161" s="4" t="s">
        <v>488</v>
      </c>
      <c r="AD161" s="4">
        <v>26400.0</v>
      </c>
      <c r="AE161" s="4">
        <v>0.0</v>
      </c>
      <c r="AF161" s="4">
        <v>0.0</v>
      </c>
      <c r="AG161" s="4">
        <v>2640.0</v>
      </c>
      <c r="AH161" s="23">
        <v>29040.0</v>
      </c>
      <c r="AJ161" s="4">
        <v>0.0</v>
      </c>
      <c r="AK161" s="4">
        <v>6110.0</v>
      </c>
      <c r="AL161" s="4">
        <v>0.0</v>
      </c>
      <c r="AM161" s="4">
        <v>0.0</v>
      </c>
      <c r="AN161" s="4">
        <v>611.0</v>
      </c>
      <c r="AO161" s="4">
        <v>6721.0</v>
      </c>
      <c r="AP161" s="4">
        <v>0.0</v>
      </c>
      <c r="AQ161" s="4">
        <v>20290.0</v>
      </c>
      <c r="AR161" s="4" t="s">
        <v>489</v>
      </c>
      <c r="AS161" s="4" t="s">
        <v>490</v>
      </c>
      <c r="AT161" s="4">
        <v>0.0</v>
      </c>
      <c r="AU161" s="4" t="s">
        <v>491</v>
      </c>
      <c r="AV161" s="4">
        <v>0.0</v>
      </c>
      <c r="AW161" s="19"/>
      <c r="AX161" s="4">
        <v>0.0</v>
      </c>
      <c r="AY161" s="4" t="s">
        <v>492</v>
      </c>
      <c r="AZ161" s="4">
        <v>0.0</v>
      </c>
      <c r="BA161" s="19"/>
      <c r="BB161" s="4">
        <v>0.0</v>
      </c>
      <c r="BC161" s="19"/>
      <c r="BD161" s="4">
        <v>0.0</v>
      </c>
      <c r="BE161" s="19"/>
      <c r="BF161" s="4">
        <v>0.0</v>
      </c>
      <c r="BG161" s="19"/>
      <c r="BH161" s="4">
        <v>0.0</v>
      </c>
      <c r="BI161" s="4" t="s">
        <v>493</v>
      </c>
      <c r="BJ161" s="4">
        <v>0.0</v>
      </c>
      <c r="BK161" s="4" t="s">
        <v>494</v>
      </c>
      <c r="BL161" s="4">
        <v>0.0</v>
      </c>
      <c r="BM161" s="4" t="s">
        <v>495</v>
      </c>
      <c r="BN161" s="4">
        <v>0.0</v>
      </c>
      <c r="BO161" s="4" t="s">
        <v>496</v>
      </c>
      <c r="BP161" s="4">
        <v>0.0</v>
      </c>
      <c r="BQ161" s="19"/>
      <c r="BR161" s="4">
        <v>0.0</v>
      </c>
      <c r="BS161" s="19"/>
      <c r="BT161" s="4">
        <v>0.0</v>
      </c>
      <c r="BU161" s="19"/>
      <c r="BV161" s="4">
        <v>0.0</v>
      </c>
      <c r="BW161" s="19"/>
      <c r="BX161" s="4">
        <v>0.0</v>
      </c>
      <c r="BY161" s="4" t="s">
        <v>490</v>
      </c>
      <c r="BZ161" s="4">
        <v>0.0</v>
      </c>
      <c r="CA161" s="4" t="s">
        <v>491</v>
      </c>
      <c r="CB161" s="4">
        <v>0.0</v>
      </c>
      <c r="CC161" s="19"/>
      <c r="CD161" s="4">
        <v>0.0</v>
      </c>
      <c r="CE161" s="4" t="s">
        <v>492</v>
      </c>
      <c r="CF161" s="4">
        <v>0.0</v>
      </c>
      <c r="CG161" s="19"/>
      <c r="CH161" s="4">
        <v>0.0</v>
      </c>
      <c r="CI161" s="19"/>
      <c r="CJ161" s="4">
        <v>0.0</v>
      </c>
      <c r="CK161" s="19"/>
      <c r="CL161" s="4">
        <v>0.0</v>
      </c>
      <c r="CM161" s="19"/>
      <c r="CN161" s="4">
        <v>0.0</v>
      </c>
      <c r="CO161" s="4" t="s">
        <v>493</v>
      </c>
      <c r="CP161" s="4">
        <v>0.0</v>
      </c>
      <c r="CQ161" s="4" t="s">
        <v>494</v>
      </c>
      <c r="CR161" s="4">
        <v>0.0</v>
      </c>
      <c r="CS161" s="4" t="s">
        <v>495</v>
      </c>
      <c r="CT161" s="4">
        <v>0.0</v>
      </c>
      <c r="CU161" s="4" t="s">
        <v>496</v>
      </c>
      <c r="CV161" s="4">
        <v>0.0</v>
      </c>
      <c r="CW161" s="19"/>
      <c r="CX161" s="4">
        <v>0.0</v>
      </c>
      <c r="CY161" s="19"/>
      <c r="CZ161" s="4">
        <v>0.0</v>
      </c>
      <c r="DA161" s="19"/>
      <c r="DB161" s="4">
        <v>0.0</v>
      </c>
      <c r="DC161" s="19"/>
      <c r="DD161" s="4">
        <v>0.0</v>
      </c>
      <c r="DE161" s="4">
        <v>17000.0</v>
      </c>
      <c r="DF161" s="4">
        <v>9400.0</v>
      </c>
      <c r="DG161" s="4">
        <v>0.0</v>
      </c>
      <c r="DH161" s="4">
        <v>0.0</v>
      </c>
      <c r="DI161" s="4">
        <v>6110.0</v>
      </c>
      <c r="DJ161" s="4" t="s">
        <v>185</v>
      </c>
      <c r="DK161" s="4" t="s">
        <v>486</v>
      </c>
      <c r="DL161" s="4" t="s">
        <v>1369</v>
      </c>
      <c r="DM161" s="4" t="s">
        <v>1109</v>
      </c>
      <c r="DN161" s="19"/>
      <c r="DO161" s="4" t="s">
        <v>1110</v>
      </c>
      <c r="DP161" s="19"/>
      <c r="DQ161" s="19"/>
      <c r="DR161" s="19"/>
      <c r="DS161" s="19"/>
      <c r="DT161" s="19"/>
      <c r="DU161" s="19"/>
      <c r="DV161" s="19"/>
      <c r="DW161" s="19"/>
      <c r="DX161" s="19"/>
      <c r="DY161" s="19"/>
      <c r="DZ161" s="19"/>
      <c r="EA161" s="19"/>
      <c r="EB161" s="19"/>
      <c r="EC161" s="19"/>
      <c r="ED161" s="19"/>
      <c r="EE161" s="19"/>
      <c r="EF161" s="19"/>
      <c r="EG161" s="19"/>
      <c r="EH161" s="19"/>
      <c r="EI161" s="19"/>
      <c r="EJ161" s="19"/>
      <c r="EK161" s="19"/>
      <c r="EL161" s="19"/>
      <c r="EM161" s="19"/>
      <c r="EN161" s="4" t="s">
        <v>79</v>
      </c>
      <c r="EO161" s="19"/>
      <c r="EP161" s="17"/>
      <c r="EQ161" s="23"/>
      <c r="ER161" s="23"/>
      <c r="ES161" s="19"/>
      <c r="ET161" s="19"/>
      <c r="EU161" s="19"/>
      <c r="EV161" s="19"/>
      <c r="EW161" s="19"/>
      <c r="EX161" s="19"/>
      <c r="EY161" s="19"/>
      <c r="EZ161" s="19"/>
      <c r="FA161" s="19"/>
      <c r="FB161" s="19"/>
    </row>
    <row r="162" ht="15.75" customHeight="1">
      <c r="A162" s="4" t="s">
        <v>1370</v>
      </c>
      <c r="B162" s="4" t="s">
        <v>591</v>
      </c>
      <c r="C162" s="4" t="s">
        <v>476</v>
      </c>
      <c r="D162" s="17">
        <v>46139.0</v>
      </c>
      <c r="E162" s="4" t="s">
        <v>1371</v>
      </c>
      <c r="F162" s="19"/>
      <c r="G162" s="4" t="s">
        <v>1127</v>
      </c>
      <c r="H162" s="4" t="s">
        <v>1372</v>
      </c>
      <c r="I162" s="4" t="s">
        <v>737</v>
      </c>
      <c r="J162" s="4" t="s">
        <v>1373</v>
      </c>
      <c r="K162" s="4">
        <v>1500.0</v>
      </c>
      <c r="L162" s="4" t="s">
        <v>623</v>
      </c>
      <c r="M162" s="4" t="s">
        <v>1374</v>
      </c>
      <c r="N162" s="4" t="s">
        <v>572</v>
      </c>
      <c r="O162" s="4" t="s">
        <v>484</v>
      </c>
      <c r="Q162" s="4" t="s">
        <v>1375</v>
      </c>
      <c r="R162" s="17">
        <v>46903.0</v>
      </c>
      <c r="S162" s="4" t="s">
        <v>1376</v>
      </c>
      <c r="T162" s="4">
        <v>83176.0</v>
      </c>
      <c r="U162" s="4" t="s">
        <v>1294</v>
      </c>
      <c r="Z162" s="4" t="s">
        <v>524</v>
      </c>
      <c r="AA162" s="4" t="s">
        <v>487</v>
      </c>
      <c r="AB162" s="4" t="s">
        <v>524</v>
      </c>
      <c r="AC162" s="4" t="s">
        <v>488</v>
      </c>
      <c r="AD162" s="4">
        <v>228920.0</v>
      </c>
      <c r="AE162" s="4">
        <v>11227.0</v>
      </c>
      <c r="AF162" s="4">
        <v>44850.0</v>
      </c>
      <c r="AG162" s="4">
        <v>24015.0</v>
      </c>
      <c r="AH162" s="23">
        <v>309012.0</v>
      </c>
      <c r="AJ162" s="4">
        <v>0.0</v>
      </c>
      <c r="AK162" s="4">
        <v>63558.0</v>
      </c>
      <c r="AL162" s="4">
        <v>0.0</v>
      </c>
      <c r="AM162" s="4">
        <v>45050.0</v>
      </c>
      <c r="AN162" s="4">
        <v>6357.0</v>
      </c>
      <c r="AO162" s="4">
        <v>114965.0</v>
      </c>
      <c r="AP162" s="4">
        <v>0.0</v>
      </c>
      <c r="AQ162" s="4">
        <v>176389.0</v>
      </c>
      <c r="AR162" s="4" t="s">
        <v>525</v>
      </c>
      <c r="AS162" s="4" t="s">
        <v>836</v>
      </c>
      <c r="AT162" s="4">
        <v>10000.0</v>
      </c>
      <c r="AU162" s="4" t="s">
        <v>491</v>
      </c>
      <c r="AV162" s="4">
        <v>1227.0</v>
      </c>
      <c r="AW162" s="19"/>
      <c r="AX162" s="4">
        <v>0.0</v>
      </c>
      <c r="AY162" s="19"/>
      <c r="AZ162" s="4">
        <v>0.0</v>
      </c>
      <c r="BA162" s="19"/>
      <c r="BB162" s="4">
        <v>0.0</v>
      </c>
      <c r="BC162" s="19"/>
      <c r="BD162" s="4">
        <v>0.0</v>
      </c>
      <c r="BE162" s="19"/>
      <c r="BF162" s="4">
        <v>0.0</v>
      </c>
      <c r="BG162" s="19"/>
      <c r="BH162" s="4">
        <v>0.0</v>
      </c>
      <c r="BI162" s="4" t="s">
        <v>493</v>
      </c>
      <c r="BJ162" s="4">
        <v>17650.0</v>
      </c>
      <c r="BK162" s="4" t="s">
        <v>494</v>
      </c>
      <c r="BL162" s="4">
        <v>24600.0</v>
      </c>
      <c r="BM162" s="4" t="s">
        <v>495</v>
      </c>
      <c r="BN162" s="4">
        <v>2600.0</v>
      </c>
      <c r="BO162" s="19"/>
      <c r="BP162" s="4">
        <v>0.0</v>
      </c>
      <c r="BQ162" s="19"/>
      <c r="BR162" s="4">
        <v>0.0</v>
      </c>
      <c r="BS162" s="19"/>
      <c r="BT162" s="4">
        <v>0.0</v>
      </c>
      <c r="BU162" s="19"/>
      <c r="BV162" s="4">
        <v>0.0</v>
      </c>
      <c r="BW162" s="19"/>
      <c r="BX162" s="4">
        <v>0.0</v>
      </c>
      <c r="BY162" s="4" t="s">
        <v>836</v>
      </c>
      <c r="BZ162" s="4">
        <v>0.0</v>
      </c>
      <c r="CA162" s="4" t="s">
        <v>491</v>
      </c>
      <c r="CB162" s="4">
        <v>0.0</v>
      </c>
      <c r="CC162" s="19"/>
      <c r="CD162" s="4">
        <v>0.0</v>
      </c>
      <c r="CE162" s="19"/>
      <c r="CF162" s="4">
        <v>0.0</v>
      </c>
      <c r="CG162" s="19"/>
      <c r="CH162" s="4">
        <v>0.0</v>
      </c>
      <c r="CI162" s="19"/>
      <c r="CJ162" s="4">
        <v>0.0</v>
      </c>
      <c r="CK162" s="19"/>
      <c r="CL162" s="4">
        <v>0.0</v>
      </c>
      <c r="CM162" s="19"/>
      <c r="CN162" s="4">
        <v>0.0</v>
      </c>
      <c r="CO162" s="4" t="s">
        <v>493</v>
      </c>
      <c r="CP162" s="4">
        <v>17650.0</v>
      </c>
      <c r="CQ162" s="4" t="s">
        <v>494</v>
      </c>
      <c r="CR162" s="4">
        <v>24600.0</v>
      </c>
      <c r="CS162" s="4" t="s">
        <v>495</v>
      </c>
      <c r="CT162" s="4">
        <v>2800.0</v>
      </c>
      <c r="CU162" s="19"/>
      <c r="CV162" s="4">
        <v>0.0</v>
      </c>
      <c r="CW162" s="19"/>
      <c r="CX162" s="4">
        <v>0.0</v>
      </c>
      <c r="CY162" s="19"/>
      <c r="CZ162" s="4">
        <v>0.0</v>
      </c>
      <c r="DA162" s="19"/>
      <c r="DB162" s="4">
        <v>0.0</v>
      </c>
      <c r="DC162" s="19"/>
      <c r="DD162" s="4">
        <v>0.0</v>
      </c>
      <c r="DE162" s="4">
        <v>88500.0</v>
      </c>
      <c r="DF162" s="4">
        <v>140420.0</v>
      </c>
      <c r="DG162" s="4">
        <v>0.0</v>
      </c>
      <c r="DH162" s="4">
        <v>0.0</v>
      </c>
      <c r="DI162" s="4">
        <v>63558.0</v>
      </c>
      <c r="DJ162" s="4" t="s">
        <v>1377</v>
      </c>
      <c r="DK162" s="4" t="s">
        <v>524</v>
      </c>
      <c r="DL162" s="4" t="s">
        <v>487</v>
      </c>
      <c r="DM162" s="4" t="s">
        <v>1378</v>
      </c>
      <c r="DN162" s="19"/>
      <c r="DO162" s="4" t="s">
        <v>1379</v>
      </c>
      <c r="DP162" s="19"/>
      <c r="DQ162" s="19"/>
      <c r="DR162" s="19"/>
      <c r="DS162" s="19"/>
      <c r="DT162" s="19"/>
      <c r="DU162" s="19"/>
      <c r="DV162" s="19"/>
      <c r="DW162" s="19"/>
      <c r="DX162" s="19"/>
      <c r="DY162" s="19"/>
      <c r="DZ162" s="19"/>
      <c r="EA162" s="19"/>
      <c r="EB162" s="19"/>
      <c r="EC162" s="19"/>
      <c r="ED162" s="19"/>
      <c r="EE162" s="19"/>
      <c r="EF162" s="19"/>
      <c r="EG162" s="19"/>
      <c r="EH162" s="19"/>
      <c r="EI162" s="19"/>
      <c r="EJ162" s="19"/>
      <c r="EK162" s="19"/>
      <c r="EL162" s="19"/>
      <c r="EM162" s="19"/>
      <c r="EN162" s="4" t="s">
        <v>79</v>
      </c>
      <c r="EO162" s="19"/>
      <c r="EP162" s="17"/>
      <c r="EQ162" s="23"/>
      <c r="ER162" s="23"/>
      <c r="ES162" s="19"/>
      <c r="ET162" s="19"/>
      <c r="EU162" s="19"/>
      <c r="EV162" s="19"/>
      <c r="EW162" s="19"/>
      <c r="EX162" s="19"/>
      <c r="EY162" s="19"/>
      <c r="EZ162" s="19"/>
      <c r="FA162" s="19"/>
      <c r="FB162" s="19"/>
    </row>
    <row r="163" ht="15.75" customHeight="1">
      <c r="A163" s="4" t="s">
        <v>1284</v>
      </c>
      <c r="B163" s="4" t="s">
        <v>543</v>
      </c>
      <c r="C163" s="4" t="s">
        <v>476</v>
      </c>
      <c r="D163" s="17">
        <v>46137.0</v>
      </c>
      <c r="E163" s="4" t="s">
        <v>618</v>
      </c>
      <c r="F163" s="4" t="s">
        <v>634</v>
      </c>
      <c r="G163" s="4" t="s">
        <v>619</v>
      </c>
      <c r="H163" s="4" t="s">
        <v>620</v>
      </c>
      <c r="I163" s="4" t="s">
        <v>621</v>
      </c>
      <c r="J163" s="4" t="s">
        <v>622</v>
      </c>
      <c r="K163" s="4">
        <v>3800.0</v>
      </c>
      <c r="L163" s="4" t="s">
        <v>623</v>
      </c>
      <c r="M163" s="4" t="s">
        <v>624</v>
      </c>
      <c r="N163" s="4" t="s">
        <v>521</v>
      </c>
      <c r="O163" s="4" t="s">
        <v>484</v>
      </c>
      <c r="P163" s="4" t="s">
        <v>625</v>
      </c>
      <c r="Q163" s="4" t="s">
        <v>626</v>
      </c>
      <c r="R163" s="17">
        <v>46822.0</v>
      </c>
      <c r="S163" s="4" t="s">
        <v>1285</v>
      </c>
      <c r="T163" s="4">
        <v>34767.0</v>
      </c>
      <c r="W163" s="17">
        <v>46107.0</v>
      </c>
      <c r="Y163" s="17">
        <v>46107.0</v>
      </c>
      <c r="Z163" s="4" t="s">
        <v>557</v>
      </c>
      <c r="AA163" s="4" t="s">
        <v>627</v>
      </c>
      <c r="AB163" s="4" t="s">
        <v>557</v>
      </c>
      <c r="AC163" s="4" t="s">
        <v>488</v>
      </c>
      <c r="AD163" s="4">
        <v>1122727.0</v>
      </c>
      <c r="AE163" s="4">
        <v>0.0</v>
      </c>
      <c r="AF163" s="4">
        <v>0.0</v>
      </c>
      <c r="AG163" s="4">
        <v>112273.0</v>
      </c>
      <c r="AH163" s="23">
        <v>1235000.0</v>
      </c>
      <c r="AJ163" s="4">
        <v>0.0</v>
      </c>
      <c r="AK163" s="4">
        <v>956604.0</v>
      </c>
      <c r="AL163" s="4">
        <v>0.0</v>
      </c>
      <c r="AM163" s="4">
        <v>0.0</v>
      </c>
      <c r="AN163" s="4">
        <v>95661.0</v>
      </c>
      <c r="AO163" s="4">
        <v>1052265.0</v>
      </c>
      <c r="AP163" s="4">
        <v>0.0</v>
      </c>
      <c r="AQ163" s="4">
        <v>166123.0</v>
      </c>
      <c r="AR163" s="4" t="s">
        <v>525</v>
      </c>
      <c r="AS163" s="4" t="s">
        <v>507</v>
      </c>
      <c r="AT163" s="4">
        <v>0.0</v>
      </c>
      <c r="AU163" s="4" t="s">
        <v>491</v>
      </c>
      <c r="AV163" s="4">
        <v>0.0</v>
      </c>
      <c r="AW163" s="4" t="s">
        <v>508</v>
      </c>
      <c r="AX163" s="4">
        <v>0.0</v>
      </c>
      <c r="AY163" s="19"/>
      <c r="AZ163" s="4">
        <v>0.0</v>
      </c>
      <c r="BA163" s="19"/>
      <c r="BB163" s="4">
        <v>0.0</v>
      </c>
      <c r="BC163" s="19"/>
      <c r="BD163" s="4">
        <v>0.0</v>
      </c>
      <c r="BE163" s="19"/>
      <c r="BF163" s="4">
        <v>0.0</v>
      </c>
      <c r="BG163" s="19"/>
      <c r="BH163" s="4">
        <v>0.0</v>
      </c>
      <c r="BI163" s="4" t="s">
        <v>493</v>
      </c>
      <c r="BJ163" s="4">
        <v>0.0</v>
      </c>
      <c r="BK163" s="4" t="s">
        <v>494</v>
      </c>
      <c r="BL163" s="4">
        <v>0.0</v>
      </c>
      <c r="BM163" s="4" t="s">
        <v>495</v>
      </c>
      <c r="BN163" s="4">
        <v>0.0</v>
      </c>
      <c r="BO163" s="4" t="s">
        <v>496</v>
      </c>
      <c r="BP163" s="4">
        <v>0.0</v>
      </c>
      <c r="BQ163" s="19"/>
      <c r="BR163" s="4">
        <v>0.0</v>
      </c>
      <c r="BS163" s="19"/>
      <c r="BT163" s="4">
        <v>0.0</v>
      </c>
      <c r="BU163" s="19"/>
      <c r="BV163" s="4">
        <v>0.0</v>
      </c>
      <c r="BW163" s="19"/>
      <c r="BX163" s="4">
        <v>0.0</v>
      </c>
      <c r="BY163" s="4" t="s">
        <v>507</v>
      </c>
      <c r="BZ163" s="4">
        <v>0.0</v>
      </c>
      <c r="CA163" s="4" t="s">
        <v>491</v>
      </c>
      <c r="CB163" s="4">
        <v>0.0</v>
      </c>
      <c r="CC163" s="4" t="s">
        <v>508</v>
      </c>
      <c r="CD163" s="4">
        <v>0.0</v>
      </c>
      <c r="CE163" s="19"/>
      <c r="CF163" s="4">
        <v>0.0</v>
      </c>
      <c r="CG163" s="19"/>
      <c r="CH163" s="4">
        <v>0.0</v>
      </c>
      <c r="CI163" s="19"/>
      <c r="CJ163" s="4">
        <v>0.0</v>
      </c>
      <c r="CK163" s="19"/>
      <c r="CL163" s="4">
        <v>0.0</v>
      </c>
      <c r="CM163" s="19"/>
      <c r="CN163" s="4">
        <v>0.0</v>
      </c>
      <c r="CO163" s="4" t="s">
        <v>493</v>
      </c>
      <c r="CP163" s="4">
        <v>0.0</v>
      </c>
      <c r="CQ163" s="4" t="s">
        <v>494</v>
      </c>
      <c r="CR163" s="4">
        <v>0.0</v>
      </c>
      <c r="CS163" s="4" t="s">
        <v>495</v>
      </c>
      <c r="CT163" s="4">
        <v>0.0</v>
      </c>
      <c r="CU163" s="4" t="s">
        <v>496</v>
      </c>
      <c r="CV163" s="4">
        <v>0.0</v>
      </c>
      <c r="CW163" s="19"/>
      <c r="CX163" s="4">
        <v>0.0</v>
      </c>
      <c r="CY163" s="19"/>
      <c r="CZ163" s="4">
        <v>0.0</v>
      </c>
      <c r="DA163" s="19"/>
      <c r="DB163" s="4">
        <v>0.0</v>
      </c>
      <c r="DC163" s="19"/>
      <c r="DD163" s="4">
        <v>0.0</v>
      </c>
      <c r="DE163" s="4">
        <v>400427.0</v>
      </c>
      <c r="DF163" s="4">
        <v>722300.0</v>
      </c>
      <c r="DG163" s="4">
        <v>0.0</v>
      </c>
      <c r="DH163" s="4">
        <v>280299.0</v>
      </c>
      <c r="DI163" s="4">
        <v>676305.0</v>
      </c>
      <c r="DJ163" s="4" t="s">
        <v>628</v>
      </c>
      <c r="DK163" s="4" t="s">
        <v>557</v>
      </c>
      <c r="DL163" s="4" t="s">
        <v>487</v>
      </c>
      <c r="DM163" s="4" t="s">
        <v>629</v>
      </c>
      <c r="DN163" s="4" t="s">
        <v>630</v>
      </c>
      <c r="DO163" s="4">
        <v>9.037442434E9</v>
      </c>
      <c r="DP163" s="19"/>
      <c r="DQ163" s="19"/>
      <c r="DR163" s="19"/>
      <c r="DS163" s="19"/>
      <c r="DT163" s="19"/>
      <c r="DU163" s="19"/>
      <c r="DV163" s="19"/>
      <c r="DW163" s="19"/>
      <c r="DX163" s="19"/>
      <c r="DY163" s="19"/>
      <c r="DZ163" s="19"/>
      <c r="EA163" s="19"/>
      <c r="EB163" s="19"/>
      <c r="EC163" s="19"/>
      <c r="ED163" s="19"/>
      <c r="EE163" s="19"/>
      <c r="EF163" s="19"/>
      <c r="EG163" s="19"/>
      <c r="EH163" s="19"/>
      <c r="EI163" s="19"/>
      <c r="EJ163" s="19"/>
      <c r="EK163" s="19"/>
      <c r="EL163" s="19"/>
      <c r="EM163" s="19"/>
      <c r="EN163" s="4" t="s">
        <v>79</v>
      </c>
      <c r="EO163" s="19"/>
      <c r="EP163" s="17"/>
      <c r="EQ163" s="23"/>
      <c r="ER163" s="23"/>
      <c r="ES163" s="19"/>
      <c r="ET163" s="19"/>
      <c r="EU163" s="19"/>
      <c r="EV163" s="19"/>
      <c r="EW163" s="19"/>
      <c r="EX163" s="19"/>
      <c r="EY163" s="19"/>
      <c r="EZ163" s="19"/>
      <c r="FA163" s="19"/>
      <c r="FB163" s="19"/>
    </row>
    <row r="164" ht="15.75" customHeight="1">
      <c r="A164" s="4" t="s">
        <v>333</v>
      </c>
      <c r="B164" s="4" t="s">
        <v>530</v>
      </c>
      <c r="C164" s="4" t="s">
        <v>476</v>
      </c>
      <c r="D164" s="17">
        <v>46137.0</v>
      </c>
      <c r="E164" s="4" t="s">
        <v>1286</v>
      </c>
      <c r="F164" s="19"/>
      <c r="G164" s="4" t="s">
        <v>1287</v>
      </c>
      <c r="H164" s="4" t="s">
        <v>1288</v>
      </c>
      <c r="J164" s="4" t="s">
        <v>1289</v>
      </c>
      <c r="K164" s="4">
        <v>1400.0</v>
      </c>
      <c r="M164" s="4" t="s">
        <v>1290</v>
      </c>
      <c r="N164" s="4" t="s">
        <v>1291</v>
      </c>
      <c r="O164" s="4" t="s">
        <v>484</v>
      </c>
      <c r="Q164" s="4" t="s">
        <v>1292</v>
      </c>
      <c r="R164" s="17">
        <v>46565.0</v>
      </c>
      <c r="S164" s="4" t="s">
        <v>1293</v>
      </c>
      <c r="T164" s="4">
        <v>12041.0</v>
      </c>
      <c r="U164" s="4" t="s">
        <v>1294</v>
      </c>
      <c r="W164" s="17">
        <v>46058.0</v>
      </c>
      <c r="Y164" s="17">
        <v>46104.0</v>
      </c>
      <c r="Z164" s="4" t="s">
        <v>524</v>
      </c>
      <c r="AA164" s="4" t="s">
        <v>487</v>
      </c>
      <c r="AB164" s="4" t="s">
        <v>524</v>
      </c>
      <c r="AC164" s="4" t="s">
        <v>488</v>
      </c>
      <c r="AD164" s="4">
        <v>0.0</v>
      </c>
      <c r="AE164" s="4">
        <v>0.0</v>
      </c>
      <c r="AF164" s="4">
        <v>200000.0</v>
      </c>
      <c r="AG164" s="4">
        <v>0.0</v>
      </c>
      <c r="AH164" s="23">
        <v>200000.0</v>
      </c>
      <c r="AJ164" s="4">
        <v>0.0</v>
      </c>
      <c r="AK164" s="4">
        <v>0.0</v>
      </c>
      <c r="AL164" s="4">
        <v>0.0</v>
      </c>
      <c r="AM164" s="4">
        <v>0.0</v>
      </c>
      <c r="AN164" s="4">
        <v>0.0</v>
      </c>
      <c r="AO164" s="4">
        <v>0.0</v>
      </c>
      <c r="AP164" s="4">
        <v>0.0</v>
      </c>
      <c r="AQ164" s="4">
        <v>200000.0</v>
      </c>
      <c r="AR164" s="4" t="s">
        <v>525</v>
      </c>
      <c r="AS164" s="4" t="s">
        <v>507</v>
      </c>
      <c r="AT164" s="4">
        <v>0.0</v>
      </c>
      <c r="AU164" s="4" t="s">
        <v>491</v>
      </c>
      <c r="AV164" s="4">
        <v>0.0</v>
      </c>
      <c r="AW164" s="4" t="s">
        <v>508</v>
      </c>
      <c r="AX164" s="4">
        <v>0.0</v>
      </c>
      <c r="AY164" s="19"/>
      <c r="AZ164" s="4">
        <v>0.0</v>
      </c>
      <c r="BA164" s="19"/>
      <c r="BB164" s="4">
        <v>0.0</v>
      </c>
      <c r="BC164" s="19"/>
      <c r="BD164" s="4">
        <v>0.0</v>
      </c>
      <c r="BE164" s="19"/>
      <c r="BF164" s="4">
        <v>0.0</v>
      </c>
      <c r="BG164" s="19"/>
      <c r="BH164" s="4">
        <v>0.0</v>
      </c>
      <c r="BI164" s="4" t="s">
        <v>493</v>
      </c>
      <c r="BJ164" s="4">
        <v>0.0</v>
      </c>
      <c r="BK164" s="4" t="s">
        <v>494</v>
      </c>
      <c r="BL164" s="4">
        <v>0.0</v>
      </c>
      <c r="BM164" s="4" t="s">
        <v>495</v>
      </c>
      <c r="BN164" s="4">
        <v>0.0</v>
      </c>
      <c r="BO164" s="4" t="s">
        <v>496</v>
      </c>
      <c r="BP164" s="4">
        <v>200000.0</v>
      </c>
      <c r="BQ164" s="19"/>
      <c r="BR164" s="4">
        <v>0.0</v>
      </c>
      <c r="BS164" s="19"/>
      <c r="BT164" s="4">
        <v>0.0</v>
      </c>
      <c r="BU164" s="19"/>
      <c r="BV164" s="4">
        <v>0.0</v>
      </c>
      <c r="BW164" s="19"/>
      <c r="BX164" s="4">
        <v>0.0</v>
      </c>
      <c r="BY164" s="4" t="s">
        <v>507</v>
      </c>
      <c r="BZ164" s="4">
        <v>0.0</v>
      </c>
      <c r="CA164" s="4" t="s">
        <v>491</v>
      </c>
      <c r="CB164" s="4">
        <v>0.0</v>
      </c>
      <c r="CC164" s="4" t="s">
        <v>508</v>
      </c>
      <c r="CD164" s="4">
        <v>0.0</v>
      </c>
      <c r="CE164" s="19"/>
      <c r="CF164" s="4">
        <v>0.0</v>
      </c>
      <c r="CG164" s="19"/>
      <c r="CH164" s="4">
        <v>0.0</v>
      </c>
      <c r="CI164" s="19"/>
      <c r="CJ164" s="4">
        <v>0.0</v>
      </c>
      <c r="CK164" s="19"/>
      <c r="CL164" s="4">
        <v>0.0</v>
      </c>
      <c r="CM164" s="19"/>
      <c r="CN164" s="4">
        <v>0.0</v>
      </c>
      <c r="CO164" s="4" t="s">
        <v>493</v>
      </c>
      <c r="CP164" s="4">
        <v>0.0</v>
      </c>
      <c r="CQ164" s="4" t="s">
        <v>494</v>
      </c>
      <c r="CR164" s="4">
        <v>0.0</v>
      </c>
      <c r="CS164" s="4" t="s">
        <v>495</v>
      </c>
      <c r="CT164" s="4">
        <v>0.0</v>
      </c>
      <c r="CU164" s="4" t="s">
        <v>496</v>
      </c>
      <c r="CV164" s="4">
        <v>0.0</v>
      </c>
      <c r="CW164" s="19"/>
      <c r="CX164" s="4">
        <v>0.0</v>
      </c>
      <c r="CY164" s="19"/>
      <c r="CZ164" s="4">
        <v>0.0</v>
      </c>
      <c r="DA164" s="19"/>
      <c r="DB164" s="4">
        <v>0.0</v>
      </c>
      <c r="DC164" s="19"/>
      <c r="DD164" s="4">
        <v>0.0</v>
      </c>
      <c r="DE164" s="4">
        <v>0.0</v>
      </c>
      <c r="DF164" s="4">
        <v>0.0</v>
      </c>
      <c r="DG164" s="4">
        <v>0.0</v>
      </c>
      <c r="DH164" s="4">
        <v>0.0</v>
      </c>
      <c r="DI164" s="4">
        <v>0.0</v>
      </c>
      <c r="DJ164" s="4" t="s">
        <v>334</v>
      </c>
      <c r="DK164" s="4" t="s">
        <v>524</v>
      </c>
      <c r="DL164" s="4" t="s">
        <v>487</v>
      </c>
      <c r="DM164" s="4" t="s">
        <v>1295</v>
      </c>
      <c r="DN164" s="4" t="s">
        <v>1296</v>
      </c>
      <c r="DO164" s="19"/>
      <c r="DP164" s="19"/>
      <c r="DQ164" s="19"/>
      <c r="DR164" s="19"/>
      <c r="DS164" s="19"/>
      <c r="DT164" s="19"/>
      <c r="DU164" s="19"/>
      <c r="DV164" s="19"/>
      <c r="DW164" s="19"/>
      <c r="DX164" s="19"/>
      <c r="DY164" s="19"/>
      <c r="DZ164" s="19"/>
      <c r="EA164" s="19"/>
      <c r="EB164" s="19"/>
      <c r="EC164" s="19"/>
      <c r="ED164" s="19"/>
      <c r="EE164" s="19"/>
      <c r="EF164" s="19"/>
      <c r="EG164" s="19"/>
      <c r="EH164" s="19"/>
      <c r="EI164" s="19"/>
      <c r="EJ164" s="19"/>
      <c r="EK164" s="19"/>
      <c r="EL164" s="19"/>
      <c r="EM164" s="19"/>
      <c r="EN164" s="4" t="s">
        <v>79</v>
      </c>
      <c r="EO164" s="19"/>
      <c r="EP164" s="17"/>
      <c r="EQ164" s="23"/>
      <c r="ER164" s="23"/>
      <c r="ES164" s="19"/>
      <c r="ET164" s="19"/>
      <c r="EU164" s="19"/>
      <c r="EV164" s="19"/>
      <c r="EW164" s="19"/>
      <c r="EX164" s="19"/>
      <c r="EY164" s="19"/>
      <c r="EZ164" s="19"/>
      <c r="FA164" s="19"/>
      <c r="FB164" s="19"/>
    </row>
    <row r="165" ht="15.75" customHeight="1">
      <c r="A165" s="4" t="s">
        <v>1298</v>
      </c>
      <c r="B165" s="4" t="s">
        <v>475</v>
      </c>
      <c r="C165" s="4" t="s">
        <v>476</v>
      </c>
      <c r="D165" s="17">
        <v>46137.0</v>
      </c>
      <c r="E165" s="4" t="s">
        <v>1299</v>
      </c>
      <c r="F165" s="4" t="s">
        <v>568</v>
      </c>
      <c r="G165" s="4" t="s">
        <v>1300</v>
      </c>
      <c r="H165" s="4" t="s">
        <v>479</v>
      </c>
      <c r="J165" s="4" t="s">
        <v>1301</v>
      </c>
      <c r="K165" s="4">
        <v>2000.0</v>
      </c>
      <c r="M165" s="4" t="s">
        <v>1302</v>
      </c>
      <c r="N165" s="4" t="s">
        <v>572</v>
      </c>
      <c r="Q165" s="4" t="s">
        <v>1303</v>
      </c>
      <c r="R165" s="17">
        <v>46656.0</v>
      </c>
      <c r="S165" s="4" t="s">
        <v>1304</v>
      </c>
      <c r="T165" s="4">
        <v>64909.0</v>
      </c>
      <c r="Z165" s="4" t="s">
        <v>486</v>
      </c>
      <c r="AA165" s="4" t="s">
        <v>487</v>
      </c>
      <c r="AB165" s="4" t="s">
        <v>486</v>
      </c>
      <c r="AC165" s="4" t="s">
        <v>488</v>
      </c>
      <c r="AD165" s="4">
        <v>11000.0</v>
      </c>
      <c r="AE165" s="4">
        <v>0.0</v>
      </c>
      <c r="AF165" s="4">
        <v>0.0</v>
      </c>
      <c r="AG165" s="4">
        <v>1100.0</v>
      </c>
      <c r="AH165" s="23">
        <v>12100.0</v>
      </c>
      <c r="AJ165" s="4">
        <v>0.0</v>
      </c>
      <c r="AK165" s="4">
        <v>0.0</v>
      </c>
      <c r="AL165" s="4">
        <v>0.0</v>
      </c>
      <c r="AM165" s="4">
        <v>0.0</v>
      </c>
      <c r="AN165" s="4">
        <v>0.0</v>
      </c>
      <c r="AO165" s="4">
        <v>0.0</v>
      </c>
      <c r="AP165" s="4">
        <v>0.0</v>
      </c>
      <c r="AQ165" s="4">
        <v>11000.0</v>
      </c>
      <c r="AR165" s="4" t="s">
        <v>489</v>
      </c>
      <c r="AS165" s="4" t="s">
        <v>490</v>
      </c>
      <c r="AT165" s="4">
        <v>0.0</v>
      </c>
      <c r="AU165" s="4" t="s">
        <v>491</v>
      </c>
      <c r="AV165" s="4">
        <v>0.0</v>
      </c>
      <c r="AW165" s="19"/>
      <c r="AX165" s="4">
        <v>0.0</v>
      </c>
      <c r="AY165" s="4" t="s">
        <v>492</v>
      </c>
      <c r="AZ165" s="4">
        <v>0.0</v>
      </c>
      <c r="BA165" s="19"/>
      <c r="BB165" s="4">
        <v>0.0</v>
      </c>
      <c r="BC165" s="19"/>
      <c r="BD165" s="4">
        <v>0.0</v>
      </c>
      <c r="BE165" s="19"/>
      <c r="BF165" s="4">
        <v>0.0</v>
      </c>
      <c r="BG165" s="19"/>
      <c r="BH165" s="4">
        <v>0.0</v>
      </c>
      <c r="BI165" s="4" t="s">
        <v>493</v>
      </c>
      <c r="BJ165" s="4">
        <v>0.0</v>
      </c>
      <c r="BK165" s="4" t="s">
        <v>494</v>
      </c>
      <c r="BL165" s="4">
        <v>0.0</v>
      </c>
      <c r="BM165" s="4" t="s">
        <v>495</v>
      </c>
      <c r="BN165" s="4">
        <v>0.0</v>
      </c>
      <c r="BO165" s="4" t="s">
        <v>1305</v>
      </c>
      <c r="BP165" s="4">
        <v>0.0</v>
      </c>
      <c r="BQ165" s="19"/>
      <c r="BR165" s="4">
        <v>0.0</v>
      </c>
      <c r="BS165" s="19"/>
      <c r="BT165" s="4">
        <v>0.0</v>
      </c>
      <c r="BU165" s="19"/>
      <c r="BV165" s="4">
        <v>0.0</v>
      </c>
      <c r="BW165" s="19"/>
      <c r="BX165" s="4">
        <v>0.0</v>
      </c>
      <c r="BY165" s="4" t="s">
        <v>490</v>
      </c>
      <c r="BZ165" s="4">
        <v>0.0</v>
      </c>
      <c r="CA165" s="4" t="s">
        <v>491</v>
      </c>
      <c r="CB165" s="4">
        <v>0.0</v>
      </c>
      <c r="CC165" s="19"/>
      <c r="CD165" s="4">
        <v>0.0</v>
      </c>
      <c r="CE165" s="4" t="s">
        <v>492</v>
      </c>
      <c r="CF165" s="4">
        <v>0.0</v>
      </c>
      <c r="CG165" s="19"/>
      <c r="CH165" s="4">
        <v>0.0</v>
      </c>
      <c r="CI165" s="19"/>
      <c r="CJ165" s="4">
        <v>0.0</v>
      </c>
      <c r="CK165" s="19"/>
      <c r="CL165" s="4">
        <v>0.0</v>
      </c>
      <c r="CM165" s="19"/>
      <c r="CN165" s="4">
        <v>0.0</v>
      </c>
      <c r="CO165" s="4" t="s">
        <v>493</v>
      </c>
      <c r="CP165" s="4">
        <v>0.0</v>
      </c>
      <c r="CQ165" s="4" t="s">
        <v>494</v>
      </c>
      <c r="CR165" s="4">
        <v>0.0</v>
      </c>
      <c r="CS165" s="4" t="s">
        <v>495</v>
      </c>
      <c r="CT165" s="4">
        <v>0.0</v>
      </c>
      <c r="CU165" s="4" t="s">
        <v>1305</v>
      </c>
      <c r="CV165" s="4">
        <v>0.0</v>
      </c>
      <c r="CW165" s="19"/>
      <c r="CX165" s="4">
        <v>0.0</v>
      </c>
      <c r="CY165" s="19"/>
      <c r="CZ165" s="4">
        <v>0.0</v>
      </c>
      <c r="DA165" s="19"/>
      <c r="DB165" s="4">
        <v>0.0</v>
      </c>
      <c r="DC165" s="19"/>
      <c r="DD165" s="4">
        <v>0.0</v>
      </c>
      <c r="DE165" s="4">
        <v>11000.0</v>
      </c>
      <c r="DF165" s="4">
        <v>0.0</v>
      </c>
      <c r="DG165" s="4">
        <v>0.0</v>
      </c>
      <c r="DH165" s="4">
        <v>0.0</v>
      </c>
      <c r="DI165" s="4">
        <v>0.0</v>
      </c>
      <c r="DJ165" s="4" t="s">
        <v>1306</v>
      </c>
      <c r="DK165" s="4" t="s">
        <v>486</v>
      </c>
      <c r="DL165" s="4" t="s">
        <v>487</v>
      </c>
      <c r="DM165" s="4" t="s">
        <v>1307</v>
      </c>
      <c r="DN165" s="4" t="s">
        <v>1308</v>
      </c>
      <c r="DO165" s="4" t="s">
        <v>1309</v>
      </c>
      <c r="DP165" s="19"/>
      <c r="DQ165" s="19"/>
      <c r="DR165" s="19"/>
      <c r="DS165" s="19"/>
      <c r="DT165" s="19"/>
      <c r="DU165" s="19"/>
      <c r="DV165" s="19"/>
      <c r="DW165" s="19"/>
      <c r="DX165" s="19"/>
      <c r="DY165" s="19"/>
      <c r="DZ165" s="19"/>
      <c r="EA165" s="19"/>
      <c r="EB165" s="19"/>
      <c r="EC165" s="19"/>
      <c r="ED165" s="19"/>
      <c r="EE165" s="19"/>
      <c r="EF165" s="19"/>
      <c r="EG165" s="19"/>
      <c r="EH165" s="19"/>
      <c r="EI165" s="19"/>
      <c r="EJ165" s="19"/>
      <c r="EK165" s="19"/>
      <c r="EL165" s="19"/>
      <c r="EM165" s="19"/>
      <c r="EN165" s="4" t="s">
        <v>79</v>
      </c>
      <c r="EO165" s="19"/>
      <c r="EP165" s="17"/>
      <c r="EQ165" s="23"/>
      <c r="ER165" s="23"/>
      <c r="ES165" s="19"/>
      <c r="ET165" s="19"/>
      <c r="EU165" s="19"/>
      <c r="EV165" s="19"/>
      <c r="EW165" s="19"/>
      <c r="EX165" s="19"/>
      <c r="EY165" s="19"/>
      <c r="EZ165" s="19"/>
      <c r="FA165" s="19"/>
      <c r="FB165" s="19"/>
    </row>
    <row r="166" ht="15.75" customHeight="1">
      <c r="A166" s="4" t="s">
        <v>1310</v>
      </c>
      <c r="B166" s="4" t="s">
        <v>475</v>
      </c>
      <c r="C166" s="4" t="s">
        <v>476</v>
      </c>
      <c r="D166" s="17">
        <v>46137.0</v>
      </c>
      <c r="E166" s="4" t="s">
        <v>1311</v>
      </c>
      <c r="F166" s="4" t="s">
        <v>568</v>
      </c>
      <c r="G166" s="4" t="s">
        <v>685</v>
      </c>
      <c r="H166" s="4" t="s">
        <v>479</v>
      </c>
      <c r="J166" s="4" t="s">
        <v>1312</v>
      </c>
      <c r="K166" s="4">
        <v>2000.0</v>
      </c>
      <c r="M166" s="4" t="s">
        <v>1313</v>
      </c>
      <c r="N166" s="4" t="s">
        <v>1314</v>
      </c>
      <c r="Q166" s="4" t="s">
        <v>711</v>
      </c>
      <c r="R166" s="17">
        <v>46504.0</v>
      </c>
      <c r="S166" s="4" t="s">
        <v>1315</v>
      </c>
      <c r="T166" s="4">
        <v>40562.0</v>
      </c>
      <c r="W166" s="17">
        <v>46132.0</v>
      </c>
      <c r="Y166" s="17">
        <v>46139.0</v>
      </c>
      <c r="Z166" s="4" t="s">
        <v>486</v>
      </c>
      <c r="AA166" s="4" t="s">
        <v>537</v>
      </c>
      <c r="AB166" s="4" t="s">
        <v>486</v>
      </c>
      <c r="AC166" s="4" t="s">
        <v>488</v>
      </c>
      <c r="AD166" s="4">
        <v>11000.0</v>
      </c>
      <c r="AE166" s="4">
        <v>0.0</v>
      </c>
      <c r="AF166" s="4">
        <v>0.0</v>
      </c>
      <c r="AG166" s="4">
        <v>1100.0</v>
      </c>
      <c r="AH166" s="23">
        <v>12100.0</v>
      </c>
      <c r="AJ166" s="4">
        <v>0.0</v>
      </c>
      <c r="AK166" s="4">
        <v>0.0</v>
      </c>
      <c r="AL166" s="4">
        <v>0.0</v>
      </c>
      <c r="AM166" s="4">
        <v>0.0</v>
      </c>
      <c r="AN166" s="4">
        <v>0.0</v>
      </c>
      <c r="AO166" s="4">
        <v>0.0</v>
      </c>
      <c r="AP166" s="4">
        <v>0.0</v>
      </c>
      <c r="AQ166" s="4">
        <v>11000.0</v>
      </c>
      <c r="AR166" s="4" t="s">
        <v>489</v>
      </c>
      <c r="AS166" s="4" t="s">
        <v>490</v>
      </c>
      <c r="AT166" s="4">
        <v>0.0</v>
      </c>
      <c r="AU166" s="4" t="s">
        <v>491</v>
      </c>
      <c r="AV166" s="4">
        <v>0.0</v>
      </c>
      <c r="AW166" s="19"/>
      <c r="AX166" s="4">
        <v>0.0</v>
      </c>
      <c r="AY166" s="4" t="s">
        <v>492</v>
      </c>
      <c r="AZ166" s="4">
        <v>0.0</v>
      </c>
      <c r="BA166" s="19"/>
      <c r="BB166" s="4">
        <v>0.0</v>
      </c>
      <c r="BC166" s="19"/>
      <c r="BD166" s="4">
        <v>0.0</v>
      </c>
      <c r="BE166" s="19"/>
      <c r="BF166" s="4">
        <v>0.0</v>
      </c>
      <c r="BG166" s="19"/>
      <c r="BH166" s="4">
        <v>0.0</v>
      </c>
      <c r="BI166" s="4" t="s">
        <v>493</v>
      </c>
      <c r="BJ166" s="4">
        <v>0.0</v>
      </c>
      <c r="BK166" s="4" t="s">
        <v>494</v>
      </c>
      <c r="BL166" s="4">
        <v>0.0</v>
      </c>
      <c r="BM166" s="4" t="s">
        <v>495</v>
      </c>
      <c r="BN166" s="4">
        <v>0.0</v>
      </c>
      <c r="BO166" s="4" t="s">
        <v>1305</v>
      </c>
      <c r="BP166" s="4">
        <v>0.0</v>
      </c>
      <c r="BQ166" s="19"/>
      <c r="BR166" s="4">
        <v>0.0</v>
      </c>
      <c r="BS166" s="19"/>
      <c r="BT166" s="4">
        <v>0.0</v>
      </c>
      <c r="BU166" s="19"/>
      <c r="BV166" s="4">
        <v>0.0</v>
      </c>
      <c r="BW166" s="19"/>
      <c r="BX166" s="4">
        <v>0.0</v>
      </c>
      <c r="BY166" s="4" t="s">
        <v>490</v>
      </c>
      <c r="BZ166" s="4">
        <v>0.0</v>
      </c>
      <c r="CA166" s="4" t="s">
        <v>491</v>
      </c>
      <c r="CB166" s="4">
        <v>0.0</v>
      </c>
      <c r="CC166" s="19"/>
      <c r="CD166" s="4">
        <v>0.0</v>
      </c>
      <c r="CE166" s="4" t="s">
        <v>492</v>
      </c>
      <c r="CF166" s="4">
        <v>0.0</v>
      </c>
      <c r="CG166" s="19"/>
      <c r="CH166" s="4">
        <v>0.0</v>
      </c>
      <c r="CI166" s="19"/>
      <c r="CJ166" s="4">
        <v>0.0</v>
      </c>
      <c r="CK166" s="19"/>
      <c r="CL166" s="4">
        <v>0.0</v>
      </c>
      <c r="CM166" s="19"/>
      <c r="CN166" s="4">
        <v>0.0</v>
      </c>
      <c r="CO166" s="4" t="s">
        <v>493</v>
      </c>
      <c r="CP166" s="4">
        <v>0.0</v>
      </c>
      <c r="CQ166" s="4" t="s">
        <v>494</v>
      </c>
      <c r="CR166" s="4">
        <v>0.0</v>
      </c>
      <c r="CS166" s="4" t="s">
        <v>495</v>
      </c>
      <c r="CT166" s="4">
        <v>0.0</v>
      </c>
      <c r="CU166" s="4" t="s">
        <v>1305</v>
      </c>
      <c r="CV166" s="4">
        <v>0.0</v>
      </c>
      <c r="CW166" s="19"/>
      <c r="CX166" s="4">
        <v>0.0</v>
      </c>
      <c r="CY166" s="19"/>
      <c r="CZ166" s="4">
        <v>0.0</v>
      </c>
      <c r="DA166" s="19"/>
      <c r="DB166" s="4">
        <v>0.0</v>
      </c>
      <c r="DC166" s="19"/>
      <c r="DD166" s="4">
        <v>0.0</v>
      </c>
      <c r="DE166" s="4">
        <v>11000.0</v>
      </c>
      <c r="DF166" s="4">
        <v>0.0</v>
      </c>
      <c r="DG166" s="4">
        <v>0.0</v>
      </c>
      <c r="DH166" s="4">
        <v>0.0</v>
      </c>
      <c r="DI166" s="4">
        <v>0.0</v>
      </c>
      <c r="DJ166" s="4" t="s">
        <v>1316</v>
      </c>
      <c r="DK166" s="4" t="s">
        <v>486</v>
      </c>
      <c r="DL166" s="4" t="s">
        <v>537</v>
      </c>
      <c r="DM166" s="4" t="s">
        <v>1317</v>
      </c>
      <c r="DN166" s="19"/>
      <c r="DO166" s="4" t="s">
        <v>1318</v>
      </c>
      <c r="DP166" s="19"/>
      <c r="DQ166" s="19"/>
      <c r="DR166" s="19"/>
      <c r="DS166" s="19"/>
      <c r="DT166" s="19"/>
      <c r="DU166" s="19"/>
      <c r="DV166" s="19"/>
      <c r="DW166" s="19"/>
      <c r="DX166" s="19"/>
      <c r="DY166" s="19"/>
      <c r="DZ166" s="19"/>
      <c r="EA166" s="19"/>
      <c r="EB166" s="19"/>
      <c r="EC166" s="19"/>
      <c r="ED166" s="19"/>
      <c r="EE166" s="19"/>
      <c r="EF166" s="19"/>
      <c r="EG166" s="19"/>
      <c r="EH166" s="19"/>
      <c r="EI166" s="19"/>
      <c r="EJ166" s="19"/>
      <c r="EK166" s="19"/>
      <c r="EL166" s="19"/>
      <c r="EM166" s="19"/>
      <c r="EN166" s="4" t="s">
        <v>79</v>
      </c>
      <c r="EO166" s="19"/>
      <c r="EP166" s="17"/>
      <c r="EQ166" s="23"/>
      <c r="ER166" s="23"/>
      <c r="ES166" s="19"/>
      <c r="ET166" s="19"/>
      <c r="EU166" s="19"/>
      <c r="EV166" s="19"/>
      <c r="EW166" s="19"/>
      <c r="EX166" s="19"/>
      <c r="EY166" s="19"/>
      <c r="EZ166" s="19"/>
      <c r="FA166" s="19"/>
      <c r="FB166" s="19"/>
    </row>
    <row r="167" ht="15.75" customHeight="1">
      <c r="A167" s="4" t="s">
        <v>1380</v>
      </c>
      <c r="B167" s="4" t="s">
        <v>475</v>
      </c>
      <c r="C167" s="4" t="s">
        <v>476</v>
      </c>
      <c r="D167" s="17">
        <v>46139.0</v>
      </c>
      <c r="E167" s="4" t="s">
        <v>725</v>
      </c>
      <c r="F167" s="19"/>
      <c r="G167" s="4" t="s">
        <v>726</v>
      </c>
      <c r="H167" s="4" t="s">
        <v>479</v>
      </c>
      <c r="I167" s="4" t="s">
        <v>480</v>
      </c>
      <c r="J167" s="4" t="s">
        <v>727</v>
      </c>
      <c r="K167" s="4">
        <v>2000.0</v>
      </c>
      <c r="L167" s="4" t="s">
        <v>482</v>
      </c>
      <c r="M167" s="4" t="s">
        <v>483</v>
      </c>
      <c r="N167" s="4" t="s">
        <v>521</v>
      </c>
      <c r="O167" s="4" t="s">
        <v>484</v>
      </c>
      <c r="P167" s="4" t="s">
        <v>728</v>
      </c>
      <c r="Q167" s="4" t="s">
        <v>729</v>
      </c>
      <c r="R167" s="17">
        <v>46821.0</v>
      </c>
      <c r="S167" s="4" t="s">
        <v>1381</v>
      </c>
      <c r="T167" s="4">
        <v>97764.0</v>
      </c>
      <c r="W167" s="17">
        <v>46139.0</v>
      </c>
      <c r="Y167" s="17">
        <v>46139.0</v>
      </c>
      <c r="Z167" s="4" t="s">
        <v>486</v>
      </c>
      <c r="AA167" s="4" t="s">
        <v>537</v>
      </c>
      <c r="AB167" s="4" t="s">
        <v>486</v>
      </c>
      <c r="AC167" s="4" t="s">
        <v>488</v>
      </c>
      <c r="AD167" s="4">
        <v>17000.0</v>
      </c>
      <c r="AE167" s="4">
        <v>0.0</v>
      </c>
      <c r="AF167" s="4">
        <v>0.0</v>
      </c>
      <c r="AG167" s="4">
        <v>1700.0</v>
      </c>
      <c r="AH167" s="23">
        <v>18700.0</v>
      </c>
      <c r="AJ167" s="4">
        <v>0.0</v>
      </c>
      <c r="AK167" s="4">
        <v>0.0</v>
      </c>
      <c r="AL167" s="4">
        <v>0.0</v>
      </c>
      <c r="AM167" s="4">
        <v>0.0</v>
      </c>
      <c r="AN167" s="4">
        <v>0.0</v>
      </c>
      <c r="AO167" s="4">
        <v>0.0</v>
      </c>
      <c r="AP167" s="4">
        <v>0.0</v>
      </c>
      <c r="AQ167" s="4">
        <v>17000.0</v>
      </c>
      <c r="AR167" s="4" t="s">
        <v>489</v>
      </c>
      <c r="AS167" s="4" t="s">
        <v>490</v>
      </c>
      <c r="AT167" s="4">
        <v>0.0</v>
      </c>
      <c r="AU167" s="4" t="s">
        <v>491</v>
      </c>
      <c r="AV167" s="4">
        <v>0.0</v>
      </c>
      <c r="AW167" s="19"/>
      <c r="AX167" s="4">
        <v>0.0</v>
      </c>
      <c r="AY167" s="4" t="s">
        <v>492</v>
      </c>
      <c r="AZ167" s="4">
        <v>0.0</v>
      </c>
      <c r="BA167" s="19"/>
      <c r="BB167" s="4">
        <v>0.0</v>
      </c>
      <c r="BC167" s="19"/>
      <c r="BD167" s="4">
        <v>0.0</v>
      </c>
      <c r="BE167" s="19"/>
      <c r="BF167" s="4">
        <v>0.0</v>
      </c>
      <c r="BG167" s="19"/>
      <c r="BH167" s="4">
        <v>0.0</v>
      </c>
      <c r="BI167" s="4" t="s">
        <v>493</v>
      </c>
      <c r="BJ167" s="4">
        <v>0.0</v>
      </c>
      <c r="BK167" s="4" t="s">
        <v>494</v>
      </c>
      <c r="BL167" s="4">
        <v>0.0</v>
      </c>
      <c r="BM167" s="4" t="s">
        <v>495</v>
      </c>
      <c r="BN167" s="4">
        <v>0.0</v>
      </c>
      <c r="BO167" s="4" t="s">
        <v>1305</v>
      </c>
      <c r="BP167" s="4">
        <v>0.0</v>
      </c>
      <c r="BQ167" s="19"/>
      <c r="BR167" s="4">
        <v>0.0</v>
      </c>
      <c r="BS167" s="19"/>
      <c r="BT167" s="4">
        <v>0.0</v>
      </c>
      <c r="BU167" s="19"/>
      <c r="BV167" s="4">
        <v>0.0</v>
      </c>
      <c r="BW167" s="19"/>
      <c r="BX167" s="4">
        <v>0.0</v>
      </c>
      <c r="BY167" s="4" t="s">
        <v>490</v>
      </c>
      <c r="BZ167" s="4">
        <v>0.0</v>
      </c>
      <c r="CA167" s="4" t="s">
        <v>491</v>
      </c>
      <c r="CB167" s="4">
        <v>0.0</v>
      </c>
      <c r="CC167" s="19"/>
      <c r="CD167" s="4">
        <v>0.0</v>
      </c>
      <c r="CE167" s="4" t="s">
        <v>492</v>
      </c>
      <c r="CF167" s="4">
        <v>0.0</v>
      </c>
      <c r="CG167" s="19"/>
      <c r="CH167" s="4">
        <v>0.0</v>
      </c>
      <c r="CI167" s="19"/>
      <c r="CJ167" s="4">
        <v>0.0</v>
      </c>
      <c r="CK167" s="19"/>
      <c r="CL167" s="4">
        <v>0.0</v>
      </c>
      <c r="CM167" s="19"/>
      <c r="CN167" s="4">
        <v>0.0</v>
      </c>
      <c r="CO167" s="4" t="s">
        <v>493</v>
      </c>
      <c r="CP167" s="4">
        <v>0.0</v>
      </c>
      <c r="CQ167" s="4" t="s">
        <v>494</v>
      </c>
      <c r="CR167" s="4">
        <v>0.0</v>
      </c>
      <c r="CS167" s="4" t="s">
        <v>495</v>
      </c>
      <c r="CT167" s="4">
        <v>0.0</v>
      </c>
      <c r="CU167" s="4" t="s">
        <v>1305</v>
      </c>
      <c r="CV167" s="4">
        <v>0.0</v>
      </c>
      <c r="CW167" s="19"/>
      <c r="CX167" s="4">
        <v>0.0</v>
      </c>
      <c r="CY167" s="19"/>
      <c r="CZ167" s="4">
        <v>0.0</v>
      </c>
      <c r="DA167" s="19"/>
      <c r="DB167" s="4">
        <v>0.0</v>
      </c>
      <c r="DC167" s="19"/>
      <c r="DD167" s="4">
        <v>0.0</v>
      </c>
      <c r="DE167" s="4">
        <v>17000.0</v>
      </c>
      <c r="DF167" s="4">
        <v>0.0</v>
      </c>
      <c r="DG167" s="4">
        <v>0.0</v>
      </c>
      <c r="DH167" s="4">
        <v>0.0</v>
      </c>
      <c r="DI167" s="4">
        <v>0.0</v>
      </c>
      <c r="DJ167" s="4" t="s">
        <v>730</v>
      </c>
      <c r="DK167" s="4" t="s">
        <v>486</v>
      </c>
      <c r="DL167" s="4" t="s">
        <v>537</v>
      </c>
      <c r="DM167" s="4" t="s">
        <v>1382</v>
      </c>
      <c r="DN167" s="4" t="s">
        <v>732</v>
      </c>
      <c r="DO167" s="4" t="s">
        <v>733</v>
      </c>
      <c r="DP167" s="19"/>
      <c r="DQ167" s="19"/>
      <c r="DR167" s="19"/>
      <c r="DS167" s="19"/>
      <c r="DT167" s="19"/>
      <c r="DU167" s="19"/>
      <c r="DV167" s="19"/>
      <c r="DW167" s="19"/>
      <c r="DX167" s="19"/>
      <c r="DY167" s="19"/>
      <c r="DZ167" s="19"/>
      <c r="EA167" s="19"/>
      <c r="EB167" s="19"/>
      <c r="EC167" s="19"/>
      <c r="ED167" s="19"/>
      <c r="EE167" s="19"/>
      <c r="EF167" s="19"/>
      <c r="EG167" s="19"/>
      <c r="EH167" s="19"/>
      <c r="EI167" s="19"/>
      <c r="EJ167" s="19"/>
      <c r="EK167" s="19"/>
      <c r="EL167" s="19"/>
      <c r="EM167" s="19"/>
      <c r="EN167" s="4" t="s">
        <v>79</v>
      </c>
      <c r="EO167" s="19"/>
      <c r="EP167" s="17"/>
      <c r="EQ167" s="23"/>
      <c r="ER167" s="23"/>
      <c r="ES167" s="19"/>
      <c r="ET167" s="19"/>
      <c r="EU167" s="19"/>
      <c r="EV167" s="19"/>
      <c r="EW167" s="19"/>
      <c r="EX167" s="19"/>
      <c r="EY167" s="19"/>
      <c r="EZ167" s="19"/>
      <c r="FA167" s="19"/>
      <c r="FB167" s="19"/>
    </row>
    <row r="168" ht="15.75" customHeight="1">
      <c r="A168" s="4" t="s">
        <v>1383</v>
      </c>
      <c r="B168" s="4" t="s">
        <v>1384</v>
      </c>
      <c r="C168" s="4" t="s">
        <v>476</v>
      </c>
      <c r="D168" s="17">
        <v>46128.0</v>
      </c>
      <c r="F168" s="19"/>
      <c r="G168" s="4" t="s">
        <v>619</v>
      </c>
      <c r="H168" s="4" t="s">
        <v>1385</v>
      </c>
      <c r="I168" s="4" t="s">
        <v>1075</v>
      </c>
      <c r="J168" s="4" t="s">
        <v>1386</v>
      </c>
      <c r="K168" s="4">
        <v>1400.0</v>
      </c>
      <c r="L168" s="4" t="s">
        <v>821</v>
      </c>
      <c r="M168" s="4" t="s">
        <v>1387</v>
      </c>
      <c r="N168" s="4" t="s">
        <v>572</v>
      </c>
      <c r="O168" s="4" t="s">
        <v>484</v>
      </c>
      <c r="P168" s="4" t="s">
        <v>1388</v>
      </c>
      <c r="Q168" s="4" t="s">
        <v>1389</v>
      </c>
      <c r="R168" s="17">
        <v>46473.0</v>
      </c>
      <c r="S168" s="4" t="s">
        <v>1390</v>
      </c>
      <c r="T168" s="4">
        <v>91080.0</v>
      </c>
      <c r="AA168" s="4" t="s">
        <v>627</v>
      </c>
      <c r="AB168" s="4" t="s">
        <v>524</v>
      </c>
      <c r="AC168" s="4" t="s">
        <v>488</v>
      </c>
      <c r="AD168" s="4">
        <v>231920.0</v>
      </c>
      <c r="AE168" s="4">
        <v>0.0</v>
      </c>
      <c r="AF168" s="4">
        <v>0.0</v>
      </c>
      <c r="AG168" s="4">
        <v>23192.0</v>
      </c>
      <c r="AH168" s="23">
        <v>255112.0</v>
      </c>
      <c r="AJ168" s="4">
        <v>0.0</v>
      </c>
      <c r="AK168" s="4">
        <v>96053.0</v>
      </c>
      <c r="AL168" s="4">
        <v>0.0</v>
      </c>
      <c r="AM168" s="4">
        <v>0.0</v>
      </c>
      <c r="AN168" s="4">
        <v>9607.0</v>
      </c>
      <c r="AO168" s="4">
        <v>105660.0</v>
      </c>
      <c r="AP168" s="4">
        <v>0.0</v>
      </c>
      <c r="AQ168" s="4">
        <v>135867.0</v>
      </c>
      <c r="AR168" s="4" t="s">
        <v>525</v>
      </c>
      <c r="AS168" s="4" t="s">
        <v>490</v>
      </c>
      <c r="AT168" s="4">
        <v>0.0</v>
      </c>
      <c r="AU168" s="4" t="s">
        <v>491</v>
      </c>
      <c r="AV168" s="4">
        <v>0.0</v>
      </c>
      <c r="AW168" s="4" t="s">
        <v>508</v>
      </c>
      <c r="AX168" s="4">
        <v>0.0</v>
      </c>
      <c r="AY168" s="19"/>
      <c r="AZ168" s="4">
        <v>0.0</v>
      </c>
      <c r="BA168" s="19"/>
      <c r="BB168" s="4">
        <v>0.0</v>
      </c>
      <c r="BC168" s="19"/>
      <c r="BD168" s="4">
        <v>0.0</v>
      </c>
      <c r="BE168" s="19"/>
      <c r="BF168" s="4">
        <v>0.0</v>
      </c>
      <c r="BG168" s="19"/>
      <c r="BH168" s="4">
        <v>0.0</v>
      </c>
      <c r="BI168" s="4" t="s">
        <v>493</v>
      </c>
      <c r="BJ168" s="4">
        <v>0.0</v>
      </c>
      <c r="BK168" s="4" t="s">
        <v>494</v>
      </c>
      <c r="BL168" s="4">
        <v>0.0</v>
      </c>
      <c r="BM168" s="4" t="s">
        <v>495</v>
      </c>
      <c r="BN168" s="4">
        <v>0.0</v>
      </c>
      <c r="BO168" s="4" t="s">
        <v>496</v>
      </c>
      <c r="BP168" s="4">
        <v>0.0</v>
      </c>
      <c r="BQ168" s="19"/>
      <c r="BR168" s="4">
        <v>0.0</v>
      </c>
      <c r="BS168" s="19"/>
      <c r="BT168" s="4">
        <v>0.0</v>
      </c>
      <c r="BU168" s="19"/>
      <c r="BV168" s="4">
        <v>0.0</v>
      </c>
      <c r="BW168" s="19"/>
      <c r="BX168" s="4">
        <v>0.0</v>
      </c>
      <c r="BY168" s="4" t="s">
        <v>490</v>
      </c>
      <c r="BZ168" s="4">
        <v>0.0</v>
      </c>
      <c r="CA168" s="4" t="s">
        <v>491</v>
      </c>
      <c r="CB168" s="4">
        <v>0.0</v>
      </c>
      <c r="CC168" s="4" t="s">
        <v>508</v>
      </c>
      <c r="CD168" s="4">
        <v>0.0</v>
      </c>
      <c r="CE168" s="19"/>
      <c r="CF168" s="4">
        <v>0.0</v>
      </c>
      <c r="CG168" s="19"/>
      <c r="CH168" s="4">
        <v>0.0</v>
      </c>
      <c r="CI168" s="19"/>
      <c r="CJ168" s="4">
        <v>0.0</v>
      </c>
      <c r="CK168" s="19"/>
      <c r="CL168" s="4">
        <v>0.0</v>
      </c>
      <c r="CM168" s="19"/>
      <c r="CN168" s="4">
        <v>0.0</v>
      </c>
      <c r="CO168" s="4" t="s">
        <v>493</v>
      </c>
      <c r="CP168" s="4">
        <v>0.0</v>
      </c>
      <c r="CQ168" s="4" t="s">
        <v>494</v>
      </c>
      <c r="CR168" s="4">
        <v>0.0</v>
      </c>
      <c r="CS168" s="4" t="s">
        <v>495</v>
      </c>
      <c r="CT168" s="4">
        <v>0.0</v>
      </c>
      <c r="CU168" s="4" t="s">
        <v>496</v>
      </c>
      <c r="CV168" s="4">
        <v>0.0</v>
      </c>
      <c r="CW168" s="19"/>
      <c r="CX168" s="4">
        <v>0.0</v>
      </c>
      <c r="CY168" s="19"/>
      <c r="CZ168" s="4">
        <v>0.0</v>
      </c>
      <c r="DA168" s="19"/>
      <c r="DB168" s="4">
        <v>0.0</v>
      </c>
      <c r="DC168" s="19"/>
      <c r="DD168" s="4">
        <v>0.0</v>
      </c>
      <c r="DE168" s="4">
        <v>68400.0</v>
      </c>
      <c r="DF168" s="4">
        <v>163520.0</v>
      </c>
      <c r="DG168" s="4">
        <v>0.0</v>
      </c>
      <c r="DH168" s="4">
        <v>0.0</v>
      </c>
      <c r="DI168" s="4">
        <v>96053.0</v>
      </c>
      <c r="DJ168" s="19"/>
      <c r="DK168" s="19"/>
      <c r="DL168" s="19"/>
      <c r="DM168" s="19"/>
      <c r="DN168" s="19"/>
      <c r="DO168" s="19"/>
      <c r="DP168" s="19"/>
      <c r="DQ168" s="19"/>
      <c r="DR168" s="19"/>
      <c r="DS168" s="19"/>
      <c r="DT168" s="19"/>
      <c r="DU168" s="19"/>
      <c r="DV168" s="19"/>
      <c r="DW168" s="19"/>
      <c r="DX168" s="19"/>
      <c r="DY168" s="19"/>
      <c r="DZ168" s="19"/>
      <c r="EA168" s="19"/>
      <c r="EB168" s="19"/>
      <c r="EC168" s="19"/>
      <c r="ED168" s="19"/>
      <c r="EE168" s="19"/>
      <c r="EF168" s="19"/>
      <c r="EG168" s="19"/>
      <c r="EH168" s="19"/>
      <c r="EI168" s="19"/>
      <c r="EJ168" s="19"/>
      <c r="EK168" s="19"/>
      <c r="EL168" s="19"/>
      <c r="EM168" s="19"/>
      <c r="EN168" s="4" t="s">
        <v>79</v>
      </c>
      <c r="EO168" s="19"/>
      <c r="EP168" s="17"/>
      <c r="EQ168" s="23"/>
      <c r="ER168" s="23"/>
      <c r="ES168" s="19"/>
      <c r="ET168" s="19"/>
      <c r="EU168" s="19"/>
      <c r="EV168" s="19"/>
      <c r="EW168" s="19"/>
      <c r="EX168" s="19"/>
      <c r="EY168" s="19"/>
      <c r="EZ168" s="19"/>
      <c r="FA168" s="19"/>
      <c r="FB168" s="19"/>
    </row>
    <row r="169" ht="15.75" customHeight="1">
      <c r="A169" s="4" t="s">
        <v>1391</v>
      </c>
      <c r="B169" s="4" t="s">
        <v>515</v>
      </c>
      <c r="C169" s="4" t="s">
        <v>476</v>
      </c>
      <c r="D169" s="17">
        <v>46139.0</v>
      </c>
      <c r="E169" s="4" t="s">
        <v>1392</v>
      </c>
      <c r="F169" s="19"/>
      <c r="G169" s="4" t="s">
        <v>685</v>
      </c>
      <c r="H169" s="4" t="s">
        <v>1198</v>
      </c>
      <c r="I169" s="4"/>
      <c r="J169" s="4" t="s">
        <v>1393</v>
      </c>
      <c r="K169" s="4">
        <v>2000.0</v>
      </c>
      <c r="L169" s="4"/>
      <c r="M169" s="4" t="s">
        <v>1394</v>
      </c>
      <c r="N169" s="4" t="s">
        <v>1395</v>
      </c>
      <c r="O169" s="4"/>
      <c r="P169" s="4"/>
      <c r="Q169" s="4" t="s">
        <v>1396</v>
      </c>
      <c r="R169" s="17">
        <v>46504.0</v>
      </c>
      <c r="S169" s="4" t="s">
        <v>1397</v>
      </c>
      <c r="T169" s="4">
        <v>12758.0</v>
      </c>
      <c r="U169" s="4"/>
      <c r="V169" s="4"/>
      <c r="W169" s="17">
        <v>46139.0</v>
      </c>
      <c r="X169" s="4"/>
      <c r="Y169" s="17">
        <v>46139.0</v>
      </c>
      <c r="Z169" s="4" t="s">
        <v>524</v>
      </c>
      <c r="AA169" s="4" t="s">
        <v>487</v>
      </c>
      <c r="AB169" s="4" t="s">
        <v>486</v>
      </c>
      <c r="AC169" s="4" t="s">
        <v>488</v>
      </c>
      <c r="AD169" s="4">
        <v>85200.0</v>
      </c>
      <c r="AE169" s="4">
        <v>0.0</v>
      </c>
      <c r="AF169" s="4">
        <v>0.0</v>
      </c>
      <c r="AG169" s="4">
        <v>8520.0</v>
      </c>
      <c r="AH169" s="23">
        <v>93720.0</v>
      </c>
      <c r="AI169" s="4"/>
      <c r="AJ169" s="4">
        <v>0.0</v>
      </c>
      <c r="AK169" s="4">
        <v>22980.0</v>
      </c>
      <c r="AL169" s="4">
        <v>0.0</v>
      </c>
      <c r="AM169" s="4">
        <v>0.0</v>
      </c>
      <c r="AN169" s="4">
        <v>2298.0</v>
      </c>
      <c r="AO169" s="4">
        <v>25278.0</v>
      </c>
      <c r="AP169" s="4">
        <v>0.0</v>
      </c>
      <c r="AQ169" s="4">
        <v>62220.0</v>
      </c>
      <c r="AR169" s="4" t="s">
        <v>489</v>
      </c>
      <c r="AS169" s="4" t="s">
        <v>507</v>
      </c>
      <c r="AT169" s="4">
        <v>0.0</v>
      </c>
      <c r="AU169" s="4" t="s">
        <v>491</v>
      </c>
      <c r="AV169" s="4">
        <v>0.0</v>
      </c>
      <c r="AW169" s="4" t="s">
        <v>508</v>
      </c>
      <c r="AX169" s="4">
        <v>0.0</v>
      </c>
      <c r="AY169" s="19"/>
      <c r="AZ169" s="4">
        <v>0.0</v>
      </c>
      <c r="BA169" s="19"/>
      <c r="BB169" s="4">
        <v>0.0</v>
      </c>
      <c r="BC169" s="19"/>
      <c r="BD169" s="4">
        <v>0.0</v>
      </c>
      <c r="BE169" s="19"/>
      <c r="BF169" s="4">
        <v>0.0</v>
      </c>
      <c r="BG169" s="19"/>
      <c r="BH169" s="4">
        <v>0.0</v>
      </c>
      <c r="BI169" s="4" t="s">
        <v>493</v>
      </c>
      <c r="BJ169" s="4">
        <v>0.0</v>
      </c>
      <c r="BK169" s="4" t="s">
        <v>494</v>
      </c>
      <c r="BL169" s="4">
        <v>0.0</v>
      </c>
      <c r="BM169" s="4" t="s">
        <v>495</v>
      </c>
      <c r="BN169" s="4">
        <v>0.0</v>
      </c>
      <c r="BO169" s="4" t="s">
        <v>496</v>
      </c>
      <c r="BP169" s="4">
        <v>0.0</v>
      </c>
      <c r="BQ169" s="19"/>
      <c r="BR169" s="4">
        <v>0.0</v>
      </c>
      <c r="BS169" s="19"/>
      <c r="BT169" s="4">
        <v>0.0</v>
      </c>
      <c r="BU169" s="19"/>
      <c r="BV169" s="4">
        <v>0.0</v>
      </c>
      <c r="BW169" s="19"/>
      <c r="BX169" s="4">
        <v>0.0</v>
      </c>
      <c r="BY169" s="4" t="s">
        <v>507</v>
      </c>
      <c r="BZ169" s="4">
        <v>0.0</v>
      </c>
      <c r="CA169" s="4" t="s">
        <v>491</v>
      </c>
      <c r="CB169" s="4">
        <v>0.0</v>
      </c>
      <c r="CC169" s="4" t="s">
        <v>508</v>
      </c>
      <c r="CD169" s="4">
        <v>0.0</v>
      </c>
      <c r="CE169" s="19"/>
      <c r="CF169" s="4">
        <v>0.0</v>
      </c>
      <c r="CG169" s="19"/>
      <c r="CH169" s="4">
        <v>0.0</v>
      </c>
      <c r="CI169" s="19"/>
      <c r="CJ169" s="4">
        <v>0.0</v>
      </c>
      <c r="CK169" s="19"/>
      <c r="CL169" s="4">
        <v>0.0</v>
      </c>
      <c r="CM169" s="19"/>
      <c r="CN169" s="4">
        <v>0.0</v>
      </c>
      <c r="CO169" s="4" t="s">
        <v>493</v>
      </c>
      <c r="CP169" s="4">
        <v>0.0</v>
      </c>
      <c r="CQ169" s="4" t="s">
        <v>494</v>
      </c>
      <c r="CR169" s="4">
        <v>0.0</v>
      </c>
      <c r="CS169" s="4" t="s">
        <v>495</v>
      </c>
      <c r="CT169" s="4">
        <v>0.0</v>
      </c>
      <c r="CU169" s="4" t="s">
        <v>496</v>
      </c>
      <c r="CV169" s="4">
        <v>0.0</v>
      </c>
      <c r="CW169" s="19"/>
      <c r="CX169" s="4">
        <v>0.0</v>
      </c>
      <c r="CY169" s="19"/>
      <c r="CZ169" s="4">
        <v>0.0</v>
      </c>
      <c r="DA169" s="19"/>
      <c r="DB169" s="4">
        <v>0.0</v>
      </c>
      <c r="DC169" s="19"/>
      <c r="DD169" s="4">
        <v>0.0</v>
      </c>
      <c r="DE169" s="4">
        <v>42800.0</v>
      </c>
      <c r="DF169" s="4">
        <v>42400.0</v>
      </c>
      <c r="DG169" s="4">
        <v>0.0</v>
      </c>
      <c r="DH169" s="4">
        <v>0.0</v>
      </c>
      <c r="DI169" s="4">
        <v>22980.0</v>
      </c>
      <c r="DJ169" s="4" t="s">
        <v>1398</v>
      </c>
      <c r="DK169" s="4" t="s">
        <v>524</v>
      </c>
      <c r="DL169" s="4" t="s">
        <v>487</v>
      </c>
      <c r="DM169" s="4" t="s">
        <v>1399</v>
      </c>
      <c r="DN169" s="4" t="s">
        <v>1400</v>
      </c>
      <c r="DO169" s="4" t="s">
        <v>1401</v>
      </c>
      <c r="DP169" s="19"/>
      <c r="DQ169" s="19"/>
      <c r="DR169" s="19"/>
      <c r="DS169" s="19"/>
      <c r="DT169" s="19"/>
      <c r="DU169" s="19"/>
      <c r="DV169" s="19"/>
      <c r="DW169" s="19"/>
      <c r="DX169" s="19"/>
      <c r="DY169" s="19"/>
      <c r="DZ169" s="19"/>
      <c r="EA169" s="19"/>
      <c r="EB169" s="19"/>
      <c r="EC169" s="19"/>
      <c r="ED169" s="19"/>
      <c r="EE169" s="19"/>
      <c r="EF169" s="19"/>
      <c r="EG169" s="19"/>
      <c r="EH169" s="19"/>
      <c r="EI169" s="19"/>
      <c r="EJ169" s="19"/>
      <c r="EK169" s="19"/>
      <c r="EL169" s="19"/>
      <c r="EM169" s="19"/>
      <c r="EN169" s="4" t="s">
        <v>156</v>
      </c>
      <c r="EO169" s="4" t="s">
        <v>48</v>
      </c>
      <c r="EP169" s="17"/>
      <c r="EQ169" s="23">
        <v>93720.0</v>
      </c>
      <c r="ER169" s="23">
        <v>0.0</v>
      </c>
      <c r="ES169" s="4" t="s">
        <v>112</v>
      </c>
      <c r="ET169" s="19"/>
      <c r="EU169" s="4" t="s">
        <v>1402</v>
      </c>
      <c r="EV169" s="19"/>
      <c r="EW169" s="19"/>
      <c r="EX169" s="19"/>
      <c r="EY169" s="19"/>
      <c r="EZ169" s="19"/>
      <c r="FA169" s="19"/>
      <c r="FB169" s="19"/>
    </row>
    <row r="170" ht="15.75" customHeight="1">
      <c r="A170" s="4" t="s">
        <v>1403</v>
      </c>
      <c r="B170" s="4" t="s">
        <v>543</v>
      </c>
      <c r="C170" s="4" t="s">
        <v>476</v>
      </c>
      <c r="D170" s="17">
        <v>46129.0</v>
      </c>
      <c r="E170" s="4" t="s">
        <v>1404</v>
      </c>
      <c r="F170" s="4" t="s">
        <v>1136</v>
      </c>
      <c r="G170" s="4" t="s">
        <v>1052</v>
      </c>
      <c r="H170" s="4" t="s">
        <v>601</v>
      </c>
      <c r="I170" s="4" t="s">
        <v>841</v>
      </c>
      <c r="J170" s="4" t="s">
        <v>1405</v>
      </c>
      <c r="K170" s="4">
        <v>2000.0</v>
      </c>
      <c r="M170" s="4" t="s">
        <v>1406</v>
      </c>
      <c r="N170" s="4" t="s">
        <v>1407</v>
      </c>
      <c r="O170" s="4" t="s">
        <v>484</v>
      </c>
      <c r="P170" s="4" t="s">
        <v>1408</v>
      </c>
      <c r="Q170" s="4" t="s">
        <v>1409</v>
      </c>
      <c r="R170" s="78">
        <v>46314.0</v>
      </c>
      <c r="S170" s="4" t="s">
        <v>1410</v>
      </c>
      <c r="T170" s="4">
        <v>53196.0</v>
      </c>
      <c r="Z170" s="4" t="s">
        <v>692</v>
      </c>
      <c r="AA170" s="4" t="s">
        <v>487</v>
      </c>
      <c r="AB170" s="4" t="s">
        <v>692</v>
      </c>
      <c r="AC170" s="4" t="s">
        <v>499</v>
      </c>
      <c r="AD170" s="4">
        <v>90909.0</v>
      </c>
      <c r="AE170" s="4">
        <v>0.0</v>
      </c>
      <c r="AF170" s="4">
        <v>0.0</v>
      </c>
      <c r="AG170" s="4">
        <v>9091.0</v>
      </c>
      <c r="AH170" s="23">
        <v>100000.0</v>
      </c>
      <c r="AJ170" s="4">
        <v>0.0</v>
      </c>
      <c r="AK170" s="4">
        <v>0.0</v>
      </c>
      <c r="AL170" s="4">
        <v>0.0</v>
      </c>
      <c r="AM170" s="4">
        <v>0.0</v>
      </c>
      <c r="AN170" s="4">
        <v>0.0</v>
      </c>
      <c r="AO170" s="4">
        <v>0.0</v>
      </c>
      <c r="AP170" s="4">
        <v>0.0</v>
      </c>
      <c r="AQ170" s="4">
        <v>90909.0</v>
      </c>
      <c r="AR170" s="4" t="s">
        <v>1268</v>
      </c>
      <c r="AS170" s="4" t="s">
        <v>507</v>
      </c>
      <c r="AT170" s="4">
        <v>0.0</v>
      </c>
      <c r="AU170" s="4" t="s">
        <v>491</v>
      </c>
      <c r="AV170" s="4">
        <v>0.0</v>
      </c>
      <c r="AW170" s="4" t="s">
        <v>508</v>
      </c>
      <c r="AX170" s="4">
        <v>0.0</v>
      </c>
      <c r="AY170" s="19"/>
      <c r="AZ170" s="4">
        <v>0.0</v>
      </c>
      <c r="BA170" s="19"/>
      <c r="BB170" s="4">
        <v>0.0</v>
      </c>
      <c r="BC170" s="19"/>
      <c r="BD170" s="4">
        <v>0.0</v>
      </c>
      <c r="BE170" s="19"/>
      <c r="BF170" s="4">
        <v>0.0</v>
      </c>
      <c r="BG170" s="19"/>
      <c r="BH170" s="4">
        <v>0.0</v>
      </c>
      <c r="BI170" s="4" t="s">
        <v>493</v>
      </c>
      <c r="BJ170" s="4">
        <v>0.0</v>
      </c>
      <c r="BK170" s="4" t="s">
        <v>494</v>
      </c>
      <c r="BL170" s="4">
        <v>0.0</v>
      </c>
      <c r="BM170" s="4" t="s">
        <v>495</v>
      </c>
      <c r="BN170" s="4">
        <v>0.0</v>
      </c>
      <c r="BO170" s="4" t="s">
        <v>496</v>
      </c>
      <c r="BP170" s="4">
        <v>0.0</v>
      </c>
      <c r="BQ170" s="19"/>
      <c r="BR170" s="4">
        <v>0.0</v>
      </c>
      <c r="BS170" s="19"/>
      <c r="BT170" s="4">
        <v>0.0</v>
      </c>
      <c r="BU170" s="19"/>
      <c r="BV170" s="4">
        <v>0.0</v>
      </c>
      <c r="BW170" s="19"/>
      <c r="BX170" s="4">
        <v>0.0</v>
      </c>
      <c r="BY170" s="4" t="s">
        <v>507</v>
      </c>
      <c r="BZ170" s="4">
        <v>0.0</v>
      </c>
      <c r="CA170" s="4" t="s">
        <v>491</v>
      </c>
      <c r="CB170" s="4">
        <v>0.0</v>
      </c>
      <c r="CC170" s="4" t="s">
        <v>508</v>
      </c>
      <c r="CD170" s="4">
        <v>0.0</v>
      </c>
      <c r="CE170" s="19"/>
      <c r="CF170" s="4">
        <v>0.0</v>
      </c>
      <c r="CG170" s="19"/>
      <c r="CH170" s="4">
        <v>0.0</v>
      </c>
      <c r="CI170" s="19"/>
      <c r="CJ170" s="4">
        <v>0.0</v>
      </c>
      <c r="CK170" s="19"/>
      <c r="CL170" s="4">
        <v>0.0</v>
      </c>
      <c r="CM170" s="19"/>
      <c r="CN170" s="4">
        <v>0.0</v>
      </c>
      <c r="CO170" s="4" t="s">
        <v>493</v>
      </c>
      <c r="CP170" s="4">
        <v>0.0</v>
      </c>
      <c r="CQ170" s="4" t="s">
        <v>494</v>
      </c>
      <c r="CR170" s="4">
        <v>0.0</v>
      </c>
      <c r="CS170" s="4" t="s">
        <v>495</v>
      </c>
      <c r="CT170" s="4">
        <v>0.0</v>
      </c>
      <c r="CU170" s="4" t="s">
        <v>496</v>
      </c>
      <c r="CV170" s="4">
        <v>0.0</v>
      </c>
      <c r="CW170" s="19"/>
      <c r="CX170" s="4">
        <v>0.0</v>
      </c>
      <c r="CY170" s="19"/>
      <c r="CZ170" s="4">
        <v>0.0</v>
      </c>
      <c r="DA170" s="19"/>
      <c r="DB170" s="4">
        <v>0.0</v>
      </c>
      <c r="DC170" s="19"/>
      <c r="DD170" s="4">
        <v>0.0</v>
      </c>
      <c r="DE170" s="4">
        <v>0.0</v>
      </c>
      <c r="DF170" s="4">
        <v>90909.0</v>
      </c>
      <c r="DG170" s="4">
        <v>0.0</v>
      </c>
      <c r="DH170" s="4">
        <v>0.0</v>
      </c>
      <c r="DI170" s="4">
        <v>0.0</v>
      </c>
      <c r="DJ170" s="4" t="s">
        <v>1411</v>
      </c>
      <c r="DK170" s="4" t="s">
        <v>1260</v>
      </c>
      <c r="DL170" s="4" t="s">
        <v>487</v>
      </c>
      <c r="DM170" s="4" t="s">
        <v>1412</v>
      </c>
      <c r="DN170" s="4" t="s">
        <v>1413</v>
      </c>
      <c r="DO170" s="4" t="s">
        <v>1414</v>
      </c>
      <c r="DP170" s="19"/>
      <c r="DQ170" s="19"/>
      <c r="DR170" s="19"/>
      <c r="DS170" s="19"/>
      <c r="DT170" s="19"/>
      <c r="DU170" s="19"/>
      <c r="DV170" s="19"/>
      <c r="DW170" s="19"/>
      <c r="DX170" s="19"/>
      <c r="DY170" s="19"/>
      <c r="DZ170" s="19"/>
      <c r="EA170" s="19"/>
      <c r="EB170" s="19"/>
      <c r="EC170" s="19"/>
      <c r="ED170" s="19"/>
      <c r="EE170" s="19"/>
      <c r="EF170" s="19"/>
      <c r="EG170" s="19"/>
      <c r="EH170" s="19"/>
      <c r="EI170" s="19"/>
      <c r="EJ170" s="19"/>
      <c r="EK170" s="19"/>
      <c r="EL170" s="19"/>
      <c r="EM170" s="19"/>
      <c r="EN170" s="4" t="s">
        <v>79</v>
      </c>
      <c r="EO170" s="19"/>
      <c r="EP170" s="17"/>
      <c r="EQ170" s="23"/>
      <c r="ER170" s="23"/>
      <c r="ES170" s="19"/>
      <c r="ET170" s="19"/>
      <c r="EU170" s="19"/>
      <c r="EV170" s="19"/>
      <c r="EW170" s="19"/>
      <c r="EX170" s="19"/>
      <c r="EY170" s="19"/>
      <c r="EZ170" s="19"/>
      <c r="FA170" s="19"/>
      <c r="FB170" s="19"/>
    </row>
    <row r="171" ht="15.75" customHeight="1">
      <c r="A171" s="4" t="s">
        <v>1111</v>
      </c>
      <c r="B171" s="4" t="s">
        <v>1112</v>
      </c>
      <c r="C171" s="4" t="s">
        <v>476</v>
      </c>
      <c r="D171" s="17">
        <v>46121.0</v>
      </c>
      <c r="F171" s="19"/>
      <c r="G171" s="4" t="s">
        <v>1073</v>
      </c>
      <c r="H171" s="4" t="s">
        <v>1074</v>
      </c>
      <c r="I171" s="4" t="s">
        <v>1075</v>
      </c>
      <c r="J171" s="4" t="s">
        <v>1076</v>
      </c>
      <c r="K171" s="4">
        <v>1200.0</v>
      </c>
      <c r="L171" s="4" t="s">
        <v>821</v>
      </c>
      <c r="M171" s="4" t="s">
        <v>1077</v>
      </c>
      <c r="N171" s="4" t="s">
        <v>572</v>
      </c>
      <c r="O171" s="4" t="s">
        <v>1078</v>
      </c>
      <c r="Q171" s="4" t="s">
        <v>1079</v>
      </c>
      <c r="R171" s="17">
        <v>46853.0</v>
      </c>
      <c r="S171" s="4" t="s">
        <v>1113</v>
      </c>
      <c r="T171" s="4">
        <v>20171.0</v>
      </c>
      <c r="W171" s="17">
        <v>46115.0</v>
      </c>
      <c r="Y171" s="17">
        <v>46121.0</v>
      </c>
      <c r="Z171" s="4" t="s">
        <v>524</v>
      </c>
      <c r="AA171" s="4" t="s">
        <v>487</v>
      </c>
      <c r="AB171" s="4" t="s">
        <v>557</v>
      </c>
      <c r="AC171" s="4" t="s">
        <v>488</v>
      </c>
      <c r="AD171" s="4">
        <v>131136.0</v>
      </c>
      <c r="AE171" s="4">
        <v>0.0</v>
      </c>
      <c r="AF171" s="4">
        <v>0.0</v>
      </c>
      <c r="AG171" s="4">
        <v>13114.0</v>
      </c>
      <c r="AH171" s="23">
        <v>144250.0</v>
      </c>
      <c r="AJ171" s="4">
        <v>0.0</v>
      </c>
      <c r="AK171" s="4">
        <v>0.0</v>
      </c>
      <c r="AL171" s="4">
        <v>0.0</v>
      </c>
      <c r="AM171" s="4">
        <v>0.0</v>
      </c>
      <c r="AN171" s="4">
        <v>0.0</v>
      </c>
      <c r="AO171" s="4">
        <v>0.0</v>
      </c>
      <c r="AP171" s="4">
        <v>0.0</v>
      </c>
      <c r="AQ171" s="4">
        <v>131136.0</v>
      </c>
      <c r="AR171" s="4" t="s">
        <v>525</v>
      </c>
      <c r="AS171" s="4" t="s">
        <v>836</v>
      </c>
      <c r="AT171" s="4">
        <v>0.0</v>
      </c>
      <c r="AU171" s="4" t="s">
        <v>491</v>
      </c>
      <c r="AV171" s="4">
        <v>0.0</v>
      </c>
      <c r="AW171" s="4" t="s">
        <v>492</v>
      </c>
      <c r="AX171" s="4">
        <v>0.0</v>
      </c>
      <c r="AY171" s="19"/>
      <c r="AZ171" s="4">
        <v>0.0</v>
      </c>
      <c r="BA171" s="19"/>
      <c r="BB171" s="4">
        <v>0.0</v>
      </c>
      <c r="BC171" s="19"/>
      <c r="BD171" s="4">
        <v>0.0</v>
      </c>
      <c r="BE171" s="19"/>
      <c r="BF171" s="4">
        <v>0.0</v>
      </c>
      <c r="BG171" s="19"/>
      <c r="BH171" s="4">
        <v>0.0</v>
      </c>
      <c r="BI171" s="4" t="s">
        <v>493</v>
      </c>
      <c r="BJ171" s="4">
        <v>0.0</v>
      </c>
      <c r="BK171" s="4" t="s">
        <v>494</v>
      </c>
      <c r="BL171" s="4">
        <v>0.0</v>
      </c>
      <c r="BM171" s="4" t="s">
        <v>495</v>
      </c>
      <c r="BN171" s="4">
        <v>0.0</v>
      </c>
      <c r="BO171" s="4" t="s">
        <v>496</v>
      </c>
      <c r="BP171" s="4">
        <v>0.0</v>
      </c>
      <c r="BQ171" s="19"/>
      <c r="BR171" s="4">
        <v>0.0</v>
      </c>
      <c r="BS171" s="19"/>
      <c r="BT171" s="4">
        <v>0.0</v>
      </c>
      <c r="BU171" s="19"/>
      <c r="BV171" s="4">
        <v>0.0</v>
      </c>
      <c r="BW171" s="19"/>
      <c r="BX171" s="4">
        <v>0.0</v>
      </c>
      <c r="BY171" s="4" t="s">
        <v>836</v>
      </c>
      <c r="BZ171" s="4">
        <v>0.0</v>
      </c>
      <c r="CA171" s="4" t="s">
        <v>491</v>
      </c>
      <c r="CB171" s="4">
        <v>0.0</v>
      </c>
      <c r="CC171" s="4" t="s">
        <v>492</v>
      </c>
      <c r="CD171" s="4">
        <v>0.0</v>
      </c>
      <c r="CE171" s="19"/>
      <c r="CF171" s="4">
        <v>0.0</v>
      </c>
      <c r="CG171" s="19"/>
      <c r="CH171" s="4">
        <v>0.0</v>
      </c>
      <c r="CI171" s="19"/>
      <c r="CJ171" s="4">
        <v>0.0</v>
      </c>
      <c r="CK171" s="19"/>
      <c r="CL171" s="4">
        <v>0.0</v>
      </c>
      <c r="CM171" s="19"/>
      <c r="CN171" s="4">
        <v>0.0</v>
      </c>
      <c r="CO171" s="4" t="s">
        <v>493</v>
      </c>
      <c r="CP171" s="4">
        <v>0.0</v>
      </c>
      <c r="CQ171" s="4" t="s">
        <v>494</v>
      </c>
      <c r="CR171" s="4">
        <v>0.0</v>
      </c>
      <c r="CS171" s="4" t="s">
        <v>495</v>
      </c>
      <c r="CT171" s="4">
        <v>0.0</v>
      </c>
      <c r="CU171" s="4" t="s">
        <v>496</v>
      </c>
      <c r="CV171" s="4">
        <v>0.0</v>
      </c>
      <c r="CW171" s="19"/>
      <c r="CX171" s="4">
        <v>0.0</v>
      </c>
      <c r="CY171" s="19"/>
      <c r="CZ171" s="4">
        <v>0.0</v>
      </c>
      <c r="DA171" s="19"/>
      <c r="DB171" s="4">
        <v>0.0</v>
      </c>
      <c r="DC171" s="19"/>
      <c r="DD171" s="4">
        <v>0.0</v>
      </c>
      <c r="DE171" s="4">
        <v>131136.0</v>
      </c>
      <c r="DF171" s="4">
        <v>0.0</v>
      </c>
      <c r="DG171" s="4">
        <v>0.0</v>
      </c>
      <c r="DH171" s="4">
        <v>0.0</v>
      </c>
      <c r="DI171" s="4">
        <v>0.0</v>
      </c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4" t="s">
        <v>79</v>
      </c>
      <c r="EO171" s="19"/>
      <c r="EP171" s="17"/>
      <c r="EQ171" s="23"/>
      <c r="ER171" s="23"/>
      <c r="ES171" s="19"/>
      <c r="ET171" s="19"/>
      <c r="EU171" s="19"/>
      <c r="EV171" s="19"/>
      <c r="EW171" s="19"/>
      <c r="EX171" s="19"/>
      <c r="EY171" s="19"/>
      <c r="EZ171" s="19"/>
      <c r="FA171" s="19"/>
      <c r="FB171" s="19"/>
    </row>
    <row r="172" ht="15.75" customHeight="1">
      <c r="A172" s="4" t="s">
        <v>1415</v>
      </c>
      <c r="B172" s="4" t="s">
        <v>1384</v>
      </c>
      <c r="C172" s="4" t="s">
        <v>476</v>
      </c>
      <c r="D172" s="17">
        <v>46121.0</v>
      </c>
      <c r="F172" s="19"/>
      <c r="G172" s="4" t="s">
        <v>940</v>
      </c>
      <c r="H172" s="4" t="s">
        <v>479</v>
      </c>
      <c r="I172" s="4" t="s">
        <v>480</v>
      </c>
      <c r="J172" s="4" t="s">
        <v>941</v>
      </c>
      <c r="K172" s="4">
        <v>2000.0</v>
      </c>
      <c r="L172" s="4" t="s">
        <v>482</v>
      </c>
      <c r="M172" s="4" t="s">
        <v>483</v>
      </c>
      <c r="N172" s="4" t="s">
        <v>942</v>
      </c>
      <c r="O172" s="4" t="s">
        <v>484</v>
      </c>
      <c r="P172" s="4" t="s">
        <v>485</v>
      </c>
      <c r="Q172" s="4" t="s">
        <v>943</v>
      </c>
      <c r="R172" s="17">
        <v>46201.0</v>
      </c>
      <c r="S172" s="4" t="s">
        <v>1416</v>
      </c>
      <c r="T172" s="4">
        <v>70661.0</v>
      </c>
      <c r="AA172" s="4" t="s">
        <v>627</v>
      </c>
      <c r="AB172" s="4" t="s">
        <v>486</v>
      </c>
      <c r="AC172" s="4" t="s">
        <v>488</v>
      </c>
      <c r="AD172" s="4">
        <v>25136.0</v>
      </c>
      <c r="AE172" s="4">
        <v>0.0</v>
      </c>
      <c r="AF172" s="4">
        <v>0.0</v>
      </c>
      <c r="AG172" s="4">
        <v>2514.0</v>
      </c>
      <c r="AH172" s="23">
        <v>27650.0</v>
      </c>
      <c r="AJ172" s="4">
        <v>0.0</v>
      </c>
      <c r="AK172" s="4">
        <v>25136.0</v>
      </c>
      <c r="AL172" s="4">
        <v>0.0</v>
      </c>
      <c r="AM172" s="4">
        <v>0.0</v>
      </c>
      <c r="AN172" s="4">
        <v>2514.0</v>
      </c>
      <c r="AO172" s="4">
        <v>27650.0</v>
      </c>
      <c r="AP172" s="4">
        <v>0.0</v>
      </c>
      <c r="AQ172" s="4">
        <v>0.0</v>
      </c>
      <c r="AR172" s="4" t="s">
        <v>489</v>
      </c>
      <c r="AS172" s="4" t="s">
        <v>507</v>
      </c>
      <c r="AT172" s="4">
        <v>0.0</v>
      </c>
      <c r="AU172" s="4" t="s">
        <v>491</v>
      </c>
      <c r="AV172" s="4">
        <v>0.0</v>
      </c>
      <c r="AW172" s="4" t="s">
        <v>508</v>
      </c>
      <c r="AX172" s="4">
        <v>0.0</v>
      </c>
      <c r="AY172" s="19"/>
      <c r="AZ172" s="4">
        <v>0.0</v>
      </c>
      <c r="BA172" s="19"/>
      <c r="BB172" s="4">
        <v>0.0</v>
      </c>
      <c r="BC172" s="19"/>
      <c r="BD172" s="4">
        <v>0.0</v>
      </c>
      <c r="BE172" s="19"/>
      <c r="BF172" s="4">
        <v>0.0</v>
      </c>
      <c r="BG172" s="19"/>
      <c r="BH172" s="4">
        <v>0.0</v>
      </c>
      <c r="BI172" s="4" t="s">
        <v>493</v>
      </c>
      <c r="BJ172" s="4">
        <v>0.0</v>
      </c>
      <c r="BK172" s="4" t="s">
        <v>494</v>
      </c>
      <c r="BL172" s="4">
        <v>0.0</v>
      </c>
      <c r="BM172" s="4" t="s">
        <v>495</v>
      </c>
      <c r="BN172" s="4">
        <v>0.0</v>
      </c>
      <c r="BO172" s="4" t="s">
        <v>496</v>
      </c>
      <c r="BP172" s="4">
        <v>0.0</v>
      </c>
      <c r="BQ172" s="19"/>
      <c r="BR172" s="4">
        <v>0.0</v>
      </c>
      <c r="BS172" s="19"/>
      <c r="BT172" s="4">
        <v>0.0</v>
      </c>
      <c r="BU172" s="19"/>
      <c r="BV172" s="4">
        <v>0.0</v>
      </c>
      <c r="BW172" s="19"/>
      <c r="BX172" s="4">
        <v>0.0</v>
      </c>
      <c r="BY172" s="4" t="s">
        <v>507</v>
      </c>
      <c r="BZ172" s="4">
        <v>0.0</v>
      </c>
      <c r="CA172" s="4" t="s">
        <v>491</v>
      </c>
      <c r="CB172" s="4">
        <v>0.0</v>
      </c>
      <c r="CC172" s="4" t="s">
        <v>508</v>
      </c>
      <c r="CD172" s="4">
        <v>0.0</v>
      </c>
      <c r="CE172" s="19"/>
      <c r="CF172" s="4">
        <v>0.0</v>
      </c>
      <c r="CG172" s="19"/>
      <c r="CH172" s="4">
        <v>0.0</v>
      </c>
      <c r="CI172" s="19"/>
      <c r="CJ172" s="4">
        <v>0.0</v>
      </c>
      <c r="CK172" s="19"/>
      <c r="CL172" s="4">
        <v>0.0</v>
      </c>
      <c r="CM172" s="19"/>
      <c r="CN172" s="4">
        <v>0.0</v>
      </c>
      <c r="CO172" s="4" t="s">
        <v>493</v>
      </c>
      <c r="CP172" s="4">
        <v>0.0</v>
      </c>
      <c r="CQ172" s="4" t="s">
        <v>494</v>
      </c>
      <c r="CR172" s="4">
        <v>0.0</v>
      </c>
      <c r="CS172" s="4" t="s">
        <v>495</v>
      </c>
      <c r="CT172" s="4">
        <v>0.0</v>
      </c>
      <c r="CU172" s="4" t="s">
        <v>496</v>
      </c>
      <c r="CV172" s="4">
        <v>0.0</v>
      </c>
      <c r="CW172" s="19"/>
      <c r="CX172" s="4">
        <v>0.0</v>
      </c>
      <c r="CY172" s="19"/>
      <c r="CZ172" s="4">
        <v>0.0</v>
      </c>
      <c r="DA172" s="19"/>
      <c r="DB172" s="4">
        <v>0.0</v>
      </c>
      <c r="DC172" s="19"/>
      <c r="DD172" s="4">
        <v>0.0</v>
      </c>
      <c r="DE172" s="4">
        <v>25136.0</v>
      </c>
      <c r="DF172" s="4">
        <v>0.0</v>
      </c>
      <c r="DG172" s="4">
        <v>0.0</v>
      </c>
      <c r="DH172" s="4">
        <v>25136.0</v>
      </c>
      <c r="DI172" s="4">
        <v>0.0</v>
      </c>
      <c r="DJ172" s="19"/>
      <c r="DK172" s="19"/>
      <c r="DL172" s="19"/>
      <c r="DM172" s="19"/>
      <c r="DN172" s="19"/>
      <c r="DO172" s="19"/>
      <c r="DP172" s="19"/>
      <c r="DQ172" s="19"/>
      <c r="DR172" s="19"/>
      <c r="DS172" s="19"/>
      <c r="DT172" s="19"/>
      <c r="DU172" s="19"/>
      <c r="DV172" s="19"/>
      <c r="DW172" s="19"/>
      <c r="DX172" s="19"/>
      <c r="DY172" s="19"/>
      <c r="DZ172" s="19"/>
      <c r="EA172" s="19"/>
      <c r="EB172" s="19"/>
      <c r="EC172" s="19"/>
      <c r="ED172" s="19"/>
      <c r="EE172" s="19"/>
      <c r="EF172" s="19"/>
      <c r="EG172" s="19"/>
      <c r="EH172" s="19"/>
      <c r="EI172" s="19"/>
      <c r="EJ172" s="19"/>
      <c r="EK172" s="19"/>
      <c r="EL172" s="19"/>
      <c r="EM172" s="19"/>
      <c r="EN172" s="4" t="s">
        <v>79</v>
      </c>
      <c r="EO172" s="19"/>
      <c r="EP172" s="17"/>
      <c r="EQ172" s="23"/>
      <c r="ER172" s="23"/>
      <c r="ES172" s="19"/>
      <c r="ET172" s="19"/>
      <c r="EU172" s="19"/>
      <c r="EV172" s="19"/>
      <c r="EW172" s="19"/>
      <c r="EX172" s="19"/>
      <c r="EY172" s="19"/>
      <c r="EZ172" s="19"/>
      <c r="FA172" s="19"/>
      <c r="FB172" s="19"/>
    </row>
    <row r="173" ht="15.75" customHeight="1">
      <c r="A173" s="4" t="s">
        <v>1417</v>
      </c>
      <c r="B173" s="4" t="s">
        <v>928</v>
      </c>
      <c r="C173" s="4" t="s">
        <v>476</v>
      </c>
      <c r="D173" s="17">
        <v>46129.0</v>
      </c>
      <c r="F173" s="19"/>
      <c r="G173" s="4" t="s">
        <v>1230</v>
      </c>
      <c r="H173" s="4" t="s">
        <v>1231</v>
      </c>
      <c r="I173" s="4" t="s">
        <v>841</v>
      </c>
      <c r="J173" s="4" t="s">
        <v>1418</v>
      </c>
      <c r="K173" s="4">
        <v>3000.0</v>
      </c>
      <c r="M173" s="4" t="s">
        <v>1419</v>
      </c>
      <c r="N173" s="4" t="s">
        <v>572</v>
      </c>
      <c r="O173" s="4" t="s">
        <v>484</v>
      </c>
      <c r="P173" s="4" t="s">
        <v>1408</v>
      </c>
      <c r="Q173" s="4" t="s">
        <v>1420</v>
      </c>
      <c r="R173" s="78">
        <v>46370.0</v>
      </c>
      <c r="S173" s="4" t="s">
        <v>1421</v>
      </c>
      <c r="T173" s="4">
        <v>7310.0</v>
      </c>
      <c r="U173" s="4" t="s">
        <v>1237</v>
      </c>
      <c r="Z173" s="4" t="s">
        <v>692</v>
      </c>
      <c r="AA173" s="4" t="s">
        <v>1369</v>
      </c>
      <c r="AB173" s="4" t="s">
        <v>692</v>
      </c>
      <c r="AC173" s="4" t="s">
        <v>499</v>
      </c>
      <c r="AD173" s="4">
        <v>282400.0</v>
      </c>
      <c r="AE173" s="4">
        <v>0.0</v>
      </c>
      <c r="AF173" s="4">
        <v>0.0</v>
      </c>
      <c r="AG173" s="4">
        <v>28240.0</v>
      </c>
      <c r="AH173" s="23">
        <v>310640.0</v>
      </c>
      <c r="AJ173" s="4">
        <v>0.0</v>
      </c>
      <c r="AK173" s="4">
        <v>282400.0</v>
      </c>
      <c r="AL173" s="4">
        <v>0.0</v>
      </c>
      <c r="AM173" s="4">
        <v>0.0</v>
      </c>
      <c r="AN173" s="4">
        <v>28240.0</v>
      </c>
      <c r="AO173" s="4">
        <v>310640.0</v>
      </c>
      <c r="AP173" s="4">
        <v>0.0</v>
      </c>
      <c r="AQ173" s="4">
        <v>0.0</v>
      </c>
      <c r="AR173" s="4" t="s">
        <v>1422</v>
      </c>
      <c r="AS173" s="4" t="s">
        <v>507</v>
      </c>
      <c r="AT173" s="4">
        <v>0.0</v>
      </c>
      <c r="AU173" s="4" t="s">
        <v>491</v>
      </c>
      <c r="AV173" s="4">
        <v>0.0</v>
      </c>
      <c r="AW173" s="4" t="s">
        <v>508</v>
      </c>
      <c r="AX173" s="4">
        <v>0.0</v>
      </c>
      <c r="AY173" s="19"/>
      <c r="AZ173" s="4">
        <v>0.0</v>
      </c>
      <c r="BA173" s="19"/>
      <c r="BB173" s="4">
        <v>0.0</v>
      </c>
      <c r="BC173" s="19"/>
      <c r="BD173" s="4">
        <v>0.0</v>
      </c>
      <c r="BE173" s="19"/>
      <c r="BF173" s="4">
        <v>0.0</v>
      </c>
      <c r="BG173" s="19"/>
      <c r="BH173" s="4">
        <v>0.0</v>
      </c>
      <c r="BI173" s="4" t="s">
        <v>493</v>
      </c>
      <c r="BJ173" s="4">
        <v>0.0</v>
      </c>
      <c r="BK173" s="4" t="s">
        <v>494</v>
      </c>
      <c r="BL173" s="4">
        <v>0.0</v>
      </c>
      <c r="BM173" s="4" t="s">
        <v>495</v>
      </c>
      <c r="BN173" s="4">
        <v>0.0</v>
      </c>
      <c r="BO173" s="4" t="s">
        <v>1305</v>
      </c>
      <c r="BP173" s="4">
        <v>0.0</v>
      </c>
      <c r="BQ173" s="19"/>
      <c r="BR173" s="4">
        <v>0.0</v>
      </c>
      <c r="BS173" s="19"/>
      <c r="BT173" s="4">
        <v>0.0</v>
      </c>
      <c r="BU173" s="19"/>
      <c r="BV173" s="4">
        <v>0.0</v>
      </c>
      <c r="BW173" s="19"/>
      <c r="BX173" s="4">
        <v>0.0</v>
      </c>
      <c r="BY173" s="4" t="s">
        <v>507</v>
      </c>
      <c r="BZ173" s="4">
        <v>0.0</v>
      </c>
      <c r="CA173" s="4" t="s">
        <v>491</v>
      </c>
      <c r="CB173" s="4">
        <v>0.0</v>
      </c>
      <c r="CC173" s="4" t="s">
        <v>508</v>
      </c>
      <c r="CD173" s="4">
        <v>0.0</v>
      </c>
      <c r="CE173" s="19"/>
      <c r="CF173" s="4">
        <v>0.0</v>
      </c>
      <c r="CG173" s="19"/>
      <c r="CH173" s="4">
        <v>0.0</v>
      </c>
      <c r="CI173" s="19"/>
      <c r="CJ173" s="4">
        <v>0.0</v>
      </c>
      <c r="CK173" s="19"/>
      <c r="CL173" s="4">
        <v>0.0</v>
      </c>
      <c r="CM173" s="19"/>
      <c r="CN173" s="4">
        <v>0.0</v>
      </c>
      <c r="CO173" s="4" t="s">
        <v>493</v>
      </c>
      <c r="CP173" s="4">
        <v>0.0</v>
      </c>
      <c r="CQ173" s="4" t="s">
        <v>494</v>
      </c>
      <c r="CR173" s="4">
        <v>0.0</v>
      </c>
      <c r="CS173" s="4" t="s">
        <v>495</v>
      </c>
      <c r="CT173" s="4">
        <v>0.0</v>
      </c>
      <c r="CU173" s="4" t="s">
        <v>1305</v>
      </c>
      <c r="CV173" s="4">
        <v>0.0</v>
      </c>
      <c r="CW173" s="19"/>
      <c r="CX173" s="4">
        <v>0.0</v>
      </c>
      <c r="CY173" s="19"/>
      <c r="CZ173" s="4">
        <v>0.0</v>
      </c>
      <c r="DA173" s="19"/>
      <c r="DB173" s="4">
        <v>0.0</v>
      </c>
      <c r="DC173" s="19"/>
      <c r="DD173" s="4">
        <v>0.0</v>
      </c>
      <c r="DE173" s="4">
        <v>282400.0</v>
      </c>
      <c r="DF173" s="4">
        <v>0.0</v>
      </c>
      <c r="DG173" s="4">
        <v>0.0</v>
      </c>
      <c r="DH173" s="4">
        <v>282400.0</v>
      </c>
      <c r="DI173" s="4">
        <v>0.0</v>
      </c>
      <c r="DJ173" s="19"/>
      <c r="DK173" s="19"/>
      <c r="DL173" s="19"/>
      <c r="DM173" s="19"/>
      <c r="DN173" s="19"/>
      <c r="DO173" s="19"/>
      <c r="DP173" s="19"/>
      <c r="DQ173" s="19"/>
      <c r="DR173" s="19"/>
      <c r="DS173" s="19"/>
      <c r="DT173" s="19"/>
      <c r="DU173" s="19"/>
      <c r="DV173" s="19"/>
      <c r="DW173" s="19"/>
      <c r="DX173" s="19"/>
      <c r="DY173" s="19"/>
      <c r="DZ173" s="19"/>
      <c r="EA173" s="19"/>
      <c r="EB173" s="19"/>
      <c r="EC173" s="19"/>
      <c r="ED173" s="19"/>
      <c r="EE173" s="19"/>
      <c r="EF173" s="19"/>
      <c r="EG173" s="19"/>
      <c r="EH173" s="19"/>
      <c r="EI173" s="19"/>
      <c r="EJ173" s="19"/>
      <c r="EK173" s="19"/>
      <c r="EL173" s="19"/>
      <c r="EM173" s="19"/>
      <c r="EN173" s="4" t="s">
        <v>79</v>
      </c>
      <c r="EO173" s="19"/>
      <c r="EP173" s="17"/>
      <c r="EQ173" s="23"/>
      <c r="ER173" s="23"/>
      <c r="ES173" s="19"/>
      <c r="ET173" s="19"/>
      <c r="EU173" s="19"/>
      <c r="EV173" s="19"/>
      <c r="EW173" s="19"/>
      <c r="EX173" s="19"/>
      <c r="EY173" s="19"/>
      <c r="EZ173" s="19"/>
      <c r="FA173" s="19"/>
      <c r="FB173" s="19"/>
    </row>
    <row r="174" ht="15.75" customHeight="1">
      <c r="A174" s="19"/>
      <c r="F174" s="19"/>
      <c r="AH174" s="23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  <c r="CD174" s="19"/>
      <c r="CE174" s="19"/>
      <c r="CF174" s="19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19"/>
      <c r="CW174" s="19"/>
      <c r="CX174" s="19"/>
      <c r="CY174" s="19"/>
      <c r="CZ174" s="19"/>
      <c r="DA174" s="19"/>
      <c r="DB174" s="19"/>
      <c r="DC174" s="19"/>
      <c r="DD174" s="19"/>
      <c r="DE174" s="19"/>
      <c r="DF174" s="19"/>
      <c r="DG174" s="19"/>
      <c r="DH174" s="19"/>
      <c r="DI174" s="19"/>
      <c r="DJ174" s="19"/>
      <c r="DK174" s="19"/>
      <c r="DL174" s="19"/>
      <c r="DM174" s="19"/>
      <c r="DN174" s="19"/>
      <c r="DO174" s="19"/>
      <c r="DP174" s="19"/>
      <c r="DQ174" s="19"/>
      <c r="DR174" s="19"/>
      <c r="DS174" s="19"/>
      <c r="DT174" s="19"/>
      <c r="DU174" s="19"/>
      <c r="DV174" s="19"/>
      <c r="DW174" s="19"/>
      <c r="DX174" s="19"/>
      <c r="DY174" s="19"/>
      <c r="DZ174" s="19"/>
      <c r="EA174" s="19"/>
      <c r="EB174" s="19"/>
      <c r="EC174" s="19"/>
      <c r="ED174" s="19"/>
      <c r="EE174" s="19"/>
      <c r="EF174" s="19"/>
      <c r="EG174" s="19"/>
      <c r="EH174" s="19"/>
      <c r="EI174" s="19"/>
      <c r="EJ174" s="19"/>
      <c r="EK174" s="19"/>
      <c r="EL174" s="19"/>
      <c r="EM174" s="19"/>
      <c r="EN174" s="19"/>
      <c r="EO174" s="19"/>
      <c r="EP174" s="17"/>
      <c r="EQ174" s="23"/>
      <c r="ER174" s="23" t="str">
        <f t="shared" ref="ER174:ER606" si="7">IF(AND($AH174&lt;&gt;"",$EQ174&lt;&gt;""),$AH174-$EQ174,"")</f>
        <v/>
      </c>
      <c r="ES174" s="19"/>
      <c r="ET174" s="19" t="str">
        <f t="shared" ref="ET174:ET606" si="8">IF($ES174="入金済","",IF($EP174="","",IF(TODAY()&gt;$EP174,"期限超過",IF(TODAY()&gt;=$EP174-3,"期限間近",""))))</f>
        <v/>
      </c>
      <c r="EU174" s="19"/>
      <c r="EV174" s="19"/>
      <c r="EW174" s="19"/>
      <c r="EX174" s="19"/>
      <c r="EY174" s="19"/>
      <c r="EZ174" s="19"/>
      <c r="FA174" s="19"/>
      <c r="FB174" s="19"/>
    </row>
    <row r="175" ht="15.75" customHeight="1">
      <c r="A175" s="19"/>
      <c r="F175" s="19"/>
      <c r="AH175" s="23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  <c r="CD175" s="19"/>
      <c r="CE175" s="19"/>
      <c r="CF175" s="19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19"/>
      <c r="CW175" s="19"/>
      <c r="CX175" s="19"/>
      <c r="CY175" s="19"/>
      <c r="CZ175" s="19"/>
      <c r="DA175" s="19"/>
      <c r="DB175" s="19"/>
      <c r="DC175" s="19"/>
      <c r="DD175" s="19"/>
      <c r="DE175" s="19"/>
      <c r="DF175" s="19"/>
      <c r="DG175" s="19"/>
      <c r="DH175" s="19"/>
      <c r="DI175" s="19"/>
      <c r="DJ175" s="19"/>
      <c r="DK175" s="19"/>
      <c r="DL175" s="19"/>
      <c r="DM175" s="19"/>
      <c r="DN175" s="19"/>
      <c r="DO175" s="19"/>
      <c r="DP175" s="19"/>
      <c r="DQ175" s="19"/>
      <c r="DR175" s="19"/>
      <c r="DS175" s="19"/>
      <c r="DT175" s="19"/>
      <c r="DU175" s="19"/>
      <c r="DV175" s="19"/>
      <c r="DW175" s="19"/>
      <c r="DX175" s="19"/>
      <c r="DY175" s="19"/>
      <c r="DZ175" s="19"/>
      <c r="EA175" s="19"/>
      <c r="EB175" s="19"/>
      <c r="EC175" s="19"/>
      <c r="ED175" s="19"/>
      <c r="EE175" s="19"/>
      <c r="EF175" s="19"/>
      <c r="EG175" s="19"/>
      <c r="EH175" s="19"/>
      <c r="EI175" s="19"/>
      <c r="EJ175" s="19"/>
      <c r="EK175" s="19"/>
      <c r="EL175" s="19"/>
      <c r="EM175" s="19"/>
      <c r="EN175" s="19"/>
      <c r="EO175" s="19"/>
      <c r="EP175" s="17"/>
      <c r="EQ175" s="23"/>
      <c r="ER175" s="23" t="str">
        <f t="shared" si="7"/>
        <v/>
      </c>
      <c r="ES175" s="19"/>
      <c r="ET175" s="19" t="str">
        <f t="shared" si="8"/>
        <v/>
      </c>
      <c r="EU175" s="19"/>
      <c r="EV175" s="19"/>
      <c r="EW175" s="19"/>
      <c r="EX175" s="19"/>
      <c r="EY175" s="19"/>
      <c r="EZ175" s="19"/>
      <c r="FA175" s="19"/>
      <c r="FB175" s="19"/>
    </row>
    <row r="176" ht="15.75" customHeight="1">
      <c r="A176" s="19"/>
      <c r="F176" s="19"/>
      <c r="AH176" s="23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  <c r="CD176" s="19"/>
      <c r="CE176" s="19"/>
      <c r="CF176" s="19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19"/>
      <c r="CW176" s="19"/>
      <c r="CX176" s="19"/>
      <c r="CY176" s="19"/>
      <c r="CZ176" s="19"/>
      <c r="DA176" s="19"/>
      <c r="DB176" s="19"/>
      <c r="DC176" s="19"/>
      <c r="DD176" s="19"/>
      <c r="DE176" s="19"/>
      <c r="DF176" s="19"/>
      <c r="DG176" s="19"/>
      <c r="DH176" s="19"/>
      <c r="DI176" s="19"/>
      <c r="DJ176" s="19"/>
      <c r="DK176" s="19"/>
      <c r="DL176" s="19"/>
      <c r="DM176" s="19"/>
      <c r="DN176" s="19"/>
      <c r="DO176" s="19"/>
      <c r="DP176" s="19"/>
      <c r="DQ176" s="19"/>
      <c r="DR176" s="19"/>
      <c r="DS176" s="19"/>
      <c r="DT176" s="19"/>
      <c r="DU176" s="19"/>
      <c r="DV176" s="19"/>
      <c r="DW176" s="19"/>
      <c r="DX176" s="19"/>
      <c r="DY176" s="19"/>
      <c r="DZ176" s="19"/>
      <c r="EA176" s="19"/>
      <c r="EB176" s="19"/>
      <c r="EC176" s="19"/>
      <c r="ED176" s="19"/>
      <c r="EE176" s="19"/>
      <c r="EF176" s="19"/>
      <c r="EG176" s="19"/>
      <c r="EH176" s="19"/>
      <c r="EI176" s="19"/>
      <c r="EJ176" s="19"/>
      <c r="EK176" s="19"/>
      <c r="EL176" s="19"/>
      <c r="EM176" s="19"/>
      <c r="EN176" s="19"/>
      <c r="EO176" s="19"/>
      <c r="EP176" s="17"/>
      <c r="EQ176" s="23"/>
      <c r="ER176" s="23" t="str">
        <f t="shared" si="7"/>
        <v/>
      </c>
      <c r="ES176" s="19"/>
      <c r="ET176" s="19" t="str">
        <f t="shared" si="8"/>
        <v/>
      </c>
      <c r="EU176" s="19"/>
      <c r="EV176" s="19"/>
      <c r="EW176" s="19"/>
      <c r="EX176" s="19"/>
      <c r="EY176" s="19"/>
      <c r="EZ176" s="19"/>
      <c r="FA176" s="19"/>
      <c r="FB176" s="19"/>
    </row>
    <row r="177" ht="15.75" customHeight="1">
      <c r="A177" s="19"/>
      <c r="F177" s="19"/>
      <c r="AH177" s="23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  <c r="CD177" s="19"/>
      <c r="CE177" s="19"/>
      <c r="CF177" s="19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19"/>
      <c r="CW177" s="19"/>
      <c r="CX177" s="19"/>
      <c r="CY177" s="19"/>
      <c r="CZ177" s="19"/>
      <c r="DA177" s="19"/>
      <c r="DB177" s="19"/>
      <c r="DC177" s="19"/>
      <c r="DD177" s="19"/>
      <c r="DE177" s="19"/>
      <c r="DF177" s="19"/>
      <c r="DG177" s="19"/>
      <c r="DH177" s="19"/>
      <c r="DI177" s="19"/>
      <c r="DJ177" s="19"/>
      <c r="DK177" s="19"/>
      <c r="DL177" s="19"/>
      <c r="DM177" s="19"/>
      <c r="DN177" s="19"/>
      <c r="DO177" s="19"/>
      <c r="DP177" s="19"/>
      <c r="DQ177" s="19"/>
      <c r="DR177" s="19"/>
      <c r="DS177" s="19"/>
      <c r="DT177" s="19"/>
      <c r="DU177" s="19"/>
      <c r="DV177" s="19"/>
      <c r="DW177" s="19"/>
      <c r="DX177" s="19"/>
      <c r="DY177" s="19"/>
      <c r="DZ177" s="19"/>
      <c r="EA177" s="19"/>
      <c r="EB177" s="19"/>
      <c r="EC177" s="19"/>
      <c r="ED177" s="19"/>
      <c r="EE177" s="19"/>
      <c r="EF177" s="19"/>
      <c r="EG177" s="19"/>
      <c r="EH177" s="19"/>
      <c r="EI177" s="19"/>
      <c r="EJ177" s="19"/>
      <c r="EK177" s="19"/>
      <c r="EL177" s="19"/>
      <c r="EM177" s="19"/>
      <c r="EN177" s="19"/>
      <c r="EO177" s="19"/>
      <c r="EP177" s="17"/>
      <c r="EQ177" s="23"/>
      <c r="ER177" s="23" t="str">
        <f t="shared" si="7"/>
        <v/>
      </c>
      <c r="ES177" s="19"/>
      <c r="ET177" s="19" t="str">
        <f t="shared" si="8"/>
        <v/>
      </c>
      <c r="EU177" s="19"/>
      <c r="EV177" s="19"/>
      <c r="EW177" s="19"/>
      <c r="EX177" s="19"/>
      <c r="EY177" s="19"/>
      <c r="EZ177" s="19"/>
      <c r="FA177" s="19"/>
      <c r="FB177" s="19"/>
    </row>
    <row r="178" ht="15.75" customHeight="1">
      <c r="A178" s="19"/>
      <c r="F178" s="19"/>
      <c r="AH178" s="23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  <c r="CD178" s="19"/>
      <c r="CE178" s="19"/>
      <c r="CF178" s="19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19"/>
      <c r="CW178" s="19"/>
      <c r="CX178" s="19"/>
      <c r="CY178" s="19"/>
      <c r="CZ178" s="19"/>
      <c r="DA178" s="19"/>
      <c r="DB178" s="19"/>
      <c r="DC178" s="19"/>
      <c r="DD178" s="19"/>
      <c r="DE178" s="19"/>
      <c r="DF178" s="19"/>
      <c r="DG178" s="19"/>
      <c r="DH178" s="19"/>
      <c r="DI178" s="19"/>
      <c r="DJ178" s="19"/>
      <c r="DK178" s="19"/>
      <c r="DL178" s="19"/>
      <c r="DM178" s="19"/>
      <c r="DN178" s="19"/>
      <c r="DO178" s="19"/>
      <c r="DP178" s="19"/>
      <c r="DQ178" s="19"/>
      <c r="DR178" s="19"/>
      <c r="DS178" s="19"/>
      <c r="DT178" s="19"/>
      <c r="DU178" s="19"/>
      <c r="DV178" s="19"/>
      <c r="DW178" s="19"/>
      <c r="DX178" s="19"/>
      <c r="DY178" s="19"/>
      <c r="DZ178" s="19"/>
      <c r="EA178" s="19"/>
      <c r="EB178" s="19"/>
      <c r="EC178" s="19"/>
      <c r="ED178" s="19"/>
      <c r="EE178" s="19"/>
      <c r="EF178" s="19"/>
      <c r="EG178" s="19"/>
      <c r="EH178" s="19"/>
      <c r="EI178" s="19"/>
      <c r="EJ178" s="19"/>
      <c r="EK178" s="19"/>
      <c r="EL178" s="19"/>
      <c r="EM178" s="19"/>
      <c r="EN178" s="19"/>
      <c r="EO178" s="19"/>
      <c r="EP178" s="17"/>
      <c r="EQ178" s="23"/>
      <c r="ER178" s="23" t="str">
        <f t="shared" si="7"/>
        <v/>
      </c>
      <c r="ES178" s="19"/>
      <c r="ET178" s="19" t="str">
        <f t="shared" si="8"/>
        <v/>
      </c>
      <c r="EU178" s="19"/>
      <c r="EV178" s="19"/>
      <c r="EW178" s="19"/>
      <c r="EX178" s="19"/>
      <c r="EY178" s="19"/>
      <c r="EZ178" s="19"/>
      <c r="FA178" s="19"/>
      <c r="FB178" s="19"/>
    </row>
    <row r="179" ht="15.75" customHeight="1">
      <c r="A179" s="19"/>
      <c r="F179" s="19"/>
      <c r="AH179" s="23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19"/>
      <c r="CW179" s="19"/>
      <c r="CX179" s="19"/>
      <c r="CY179" s="19"/>
      <c r="CZ179" s="19"/>
      <c r="DA179" s="19"/>
      <c r="DB179" s="19"/>
      <c r="DC179" s="19"/>
      <c r="DD179" s="19"/>
      <c r="DE179" s="19"/>
      <c r="DF179" s="19"/>
      <c r="DG179" s="19"/>
      <c r="DH179" s="19"/>
      <c r="DI179" s="19"/>
      <c r="DJ179" s="19"/>
      <c r="DK179" s="19"/>
      <c r="DL179" s="19"/>
      <c r="DM179" s="19"/>
      <c r="DN179" s="19"/>
      <c r="DO179" s="19"/>
      <c r="DP179" s="19"/>
      <c r="DQ179" s="19"/>
      <c r="DR179" s="19"/>
      <c r="DS179" s="19"/>
      <c r="DT179" s="19"/>
      <c r="DU179" s="19"/>
      <c r="DV179" s="19"/>
      <c r="DW179" s="19"/>
      <c r="DX179" s="19"/>
      <c r="DY179" s="19"/>
      <c r="DZ179" s="19"/>
      <c r="EA179" s="19"/>
      <c r="EB179" s="19"/>
      <c r="EC179" s="19"/>
      <c r="ED179" s="19"/>
      <c r="EE179" s="19"/>
      <c r="EF179" s="19"/>
      <c r="EG179" s="19"/>
      <c r="EH179" s="19"/>
      <c r="EI179" s="19"/>
      <c r="EJ179" s="19"/>
      <c r="EK179" s="19"/>
      <c r="EL179" s="19"/>
      <c r="EM179" s="19"/>
      <c r="EN179" s="19"/>
      <c r="EO179" s="19"/>
      <c r="EP179" s="17"/>
      <c r="EQ179" s="23"/>
      <c r="ER179" s="23" t="str">
        <f t="shared" si="7"/>
        <v/>
      </c>
      <c r="ES179" s="19"/>
      <c r="ET179" s="19" t="str">
        <f t="shared" si="8"/>
        <v/>
      </c>
      <c r="EU179" s="19"/>
      <c r="EV179" s="19"/>
      <c r="EW179" s="19"/>
      <c r="EX179" s="19"/>
      <c r="EY179" s="19"/>
      <c r="EZ179" s="19"/>
      <c r="FA179" s="19"/>
      <c r="FB179" s="19"/>
    </row>
    <row r="180" ht="15.75" customHeight="1">
      <c r="A180" s="19"/>
      <c r="F180" s="19"/>
      <c r="AH180" s="23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19"/>
      <c r="CW180" s="19"/>
      <c r="CX180" s="19"/>
      <c r="CY180" s="19"/>
      <c r="CZ180" s="19"/>
      <c r="DA180" s="19"/>
      <c r="DB180" s="19"/>
      <c r="DC180" s="19"/>
      <c r="DD180" s="19"/>
      <c r="DE180" s="19"/>
      <c r="DF180" s="19"/>
      <c r="DG180" s="19"/>
      <c r="DH180" s="19"/>
      <c r="DI180" s="19"/>
      <c r="DJ180" s="19"/>
      <c r="DK180" s="19"/>
      <c r="DL180" s="19"/>
      <c r="DM180" s="19"/>
      <c r="DN180" s="19"/>
      <c r="DO180" s="19"/>
      <c r="DP180" s="19"/>
      <c r="DQ180" s="19"/>
      <c r="DR180" s="19"/>
      <c r="DS180" s="19"/>
      <c r="DT180" s="19"/>
      <c r="DU180" s="19"/>
      <c r="DV180" s="19"/>
      <c r="DW180" s="19"/>
      <c r="DX180" s="19"/>
      <c r="DY180" s="19"/>
      <c r="DZ180" s="19"/>
      <c r="EA180" s="19"/>
      <c r="EB180" s="19"/>
      <c r="EC180" s="19"/>
      <c r="ED180" s="19"/>
      <c r="EE180" s="19"/>
      <c r="EF180" s="19"/>
      <c r="EG180" s="19"/>
      <c r="EH180" s="19"/>
      <c r="EI180" s="19"/>
      <c r="EJ180" s="19"/>
      <c r="EK180" s="19"/>
      <c r="EL180" s="19"/>
      <c r="EM180" s="19"/>
      <c r="EN180" s="19"/>
      <c r="EO180" s="19"/>
      <c r="EP180" s="17"/>
      <c r="EQ180" s="23"/>
      <c r="ER180" s="23" t="str">
        <f t="shared" si="7"/>
        <v/>
      </c>
      <c r="ES180" s="19"/>
      <c r="ET180" s="19" t="str">
        <f t="shared" si="8"/>
        <v/>
      </c>
      <c r="EU180" s="19"/>
      <c r="EV180" s="19"/>
      <c r="EW180" s="19"/>
      <c r="EX180" s="19"/>
      <c r="EY180" s="19"/>
      <c r="EZ180" s="19"/>
      <c r="FA180" s="19"/>
      <c r="FB180" s="19"/>
    </row>
    <row r="181" ht="15.75" customHeight="1">
      <c r="A181" s="19"/>
      <c r="F181" s="19"/>
      <c r="AH181" s="23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19"/>
      <c r="CW181" s="19"/>
      <c r="CX181" s="19"/>
      <c r="CY181" s="19"/>
      <c r="CZ181" s="19"/>
      <c r="DA181" s="19"/>
      <c r="DB181" s="19"/>
      <c r="DC181" s="19"/>
      <c r="DD181" s="19"/>
      <c r="DE181" s="19"/>
      <c r="DF181" s="19"/>
      <c r="DG181" s="19"/>
      <c r="DH181" s="19"/>
      <c r="DI181" s="19"/>
      <c r="DJ181" s="19"/>
      <c r="DK181" s="19"/>
      <c r="DL181" s="19"/>
      <c r="DM181" s="19"/>
      <c r="DN181" s="19"/>
      <c r="DO181" s="19"/>
      <c r="DP181" s="19"/>
      <c r="DQ181" s="19"/>
      <c r="DR181" s="19"/>
      <c r="DS181" s="19"/>
      <c r="DT181" s="19"/>
      <c r="DU181" s="19"/>
      <c r="DV181" s="19"/>
      <c r="DW181" s="19"/>
      <c r="DX181" s="19"/>
      <c r="DY181" s="19"/>
      <c r="DZ181" s="19"/>
      <c r="EA181" s="19"/>
      <c r="EB181" s="19"/>
      <c r="EC181" s="19"/>
      <c r="ED181" s="19"/>
      <c r="EE181" s="19"/>
      <c r="EF181" s="19"/>
      <c r="EG181" s="19"/>
      <c r="EH181" s="19"/>
      <c r="EI181" s="19"/>
      <c r="EJ181" s="19"/>
      <c r="EK181" s="19"/>
      <c r="EL181" s="19"/>
      <c r="EM181" s="19"/>
      <c r="EN181" s="19"/>
      <c r="EO181" s="19"/>
      <c r="EP181" s="17"/>
      <c r="EQ181" s="23"/>
      <c r="ER181" s="23" t="str">
        <f t="shared" si="7"/>
        <v/>
      </c>
      <c r="ES181" s="19"/>
      <c r="ET181" s="19" t="str">
        <f t="shared" si="8"/>
        <v/>
      </c>
      <c r="EU181" s="19"/>
      <c r="EV181" s="19"/>
      <c r="EW181" s="19"/>
      <c r="EX181" s="19"/>
      <c r="EY181" s="19"/>
      <c r="EZ181" s="19"/>
      <c r="FA181" s="19"/>
      <c r="FB181" s="19"/>
    </row>
    <row r="182" ht="15.75" customHeight="1">
      <c r="A182" s="19"/>
      <c r="F182" s="19"/>
      <c r="AH182" s="23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7"/>
      <c r="EQ182" s="23"/>
      <c r="ER182" s="23" t="str">
        <f t="shared" si="7"/>
        <v/>
      </c>
      <c r="ES182" s="19"/>
      <c r="ET182" s="19" t="str">
        <f t="shared" si="8"/>
        <v/>
      </c>
      <c r="EU182" s="19"/>
      <c r="EV182" s="19"/>
      <c r="EW182" s="19"/>
      <c r="EX182" s="19"/>
      <c r="EY182" s="19"/>
      <c r="EZ182" s="19"/>
      <c r="FA182" s="19"/>
      <c r="FB182" s="19"/>
    </row>
    <row r="183" ht="15.75" customHeight="1">
      <c r="A183" s="19"/>
      <c r="F183" s="19"/>
      <c r="AH183" s="23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  <c r="CD183" s="19"/>
      <c r="CE183" s="19"/>
      <c r="CF183" s="19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19"/>
      <c r="CW183" s="19"/>
      <c r="CX183" s="19"/>
      <c r="CY183" s="19"/>
      <c r="CZ183" s="19"/>
      <c r="DA183" s="19"/>
      <c r="DB183" s="19"/>
      <c r="DC183" s="19"/>
      <c r="DD183" s="19"/>
      <c r="DE183" s="19"/>
      <c r="DF183" s="19"/>
      <c r="DG183" s="19"/>
      <c r="DH183" s="19"/>
      <c r="DI183" s="19"/>
      <c r="DJ183" s="19"/>
      <c r="DK183" s="19"/>
      <c r="DL183" s="19"/>
      <c r="DM183" s="19"/>
      <c r="DN183" s="19"/>
      <c r="DO183" s="19"/>
      <c r="DP183" s="19"/>
      <c r="DQ183" s="19"/>
      <c r="DR183" s="19"/>
      <c r="DS183" s="19"/>
      <c r="DT183" s="19"/>
      <c r="DU183" s="19"/>
      <c r="DV183" s="19"/>
      <c r="DW183" s="19"/>
      <c r="DX183" s="19"/>
      <c r="DY183" s="19"/>
      <c r="DZ183" s="19"/>
      <c r="EA183" s="19"/>
      <c r="EB183" s="19"/>
      <c r="EC183" s="19"/>
      <c r="ED183" s="19"/>
      <c r="EE183" s="19"/>
      <c r="EF183" s="19"/>
      <c r="EG183" s="19"/>
      <c r="EH183" s="19"/>
      <c r="EI183" s="19"/>
      <c r="EJ183" s="19"/>
      <c r="EK183" s="19"/>
      <c r="EL183" s="19"/>
      <c r="EM183" s="19"/>
      <c r="EN183" s="19"/>
      <c r="EO183" s="19"/>
      <c r="EP183" s="17"/>
      <c r="EQ183" s="23"/>
      <c r="ER183" s="23" t="str">
        <f t="shared" si="7"/>
        <v/>
      </c>
      <c r="ES183" s="19"/>
      <c r="ET183" s="19" t="str">
        <f t="shared" si="8"/>
        <v/>
      </c>
      <c r="EU183" s="19"/>
      <c r="EV183" s="19"/>
      <c r="EW183" s="19"/>
      <c r="EX183" s="19"/>
      <c r="EY183" s="19"/>
      <c r="EZ183" s="19"/>
      <c r="FA183" s="19"/>
      <c r="FB183" s="19"/>
    </row>
    <row r="184" ht="15.75" customHeight="1">
      <c r="A184" s="19"/>
      <c r="F184" s="19"/>
      <c r="AH184" s="23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19"/>
      <c r="CW184" s="19"/>
      <c r="CX184" s="19"/>
      <c r="CY184" s="19"/>
      <c r="CZ184" s="19"/>
      <c r="DA184" s="19"/>
      <c r="DB184" s="19"/>
      <c r="DC184" s="19"/>
      <c r="DD184" s="19"/>
      <c r="DE184" s="19"/>
      <c r="DF184" s="19"/>
      <c r="DG184" s="19"/>
      <c r="DH184" s="19"/>
      <c r="DI184" s="19"/>
      <c r="DJ184" s="19"/>
      <c r="DK184" s="19"/>
      <c r="DL184" s="19"/>
      <c r="DM184" s="19"/>
      <c r="DN184" s="19"/>
      <c r="DO184" s="19"/>
      <c r="DP184" s="19"/>
      <c r="DQ184" s="19"/>
      <c r="DR184" s="19"/>
      <c r="DS184" s="19"/>
      <c r="DT184" s="19"/>
      <c r="DU184" s="19"/>
      <c r="DV184" s="19"/>
      <c r="DW184" s="19"/>
      <c r="DX184" s="19"/>
      <c r="DY184" s="19"/>
      <c r="DZ184" s="19"/>
      <c r="EA184" s="19"/>
      <c r="EB184" s="19"/>
      <c r="EC184" s="19"/>
      <c r="ED184" s="19"/>
      <c r="EE184" s="19"/>
      <c r="EF184" s="19"/>
      <c r="EG184" s="19"/>
      <c r="EH184" s="19"/>
      <c r="EI184" s="19"/>
      <c r="EJ184" s="19"/>
      <c r="EK184" s="19"/>
      <c r="EL184" s="19"/>
      <c r="EM184" s="19"/>
      <c r="EN184" s="19"/>
      <c r="EO184" s="19"/>
      <c r="EP184" s="17"/>
      <c r="EQ184" s="23"/>
      <c r="ER184" s="23" t="str">
        <f t="shared" si="7"/>
        <v/>
      </c>
      <c r="ES184" s="19"/>
      <c r="ET184" s="19" t="str">
        <f t="shared" si="8"/>
        <v/>
      </c>
      <c r="EU184" s="19"/>
      <c r="EV184" s="19"/>
      <c r="EW184" s="19"/>
      <c r="EX184" s="19"/>
      <c r="EY184" s="19"/>
      <c r="EZ184" s="19"/>
      <c r="FA184" s="19"/>
      <c r="FB184" s="19"/>
    </row>
    <row r="185" ht="15.75" customHeight="1">
      <c r="A185" s="19"/>
      <c r="F185" s="19"/>
      <c r="AH185" s="23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  <c r="CD185" s="19"/>
      <c r="CE185" s="19"/>
      <c r="CF185" s="19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19"/>
      <c r="CW185" s="19"/>
      <c r="CX185" s="19"/>
      <c r="CY185" s="19"/>
      <c r="CZ185" s="19"/>
      <c r="DA185" s="19"/>
      <c r="DB185" s="19"/>
      <c r="DC185" s="19"/>
      <c r="DD185" s="19"/>
      <c r="DE185" s="19"/>
      <c r="DF185" s="19"/>
      <c r="DG185" s="19"/>
      <c r="DH185" s="19"/>
      <c r="DI185" s="19"/>
      <c r="DJ185" s="19"/>
      <c r="DK185" s="19"/>
      <c r="DL185" s="19"/>
      <c r="DM185" s="19"/>
      <c r="DN185" s="19"/>
      <c r="DO185" s="19"/>
      <c r="DP185" s="19"/>
      <c r="DQ185" s="19"/>
      <c r="DR185" s="19"/>
      <c r="DS185" s="19"/>
      <c r="DT185" s="19"/>
      <c r="DU185" s="19"/>
      <c r="DV185" s="19"/>
      <c r="DW185" s="19"/>
      <c r="DX185" s="19"/>
      <c r="DY185" s="19"/>
      <c r="DZ185" s="19"/>
      <c r="EA185" s="19"/>
      <c r="EB185" s="19"/>
      <c r="EC185" s="19"/>
      <c r="ED185" s="19"/>
      <c r="EE185" s="19"/>
      <c r="EF185" s="19"/>
      <c r="EG185" s="19"/>
      <c r="EH185" s="19"/>
      <c r="EI185" s="19"/>
      <c r="EJ185" s="19"/>
      <c r="EK185" s="19"/>
      <c r="EL185" s="19"/>
      <c r="EM185" s="19"/>
      <c r="EN185" s="19"/>
      <c r="EO185" s="19"/>
      <c r="EP185" s="17"/>
      <c r="EQ185" s="23"/>
      <c r="ER185" s="23" t="str">
        <f t="shared" si="7"/>
        <v/>
      </c>
      <c r="ES185" s="19"/>
      <c r="ET185" s="19" t="str">
        <f t="shared" si="8"/>
        <v/>
      </c>
      <c r="EU185" s="19"/>
      <c r="EV185" s="19"/>
      <c r="EW185" s="19"/>
      <c r="EX185" s="19"/>
      <c r="EY185" s="19"/>
      <c r="EZ185" s="19"/>
      <c r="FA185" s="19"/>
      <c r="FB185" s="19"/>
    </row>
    <row r="186" ht="15.75" customHeight="1">
      <c r="A186" s="19"/>
      <c r="F186" s="19"/>
      <c r="AH186" s="23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  <c r="CD186" s="19"/>
      <c r="CE186" s="19"/>
      <c r="CF186" s="19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19"/>
      <c r="CW186" s="19"/>
      <c r="CX186" s="19"/>
      <c r="CY186" s="19"/>
      <c r="CZ186" s="19"/>
      <c r="DA186" s="19"/>
      <c r="DB186" s="19"/>
      <c r="DC186" s="19"/>
      <c r="DD186" s="19"/>
      <c r="DE186" s="19"/>
      <c r="DF186" s="19"/>
      <c r="DG186" s="19"/>
      <c r="DH186" s="19"/>
      <c r="DI186" s="19"/>
      <c r="DJ186" s="19"/>
      <c r="DK186" s="19"/>
      <c r="DL186" s="19"/>
      <c r="DM186" s="19"/>
      <c r="DN186" s="19"/>
      <c r="DO186" s="19"/>
      <c r="DP186" s="19"/>
      <c r="DQ186" s="19"/>
      <c r="DR186" s="19"/>
      <c r="DS186" s="19"/>
      <c r="DT186" s="19"/>
      <c r="DU186" s="19"/>
      <c r="DV186" s="19"/>
      <c r="DW186" s="19"/>
      <c r="DX186" s="19"/>
      <c r="DY186" s="19"/>
      <c r="DZ186" s="19"/>
      <c r="EA186" s="19"/>
      <c r="EB186" s="19"/>
      <c r="EC186" s="19"/>
      <c r="ED186" s="19"/>
      <c r="EE186" s="19"/>
      <c r="EF186" s="19"/>
      <c r="EG186" s="19"/>
      <c r="EH186" s="19"/>
      <c r="EI186" s="19"/>
      <c r="EJ186" s="19"/>
      <c r="EK186" s="19"/>
      <c r="EL186" s="19"/>
      <c r="EM186" s="19"/>
      <c r="EN186" s="19"/>
      <c r="EO186" s="19"/>
      <c r="EP186" s="17"/>
      <c r="EQ186" s="23"/>
      <c r="ER186" s="23" t="str">
        <f t="shared" si="7"/>
        <v/>
      </c>
      <c r="ES186" s="19"/>
      <c r="ET186" s="19" t="str">
        <f t="shared" si="8"/>
        <v/>
      </c>
      <c r="EU186" s="19"/>
      <c r="EV186" s="19"/>
      <c r="EW186" s="19"/>
      <c r="EX186" s="19"/>
      <c r="EY186" s="19"/>
      <c r="EZ186" s="19"/>
      <c r="FA186" s="19"/>
      <c r="FB186" s="19"/>
    </row>
    <row r="187" ht="15.75" customHeight="1">
      <c r="A187" s="19"/>
      <c r="F187" s="19"/>
      <c r="AH187" s="23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  <c r="CD187" s="19"/>
      <c r="CE187" s="19"/>
      <c r="CF187" s="19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19"/>
      <c r="CW187" s="19"/>
      <c r="CX187" s="19"/>
      <c r="CY187" s="19"/>
      <c r="CZ187" s="19"/>
      <c r="DA187" s="19"/>
      <c r="DB187" s="19"/>
      <c r="DC187" s="19"/>
      <c r="DD187" s="19"/>
      <c r="DE187" s="19"/>
      <c r="DF187" s="19"/>
      <c r="DG187" s="19"/>
      <c r="DH187" s="19"/>
      <c r="DI187" s="19"/>
      <c r="DJ187" s="19"/>
      <c r="DK187" s="19"/>
      <c r="DL187" s="19"/>
      <c r="DM187" s="19"/>
      <c r="DN187" s="19"/>
      <c r="DO187" s="19"/>
      <c r="DP187" s="19"/>
      <c r="DQ187" s="19"/>
      <c r="DR187" s="19"/>
      <c r="DS187" s="19"/>
      <c r="DT187" s="19"/>
      <c r="DU187" s="19"/>
      <c r="DV187" s="19"/>
      <c r="DW187" s="19"/>
      <c r="DX187" s="19"/>
      <c r="DY187" s="19"/>
      <c r="DZ187" s="19"/>
      <c r="EA187" s="19"/>
      <c r="EB187" s="19"/>
      <c r="EC187" s="19"/>
      <c r="ED187" s="19"/>
      <c r="EE187" s="19"/>
      <c r="EF187" s="19"/>
      <c r="EG187" s="19"/>
      <c r="EH187" s="19"/>
      <c r="EI187" s="19"/>
      <c r="EJ187" s="19"/>
      <c r="EK187" s="19"/>
      <c r="EL187" s="19"/>
      <c r="EM187" s="19"/>
      <c r="EN187" s="19"/>
      <c r="EO187" s="19"/>
      <c r="EP187" s="17"/>
      <c r="EQ187" s="23"/>
      <c r="ER187" s="23" t="str">
        <f t="shared" si="7"/>
        <v/>
      </c>
      <c r="ES187" s="19"/>
      <c r="ET187" s="19" t="str">
        <f t="shared" si="8"/>
        <v/>
      </c>
      <c r="EU187" s="19"/>
      <c r="EV187" s="19"/>
      <c r="EW187" s="19"/>
      <c r="EX187" s="19"/>
      <c r="EY187" s="19"/>
      <c r="EZ187" s="19"/>
      <c r="FA187" s="19"/>
      <c r="FB187" s="19"/>
    </row>
    <row r="188" ht="15.75" customHeight="1">
      <c r="A188" s="19"/>
      <c r="F188" s="19"/>
      <c r="AH188" s="23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  <c r="CD188" s="19"/>
      <c r="CE188" s="19"/>
      <c r="CF188" s="19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19"/>
      <c r="CW188" s="19"/>
      <c r="CX188" s="19"/>
      <c r="CY188" s="19"/>
      <c r="CZ188" s="19"/>
      <c r="DA188" s="19"/>
      <c r="DB188" s="19"/>
      <c r="DC188" s="19"/>
      <c r="DD188" s="19"/>
      <c r="DE188" s="19"/>
      <c r="DF188" s="19"/>
      <c r="DG188" s="19"/>
      <c r="DH188" s="19"/>
      <c r="DI188" s="19"/>
      <c r="DJ188" s="19"/>
      <c r="DK188" s="19"/>
      <c r="DL188" s="19"/>
      <c r="DM188" s="19"/>
      <c r="DN188" s="19"/>
      <c r="DO188" s="19"/>
      <c r="DP188" s="19"/>
      <c r="DQ188" s="19"/>
      <c r="DR188" s="19"/>
      <c r="DS188" s="19"/>
      <c r="DT188" s="19"/>
      <c r="DU188" s="19"/>
      <c r="DV188" s="19"/>
      <c r="DW188" s="19"/>
      <c r="DX188" s="19"/>
      <c r="DY188" s="19"/>
      <c r="DZ188" s="19"/>
      <c r="EA188" s="19"/>
      <c r="EB188" s="19"/>
      <c r="EC188" s="19"/>
      <c r="ED188" s="19"/>
      <c r="EE188" s="19"/>
      <c r="EF188" s="19"/>
      <c r="EG188" s="19"/>
      <c r="EH188" s="19"/>
      <c r="EI188" s="19"/>
      <c r="EJ188" s="19"/>
      <c r="EK188" s="19"/>
      <c r="EL188" s="19"/>
      <c r="EM188" s="19"/>
      <c r="EN188" s="19"/>
      <c r="EO188" s="19"/>
      <c r="EP188" s="17"/>
      <c r="EQ188" s="23"/>
      <c r="ER188" s="23" t="str">
        <f t="shared" si="7"/>
        <v/>
      </c>
      <c r="ES188" s="19"/>
      <c r="ET188" s="19" t="str">
        <f t="shared" si="8"/>
        <v/>
      </c>
      <c r="EU188" s="19"/>
      <c r="EV188" s="19"/>
      <c r="EW188" s="19"/>
      <c r="EX188" s="19"/>
      <c r="EY188" s="19"/>
      <c r="EZ188" s="19"/>
      <c r="FA188" s="19"/>
      <c r="FB188" s="19"/>
    </row>
    <row r="189" ht="15.75" customHeight="1">
      <c r="A189" s="19"/>
      <c r="F189" s="19"/>
      <c r="AH189" s="23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  <c r="CD189" s="19"/>
      <c r="CE189" s="19"/>
      <c r="CF189" s="19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19"/>
      <c r="CW189" s="19"/>
      <c r="CX189" s="19"/>
      <c r="CY189" s="19"/>
      <c r="CZ189" s="19"/>
      <c r="DA189" s="19"/>
      <c r="DB189" s="19"/>
      <c r="DC189" s="19"/>
      <c r="DD189" s="19"/>
      <c r="DE189" s="19"/>
      <c r="DF189" s="19"/>
      <c r="DG189" s="19"/>
      <c r="DH189" s="19"/>
      <c r="DI189" s="19"/>
      <c r="DJ189" s="19"/>
      <c r="DK189" s="19"/>
      <c r="DL189" s="19"/>
      <c r="DM189" s="19"/>
      <c r="DN189" s="19"/>
      <c r="DO189" s="19"/>
      <c r="DP189" s="19"/>
      <c r="DQ189" s="19"/>
      <c r="DR189" s="19"/>
      <c r="DS189" s="19"/>
      <c r="DT189" s="19"/>
      <c r="DU189" s="19"/>
      <c r="DV189" s="19"/>
      <c r="DW189" s="19"/>
      <c r="DX189" s="19"/>
      <c r="DY189" s="19"/>
      <c r="DZ189" s="19"/>
      <c r="EA189" s="19"/>
      <c r="EB189" s="19"/>
      <c r="EC189" s="19"/>
      <c r="ED189" s="19"/>
      <c r="EE189" s="19"/>
      <c r="EF189" s="19"/>
      <c r="EG189" s="19"/>
      <c r="EH189" s="19"/>
      <c r="EI189" s="19"/>
      <c r="EJ189" s="19"/>
      <c r="EK189" s="19"/>
      <c r="EL189" s="19"/>
      <c r="EM189" s="19"/>
      <c r="EN189" s="19"/>
      <c r="EO189" s="19"/>
      <c r="EP189" s="17"/>
      <c r="EQ189" s="23"/>
      <c r="ER189" s="23" t="str">
        <f t="shared" si="7"/>
        <v/>
      </c>
      <c r="ES189" s="19"/>
      <c r="ET189" s="19" t="str">
        <f t="shared" si="8"/>
        <v/>
      </c>
      <c r="EU189" s="19"/>
      <c r="EV189" s="19"/>
      <c r="EW189" s="19"/>
      <c r="EX189" s="19"/>
      <c r="EY189" s="19"/>
      <c r="EZ189" s="19"/>
      <c r="FA189" s="19"/>
      <c r="FB189" s="19"/>
    </row>
    <row r="190" ht="15.75" customHeight="1">
      <c r="A190" s="19"/>
      <c r="F190" s="19"/>
      <c r="AH190" s="23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  <c r="CD190" s="19"/>
      <c r="CE190" s="19"/>
      <c r="CF190" s="19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19"/>
      <c r="CW190" s="19"/>
      <c r="CX190" s="19"/>
      <c r="CY190" s="19"/>
      <c r="CZ190" s="19"/>
      <c r="DA190" s="19"/>
      <c r="DB190" s="19"/>
      <c r="DC190" s="19"/>
      <c r="DD190" s="19"/>
      <c r="DE190" s="19"/>
      <c r="DF190" s="19"/>
      <c r="DG190" s="19"/>
      <c r="DH190" s="19"/>
      <c r="DI190" s="19"/>
      <c r="DJ190" s="19"/>
      <c r="DK190" s="19"/>
      <c r="DL190" s="19"/>
      <c r="DM190" s="19"/>
      <c r="DN190" s="19"/>
      <c r="DO190" s="19"/>
      <c r="DP190" s="19"/>
      <c r="DQ190" s="19"/>
      <c r="DR190" s="19"/>
      <c r="DS190" s="19"/>
      <c r="DT190" s="19"/>
      <c r="DU190" s="19"/>
      <c r="DV190" s="19"/>
      <c r="DW190" s="19"/>
      <c r="DX190" s="19"/>
      <c r="DY190" s="19"/>
      <c r="DZ190" s="19"/>
      <c r="EA190" s="19"/>
      <c r="EB190" s="19"/>
      <c r="EC190" s="19"/>
      <c r="ED190" s="19"/>
      <c r="EE190" s="19"/>
      <c r="EF190" s="19"/>
      <c r="EG190" s="19"/>
      <c r="EH190" s="19"/>
      <c r="EI190" s="19"/>
      <c r="EJ190" s="19"/>
      <c r="EK190" s="19"/>
      <c r="EL190" s="19"/>
      <c r="EM190" s="19"/>
      <c r="EN190" s="19"/>
      <c r="EO190" s="19"/>
      <c r="EP190" s="17"/>
      <c r="EQ190" s="23"/>
      <c r="ER190" s="23" t="str">
        <f t="shared" si="7"/>
        <v/>
      </c>
      <c r="ES190" s="19"/>
      <c r="ET190" s="19" t="str">
        <f t="shared" si="8"/>
        <v/>
      </c>
      <c r="EU190" s="19"/>
      <c r="EV190" s="19"/>
      <c r="EW190" s="19"/>
      <c r="EX190" s="19"/>
      <c r="EY190" s="19"/>
      <c r="EZ190" s="19"/>
      <c r="FA190" s="19"/>
      <c r="FB190" s="19"/>
    </row>
    <row r="191" ht="15.75" customHeight="1">
      <c r="A191" s="19"/>
      <c r="F191" s="19"/>
      <c r="AH191" s="23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19"/>
      <c r="CW191" s="19"/>
      <c r="CX191" s="19"/>
      <c r="CY191" s="19"/>
      <c r="CZ191" s="19"/>
      <c r="DA191" s="19"/>
      <c r="DB191" s="19"/>
      <c r="DC191" s="19"/>
      <c r="DD191" s="19"/>
      <c r="DE191" s="19"/>
      <c r="DF191" s="19"/>
      <c r="DG191" s="19"/>
      <c r="DH191" s="19"/>
      <c r="DI191" s="19"/>
      <c r="DJ191" s="19"/>
      <c r="DK191" s="19"/>
      <c r="DL191" s="19"/>
      <c r="DM191" s="19"/>
      <c r="DN191" s="19"/>
      <c r="DO191" s="19"/>
      <c r="DP191" s="19"/>
      <c r="DQ191" s="19"/>
      <c r="DR191" s="19"/>
      <c r="DS191" s="19"/>
      <c r="DT191" s="19"/>
      <c r="DU191" s="19"/>
      <c r="DV191" s="19"/>
      <c r="DW191" s="19"/>
      <c r="DX191" s="19"/>
      <c r="DY191" s="19"/>
      <c r="DZ191" s="19"/>
      <c r="EA191" s="19"/>
      <c r="EB191" s="19"/>
      <c r="EC191" s="19"/>
      <c r="ED191" s="19"/>
      <c r="EE191" s="19"/>
      <c r="EF191" s="19"/>
      <c r="EG191" s="19"/>
      <c r="EH191" s="19"/>
      <c r="EI191" s="19"/>
      <c r="EJ191" s="19"/>
      <c r="EK191" s="19"/>
      <c r="EL191" s="19"/>
      <c r="EM191" s="19"/>
      <c r="EN191" s="19"/>
      <c r="EO191" s="19"/>
      <c r="EP191" s="17"/>
      <c r="EQ191" s="23"/>
      <c r="ER191" s="23" t="str">
        <f t="shared" si="7"/>
        <v/>
      </c>
      <c r="ES191" s="19"/>
      <c r="ET191" s="19" t="str">
        <f t="shared" si="8"/>
        <v/>
      </c>
      <c r="EU191" s="19"/>
      <c r="EV191" s="19"/>
      <c r="EW191" s="19"/>
      <c r="EX191" s="19"/>
      <c r="EY191" s="19"/>
      <c r="EZ191" s="19"/>
      <c r="FA191" s="19"/>
      <c r="FB191" s="19"/>
    </row>
    <row r="192" ht="15.75" customHeight="1">
      <c r="A192" s="19"/>
      <c r="F192" s="19"/>
      <c r="AH192" s="23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19"/>
      <c r="CW192" s="19"/>
      <c r="CX192" s="19"/>
      <c r="CY192" s="19"/>
      <c r="CZ192" s="19"/>
      <c r="DA192" s="19"/>
      <c r="DB192" s="19"/>
      <c r="DC192" s="19"/>
      <c r="DD192" s="19"/>
      <c r="DE192" s="19"/>
      <c r="DF192" s="19"/>
      <c r="DG192" s="19"/>
      <c r="DH192" s="19"/>
      <c r="DI192" s="19"/>
      <c r="DJ192" s="19"/>
      <c r="DK192" s="19"/>
      <c r="DL192" s="19"/>
      <c r="DM192" s="19"/>
      <c r="DN192" s="19"/>
      <c r="DO192" s="19"/>
      <c r="DP192" s="19"/>
      <c r="DQ192" s="19"/>
      <c r="DR192" s="19"/>
      <c r="DS192" s="19"/>
      <c r="DT192" s="19"/>
      <c r="DU192" s="19"/>
      <c r="DV192" s="19"/>
      <c r="DW192" s="19"/>
      <c r="DX192" s="19"/>
      <c r="DY192" s="19"/>
      <c r="DZ192" s="19"/>
      <c r="EA192" s="19"/>
      <c r="EB192" s="19"/>
      <c r="EC192" s="19"/>
      <c r="ED192" s="19"/>
      <c r="EE192" s="19"/>
      <c r="EF192" s="19"/>
      <c r="EG192" s="19"/>
      <c r="EH192" s="19"/>
      <c r="EI192" s="19"/>
      <c r="EJ192" s="19"/>
      <c r="EK192" s="19"/>
      <c r="EL192" s="19"/>
      <c r="EM192" s="19"/>
      <c r="EN192" s="19"/>
      <c r="EO192" s="19"/>
      <c r="EP192" s="17"/>
      <c r="EQ192" s="23"/>
      <c r="ER192" s="23" t="str">
        <f t="shared" si="7"/>
        <v/>
      </c>
      <c r="ES192" s="19"/>
      <c r="ET192" s="19" t="str">
        <f t="shared" si="8"/>
        <v/>
      </c>
      <c r="EU192" s="19"/>
      <c r="EV192" s="19"/>
      <c r="EW192" s="19"/>
      <c r="EX192" s="19"/>
      <c r="EY192" s="19"/>
      <c r="EZ192" s="19"/>
      <c r="FA192" s="19"/>
      <c r="FB192" s="19"/>
    </row>
    <row r="193" ht="15.75" customHeight="1">
      <c r="A193" s="19"/>
      <c r="F193" s="19"/>
      <c r="AH193" s="23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7"/>
      <c r="EQ193" s="23"/>
      <c r="ER193" s="23" t="str">
        <f t="shared" si="7"/>
        <v/>
      </c>
      <c r="ES193" s="19"/>
      <c r="ET193" s="19" t="str">
        <f t="shared" si="8"/>
        <v/>
      </c>
      <c r="EU193" s="19"/>
      <c r="EV193" s="19"/>
      <c r="EW193" s="19"/>
      <c r="EX193" s="19"/>
      <c r="EY193" s="19"/>
      <c r="EZ193" s="19"/>
      <c r="FA193" s="19"/>
      <c r="FB193" s="19"/>
    </row>
    <row r="194" ht="15.75" customHeight="1">
      <c r="A194" s="19"/>
      <c r="F194" s="19"/>
      <c r="AH194" s="23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  <c r="CD194" s="19"/>
      <c r="CE194" s="19"/>
      <c r="CF194" s="19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19"/>
      <c r="CW194" s="19"/>
      <c r="CX194" s="19"/>
      <c r="CY194" s="19"/>
      <c r="CZ194" s="19"/>
      <c r="DA194" s="19"/>
      <c r="DB194" s="19"/>
      <c r="DC194" s="19"/>
      <c r="DD194" s="19"/>
      <c r="DE194" s="19"/>
      <c r="DF194" s="19"/>
      <c r="DG194" s="19"/>
      <c r="DH194" s="19"/>
      <c r="DI194" s="19"/>
      <c r="DJ194" s="19"/>
      <c r="DK194" s="19"/>
      <c r="DL194" s="19"/>
      <c r="DM194" s="19"/>
      <c r="DN194" s="19"/>
      <c r="DO194" s="19"/>
      <c r="DP194" s="19"/>
      <c r="DQ194" s="19"/>
      <c r="DR194" s="19"/>
      <c r="DS194" s="19"/>
      <c r="DT194" s="19"/>
      <c r="DU194" s="19"/>
      <c r="DV194" s="19"/>
      <c r="DW194" s="19"/>
      <c r="DX194" s="19"/>
      <c r="DY194" s="19"/>
      <c r="DZ194" s="19"/>
      <c r="EA194" s="19"/>
      <c r="EB194" s="19"/>
      <c r="EC194" s="19"/>
      <c r="ED194" s="19"/>
      <c r="EE194" s="19"/>
      <c r="EF194" s="19"/>
      <c r="EG194" s="19"/>
      <c r="EH194" s="19"/>
      <c r="EI194" s="19"/>
      <c r="EJ194" s="19"/>
      <c r="EK194" s="19"/>
      <c r="EL194" s="19"/>
      <c r="EM194" s="19"/>
      <c r="EN194" s="19"/>
      <c r="EO194" s="19"/>
      <c r="EP194" s="17"/>
      <c r="EQ194" s="23"/>
      <c r="ER194" s="23" t="str">
        <f t="shared" si="7"/>
        <v/>
      </c>
      <c r="ES194" s="19"/>
      <c r="ET194" s="19" t="str">
        <f t="shared" si="8"/>
        <v/>
      </c>
      <c r="EU194" s="19"/>
      <c r="EV194" s="19"/>
      <c r="EW194" s="19"/>
      <c r="EX194" s="19"/>
      <c r="EY194" s="19"/>
      <c r="EZ194" s="19"/>
      <c r="FA194" s="19"/>
      <c r="FB194" s="19"/>
    </row>
    <row r="195" ht="15.75" customHeight="1">
      <c r="A195" s="19"/>
      <c r="F195" s="19"/>
      <c r="AH195" s="23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  <c r="CD195" s="19"/>
      <c r="CE195" s="19"/>
      <c r="CF195" s="19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19"/>
      <c r="CW195" s="19"/>
      <c r="CX195" s="19"/>
      <c r="CY195" s="19"/>
      <c r="CZ195" s="19"/>
      <c r="DA195" s="19"/>
      <c r="DB195" s="19"/>
      <c r="DC195" s="19"/>
      <c r="DD195" s="19"/>
      <c r="DE195" s="19"/>
      <c r="DF195" s="19"/>
      <c r="DG195" s="19"/>
      <c r="DH195" s="19"/>
      <c r="DI195" s="19"/>
      <c r="DJ195" s="19"/>
      <c r="DK195" s="19"/>
      <c r="DL195" s="19"/>
      <c r="DM195" s="19"/>
      <c r="DN195" s="19"/>
      <c r="DO195" s="19"/>
      <c r="DP195" s="19"/>
      <c r="DQ195" s="19"/>
      <c r="DR195" s="19"/>
      <c r="DS195" s="19"/>
      <c r="DT195" s="19"/>
      <c r="DU195" s="19"/>
      <c r="DV195" s="19"/>
      <c r="DW195" s="19"/>
      <c r="DX195" s="19"/>
      <c r="DY195" s="19"/>
      <c r="DZ195" s="19"/>
      <c r="EA195" s="19"/>
      <c r="EB195" s="19"/>
      <c r="EC195" s="19"/>
      <c r="ED195" s="19"/>
      <c r="EE195" s="19"/>
      <c r="EF195" s="19"/>
      <c r="EG195" s="19"/>
      <c r="EH195" s="19"/>
      <c r="EI195" s="19"/>
      <c r="EJ195" s="19"/>
      <c r="EK195" s="19"/>
      <c r="EL195" s="19"/>
      <c r="EM195" s="19"/>
      <c r="EN195" s="19"/>
      <c r="EO195" s="19"/>
      <c r="EP195" s="17"/>
      <c r="EQ195" s="23"/>
      <c r="ER195" s="23" t="str">
        <f t="shared" si="7"/>
        <v/>
      </c>
      <c r="ES195" s="19"/>
      <c r="ET195" s="19" t="str">
        <f t="shared" si="8"/>
        <v/>
      </c>
      <c r="EU195" s="19"/>
      <c r="EV195" s="19"/>
      <c r="EW195" s="19"/>
      <c r="EX195" s="19"/>
      <c r="EY195" s="19"/>
      <c r="EZ195" s="19"/>
      <c r="FA195" s="19"/>
      <c r="FB195" s="19"/>
    </row>
    <row r="196" ht="15.75" customHeight="1">
      <c r="A196" s="19"/>
      <c r="F196" s="19"/>
      <c r="AH196" s="23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  <c r="CD196" s="19"/>
      <c r="CE196" s="19"/>
      <c r="CF196" s="19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19"/>
      <c r="CW196" s="19"/>
      <c r="CX196" s="19"/>
      <c r="CY196" s="19"/>
      <c r="CZ196" s="19"/>
      <c r="DA196" s="19"/>
      <c r="DB196" s="19"/>
      <c r="DC196" s="19"/>
      <c r="DD196" s="19"/>
      <c r="DE196" s="19"/>
      <c r="DF196" s="19"/>
      <c r="DG196" s="19"/>
      <c r="DH196" s="19"/>
      <c r="DI196" s="19"/>
      <c r="DJ196" s="19"/>
      <c r="DK196" s="19"/>
      <c r="DL196" s="19"/>
      <c r="DM196" s="19"/>
      <c r="DN196" s="19"/>
      <c r="DO196" s="19"/>
      <c r="DP196" s="19"/>
      <c r="DQ196" s="19"/>
      <c r="DR196" s="19"/>
      <c r="DS196" s="19"/>
      <c r="DT196" s="19"/>
      <c r="DU196" s="19"/>
      <c r="DV196" s="19"/>
      <c r="DW196" s="19"/>
      <c r="DX196" s="19"/>
      <c r="DY196" s="19"/>
      <c r="DZ196" s="19"/>
      <c r="EA196" s="19"/>
      <c r="EB196" s="19"/>
      <c r="EC196" s="19"/>
      <c r="ED196" s="19"/>
      <c r="EE196" s="19"/>
      <c r="EF196" s="19"/>
      <c r="EG196" s="19"/>
      <c r="EH196" s="19"/>
      <c r="EI196" s="19"/>
      <c r="EJ196" s="19"/>
      <c r="EK196" s="19"/>
      <c r="EL196" s="19"/>
      <c r="EM196" s="19"/>
      <c r="EN196" s="19"/>
      <c r="EO196" s="19"/>
      <c r="EP196" s="17"/>
      <c r="EQ196" s="23"/>
      <c r="ER196" s="23" t="str">
        <f t="shared" si="7"/>
        <v/>
      </c>
      <c r="ES196" s="19"/>
      <c r="ET196" s="19" t="str">
        <f t="shared" si="8"/>
        <v/>
      </c>
      <c r="EU196" s="19"/>
      <c r="EV196" s="19"/>
      <c r="EW196" s="19"/>
      <c r="EX196" s="19"/>
      <c r="EY196" s="19"/>
      <c r="EZ196" s="19"/>
      <c r="FA196" s="19"/>
      <c r="FB196" s="19"/>
    </row>
    <row r="197" ht="15.75" customHeight="1">
      <c r="A197" s="19"/>
      <c r="F197" s="19"/>
      <c r="AH197" s="23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  <c r="CD197" s="19"/>
      <c r="CE197" s="19"/>
      <c r="CF197" s="19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19"/>
      <c r="CW197" s="19"/>
      <c r="CX197" s="19"/>
      <c r="CY197" s="19"/>
      <c r="CZ197" s="19"/>
      <c r="DA197" s="19"/>
      <c r="DB197" s="19"/>
      <c r="DC197" s="19"/>
      <c r="DD197" s="19"/>
      <c r="DE197" s="19"/>
      <c r="DF197" s="19"/>
      <c r="DG197" s="19"/>
      <c r="DH197" s="19"/>
      <c r="DI197" s="19"/>
      <c r="DJ197" s="19"/>
      <c r="DK197" s="19"/>
      <c r="DL197" s="19"/>
      <c r="DM197" s="19"/>
      <c r="DN197" s="19"/>
      <c r="DO197" s="19"/>
      <c r="DP197" s="19"/>
      <c r="DQ197" s="19"/>
      <c r="DR197" s="19"/>
      <c r="DS197" s="19"/>
      <c r="DT197" s="19"/>
      <c r="DU197" s="19"/>
      <c r="DV197" s="19"/>
      <c r="DW197" s="19"/>
      <c r="DX197" s="19"/>
      <c r="DY197" s="19"/>
      <c r="DZ197" s="19"/>
      <c r="EA197" s="19"/>
      <c r="EB197" s="19"/>
      <c r="EC197" s="19"/>
      <c r="ED197" s="19"/>
      <c r="EE197" s="19"/>
      <c r="EF197" s="19"/>
      <c r="EG197" s="19"/>
      <c r="EH197" s="19"/>
      <c r="EI197" s="19"/>
      <c r="EJ197" s="19"/>
      <c r="EK197" s="19"/>
      <c r="EL197" s="19"/>
      <c r="EM197" s="19"/>
      <c r="EN197" s="19"/>
      <c r="EO197" s="19"/>
      <c r="EP197" s="17"/>
      <c r="EQ197" s="23"/>
      <c r="ER197" s="23" t="str">
        <f t="shared" si="7"/>
        <v/>
      </c>
      <c r="ES197" s="19"/>
      <c r="ET197" s="19" t="str">
        <f t="shared" si="8"/>
        <v/>
      </c>
      <c r="EU197" s="19"/>
      <c r="EV197" s="19"/>
      <c r="EW197" s="19"/>
      <c r="EX197" s="19"/>
      <c r="EY197" s="19"/>
      <c r="EZ197" s="19"/>
      <c r="FA197" s="19"/>
      <c r="FB197" s="19"/>
    </row>
    <row r="198" ht="15.75" customHeight="1">
      <c r="A198" s="19"/>
      <c r="F198" s="19"/>
      <c r="AH198" s="23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  <c r="CD198" s="19"/>
      <c r="CE198" s="19"/>
      <c r="CF198" s="19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19"/>
      <c r="CW198" s="19"/>
      <c r="CX198" s="19"/>
      <c r="CY198" s="19"/>
      <c r="CZ198" s="19"/>
      <c r="DA198" s="19"/>
      <c r="DB198" s="19"/>
      <c r="DC198" s="19"/>
      <c r="DD198" s="19"/>
      <c r="DE198" s="19"/>
      <c r="DF198" s="19"/>
      <c r="DG198" s="19"/>
      <c r="DH198" s="19"/>
      <c r="DI198" s="19"/>
      <c r="DJ198" s="19"/>
      <c r="DK198" s="19"/>
      <c r="DL198" s="19"/>
      <c r="DM198" s="19"/>
      <c r="DN198" s="19"/>
      <c r="DO198" s="19"/>
      <c r="DP198" s="19"/>
      <c r="DQ198" s="19"/>
      <c r="DR198" s="19"/>
      <c r="DS198" s="19"/>
      <c r="DT198" s="19"/>
      <c r="DU198" s="19"/>
      <c r="DV198" s="19"/>
      <c r="DW198" s="19"/>
      <c r="DX198" s="19"/>
      <c r="DY198" s="19"/>
      <c r="DZ198" s="19"/>
      <c r="EA198" s="19"/>
      <c r="EB198" s="19"/>
      <c r="EC198" s="19"/>
      <c r="ED198" s="19"/>
      <c r="EE198" s="19"/>
      <c r="EF198" s="19"/>
      <c r="EG198" s="19"/>
      <c r="EH198" s="19"/>
      <c r="EI198" s="19"/>
      <c r="EJ198" s="19"/>
      <c r="EK198" s="19"/>
      <c r="EL198" s="19"/>
      <c r="EM198" s="19"/>
      <c r="EN198" s="19"/>
      <c r="EO198" s="19"/>
      <c r="EP198" s="17"/>
      <c r="EQ198" s="23"/>
      <c r="ER198" s="23" t="str">
        <f t="shared" si="7"/>
        <v/>
      </c>
      <c r="ES198" s="19"/>
      <c r="ET198" s="19" t="str">
        <f t="shared" si="8"/>
        <v/>
      </c>
      <c r="EU198" s="19"/>
      <c r="EV198" s="19"/>
      <c r="EW198" s="19"/>
      <c r="EX198" s="19"/>
      <c r="EY198" s="19"/>
      <c r="EZ198" s="19"/>
      <c r="FA198" s="19"/>
      <c r="FB198" s="19"/>
    </row>
    <row r="199" ht="15.75" customHeight="1">
      <c r="A199" s="19"/>
      <c r="F199" s="19"/>
      <c r="AH199" s="23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  <c r="CD199" s="19"/>
      <c r="CE199" s="19"/>
      <c r="CF199" s="19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19"/>
      <c r="CW199" s="19"/>
      <c r="CX199" s="19"/>
      <c r="CY199" s="19"/>
      <c r="CZ199" s="19"/>
      <c r="DA199" s="19"/>
      <c r="DB199" s="19"/>
      <c r="DC199" s="19"/>
      <c r="DD199" s="19"/>
      <c r="DE199" s="19"/>
      <c r="DF199" s="19"/>
      <c r="DG199" s="19"/>
      <c r="DH199" s="19"/>
      <c r="DI199" s="19"/>
      <c r="DJ199" s="19"/>
      <c r="DK199" s="19"/>
      <c r="DL199" s="19"/>
      <c r="DM199" s="19"/>
      <c r="DN199" s="19"/>
      <c r="DO199" s="19"/>
      <c r="DP199" s="19"/>
      <c r="DQ199" s="19"/>
      <c r="DR199" s="19"/>
      <c r="DS199" s="19"/>
      <c r="DT199" s="19"/>
      <c r="DU199" s="19"/>
      <c r="DV199" s="19"/>
      <c r="DW199" s="19"/>
      <c r="DX199" s="19"/>
      <c r="DY199" s="19"/>
      <c r="DZ199" s="19"/>
      <c r="EA199" s="19"/>
      <c r="EB199" s="19"/>
      <c r="EC199" s="19"/>
      <c r="ED199" s="19"/>
      <c r="EE199" s="19"/>
      <c r="EF199" s="19"/>
      <c r="EG199" s="19"/>
      <c r="EH199" s="19"/>
      <c r="EI199" s="19"/>
      <c r="EJ199" s="19"/>
      <c r="EK199" s="19"/>
      <c r="EL199" s="19"/>
      <c r="EM199" s="19"/>
      <c r="EN199" s="19"/>
      <c r="EO199" s="19"/>
      <c r="EP199" s="17"/>
      <c r="EQ199" s="23"/>
      <c r="ER199" s="23" t="str">
        <f t="shared" si="7"/>
        <v/>
      </c>
      <c r="ES199" s="19"/>
      <c r="ET199" s="19" t="str">
        <f t="shared" si="8"/>
        <v/>
      </c>
      <c r="EU199" s="19"/>
      <c r="EV199" s="19"/>
      <c r="EW199" s="19"/>
      <c r="EX199" s="19"/>
      <c r="EY199" s="19"/>
      <c r="EZ199" s="19"/>
      <c r="FA199" s="19"/>
      <c r="FB199" s="19"/>
    </row>
    <row r="200" ht="15.75" customHeight="1">
      <c r="A200" s="19"/>
      <c r="F200" s="19"/>
      <c r="AH200" s="23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  <c r="CD200" s="19"/>
      <c r="CE200" s="19"/>
      <c r="CF200" s="19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19"/>
      <c r="CW200" s="19"/>
      <c r="CX200" s="19"/>
      <c r="CY200" s="19"/>
      <c r="CZ200" s="19"/>
      <c r="DA200" s="19"/>
      <c r="DB200" s="19"/>
      <c r="DC200" s="19"/>
      <c r="DD200" s="19"/>
      <c r="DE200" s="19"/>
      <c r="DF200" s="19"/>
      <c r="DG200" s="19"/>
      <c r="DH200" s="19"/>
      <c r="DI200" s="19"/>
      <c r="DJ200" s="19"/>
      <c r="DK200" s="19"/>
      <c r="DL200" s="19"/>
      <c r="DM200" s="19"/>
      <c r="DN200" s="19"/>
      <c r="DO200" s="19"/>
      <c r="DP200" s="19"/>
      <c r="DQ200" s="19"/>
      <c r="DR200" s="19"/>
      <c r="DS200" s="19"/>
      <c r="DT200" s="19"/>
      <c r="DU200" s="19"/>
      <c r="DV200" s="19"/>
      <c r="DW200" s="19"/>
      <c r="DX200" s="19"/>
      <c r="DY200" s="19"/>
      <c r="DZ200" s="19"/>
      <c r="EA200" s="19"/>
      <c r="EB200" s="19"/>
      <c r="EC200" s="19"/>
      <c r="ED200" s="19"/>
      <c r="EE200" s="19"/>
      <c r="EF200" s="19"/>
      <c r="EG200" s="19"/>
      <c r="EH200" s="19"/>
      <c r="EI200" s="19"/>
      <c r="EJ200" s="19"/>
      <c r="EK200" s="19"/>
      <c r="EL200" s="19"/>
      <c r="EM200" s="19"/>
      <c r="EN200" s="19"/>
      <c r="EO200" s="19"/>
      <c r="EP200" s="17"/>
      <c r="EQ200" s="23"/>
      <c r="ER200" s="23" t="str">
        <f t="shared" si="7"/>
        <v/>
      </c>
      <c r="ES200" s="19"/>
      <c r="ET200" s="19" t="str">
        <f t="shared" si="8"/>
        <v/>
      </c>
      <c r="EU200" s="19"/>
      <c r="EV200" s="19"/>
      <c r="EW200" s="19"/>
      <c r="EX200" s="19"/>
      <c r="EY200" s="19"/>
      <c r="EZ200" s="19"/>
      <c r="FA200" s="19"/>
      <c r="FB200" s="19"/>
    </row>
    <row r="201" ht="15.75" customHeight="1">
      <c r="A201" s="19"/>
      <c r="F201" s="19"/>
      <c r="AH201" s="23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19"/>
      <c r="CW201" s="19"/>
      <c r="CX201" s="19"/>
      <c r="CY201" s="19"/>
      <c r="CZ201" s="19"/>
      <c r="DA201" s="19"/>
      <c r="DB201" s="19"/>
      <c r="DC201" s="19"/>
      <c r="DD201" s="19"/>
      <c r="DE201" s="19"/>
      <c r="DF201" s="19"/>
      <c r="DG201" s="19"/>
      <c r="DH201" s="19"/>
      <c r="DI201" s="19"/>
      <c r="DJ201" s="19"/>
      <c r="DK201" s="19"/>
      <c r="DL201" s="19"/>
      <c r="DM201" s="19"/>
      <c r="DN201" s="19"/>
      <c r="DO201" s="19"/>
      <c r="DP201" s="19"/>
      <c r="DQ201" s="19"/>
      <c r="DR201" s="19"/>
      <c r="DS201" s="19"/>
      <c r="DT201" s="19"/>
      <c r="DU201" s="19"/>
      <c r="DV201" s="19"/>
      <c r="DW201" s="19"/>
      <c r="DX201" s="19"/>
      <c r="DY201" s="19"/>
      <c r="DZ201" s="19"/>
      <c r="EA201" s="19"/>
      <c r="EB201" s="19"/>
      <c r="EC201" s="19"/>
      <c r="ED201" s="19"/>
      <c r="EE201" s="19"/>
      <c r="EF201" s="19"/>
      <c r="EG201" s="19"/>
      <c r="EH201" s="19"/>
      <c r="EI201" s="19"/>
      <c r="EJ201" s="19"/>
      <c r="EK201" s="19"/>
      <c r="EL201" s="19"/>
      <c r="EM201" s="19"/>
      <c r="EN201" s="19"/>
      <c r="EO201" s="19"/>
      <c r="EP201" s="17"/>
      <c r="EQ201" s="23"/>
      <c r="ER201" s="23" t="str">
        <f t="shared" si="7"/>
        <v/>
      </c>
      <c r="ES201" s="19"/>
      <c r="ET201" s="19" t="str">
        <f t="shared" si="8"/>
        <v/>
      </c>
      <c r="EU201" s="19"/>
      <c r="EV201" s="19"/>
      <c r="EW201" s="19"/>
      <c r="EX201" s="19"/>
      <c r="EY201" s="19"/>
      <c r="EZ201" s="19"/>
      <c r="FA201" s="19"/>
      <c r="FB201" s="19"/>
    </row>
    <row r="202" ht="15.75" customHeight="1">
      <c r="A202" s="19"/>
      <c r="F202" s="19"/>
      <c r="AH202" s="23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  <c r="CD202" s="19"/>
      <c r="CE202" s="19"/>
      <c r="CF202" s="19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19"/>
      <c r="CW202" s="19"/>
      <c r="CX202" s="19"/>
      <c r="CY202" s="19"/>
      <c r="CZ202" s="19"/>
      <c r="DA202" s="19"/>
      <c r="DB202" s="19"/>
      <c r="DC202" s="19"/>
      <c r="DD202" s="19"/>
      <c r="DE202" s="19"/>
      <c r="DF202" s="19"/>
      <c r="DG202" s="19"/>
      <c r="DH202" s="19"/>
      <c r="DI202" s="19"/>
      <c r="DJ202" s="19"/>
      <c r="DK202" s="19"/>
      <c r="DL202" s="19"/>
      <c r="DM202" s="19"/>
      <c r="DN202" s="19"/>
      <c r="DO202" s="19"/>
      <c r="DP202" s="19"/>
      <c r="DQ202" s="19"/>
      <c r="DR202" s="19"/>
      <c r="DS202" s="19"/>
      <c r="DT202" s="19"/>
      <c r="DU202" s="19"/>
      <c r="DV202" s="19"/>
      <c r="DW202" s="19"/>
      <c r="DX202" s="19"/>
      <c r="DY202" s="19"/>
      <c r="DZ202" s="19"/>
      <c r="EA202" s="19"/>
      <c r="EB202" s="19"/>
      <c r="EC202" s="19"/>
      <c r="ED202" s="19"/>
      <c r="EE202" s="19"/>
      <c r="EF202" s="19"/>
      <c r="EG202" s="19"/>
      <c r="EH202" s="19"/>
      <c r="EI202" s="19"/>
      <c r="EJ202" s="19"/>
      <c r="EK202" s="19"/>
      <c r="EL202" s="19"/>
      <c r="EM202" s="19"/>
      <c r="EN202" s="19"/>
      <c r="EO202" s="19"/>
      <c r="EP202" s="17"/>
      <c r="EQ202" s="23"/>
      <c r="ER202" s="23" t="str">
        <f t="shared" si="7"/>
        <v/>
      </c>
      <c r="ES202" s="19"/>
      <c r="ET202" s="19" t="str">
        <f t="shared" si="8"/>
        <v/>
      </c>
      <c r="EU202" s="19"/>
      <c r="EV202" s="19"/>
      <c r="EW202" s="19"/>
      <c r="EX202" s="19"/>
      <c r="EY202" s="19"/>
      <c r="EZ202" s="19"/>
      <c r="FA202" s="19"/>
      <c r="FB202" s="19"/>
    </row>
    <row r="203" ht="15.75" customHeight="1">
      <c r="A203" s="19"/>
      <c r="F203" s="19"/>
      <c r="AH203" s="23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  <c r="CD203" s="19"/>
      <c r="CE203" s="19"/>
      <c r="CF203" s="19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19"/>
      <c r="CW203" s="19"/>
      <c r="CX203" s="19"/>
      <c r="CY203" s="19"/>
      <c r="CZ203" s="19"/>
      <c r="DA203" s="19"/>
      <c r="DB203" s="19"/>
      <c r="DC203" s="19"/>
      <c r="DD203" s="19"/>
      <c r="DE203" s="19"/>
      <c r="DF203" s="19"/>
      <c r="DG203" s="19"/>
      <c r="DH203" s="19"/>
      <c r="DI203" s="19"/>
      <c r="DJ203" s="19"/>
      <c r="DK203" s="19"/>
      <c r="DL203" s="19"/>
      <c r="DM203" s="19"/>
      <c r="DN203" s="19"/>
      <c r="DO203" s="19"/>
      <c r="DP203" s="19"/>
      <c r="DQ203" s="19"/>
      <c r="DR203" s="19"/>
      <c r="DS203" s="19"/>
      <c r="DT203" s="19"/>
      <c r="DU203" s="19"/>
      <c r="DV203" s="19"/>
      <c r="DW203" s="19"/>
      <c r="DX203" s="19"/>
      <c r="DY203" s="19"/>
      <c r="DZ203" s="19"/>
      <c r="EA203" s="19"/>
      <c r="EB203" s="19"/>
      <c r="EC203" s="19"/>
      <c r="ED203" s="19"/>
      <c r="EE203" s="19"/>
      <c r="EF203" s="19"/>
      <c r="EG203" s="19"/>
      <c r="EH203" s="19"/>
      <c r="EI203" s="19"/>
      <c r="EJ203" s="19"/>
      <c r="EK203" s="19"/>
      <c r="EL203" s="19"/>
      <c r="EM203" s="19"/>
      <c r="EN203" s="19"/>
      <c r="EO203" s="19"/>
      <c r="EP203" s="17"/>
      <c r="EQ203" s="23"/>
      <c r="ER203" s="23" t="str">
        <f t="shared" si="7"/>
        <v/>
      </c>
      <c r="ES203" s="19"/>
      <c r="ET203" s="19" t="str">
        <f t="shared" si="8"/>
        <v/>
      </c>
      <c r="EU203" s="19"/>
      <c r="EV203" s="19"/>
      <c r="EW203" s="19"/>
      <c r="EX203" s="19"/>
      <c r="EY203" s="19"/>
      <c r="EZ203" s="19"/>
      <c r="FA203" s="19"/>
      <c r="FB203" s="19"/>
    </row>
    <row r="204" ht="15.75" customHeight="1">
      <c r="A204" s="19"/>
      <c r="F204" s="19"/>
      <c r="AH204" s="23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7"/>
      <c r="EQ204" s="23"/>
      <c r="ER204" s="23" t="str">
        <f t="shared" si="7"/>
        <v/>
      </c>
      <c r="ES204" s="19"/>
      <c r="ET204" s="19" t="str">
        <f t="shared" si="8"/>
        <v/>
      </c>
      <c r="EU204" s="19"/>
      <c r="EV204" s="19"/>
      <c r="EW204" s="19"/>
      <c r="EX204" s="19"/>
      <c r="EY204" s="19"/>
      <c r="EZ204" s="19"/>
      <c r="FA204" s="19"/>
      <c r="FB204" s="19"/>
    </row>
    <row r="205" ht="15.75" customHeight="1">
      <c r="A205" s="19"/>
      <c r="F205" s="19"/>
      <c r="AH205" s="23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  <c r="CD205" s="19"/>
      <c r="CE205" s="19"/>
      <c r="CF205" s="19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19"/>
      <c r="CW205" s="19"/>
      <c r="CX205" s="19"/>
      <c r="CY205" s="19"/>
      <c r="CZ205" s="19"/>
      <c r="DA205" s="19"/>
      <c r="DB205" s="19"/>
      <c r="DC205" s="19"/>
      <c r="DD205" s="19"/>
      <c r="DE205" s="19"/>
      <c r="DF205" s="19"/>
      <c r="DG205" s="19"/>
      <c r="DH205" s="19"/>
      <c r="DI205" s="19"/>
      <c r="DJ205" s="19"/>
      <c r="DK205" s="19"/>
      <c r="DL205" s="19"/>
      <c r="DM205" s="19"/>
      <c r="DN205" s="19"/>
      <c r="DO205" s="19"/>
      <c r="DP205" s="19"/>
      <c r="DQ205" s="19"/>
      <c r="DR205" s="19"/>
      <c r="DS205" s="19"/>
      <c r="DT205" s="19"/>
      <c r="DU205" s="19"/>
      <c r="DV205" s="19"/>
      <c r="DW205" s="19"/>
      <c r="DX205" s="19"/>
      <c r="DY205" s="19"/>
      <c r="DZ205" s="19"/>
      <c r="EA205" s="19"/>
      <c r="EB205" s="19"/>
      <c r="EC205" s="19"/>
      <c r="ED205" s="19"/>
      <c r="EE205" s="19"/>
      <c r="EF205" s="19"/>
      <c r="EG205" s="19"/>
      <c r="EH205" s="19"/>
      <c r="EI205" s="19"/>
      <c r="EJ205" s="19"/>
      <c r="EK205" s="19"/>
      <c r="EL205" s="19"/>
      <c r="EM205" s="19"/>
      <c r="EN205" s="19"/>
      <c r="EO205" s="19"/>
      <c r="EP205" s="17"/>
      <c r="EQ205" s="23"/>
      <c r="ER205" s="23" t="str">
        <f t="shared" si="7"/>
        <v/>
      </c>
      <c r="ES205" s="19"/>
      <c r="ET205" s="19" t="str">
        <f t="shared" si="8"/>
        <v/>
      </c>
      <c r="EU205" s="19"/>
      <c r="EV205" s="19"/>
      <c r="EW205" s="19"/>
      <c r="EX205" s="19"/>
      <c r="EY205" s="19"/>
      <c r="EZ205" s="19"/>
      <c r="FA205" s="19"/>
      <c r="FB205" s="19"/>
    </row>
    <row r="206" ht="15.75" customHeight="1">
      <c r="A206" s="19"/>
      <c r="F206" s="19"/>
      <c r="AH206" s="23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  <c r="CD206" s="19"/>
      <c r="CE206" s="19"/>
      <c r="CF206" s="19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19"/>
      <c r="CW206" s="19"/>
      <c r="CX206" s="19"/>
      <c r="CY206" s="19"/>
      <c r="CZ206" s="19"/>
      <c r="DA206" s="19"/>
      <c r="DB206" s="19"/>
      <c r="DC206" s="19"/>
      <c r="DD206" s="19"/>
      <c r="DE206" s="19"/>
      <c r="DF206" s="19"/>
      <c r="DG206" s="19"/>
      <c r="DH206" s="19"/>
      <c r="DI206" s="19"/>
      <c r="DJ206" s="19"/>
      <c r="DK206" s="19"/>
      <c r="DL206" s="19"/>
      <c r="DM206" s="19"/>
      <c r="DN206" s="19"/>
      <c r="DO206" s="19"/>
      <c r="DP206" s="19"/>
      <c r="DQ206" s="19"/>
      <c r="DR206" s="19"/>
      <c r="DS206" s="19"/>
      <c r="DT206" s="19"/>
      <c r="DU206" s="19"/>
      <c r="DV206" s="19"/>
      <c r="DW206" s="19"/>
      <c r="DX206" s="19"/>
      <c r="DY206" s="19"/>
      <c r="DZ206" s="19"/>
      <c r="EA206" s="19"/>
      <c r="EB206" s="19"/>
      <c r="EC206" s="19"/>
      <c r="ED206" s="19"/>
      <c r="EE206" s="19"/>
      <c r="EF206" s="19"/>
      <c r="EG206" s="19"/>
      <c r="EH206" s="19"/>
      <c r="EI206" s="19"/>
      <c r="EJ206" s="19"/>
      <c r="EK206" s="19"/>
      <c r="EL206" s="19"/>
      <c r="EM206" s="19"/>
      <c r="EN206" s="19"/>
      <c r="EO206" s="19"/>
      <c r="EP206" s="17"/>
      <c r="EQ206" s="23"/>
      <c r="ER206" s="23" t="str">
        <f t="shared" si="7"/>
        <v/>
      </c>
      <c r="ES206" s="19"/>
      <c r="ET206" s="19" t="str">
        <f t="shared" si="8"/>
        <v/>
      </c>
      <c r="EU206" s="19"/>
      <c r="EV206" s="19"/>
      <c r="EW206" s="19"/>
      <c r="EX206" s="19"/>
      <c r="EY206" s="19"/>
      <c r="EZ206" s="19"/>
      <c r="FA206" s="19"/>
      <c r="FB206" s="19"/>
    </row>
    <row r="207" ht="15.75" customHeight="1">
      <c r="A207" s="19"/>
      <c r="F207" s="19"/>
      <c r="AH207" s="23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  <c r="CD207" s="19"/>
      <c r="CE207" s="19"/>
      <c r="CF207" s="19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19"/>
      <c r="CW207" s="19"/>
      <c r="CX207" s="19"/>
      <c r="CY207" s="19"/>
      <c r="CZ207" s="19"/>
      <c r="DA207" s="19"/>
      <c r="DB207" s="19"/>
      <c r="DC207" s="19"/>
      <c r="DD207" s="19"/>
      <c r="DE207" s="19"/>
      <c r="DF207" s="19"/>
      <c r="DG207" s="19"/>
      <c r="DH207" s="19"/>
      <c r="DI207" s="19"/>
      <c r="DJ207" s="19"/>
      <c r="DK207" s="19"/>
      <c r="DL207" s="19"/>
      <c r="DM207" s="19"/>
      <c r="DN207" s="19"/>
      <c r="DO207" s="19"/>
      <c r="DP207" s="19"/>
      <c r="DQ207" s="19"/>
      <c r="DR207" s="19"/>
      <c r="DS207" s="19"/>
      <c r="DT207" s="19"/>
      <c r="DU207" s="19"/>
      <c r="DV207" s="19"/>
      <c r="DW207" s="19"/>
      <c r="DX207" s="19"/>
      <c r="DY207" s="19"/>
      <c r="DZ207" s="19"/>
      <c r="EA207" s="19"/>
      <c r="EB207" s="19"/>
      <c r="EC207" s="19"/>
      <c r="ED207" s="19"/>
      <c r="EE207" s="19"/>
      <c r="EF207" s="19"/>
      <c r="EG207" s="19"/>
      <c r="EH207" s="19"/>
      <c r="EI207" s="19"/>
      <c r="EJ207" s="19"/>
      <c r="EK207" s="19"/>
      <c r="EL207" s="19"/>
      <c r="EM207" s="19"/>
      <c r="EN207" s="19"/>
      <c r="EO207" s="19"/>
      <c r="EP207" s="17"/>
      <c r="EQ207" s="23"/>
      <c r="ER207" s="23" t="str">
        <f t="shared" si="7"/>
        <v/>
      </c>
      <c r="ES207" s="19"/>
      <c r="ET207" s="19" t="str">
        <f t="shared" si="8"/>
        <v/>
      </c>
      <c r="EU207" s="19"/>
      <c r="EV207" s="19"/>
      <c r="EW207" s="19"/>
      <c r="EX207" s="19"/>
      <c r="EY207" s="19"/>
      <c r="EZ207" s="19"/>
      <c r="FA207" s="19"/>
      <c r="FB207" s="19"/>
    </row>
    <row r="208" ht="15.75" customHeight="1">
      <c r="A208" s="19"/>
      <c r="F208" s="19"/>
      <c r="AH208" s="23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  <c r="CD208" s="19"/>
      <c r="CE208" s="19"/>
      <c r="CF208" s="19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19"/>
      <c r="CW208" s="19"/>
      <c r="CX208" s="19"/>
      <c r="CY208" s="19"/>
      <c r="CZ208" s="19"/>
      <c r="DA208" s="19"/>
      <c r="DB208" s="19"/>
      <c r="DC208" s="19"/>
      <c r="DD208" s="19"/>
      <c r="DE208" s="19"/>
      <c r="DF208" s="19"/>
      <c r="DG208" s="19"/>
      <c r="DH208" s="19"/>
      <c r="DI208" s="19"/>
      <c r="DJ208" s="19"/>
      <c r="DK208" s="19"/>
      <c r="DL208" s="19"/>
      <c r="DM208" s="19"/>
      <c r="DN208" s="19"/>
      <c r="DO208" s="19"/>
      <c r="DP208" s="19"/>
      <c r="DQ208" s="19"/>
      <c r="DR208" s="19"/>
      <c r="DS208" s="19"/>
      <c r="DT208" s="19"/>
      <c r="DU208" s="19"/>
      <c r="DV208" s="19"/>
      <c r="DW208" s="19"/>
      <c r="DX208" s="19"/>
      <c r="DY208" s="19"/>
      <c r="DZ208" s="19"/>
      <c r="EA208" s="19"/>
      <c r="EB208" s="19"/>
      <c r="EC208" s="19"/>
      <c r="ED208" s="19"/>
      <c r="EE208" s="19"/>
      <c r="EF208" s="19"/>
      <c r="EG208" s="19"/>
      <c r="EH208" s="19"/>
      <c r="EI208" s="19"/>
      <c r="EJ208" s="19"/>
      <c r="EK208" s="19"/>
      <c r="EL208" s="19"/>
      <c r="EM208" s="19"/>
      <c r="EN208" s="19"/>
      <c r="EO208" s="19"/>
      <c r="EP208" s="17"/>
      <c r="EQ208" s="23"/>
      <c r="ER208" s="23" t="str">
        <f t="shared" si="7"/>
        <v/>
      </c>
      <c r="ES208" s="19"/>
      <c r="ET208" s="19" t="str">
        <f t="shared" si="8"/>
        <v/>
      </c>
      <c r="EU208" s="19"/>
      <c r="EV208" s="19"/>
      <c r="EW208" s="19"/>
      <c r="EX208" s="19"/>
      <c r="EY208" s="19"/>
      <c r="EZ208" s="19"/>
      <c r="FA208" s="19"/>
      <c r="FB208" s="19"/>
    </row>
    <row r="209" ht="15.75" customHeight="1">
      <c r="A209" s="19"/>
      <c r="F209" s="19"/>
      <c r="AH209" s="23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  <c r="CD209" s="19"/>
      <c r="CE209" s="19"/>
      <c r="CF209" s="19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19"/>
      <c r="CW209" s="19"/>
      <c r="CX209" s="19"/>
      <c r="CY209" s="19"/>
      <c r="CZ209" s="19"/>
      <c r="DA209" s="19"/>
      <c r="DB209" s="19"/>
      <c r="DC209" s="19"/>
      <c r="DD209" s="19"/>
      <c r="DE209" s="19"/>
      <c r="DF209" s="19"/>
      <c r="DG209" s="19"/>
      <c r="DH209" s="19"/>
      <c r="DI209" s="19"/>
      <c r="DJ209" s="19"/>
      <c r="DK209" s="19"/>
      <c r="DL209" s="19"/>
      <c r="DM209" s="19"/>
      <c r="DN209" s="19"/>
      <c r="DO209" s="19"/>
      <c r="DP209" s="19"/>
      <c r="DQ209" s="19"/>
      <c r="DR209" s="19"/>
      <c r="DS209" s="19"/>
      <c r="DT209" s="19"/>
      <c r="DU209" s="19"/>
      <c r="DV209" s="19"/>
      <c r="DW209" s="19"/>
      <c r="DX209" s="19"/>
      <c r="DY209" s="19"/>
      <c r="DZ209" s="19"/>
      <c r="EA209" s="19"/>
      <c r="EB209" s="19"/>
      <c r="EC209" s="19"/>
      <c r="ED209" s="19"/>
      <c r="EE209" s="19"/>
      <c r="EF209" s="19"/>
      <c r="EG209" s="19"/>
      <c r="EH209" s="19"/>
      <c r="EI209" s="19"/>
      <c r="EJ209" s="19"/>
      <c r="EK209" s="19"/>
      <c r="EL209" s="19"/>
      <c r="EM209" s="19"/>
      <c r="EN209" s="19"/>
      <c r="EO209" s="19"/>
      <c r="EP209" s="17"/>
      <c r="EQ209" s="23"/>
      <c r="ER209" s="23" t="str">
        <f t="shared" si="7"/>
        <v/>
      </c>
      <c r="ES209" s="19"/>
      <c r="ET209" s="19" t="str">
        <f t="shared" si="8"/>
        <v/>
      </c>
      <c r="EU209" s="19"/>
      <c r="EV209" s="19"/>
      <c r="EW209" s="19"/>
      <c r="EX209" s="19"/>
      <c r="EY209" s="19"/>
      <c r="EZ209" s="19"/>
      <c r="FA209" s="19"/>
      <c r="FB209" s="19"/>
    </row>
    <row r="210" ht="15.75" customHeight="1">
      <c r="A210" s="19"/>
      <c r="F210" s="19"/>
      <c r="AH210" s="23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  <c r="CD210" s="19"/>
      <c r="CE210" s="19"/>
      <c r="CF210" s="19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19"/>
      <c r="CW210" s="19"/>
      <c r="CX210" s="19"/>
      <c r="CY210" s="19"/>
      <c r="CZ210" s="19"/>
      <c r="DA210" s="19"/>
      <c r="DB210" s="19"/>
      <c r="DC210" s="19"/>
      <c r="DD210" s="19"/>
      <c r="DE210" s="19"/>
      <c r="DF210" s="19"/>
      <c r="DG210" s="19"/>
      <c r="DH210" s="19"/>
      <c r="DI210" s="19"/>
      <c r="DJ210" s="19"/>
      <c r="DK210" s="19"/>
      <c r="DL210" s="19"/>
      <c r="DM210" s="19"/>
      <c r="DN210" s="19"/>
      <c r="DO210" s="19"/>
      <c r="DP210" s="19"/>
      <c r="DQ210" s="19"/>
      <c r="DR210" s="19"/>
      <c r="DS210" s="19"/>
      <c r="DT210" s="19"/>
      <c r="DU210" s="19"/>
      <c r="DV210" s="19"/>
      <c r="DW210" s="19"/>
      <c r="DX210" s="19"/>
      <c r="DY210" s="19"/>
      <c r="DZ210" s="19"/>
      <c r="EA210" s="19"/>
      <c r="EB210" s="19"/>
      <c r="EC210" s="19"/>
      <c r="ED210" s="19"/>
      <c r="EE210" s="19"/>
      <c r="EF210" s="19"/>
      <c r="EG210" s="19"/>
      <c r="EH210" s="19"/>
      <c r="EI210" s="19"/>
      <c r="EJ210" s="19"/>
      <c r="EK210" s="19"/>
      <c r="EL210" s="19"/>
      <c r="EM210" s="19"/>
      <c r="EN210" s="19"/>
      <c r="EO210" s="19"/>
      <c r="EP210" s="17"/>
      <c r="EQ210" s="23"/>
      <c r="ER210" s="23" t="str">
        <f t="shared" si="7"/>
        <v/>
      </c>
      <c r="ES210" s="19"/>
      <c r="ET210" s="19" t="str">
        <f t="shared" si="8"/>
        <v/>
      </c>
      <c r="EU210" s="19"/>
      <c r="EV210" s="19"/>
      <c r="EW210" s="19"/>
      <c r="EX210" s="19"/>
      <c r="EY210" s="19"/>
      <c r="EZ210" s="19"/>
      <c r="FA210" s="19"/>
      <c r="FB210" s="19"/>
    </row>
    <row r="211" ht="15.75" customHeight="1">
      <c r="A211" s="19"/>
      <c r="F211" s="19"/>
      <c r="AH211" s="23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  <c r="CD211" s="19"/>
      <c r="CE211" s="19"/>
      <c r="CF211" s="19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19"/>
      <c r="CW211" s="19"/>
      <c r="CX211" s="19"/>
      <c r="CY211" s="19"/>
      <c r="CZ211" s="19"/>
      <c r="DA211" s="19"/>
      <c r="DB211" s="19"/>
      <c r="DC211" s="19"/>
      <c r="DD211" s="19"/>
      <c r="DE211" s="19"/>
      <c r="DF211" s="19"/>
      <c r="DG211" s="19"/>
      <c r="DH211" s="19"/>
      <c r="DI211" s="19"/>
      <c r="DJ211" s="19"/>
      <c r="DK211" s="19"/>
      <c r="DL211" s="19"/>
      <c r="DM211" s="19"/>
      <c r="DN211" s="19"/>
      <c r="DO211" s="19"/>
      <c r="DP211" s="19"/>
      <c r="DQ211" s="19"/>
      <c r="DR211" s="19"/>
      <c r="DS211" s="19"/>
      <c r="DT211" s="19"/>
      <c r="DU211" s="19"/>
      <c r="DV211" s="19"/>
      <c r="DW211" s="19"/>
      <c r="DX211" s="19"/>
      <c r="DY211" s="19"/>
      <c r="DZ211" s="19"/>
      <c r="EA211" s="19"/>
      <c r="EB211" s="19"/>
      <c r="EC211" s="19"/>
      <c r="ED211" s="19"/>
      <c r="EE211" s="19"/>
      <c r="EF211" s="19"/>
      <c r="EG211" s="19"/>
      <c r="EH211" s="19"/>
      <c r="EI211" s="19"/>
      <c r="EJ211" s="19"/>
      <c r="EK211" s="19"/>
      <c r="EL211" s="19"/>
      <c r="EM211" s="19"/>
      <c r="EN211" s="19"/>
      <c r="EO211" s="19"/>
      <c r="EP211" s="17"/>
      <c r="EQ211" s="23"/>
      <c r="ER211" s="23" t="str">
        <f t="shared" si="7"/>
        <v/>
      </c>
      <c r="ES211" s="19"/>
      <c r="ET211" s="19" t="str">
        <f t="shared" si="8"/>
        <v/>
      </c>
      <c r="EU211" s="19"/>
      <c r="EV211" s="19"/>
      <c r="EW211" s="19"/>
      <c r="EX211" s="19"/>
      <c r="EY211" s="19"/>
      <c r="EZ211" s="19"/>
      <c r="FA211" s="19"/>
      <c r="FB211" s="19"/>
    </row>
    <row r="212" ht="15.75" customHeight="1">
      <c r="A212" s="19"/>
      <c r="F212" s="19"/>
      <c r="AH212" s="23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  <c r="CD212" s="19"/>
      <c r="CE212" s="19"/>
      <c r="CF212" s="19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19"/>
      <c r="CW212" s="19"/>
      <c r="CX212" s="19"/>
      <c r="CY212" s="19"/>
      <c r="CZ212" s="19"/>
      <c r="DA212" s="19"/>
      <c r="DB212" s="19"/>
      <c r="DC212" s="19"/>
      <c r="DD212" s="19"/>
      <c r="DE212" s="19"/>
      <c r="DF212" s="19"/>
      <c r="DG212" s="19"/>
      <c r="DH212" s="19"/>
      <c r="DI212" s="19"/>
      <c r="DJ212" s="19"/>
      <c r="DK212" s="19"/>
      <c r="DL212" s="19"/>
      <c r="DM212" s="19"/>
      <c r="DN212" s="19"/>
      <c r="DO212" s="19"/>
      <c r="DP212" s="19"/>
      <c r="DQ212" s="19"/>
      <c r="DR212" s="19"/>
      <c r="DS212" s="19"/>
      <c r="DT212" s="19"/>
      <c r="DU212" s="19"/>
      <c r="DV212" s="19"/>
      <c r="DW212" s="19"/>
      <c r="DX212" s="19"/>
      <c r="DY212" s="19"/>
      <c r="DZ212" s="19"/>
      <c r="EA212" s="19"/>
      <c r="EB212" s="19"/>
      <c r="EC212" s="19"/>
      <c r="ED212" s="19"/>
      <c r="EE212" s="19"/>
      <c r="EF212" s="19"/>
      <c r="EG212" s="19"/>
      <c r="EH212" s="19"/>
      <c r="EI212" s="19"/>
      <c r="EJ212" s="19"/>
      <c r="EK212" s="19"/>
      <c r="EL212" s="19"/>
      <c r="EM212" s="19"/>
      <c r="EN212" s="19"/>
      <c r="EO212" s="19"/>
      <c r="EP212" s="17"/>
      <c r="EQ212" s="23"/>
      <c r="ER212" s="23" t="str">
        <f t="shared" si="7"/>
        <v/>
      </c>
      <c r="ES212" s="19"/>
      <c r="ET212" s="19" t="str">
        <f t="shared" si="8"/>
        <v/>
      </c>
      <c r="EU212" s="19"/>
      <c r="EV212" s="19"/>
      <c r="EW212" s="19"/>
      <c r="EX212" s="19"/>
      <c r="EY212" s="19"/>
      <c r="EZ212" s="19"/>
      <c r="FA212" s="19"/>
      <c r="FB212" s="19"/>
    </row>
    <row r="213" ht="15.75" customHeight="1">
      <c r="A213" s="19"/>
      <c r="F213" s="19"/>
      <c r="AH213" s="23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  <c r="CD213" s="19"/>
      <c r="CE213" s="19"/>
      <c r="CF213" s="19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19"/>
      <c r="CW213" s="19"/>
      <c r="CX213" s="19"/>
      <c r="CY213" s="19"/>
      <c r="CZ213" s="19"/>
      <c r="DA213" s="19"/>
      <c r="DB213" s="19"/>
      <c r="DC213" s="19"/>
      <c r="DD213" s="19"/>
      <c r="DE213" s="19"/>
      <c r="DF213" s="19"/>
      <c r="DG213" s="19"/>
      <c r="DH213" s="19"/>
      <c r="DI213" s="19"/>
      <c r="DJ213" s="19"/>
      <c r="DK213" s="19"/>
      <c r="DL213" s="19"/>
      <c r="DM213" s="19"/>
      <c r="DN213" s="19"/>
      <c r="DO213" s="19"/>
      <c r="DP213" s="19"/>
      <c r="DQ213" s="19"/>
      <c r="DR213" s="19"/>
      <c r="DS213" s="19"/>
      <c r="DT213" s="19"/>
      <c r="DU213" s="19"/>
      <c r="DV213" s="19"/>
      <c r="DW213" s="19"/>
      <c r="DX213" s="19"/>
      <c r="DY213" s="19"/>
      <c r="DZ213" s="19"/>
      <c r="EA213" s="19"/>
      <c r="EB213" s="19"/>
      <c r="EC213" s="19"/>
      <c r="ED213" s="19"/>
      <c r="EE213" s="19"/>
      <c r="EF213" s="19"/>
      <c r="EG213" s="19"/>
      <c r="EH213" s="19"/>
      <c r="EI213" s="19"/>
      <c r="EJ213" s="19"/>
      <c r="EK213" s="19"/>
      <c r="EL213" s="19"/>
      <c r="EM213" s="19"/>
      <c r="EN213" s="19"/>
      <c r="EO213" s="19"/>
      <c r="EP213" s="17"/>
      <c r="EQ213" s="23"/>
      <c r="ER213" s="23" t="str">
        <f t="shared" si="7"/>
        <v/>
      </c>
      <c r="ES213" s="19"/>
      <c r="ET213" s="19" t="str">
        <f t="shared" si="8"/>
        <v/>
      </c>
      <c r="EU213" s="19"/>
      <c r="EV213" s="19"/>
      <c r="EW213" s="19"/>
      <c r="EX213" s="19"/>
      <c r="EY213" s="19"/>
      <c r="EZ213" s="19"/>
      <c r="FA213" s="19"/>
      <c r="FB213" s="19"/>
    </row>
    <row r="214" ht="15.75" customHeight="1">
      <c r="A214" s="19"/>
      <c r="F214" s="19"/>
      <c r="AH214" s="23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  <c r="CD214" s="19"/>
      <c r="CE214" s="19"/>
      <c r="CF214" s="19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19"/>
      <c r="CW214" s="19"/>
      <c r="CX214" s="19"/>
      <c r="CY214" s="19"/>
      <c r="CZ214" s="19"/>
      <c r="DA214" s="19"/>
      <c r="DB214" s="19"/>
      <c r="DC214" s="19"/>
      <c r="DD214" s="19"/>
      <c r="DE214" s="19"/>
      <c r="DF214" s="19"/>
      <c r="DG214" s="19"/>
      <c r="DH214" s="19"/>
      <c r="DI214" s="19"/>
      <c r="DJ214" s="19"/>
      <c r="DK214" s="19"/>
      <c r="DL214" s="19"/>
      <c r="DM214" s="19"/>
      <c r="DN214" s="19"/>
      <c r="DO214" s="19"/>
      <c r="DP214" s="19"/>
      <c r="DQ214" s="19"/>
      <c r="DR214" s="19"/>
      <c r="DS214" s="19"/>
      <c r="DT214" s="19"/>
      <c r="DU214" s="19"/>
      <c r="DV214" s="19"/>
      <c r="DW214" s="19"/>
      <c r="DX214" s="19"/>
      <c r="DY214" s="19"/>
      <c r="DZ214" s="19"/>
      <c r="EA214" s="19"/>
      <c r="EB214" s="19"/>
      <c r="EC214" s="19"/>
      <c r="ED214" s="19"/>
      <c r="EE214" s="19"/>
      <c r="EF214" s="19"/>
      <c r="EG214" s="19"/>
      <c r="EH214" s="19"/>
      <c r="EI214" s="19"/>
      <c r="EJ214" s="19"/>
      <c r="EK214" s="19"/>
      <c r="EL214" s="19"/>
      <c r="EM214" s="19"/>
      <c r="EN214" s="19"/>
      <c r="EO214" s="19"/>
      <c r="EP214" s="17"/>
      <c r="EQ214" s="23"/>
      <c r="ER214" s="23" t="str">
        <f t="shared" si="7"/>
        <v/>
      </c>
      <c r="ES214" s="19"/>
      <c r="ET214" s="19" t="str">
        <f t="shared" si="8"/>
        <v/>
      </c>
      <c r="EU214" s="19"/>
      <c r="EV214" s="19"/>
      <c r="EW214" s="19"/>
      <c r="EX214" s="19"/>
      <c r="EY214" s="19"/>
      <c r="EZ214" s="19"/>
      <c r="FA214" s="19"/>
      <c r="FB214" s="19"/>
    </row>
    <row r="215" ht="15.75" customHeight="1">
      <c r="A215" s="19"/>
      <c r="F215" s="19"/>
      <c r="AH215" s="23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7"/>
      <c r="EQ215" s="23"/>
      <c r="ER215" s="23" t="str">
        <f t="shared" si="7"/>
        <v/>
      </c>
      <c r="ES215" s="19"/>
      <c r="ET215" s="19" t="str">
        <f t="shared" si="8"/>
        <v/>
      </c>
      <c r="EU215" s="19"/>
      <c r="EV215" s="19"/>
      <c r="EW215" s="19"/>
      <c r="EX215" s="19"/>
      <c r="EY215" s="19"/>
      <c r="EZ215" s="19"/>
      <c r="FA215" s="19"/>
      <c r="FB215" s="19"/>
    </row>
    <row r="216" ht="15.75" customHeight="1">
      <c r="A216" s="19"/>
      <c r="F216" s="19"/>
      <c r="AH216" s="23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  <c r="CD216" s="19"/>
      <c r="CE216" s="19"/>
      <c r="CF216" s="19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19"/>
      <c r="CW216" s="19"/>
      <c r="CX216" s="19"/>
      <c r="CY216" s="19"/>
      <c r="CZ216" s="19"/>
      <c r="DA216" s="19"/>
      <c r="DB216" s="19"/>
      <c r="DC216" s="19"/>
      <c r="DD216" s="19"/>
      <c r="DE216" s="19"/>
      <c r="DF216" s="19"/>
      <c r="DG216" s="19"/>
      <c r="DH216" s="19"/>
      <c r="DI216" s="19"/>
      <c r="DJ216" s="19"/>
      <c r="DK216" s="19"/>
      <c r="DL216" s="19"/>
      <c r="DM216" s="19"/>
      <c r="DN216" s="19"/>
      <c r="DO216" s="19"/>
      <c r="DP216" s="19"/>
      <c r="DQ216" s="19"/>
      <c r="DR216" s="19"/>
      <c r="DS216" s="19"/>
      <c r="DT216" s="19"/>
      <c r="DU216" s="19"/>
      <c r="DV216" s="19"/>
      <c r="DW216" s="19"/>
      <c r="DX216" s="19"/>
      <c r="DY216" s="19"/>
      <c r="DZ216" s="19"/>
      <c r="EA216" s="19"/>
      <c r="EB216" s="19"/>
      <c r="EC216" s="19"/>
      <c r="ED216" s="19"/>
      <c r="EE216" s="19"/>
      <c r="EF216" s="19"/>
      <c r="EG216" s="19"/>
      <c r="EH216" s="19"/>
      <c r="EI216" s="19"/>
      <c r="EJ216" s="19"/>
      <c r="EK216" s="19"/>
      <c r="EL216" s="19"/>
      <c r="EM216" s="19"/>
      <c r="EN216" s="19"/>
      <c r="EO216" s="19"/>
      <c r="EP216" s="17"/>
      <c r="EQ216" s="23"/>
      <c r="ER216" s="23" t="str">
        <f t="shared" si="7"/>
        <v/>
      </c>
      <c r="ES216" s="19"/>
      <c r="ET216" s="19" t="str">
        <f t="shared" si="8"/>
        <v/>
      </c>
      <c r="EU216" s="19"/>
      <c r="EV216" s="19"/>
      <c r="EW216" s="19"/>
      <c r="EX216" s="19"/>
      <c r="EY216" s="19"/>
      <c r="EZ216" s="19"/>
      <c r="FA216" s="19"/>
      <c r="FB216" s="19"/>
    </row>
    <row r="217" ht="15.75" customHeight="1">
      <c r="A217" s="19"/>
      <c r="F217" s="19"/>
      <c r="AH217" s="23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  <c r="CD217" s="19"/>
      <c r="CE217" s="19"/>
      <c r="CF217" s="19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19"/>
      <c r="CW217" s="19"/>
      <c r="CX217" s="19"/>
      <c r="CY217" s="19"/>
      <c r="CZ217" s="19"/>
      <c r="DA217" s="19"/>
      <c r="DB217" s="19"/>
      <c r="DC217" s="19"/>
      <c r="DD217" s="19"/>
      <c r="DE217" s="19"/>
      <c r="DF217" s="19"/>
      <c r="DG217" s="19"/>
      <c r="DH217" s="19"/>
      <c r="DI217" s="19"/>
      <c r="DJ217" s="19"/>
      <c r="DK217" s="19"/>
      <c r="DL217" s="19"/>
      <c r="DM217" s="19"/>
      <c r="DN217" s="19"/>
      <c r="DO217" s="19"/>
      <c r="DP217" s="19"/>
      <c r="DQ217" s="19"/>
      <c r="DR217" s="19"/>
      <c r="DS217" s="19"/>
      <c r="DT217" s="19"/>
      <c r="DU217" s="19"/>
      <c r="DV217" s="19"/>
      <c r="DW217" s="19"/>
      <c r="DX217" s="19"/>
      <c r="DY217" s="19"/>
      <c r="DZ217" s="19"/>
      <c r="EA217" s="19"/>
      <c r="EB217" s="19"/>
      <c r="EC217" s="19"/>
      <c r="ED217" s="19"/>
      <c r="EE217" s="19"/>
      <c r="EF217" s="19"/>
      <c r="EG217" s="19"/>
      <c r="EH217" s="19"/>
      <c r="EI217" s="19"/>
      <c r="EJ217" s="19"/>
      <c r="EK217" s="19"/>
      <c r="EL217" s="19"/>
      <c r="EM217" s="19"/>
      <c r="EN217" s="19"/>
      <c r="EO217" s="19"/>
      <c r="EP217" s="17"/>
      <c r="EQ217" s="23"/>
      <c r="ER217" s="23" t="str">
        <f t="shared" si="7"/>
        <v/>
      </c>
      <c r="ES217" s="19"/>
      <c r="ET217" s="19" t="str">
        <f t="shared" si="8"/>
        <v/>
      </c>
      <c r="EU217" s="19"/>
      <c r="EV217" s="19"/>
      <c r="EW217" s="19"/>
      <c r="EX217" s="19"/>
      <c r="EY217" s="19"/>
      <c r="EZ217" s="19"/>
      <c r="FA217" s="19"/>
      <c r="FB217" s="19"/>
    </row>
    <row r="218" ht="15.75" customHeight="1">
      <c r="A218" s="19"/>
      <c r="F218" s="19"/>
      <c r="AH218" s="23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  <c r="CD218" s="19"/>
      <c r="CE218" s="19"/>
      <c r="CF218" s="19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19"/>
      <c r="CW218" s="19"/>
      <c r="CX218" s="19"/>
      <c r="CY218" s="19"/>
      <c r="CZ218" s="19"/>
      <c r="DA218" s="19"/>
      <c r="DB218" s="19"/>
      <c r="DC218" s="19"/>
      <c r="DD218" s="19"/>
      <c r="DE218" s="19"/>
      <c r="DF218" s="19"/>
      <c r="DG218" s="19"/>
      <c r="DH218" s="19"/>
      <c r="DI218" s="19"/>
      <c r="DJ218" s="19"/>
      <c r="DK218" s="19"/>
      <c r="DL218" s="19"/>
      <c r="DM218" s="19"/>
      <c r="DN218" s="19"/>
      <c r="DO218" s="19"/>
      <c r="DP218" s="19"/>
      <c r="DQ218" s="19"/>
      <c r="DR218" s="19"/>
      <c r="DS218" s="19"/>
      <c r="DT218" s="19"/>
      <c r="DU218" s="19"/>
      <c r="DV218" s="19"/>
      <c r="DW218" s="19"/>
      <c r="DX218" s="19"/>
      <c r="DY218" s="19"/>
      <c r="DZ218" s="19"/>
      <c r="EA218" s="19"/>
      <c r="EB218" s="19"/>
      <c r="EC218" s="19"/>
      <c r="ED218" s="19"/>
      <c r="EE218" s="19"/>
      <c r="EF218" s="19"/>
      <c r="EG218" s="19"/>
      <c r="EH218" s="19"/>
      <c r="EI218" s="19"/>
      <c r="EJ218" s="19"/>
      <c r="EK218" s="19"/>
      <c r="EL218" s="19"/>
      <c r="EM218" s="19"/>
      <c r="EN218" s="19"/>
      <c r="EO218" s="19"/>
      <c r="EP218" s="17"/>
      <c r="EQ218" s="23"/>
      <c r="ER218" s="23" t="str">
        <f t="shared" si="7"/>
        <v/>
      </c>
      <c r="ES218" s="19"/>
      <c r="ET218" s="19" t="str">
        <f t="shared" si="8"/>
        <v/>
      </c>
      <c r="EU218" s="19"/>
      <c r="EV218" s="19"/>
      <c r="EW218" s="19"/>
      <c r="EX218" s="19"/>
      <c r="EY218" s="19"/>
      <c r="EZ218" s="19"/>
      <c r="FA218" s="19"/>
      <c r="FB218" s="19"/>
    </row>
    <row r="219" ht="15.75" customHeight="1">
      <c r="A219" s="19"/>
      <c r="F219" s="19"/>
      <c r="AH219" s="23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  <c r="CD219" s="19"/>
      <c r="CE219" s="19"/>
      <c r="CF219" s="19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19"/>
      <c r="CW219" s="19"/>
      <c r="CX219" s="19"/>
      <c r="CY219" s="19"/>
      <c r="CZ219" s="19"/>
      <c r="DA219" s="19"/>
      <c r="DB219" s="19"/>
      <c r="DC219" s="19"/>
      <c r="DD219" s="19"/>
      <c r="DE219" s="19"/>
      <c r="DF219" s="19"/>
      <c r="DG219" s="19"/>
      <c r="DH219" s="19"/>
      <c r="DI219" s="19"/>
      <c r="DJ219" s="19"/>
      <c r="DK219" s="19"/>
      <c r="DL219" s="19"/>
      <c r="DM219" s="19"/>
      <c r="DN219" s="19"/>
      <c r="DO219" s="19"/>
      <c r="DP219" s="19"/>
      <c r="DQ219" s="19"/>
      <c r="DR219" s="19"/>
      <c r="DS219" s="19"/>
      <c r="DT219" s="19"/>
      <c r="DU219" s="19"/>
      <c r="DV219" s="19"/>
      <c r="DW219" s="19"/>
      <c r="DX219" s="19"/>
      <c r="DY219" s="19"/>
      <c r="DZ219" s="19"/>
      <c r="EA219" s="19"/>
      <c r="EB219" s="19"/>
      <c r="EC219" s="19"/>
      <c r="ED219" s="19"/>
      <c r="EE219" s="19"/>
      <c r="EF219" s="19"/>
      <c r="EG219" s="19"/>
      <c r="EH219" s="19"/>
      <c r="EI219" s="19"/>
      <c r="EJ219" s="19"/>
      <c r="EK219" s="19"/>
      <c r="EL219" s="19"/>
      <c r="EM219" s="19"/>
      <c r="EN219" s="19"/>
      <c r="EO219" s="19"/>
      <c r="EP219" s="17"/>
      <c r="EQ219" s="23"/>
      <c r="ER219" s="23" t="str">
        <f t="shared" si="7"/>
        <v/>
      </c>
      <c r="ES219" s="19"/>
      <c r="ET219" s="19" t="str">
        <f t="shared" si="8"/>
        <v/>
      </c>
      <c r="EU219" s="19"/>
      <c r="EV219" s="19"/>
      <c r="EW219" s="19"/>
      <c r="EX219" s="19"/>
      <c r="EY219" s="19"/>
      <c r="EZ219" s="19"/>
      <c r="FA219" s="19"/>
      <c r="FB219" s="19"/>
    </row>
    <row r="220" ht="15.75" customHeight="1">
      <c r="A220" s="19"/>
      <c r="F220" s="19"/>
      <c r="AH220" s="23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  <c r="CD220" s="19"/>
      <c r="CE220" s="19"/>
      <c r="CF220" s="19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19"/>
      <c r="CW220" s="19"/>
      <c r="CX220" s="19"/>
      <c r="CY220" s="19"/>
      <c r="CZ220" s="19"/>
      <c r="DA220" s="19"/>
      <c r="DB220" s="19"/>
      <c r="DC220" s="19"/>
      <c r="DD220" s="19"/>
      <c r="DE220" s="19"/>
      <c r="DF220" s="19"/>
      <c r="DG220" s="19"/>
      <c r="DH220" s="19"/>
      <c r="DI220" s="19"/>
      <c r="DJ220" s="19"/>
      <c r="DK220" s="19"/>
      <c r="DL220" s="19"/>
      <c r="DM220" s="19"/>
      <c r="DN220" s="19"/>
      <c r="DO220" s="19"/>
      <c r="DP220" s="19"/>
      <c r="DQ220" s="19"/>
      <c r="DR220" s="19"/>
      <c r="DS220" s="19"/>
      <c r="DT220" s="19"/>
      <c r="DU220" s="19"/>
      <c r="DV220" s="19"/>
      <c r="DW220" s="19"/>
      <c r="DX220" s="19"/>
      <c r="DY220" s="19"/>
      <c r="DZ220" s="19"/>
      <c r="EA220" s="19"/>
      <c r="EB220" s="19"/>
      <c r="EC220" s="19"/>
      <c r="ED220" s="19"/>
      <c r="EE220" s="19"/>
      <c r="EF220" s="19"/>
      <c r="EG220" s="19"/>
      <c r="EH220" s="19"/>
      <c r="EI220" s="19"/>
      <c r="EJ220" s="19"/>
      <c r="EK220" s="19"/>
      <c r="EL220" s="19"/>
      <c r="EM220" s="19"/>
      <c r="EN220" s="19"/>
      <c r="EO220" s="19"/>
      <c r="EP220" s="17"/>
      <c r="EQ220" s="23"/>
      <c r="ER220" s="23" t="str">
        <f t="shared" si="7"/>
        <v/>
      </c>
      <c r="ES220" s="19"/>
      <c r="ET220" s="19" t="str">
        <f t="shared" si="8"/>
        <v/>
      </c>
      <c r="EU220" s="19"/>
      <c r="EV220" s="19"/>
      <c r="EW220" s="19"/>
      <c r="EX220" s="19"/>
      <c r="EY220" s="19"/>
      <c r="EZ220" s="19"/>
      <c r="FA220" s="19"/>
      <c r="FB220" s="19"/>
    </row>
    <row r="221" ht="15.75" customHeight="1">
      <c r="A221" s="19"/>
      <c r="F221" s="19"/>
      <c r="AH221" s="23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  <c r="CD221" s="19"/>
      <c r="CE221" s="19"/>
      <c r="CF221" s="19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19"/>
      <c r="CW221" s="19"/>
      <c r="CX221" s="19"/>
      <c r="CY221" s="19"/>
      <c r="CZ221" s="19"/>
      <c r="DA221" s="19"/>
      <c r="DB221" s="19"/>
      <c r="DC221" s="19"/>
      <c r="DD221" s="19"/>
      <c r="DE221" s="19"/>
      <c r="DF221" s="19"/>
      <c r="DG221" s="19"/>
      <c r="DH221" s="19"/>
      <c r="DI221" s="19"/>
      <c r="DJ221" s="19"/>
      <c r="DK221" s="19"/>
      <c r="DL221" s="19"/>
      <c r="DM221" s="19"/>
      <c r="DN221" s="19"/>
      <c r="DO221" s="19"/>
      <c r="DP221" s="19"/>
      <c r="DQ221" s="19"/>
      <c r="DR221" s="19"/>
      <c r="DS221" s="19"/>
      <c r="DT221" s="19"/>
      <c r="DU221" s="19"/>
      <c r="DV221" s="19"/>
      <c r="DW221" s="19"/>
      <c r="DX221" s="19"/>
      <c r="DY221" s="19"/>
      <c r="DZ221" s="19"/>
      <c r="EA221" s="19"/>
      <c r="EB221" s="19"/>
      <c r="EC221" s="19"/>
      <c r="ED221" s="19"/>
      <c r="EE221" s="19"/>
      <c r="EF221" s="19"/>
      <c r="EG221" s="19"/>
      <c r="EH221" s="19"/>
      <c r="EI221" s="19"/>
      <c r="EJ221" s="19"/>
      <c r="EK221" s="19"/>
      <c r="EL221" s="19"/>
      <c r="EM221" s="19"/>
      <c r="EN221" s="19"/>
      <c r="EO221" s="19"/>
      <c r="EP221" s="17"/>
      <c r="EQ221" s="23"/>
      <c r="ER221" s="23" t="str">
        <f t="shared" si="7"/>
        <v/>
      </c>
      <c r="ES221" s="19"/>
      <c r="ET221" s="19" t="str">
        <f t="shared" si="8"/>
        <v/>
      </c>
      <c r="EU221" s="19"/>
      <c r="EV221" s="19"/>
      <c r="EW221" s="19"/>
      <c r="EX221" s="19"/>
      <c r="EY221" s="19"/>
      <c r="EZ221" s="19"/>
      <c r="FA221" s="19"/>
      <c r="FB221" s="19"/>
    </row>
    <row r="222" ht="15.75" customHeight="1">
      <c r="A222" s="19"/>
      <c r="F222" s="19"/>
      <c r="AH222" s="23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  <c r="CD222" s="19"/>
      <c r="CE222" s="19"/>
      <c r="CF222" s="19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19"/>
      <c r="CW222" s="19"/>
      <c r="CX222" s="19"/>
      <c r="CY222" s="19"/>
      <c r="CZ222" s="19"/>
      <c r="DA222" s="19"/>
      <c r="DB222" s="19"/>
      <c r="DC222" s="19"/>
      <c r="DD222" s="19"/>
      <c r="DE222" s="19"/>
      <c r="DF222" s="19"/>
      <c r="DG222" s="19"/>
      <c r="DH222" s="19"/>
      <c r="DI222" s="19"/>
      <c r="DJ222" s="19"/>
      <c r="DK222" s="19"/>
      <c r="DL222" s="19"/>
      <c r="DM222" s="19"/>
      <c r="DN222" s="19"/>
      <c r="DO222" s="19"/>
      <c r="DP222" s="19"/>
      <c r="DQ222" s="19"/>
      <c r="DR222" s="19"/>
      <c r="DS222" s="19"/>
      <c r="DT222" s="19"/>
      <c r="DU222" s="19"/>
      <c r="DV222" s="19"/>
      <c r="DW222" s="19"/>
      <c r="DX222" s="19"/>
      <c r="DY222" s="19"/>
      <c r="DZ222" s="19"/>
      <c r="EA222" s="19"/>
      <c r="EB222" s="19"/>
      <c r="EC222" s="19"/>
      <c r="ED222" s="19"/>
      <c r="EE222" s="19"/>
      <c r="EF222" s="19"/>
      <c r="EG222" s="19"/>
      <c r="EH222" s="19"/>
      <c r="EI222" s="19"/>
      <c r="EJ222" s="19"/>
      <c r="EK222" s="19"/>
      <c r="EL222" s="19"/>
      <c r="EM222" s="19"/>
      <c r="EN222" s="19"/>
      <c r="EO222" s="19"/>
      <c r="EP222" s="17"/>
      <c r="EQ222" s="23"/>
      <c r="ER222" s="23" t="str">
        <f t="shared" si="7"/>
        <v/>
      </c>
      <c r="ES222" s="19"/>
      <c r="ET222" s="19" t="str">
        <f t="shared" si="8"/>
        <v/>
      </c>
      <c r="EU222" s="19"/>
      <c r="EV222" s="19"/>
      <c r="EW222" s="19"/>
      <c r="EX222" s="19"/>
      <c r="EY222" s="19"/>
      <c r="EZ222" s="19"/>
      <c r="FA222" s="19"/>
      <c r="FB222" s="19"/>
    </row>
    <row r="223" ht="15.75" customHeight="1">
      <c r="A223" s="19"/>
      <c r="F223" s="19"/>
      <c r="AH223" s="23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  <c r="CD223" s="19"/>
      <c r="CE223" s="19"/>
      <c r="CF223" s="19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19"/>
      <c r="CW223" s="19"/>
      <c r="CX223" s="19"/>
      <c r="CY223" s="19"/>
      <c r="CZ223" s="19"/>
      <c r="DA223" s="19"/>
      <c r="DB223" s="19"/>
      <c r="DC223" s="19"/>
      <c r="DD223" s="19"/>
      <c r="DE223" s="19"/>
      <c r="DF223" s="19"/>
      <c r="DG223" s="19"/>
      <c r="DH223" s="19"/>
      <c r="DI223" s="19"/>
      <c r="DJ223" s="19"/>
      <c r="DK223" s="19"/>
      <c r="DL223" s="19"/>
      <c r="DM223" s="19"/>
      <c r="DN223" s="19"/>
      <c r="DO223" s="19"/>
      <c r="DP223" s="19"/>
      <c r="DQ223" s="19"/>
      <c r="DR223" s="19"/>
      <c r="DS223" s="19"/>
      <c r="DT223" s="19"/>
      <c r="DU223" s="19"/>
      <c r="DV223" s="19"/>
      <c r="DW223" s="19"/>
      <c r="DX223" s="19"/>
      <c r="DY223" s="19"/>
      <c r="DZ223" s="19"/>
      <c r="EA223" s="19"/>
      <c r="EB223" s="19"/>
      <c r="EC223" s="19"/>
      <c r="ED223" s="19"/>
      <c r="EE223" s="19"/>
      <c r="EF223" s="19"/>
      <c r="EG223" s="19"/>
      <c r="EH223" s="19"/>
      <c r="EI223" s="19"/>
      <c r="EJ223" s="19"/>
      <c r="EK223" s="19"/>
      <c r="EL223" s="19"/>
      <c r="EM223" s="19"/>
      <c r="EN223" s="19"/>
      <c r="EO223" s="19"/>
      <c r="EP223" s="17"/>
      <c r="EQ223" s="23"/>
      <c r="ER223" s="23" t="str">
        <f t="shared" si="7"/>
        <v/>
      </c>
      <c r="ES223" s="19"/>
      <c r="ET223" s="19" t="str">
        <f t="shared" si="8"/>
        <v/>
      </c>
      <c r="EU223" s="19"/>
      <c r="EV223" s="19"/>
      <c r="EW223" s="19"/>
      <c r="EX223" s="19"/>
      <c r="EY223" s="19"/>
      <c r="EZ223" s="19"/>
      <c r="FA223" s="19"/>
      <c r="FB223" s="19"/>
    </row>
    <row r="224" ht="15.75" customHeight="1">
      <c r="A224" s="19"/>
      <c r="F224" s="19"/>
      <c r="AH224" s="23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  <c r="CD224" s="19"/>
      <c r="CE224" s="19"/>
      <c r="CF224" s="19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19"/>
      <c r="CW224" s="19"/>
      <c r="CX224" s="19"/>
      <c r="CY224" s="19"/>
      <c r="CZ224" s="19"/>
      <c r="DA224" s="19"/>
      <c r="DB224" s="19"/>
      <c r="DC224" s="19"/>
      <c r="DD224" s="19"/>
      <c r="DE224" s="19"/>
      <c r="DF224" s="19"/>
      <c r="DG224" s="19"/>
      <c r="DH224" s="19"/>
      <c r="DI224" s="19"/>
      <c r="DJ224" s="19"/>
      <c r="DK224" s="19"/>
      <c r="DL224" s="19"/>
      <c r="DM224" s="19"/>
      <c r="DN224" s="19"/>
      <c r="DO224" s="19"/>
      <c r="DP224" s="19"/>
      <c r="DQ224" s="19"/>
      <c r="DR224" s="19"/>
      <c r="DS224" s="19"/>
      <c r="DT224" s="19"/>
      <c r="DU224" s="19"/>
      <c r="DV224" s="19"/>
      <c r="DW224" s="19"/>
      <c r="DX224" s="19"/>
      <c r="DY224" s="19"/>
      <c r="DZ224" s="19"/>
      <c r="EA224" s="19"/>
      <c r="EB224" s="19"/>
      <c r="EC224" s="19"/>
      <c r="ED224" s="19"/>
      <c r="EE224" s="19"/>
      <c r="EF224" s="19"/>
      <c r="EG224" s="19"/>
      <c r="EH224" s="19"/>
      <c r="EI224" s="19"/>
      <c r="EJ224" s="19"/>
      <c r="EK224" s="19"/>
      <c r="EL224" s="19"/>
      <c r="EM224" s="19"/>
      <c r="EN224" s="19"/>
      <c r="EO224" s="19"/>
      <c r="EP224" s="17"/>
      <c r="EQ224" s="23"/>
      <c r="ER224" s="23" t="str">
        <f t="shared" si="7"/>
        <v/>
      </c>
      <c r="ES224" s="19"/>
      <c r="ET224" s="19" t="str">
        <f t="shared" si="8"/>
        <v/>
      </c>
      <c r="EU224" s="19"/>
      <c r="EV224" s="19"/>
      <c r="EW224" s="19"/>
      <c r="EX224" s="19"/>
      <c r="EY224" s="19"/>
      <c r="EZ224" s="19"/>
      <c r="FA224" s="19"/>
      <c r="FB224" s="19"/>
    </row>
    <row r="225" ht="15.75" customHeight="1">
      <c r="A225" s="19"/>
      <c r="F225" s="19"/>
      <c r="AH225" s="23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  <c r="CD225" s="19"/>
      <c r="CE225" s="19"/>
      <c r="CF225" s="19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19"/>
      <c r="CW225" s="19"/>
      <c r="CX225" s="19"/>
      <c r="CY225" s="19"/>
      <c r="CZ225" s="19"/>
      <c r="DA225" s="19"/>
      <c r="DB225" s="19"/>
      <c r="DC225" s="19"/>
      <c r="DD225" s="19"/>
      <c r="DE225" s="19"/>
      <c r="DF225" s="19"/>
      <c r="DG225" s="19"/>
      <c r="DH225" s="19"/>
      <c r="DI225" s="19"/>
      <c r="DJ225" s="19"/>
      <c r="DK225" s="19"/>
      <c r="DL225" s="19"/>
      <c r="DM225" s="19"/>
      <c r="DN225" s="19"/>
      <c r="DO225" s="19"/>
      <c r="DP225" s="19"/>
      <c r="DQ225" s="19"/>
      <c r="DR225" s="19"/>
      <c r="DS225" s="19"/>
      <c r="DT225" s="19"/>
      <c r="DU225" s="19"/>
      <c r="DV225" s="19"/>
      <c r="DW225" s="19"/>
      <c r="DX225" s="19"/>
      <c r="DY225" s="19"/>
      <c r="DZ225" s="19"/>
      <c r="EA225" s="19"/>
      <c r="EB225" s="19"/>
      <c r="EC225" s="19"/>
      <c r="ED225" s="19"/>
      <c r="EE225" s="19"/>
      <c r="EF225" s="19"/>
      <c r="EG225" s="19"/>
      <c r="EH225" s="19"/>
      <c r="EI225" s="19"/>
      <c r="EJ225" s="19"/>
      <c r="EK225" s="19"/>
      <c r="EL225" s="19"/>
      <c r="EM225" s="19"/>
      <c r="EN225" s="19"/>
      <c r="EO225" s="19"/>
      <c r="EP225" s="17"/>
      <c r="EQ225" s="23"/>
      <c r="ER225" s="23" t="str">
        <f t="shared" si="7"/>
        <v/>
      </c>
      <c r="ES225" s="19"/>
      <c r="ET225" s="19" t="str">
        <f t="shared" si="8"/>
        <v/>
      </c>
      <c r="EU225" s="19"/>
      <c r="EV225" s="19"/>
      <c r="EW225" s="19"/>
      <c r="EX225" s="19"/>
      <c r="EY225" s="19"/>
      <c r="EZ225" s="19"/>
      <c r="FA225" s="19"/>
      <c r="FB225" s="19"/>
    </row>
    <row r="226" ht="15.75" customHeight="1">
      <c r="A226" s="19"/>
      <c r="F226" s="19"/>
      <c r="AH226" s="23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7"/>
      <c r="EQ226" s="23"/>
      <c r="ER226" s="23" t="str">
        <f t="shared" si="7"/>
        <v/>
      </c>
      <c r="ES226" s="19"/>
      <c r="ET226" s="19" t="str">
        <f t="shared" si="8"/>
        <v/>
      </c>
      <c r="EU226" s="19"/>
      <c r="EV226" s="19"/>
      <c r="EW226" s="19"/>
      <c r="EX226" s="19"/>
      <c r="EY226" s="19"/>
      <c r="EZ226" s="19"/>
      <c r="FA226" s="19"/>
      <c r="FB226" s="19"/>
    </row>
    <row r="227" ht="15.75" customHeight="1">
      <c r="A227" s="19"/>
      <c r="F227" s="19"/>
      <c r="AH227" s="23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  <c r="CD227" s="19"/>
      <c r="CE227" s="19"/>
      <c r="CF227" s="19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19"/>
      <c r="CW227" s="19"/>
      <c r="CX227" s="19"/>
      <c r="CY227" s="19"/>
      <c r="CZ227" s="19"/>
      <c r="DA227" s="19"/>
      <c r="DB227" s="19"/>
      <c r="DC227" s="19"/>
      <c r="DD227" s="19"/>
      <c r="DE227" s="19"/>
      <c r="DF227" s="19"/>
      <c r="DG227" s="19"/>
      <c r="DH227" s="19"/>
      <c r="DI227" s="19"/>
      <c r="DJ227" s="19"/>
      <c r="DK227" s="19"/>
      <c r="DL227" s="19"/>
      <c r="DM227" s="19"/>
      <c r="DN227" s="19"/>
      <c r="DO227" s="19"/>
      <c r="DP227" s="19"/>
      <c r="DQ227" s="19"/>
      <c r="DR227" s="19"/>
      <c r="DS227" s="19"/>
      <c r="DT227" s="19"/>
      <c r="DU227" s="19"/>
      <c r="DV227" s="19"/>
      <c r="DW227" s="19"/>
      <c r="DX227" s="19"/>
      <c r="DY227" s="19"/>
      <c r="DZ227" s="19"/>
      <c r="EA227" s="19"/>
      <c r="EB227" s="19"/>
      <c r="EC227" s="19"/>
      <c r="ED227" s="19"/>
      <c r="EE227" s="19"/>
      <c r="EF227" s="19"/>
      <c r="EG227" s="19"/>
      <c r="EH227" s="19"/>
      <c r="EI227" s="19"/>
      <c r="EJ227" s="19"/>
      <c r="EK227" s="19"/>
      <c r="EL227" s="19"/>
      <c r="EM227" s="19"/>
      <c r="EN227" s="19"/>
      <c r="EO227" s="19"/>
      <c r="EP227" s="17"/>
      <c r="EQ227" s="23"/>
      <c r="ER227" s="23" t="str">
        <f t="shared" si="7"/>
        <v/>
      </c>
      <c r="ES227" s="19"/>
      <c r="ET227" s="19" t="str">
        <f t="shared" si="8"/>
        <v/>
      </c>
      <c r="EU227" s="19"/>
      <c r="EV227" s="19"/>
      <c r="EW227" s="19"/>
      <c r="EX227" s="19"/>
      <c r="EY227" s="19"/>
      <c r="EZ227" s="19"/>
      <c r="FA227" s="19"/>
      <c r="FB227" s="19"/>
    </row>
    <row r="228" ht="15.75" customHeight="1">
      <c r="A228" s="19"/>
      <c r="F228" s="19"/>
      <c r="AH228" s="23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  <c r="CD228" s="19"/>
      <c r="CE228" s="19"/>
      <c r="CF228" s="19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19"/>
      <c r="CW228" s="19"/>
      <c r="CX228" s="19"/>
      <c r="CY228" s="19"/>
      <c r="CZ228" s="19"/>
      <c r="DA228" s="19"/>
      <c r="DB228" s="19"/>
      <c r="DC228" s="19"/>
      <c r="DD228" s="19"/>
      <c r="DE228" s="19"/>
      <c r="DF228" s="19"/>
      <c r="DG228" s="19"/>
      <c r="DH228" s="19"/>
      <c r="DI228" s="19"/>
      <c r="DJ228" s="19"/>
      <c r="DK228" s="19"/>
      <c r="DL228" s="19"/>
      <c r="DM228" s="19"/>
      <c r="DN228" s="19"/>
      <c r="DO228" s="19"/>
      <c r="DP228" s="19"/>
      <c r="DQ228" s="19"/>
      <c r="DR228" s="19"/>
      <c r="DS228" s="19"/>
      <c r="DT228" s="19"/>
      <c r="DU228" s="19"/>
      <c r="DV228" s="19"/>
      <c r="DW228" s="19"/>
      <c r="DX228" s="19"/>
      <c r="DY228" s="19"/>
      <c r="DZ228" s="19"/>
      <c r="EA228" s="19"/>
      <c r="EB228" s="19"/>
      <c r="EC228" s="19"/>
      <c r="ED228" s="19"/>
      <c r="EE228" s="19"/>
      <c r="EF228" s="19"/>
      <c r="EG228" s="19"/>
      <c r="EH228" s="19"/>
      <c r="EI228" s="19"/>
      <c r="EJ228" s="19"/>
      <c r="EK228" s="19"/>
      <c r="EL228" s="19"/>
      <c r="EM228" s="19"/>
      <c r="EN228" s="19"/>
      <c r="EO228" s="19"/>
      <c r="EP228" s="17"/>
      <c r="EQ228" s="23"/>
      <c r="ER228" s="23" t="str">
        <f t="shared" si="7"/>
        <v/>
      </c>
      <c r="ES228" s="19"/>
      <c r="ET228" s="19" t="str">
        <f t="shared" si="8"/>
        <v/>
      </c>
      <c r="EU228" s="19"/>
      <c r="EV228" s="19"/>
      <c r="EW228" s="19"/>
      <c r="EX228" s="19"/>
      <c r="EY228" s="19"/>
      <c r="EZ228" s="19"/>
      <c r="FA228" s="19"/>
      <c r="FB228" s="19"/>
    </row>
    <row r="229" ht="15.75" customHeight="1">
      <c r="A229" s="19"/>
      <c r="F229" s="19"/>
      <c r="AH229" s="23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  <c r="CD229" s="19"/>
      <c r="CE229" s="19"/>
      <c r="CF229" s="19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19"/>
      <c r="CW229" s="19"/>
      <c r="CX229" s="19"/>
      <c r="CY229" s="19"/>
      <c r="CZ229" s="19"/>
      <c r="DA229" s="19"/>
      <c r="DB229" s="19"/>
      <c r="DC229" s="19"/>
      <c r="DD229" s="19"/>
      <c r="DE229" s="19"/>
      <c r="DF229" s="19"/>
      <c r="DG229" s="19"/>
      <c r="DH229" s="19"/>
      <c r="DI229" s="19"/>
      <c r="DJ229" s="19"/>
      <c r="DK229" s="19"/>
      <c r="DL229" s="19"/>
      <c r="DM229" s="19"/>
      <c r="DN229" s="19"/>
      <c r="DO229" s="19"/>
      <c r="DP229" s="19"/>
      <c r="DQ229" s="19"/>
      <c r="DR229" s="19"/>
      <c r="DS229" s="19"/>
      <c r="DT229" s="19"/>
      <c r="DU229" s="19"/>
      <c r="DV229" s="19"/>
      <c r="DW229" s="19"/>
      <c r="DX229" s="19"/>
      <c r="DY229" s="19"/>
      <c r="DZ229" s="19"/>
      <c r="EA229" s="19"/>
      <c r="EB229" s="19"/>
      <c r="EC229" s="19"/>
      <c r="ED229" s="19"/>
      <c r="EE229" s="19"/>
      <c r="EF229" s="19"/>
      <c r="EG229" s="19"/>
      <c r="EH229" s="19"/>
      <c r="EI229" s="19"/>
      <c r="EJ229" s="19"/>
      <c r="EK229" s="19"/>
      <c r="EL229" s="19"/>
      <c r="EM229" s="19"/>
      <c r="EN229" s="19"/>
      <c r="EO229" s="19"/>
      <c r="EP229" s="17"/>
      <c r="EQ229" s="23"/>
      <c r="ER229" s="23" t="str">
        <f t="shared" si="7"/>
        <v/>
      </c>
      <c r="ES229" s="19"/>
      <c r="ET229" s="19" t="str">
        <f t="shared" si="8"/>
        <v/>
      </c>
      <c r="EU229" s="19"/>
      <c r="EV229" s="19"/>
      <c r="EW229" s="19"/>
      <c r="EX229" s="19"/>
      <c r="EY229" s="19"/>
      <c r="EZ229" s="19"/>
      <c r="FA229" s="19"/>
      <c r="FB229" s="19"/>
    </row>
    <row r="230" ht="15.75" customHeight="1">
      <c r="A230" s="19"/>
      <c r="F230" s="19"/>
      <c r="AH230" s="23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  <c r="CD230" s="19"/>
      <c r="CE230" s="19"/>
      <c r="CF230" s="19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19"/>
      <c r="CW230" s="19"/>
      <c r="CX230" s="19"/>
      <c r="CY230" s="19"/>
      <c r="CZ230" s="19"/>
      <c r="DA230" s="19"/>
      <c r="DB230" s="19"/>
      <c r="DC230" s="19"/>
      <c r="DD230" s="19"/>
      <c r="DE230" s="19"/>
      <c r="DF230" s="19"/>
      <c r="DG230" s="19"/>
      <c r="DH230" s="19"/>
      <c r="DI230" s="19"/>
      <c r="DJ230" s="19"/>
      <c r="DK230" s="19"/>
      <c r="DL230" s="19"/>
      <c r="DM230" s="19"/>
      <c r="DN230" s="19"/>
      <c r="DO230" s="19"/>
      <c r="DP230" s="19"/>
      <c r="DQ230" s="19"/>
      <c r="DR230" s="19"/>
      <c r="DS230" s="19"/>
      <c r="DT230" s="19"/>
      <c r="DU230" s="19"/>
      <c r="DV230" s="19"/>
      <c r="DW230" s="19"/>
      <c r="DX230" s="19"/>
      <c r="DY230" s="19"/>
      <c r="DZ230" s="19"/>
      <c r="EA230" s="19"/>
      <c r="EB230" s="19"/>
      <c r="EC230" s="19"/>
      <c r="ED230" s="19"/>
      <c r="EE230" s="19"/>
      <c r="EF230" s="19"/>
      <c r="EG230" s="19"/>
      <c r="EH230" s="19"/>
      <c r="EI230" s="19"/>
      <c r="EJ230" s="19"/>
      <c r="EK230" s="19"/>
      <c r="EL230" s="19"/>
      <c r="EM230" s="19"/>
      <c r="EN230" s="19"/>
      <c r="EO230" s="19"/>
      <c r="EP230" s="17"/>
      <c r="EQ230" s="23"/>
      <c r="ER230" s="23" t="str">
        <f t="shared" si="7"/>
        <v/>
      </c>
      <c r="ES230" s="19"/>
      <c r="ET230" s="19" t="str">
        <f t="shared" si="8"/>
        <v/>
      </c>
      <c r="EU230" s="19"/>
      <c r="EV230" s="19"/>
      <c r="EW230" s="19"/>
      <c r="EX230" s="19"/>
      <c r="EY230" s="19"/>
      <c r="EZ230" s="19"/>
      <c r="FA230" s="19"/>
      <c r="FB230" s="19"/>
    </row>
    <row r="231" ht="15.75" customHeight="1">
      <c r="A231" s="19"/>
      <c r="F231" s="19"/>
      <c r="AH231" s="23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  <c r="CD231" s="19"/>
      <c r="CE231" s="19"/>
      <c r="CF231" s="19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19"/>
      <c r="CW231" s="19"/>
      <c r="CX231" s="19"/>
      <c r="CY231" s="19"/>
      <c r="CZ231" s="19"/>
      <c r="DA231" s="19"/>
      <c r="DB231" s="19"/>
      <c r="DC231" s="19"/>
      <c r="DD231" s="19"/>
      <c r="DE231" s="19"/>
      <c r="DF231" s="19"/>
      <c r="DG231" s="19"/>
      <c r="DH231" s="19"/>
      <c r="DI231" s="19"/>
      <c r="DJ231" s="19"/>
      <c r="DK231" s="19"/>
      <c r="DL231" s="19"/>
      <c r="DM231" s="19"/>
      <c r="DN231" s="19"/>
      <c r="DO231" s="19"/>
      <c r="DP231" s="19"/>
      <c r="DQ231" s="19"/>
      <c r="DR231" s="19"/>
      <c r="DS231" s="19"/>
      <c r="DT231" s="19"/>
      <c r="DU231" s="19"/>
      <c r="DV231" s="19"/>
      <c r="DW231" s="19"/>
      <c r="DX231" s="19"/>
      <c r="DY231" s="19"/>
      <c r="DZ231" s="19"/>
      <c r="EA231" s="19"/>
      <c r="EB231" s="19"/>
      <c r="EC231" s="19"/>
      <c r="ED231" s="19"/>
      <c r="EE231" s="19"/>
      <c r="EF231" s="19"/>
      <c r="EG231" s="19"/>
      <c r="EH231" s="19"/>
      <c r="EI231" s="19"/>
      <c r="EJ231" s="19"/>
      <c r="EK231" s="19"/>
      <c r="EL231" s="19"/>
      <c r="EM231" s="19"/>
      <c r="EN231" s="19"/>
      <c r="EO231" s="19"/>
      <c r="EP231" s="17"/>
      <c r="EQ231" s="23"/>
      <c r="ER231" s="23" t="str">
        <f t="shared" si="7"/>
        <v/>
      </c>
      <c r="ES231" s="19"/>
      <c r="ET231" s="19" t="str">
        <f t="shared" si="8"/>
        <v/>
      </c>
      <c r="EU231" s="19"/>
      <c r="EV231" s="19"/>
      <c r="EW231" s="19"/>
      <c r="EX231" s="19"/>
      <c r="EY231" s="19"/>
      <c r="EZ231" s="19"/>
      <c r="FA231" s="19"/>
      <c r="FB231" s="19"/>
    </row>
    <row r="232" ht="15.75" customHeight="1">
      <c r="A232" s="19"/>
      <c r="F232" s="19"/>
      <c r="AH232" s="23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  <c r="CD232" s="19"/>
      <c r="CE232" s="19"/>
      <c r="CF232" s="19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19"/>
      <c r="CW232" s="19"/>
      <c r="CX232" s="19"/>
      <c r="CY232" s="19"/>
      <c r="CZ232" s="19"/>
      <c r="DA232" s="19"/>
      <c r="DB232" s="19"/>
      <c r="DC232" s="19"/>
      <c r="DD232" s="19"/>
      <c r="DE232" s="19"/>
      <c r="DF232" s="19"/>
      <c r="DG232" s="19"/>
      <c r="DH232" s="19"/>
      <c r="DI232" s="19"/>
      <c r="DJ232" s="19"/>
      <c r="DK232" s="19"/>
      <c r="DL232" s="19"/>
      <c r="DM232" s="19"/>
      <c r="DN232" s="19"/>
      <c r="DO232" s="19"/>
      <c r="DP232" s="19"/>
      <c r="DQ232" s="19"/>
      <c r="DR232" s="19"/>
      <c r="DS232" s="19"/>
      <c r="DT232" s="19"/>
      <c r="DU232" s="19"/>
      <c r="DV232" s="19"/>
      <c r="DW232" s="19"/>
      <c r="DX232" s="19"/>
      <c r="DY232" s="19"/>
      <c r="DZ232" s="19"/>
      <c r="EA232" s="19"/>
      <c r="EB232" s="19"/>
      <c r="EC232" s="19"/>
      <c r="ED232" s="19"/>
      <c r="EE232" s="19"/>
      <c r="EF232" s="19"/>
      <c r="EG232" s="19"/>
      <c r="EH232" s="19"/>
      <c r="EI232" s="19"/>
      <c r="EJ232" s="19"/>
      <c r="EK232" s="19"/>
      <c r="EL232" s="19"/>
      <c r="EM232" s="19"/>
      <c r="EN232" s="19"/>
      <c r="EO232" s="19"/>
      <c r="EP232" s="17"/>
      <c r="EQ232" s="23"/>
      <c r="ER232" s="23" t="str">
        <f t="shared" si="7"/>
        <v/>
      </c>
      <c r="ES232" s="19"/>
      <c r="ET232" s="19" t="str">
        <f t="shared" si="8"/>
        <v/>
      </c>
      <c r="EU232" s="19"/>
      <c r="EV232" s="19"/>
      <c r="EW232" s="19"/>
      <c r="EX232" s="19"/>
      <c r="EY232" s="19"/>
      <c r="EZ232" s="19"/>
      <c r="FA232" s="19"/>
      <c r="FB232" s="19"/>
    </row>
    <row r="233" ht="15.75" customHeight="1">
      <c r="A233" s="19"/>
      <c r="F233" s="19"/>
      <c r="AH233" s="23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  <c r="CD233" s="19"/>
      <c r="CE233" s="19"/>
      <c r="CF233" s="19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19"/>
      <c r="CW233" s="19"/>
      <c r="CX233" s="19"/>
      <c r="CY233" s="19"/>
      <c r="CZ233" s="19"/>
      <c r="DA233" s="19"/>
      <c r="DB233" s="19"/>
      <c r="DC233" s="19"/>
      <c r="DD233" s="19"/>
      <c r="DE233" s="19"/>
      <c r="DF233" s="19"/>
      <c r="DG233" s="19"/>
      <c r="DH233" s="19"/>
      <c r="DI233" s="19"/>
      <c r="DJ233" s="19"/>
      <c r="DK233" s="19"/>
      <c r="DL233" s="19"/>
      <c r="DM233" s="19"/>
      <c r="DN233" s="19"/>
      <c r="DO233" s="19"/>
      <c r="DP233" s="19"/>
      <c r="DQ233" s="19"/>
      <c r="DR233" s="19"/>
      <c r="DS233" s="19"/>
      <c r="DT233" s="19"/>
      <c r="DU233" s="19"/>
      <c r="DV233" s="19"/>
      <c r="DW233" s="19"/>
      <c r="DX233" s="19"/>
      <c r="DY233" s="19"/>
      <c r="DZ233" s="19"/>
      <c r="EA233" s="19"/>
      <c r="EB233" s="19"/>
      <c r="EC233" s="19"/>
      <c r="ED233" s="19"/>
      <c r="EE233" s="19"/>
      <c r="EF233" s="19"/>
      <c r="EG233" s="19"/>
      <c r="EH233" s="19"/>
      <c r="EI233" s="19"/>
      <c r="EJ233" s="19"/>
      <c r="EK233" s="19"/>
      <c r="EL233" s="19"/>
      <c r="EM233" s="19"/>
      <c r="EN233" s="19"/>
      <c r="EO233" s="19"/>
      <c r="EP233" s="17"/>
      <c r="EQ233" s="23"/>
      <c r="ER233" s="23" t="str">
        <f t="shared" si="7"/>
        <v/>
      </c>
      <c r="ES233" s="19"/>
      <c r="ET233" s="19" t="str">
        <f t="shared" si="8"/>
        <v/>
      </c>
      <c r="EU233" s="19"/>
      <c r="EV233" s="19"/>
      <c r="EW233" s="19"/>
      <c r="EX233" s="19"/>
      <c r="EY233" s="19"/>
      <c r="EZ233" s="19"/>
      <c r="FA233" s="19"/>
      <c r="FB233" s="19"/>
    </row>
    <row r="234" ht="15.75" customHeight="1">
      <c r="A234" s="19"/>
      <c r="F234" s="19"/>
      <c r="AH234" s="23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  <c r="CD234" s="19"/>
      <c r="CE234" s="19"/>
      <c r="CF234" s="19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19"/>
      <c r="CW234" s="19"/>
      <c r="CX234" s="19"/>
      <c r="CY234" s="19"/>
      <c r="CZ234" s="19"/>
      <c r="DA234" s="19"/>
      <c r="DB234" s="19"/>
      <c r="DC234" s="19"/>
      <c r="DD234" s="19"/>
      <c r="DE234" s="19"/>
      <c r="DF234" s="19"/>
      <c r="DG234" s="19"/>
      <c r="DH234" s="19"/>
      <c r="DI234" s="19"/>
      <c r="DJ234" s="19"/>
      <c r="DK234" s="19"/>
      <c r="DL234" s="19"/>
      <c r="DM234" s="19"/>
      <c r="DN234" s="19"/>
      <c r="DO234" s="19"/>
      <c r="DP234" s="19"/>
      <c r="DQ234" s="19"/>
      <c r="DR234" s="19"/>
      <c r="DS234" s="19"/>
      <c r="DT234" s="19"/>
      <c r="DU234" s="19"/>
      <c r="DV234" s="19"/>
      <c r="DW234" s="19"/>
      <c r="DX234" s="19"/>
      <c r="DY234" s="19"/>
      <c r="DZ234" s="19"/>
      <c r="EA234" s="19"/>
      <c r="EB234" s="19"/>
      <c r="EC234" s="19"/>
      <c r="ED234" s="19"/>
      <c r="EE234" s="19"/>
      <c r="EF234" s="19"/>
      <c r="EG234" s="19"/>
      <c r="EH234" s="19"/>
      <c r="EI234" s="19"/>
      <c r="EJ234" s="19"/>
      <c r="EK234" s="19"/>
      <c r="EL234" s="19"/>
      <c r="EM234" s="19"/>
      <c r="EN234" s="19"/>
      <c r="EO234" s="19"/>
      <c r="EP234" s="17"/>
      <c r="EQ234" s="23"/>
      <c r="ER234" s="23" t="str">
        <f t="shared" si="7"/>
        <v/>
      </c>
      <c r="ES234" s="19"/>
      <c r="ET234" s="19" t="str">
        <f t="shared" si="8"/>
        <v/>
      </c>
      <c r="EU234" s="19"/>
      <c r="EV234" s="19"/>
      <c r="EW234" s="19"/>
      <c r="EX234" s="19"/>
      <c r="EY234" s="19"/>
      <c r="EZ234" s="19"/>
      <c r="FA234" s="19"/>
      <c r="FB234" s="19"/>
    </row>
    <row r="235" ht="15.75" customHeight="1">
      <c r="A235" s="19"/>
      <c r="F235" s="19"/>
      <c r="AH235" s="23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  <c r="CD235" s="19"/>
      <c r="CE235" s="19"/>
      <c r="CF235" s="19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19"/>
      <c r="CW235" s="19"/>
      <c r="CX235" s="19"/>
      <c r="CY235" s="19"/>
      <c r="CZ235" s="19"/>
      <c r="DA235" s="19"/>
      <c r="DB235" s="19"/>
      <c r="DC235" s="19"/>
      <c r="DD235" s="19"/>
      <c r="DE235" s="19"/>
      <c r="DF235" s="19"/>
      <c r="DG235" s="19"/>
      <c r="DH235" s="19"/>
      <c r="DI235" s="19"/>
      <c r="DJ235" s="19"/>
      <c r="DK235" s="19"/>
      <c r="DL235" s="19"/>
      <c r="DM235" s="19"/>
      <c r="DN235" s="19"/>
      <c r="DO235" s="19"/>
      <c r="DP235" s="19"/>
      <c r="DQ235" s="19"/>
      <c r="DR235" s="19"/>
      <c r="DS235" s="19"/>
      <c r="DT235" s="19"/>
      <c r="DU235" s="19"/>
      <c r="DV235" s="19"/>
      <c r="DW235" s="19"/>
      <c r="DX235" s="19"/>
      <c r="DY235" s="19"/>
      <c r="DZ235" s="19"/>
      <c r="EA235" s="19"/>
      <c r="EB235" s="19"/>
      <c r="EC235" s="19"/>
      <c r="ED235" s="19"/>
      <c r="EE235" s="19"/>
      <c r="EF235" s="19"/>
      <c r="EG235" s="19"/>
      <c r="EH235" s="19"/>
      <c r="EI235" s="19"/>
      <c r="EJ235" s="19"/>
      <c r="EK235" s="19"/>
      <c r="EL235" s="19"/>
      <c r="EM235" s="19"/>
      <c r="EN235" s="19"/>
      <c r="EO235" s="19"/>
      <c r="EP235" s="17"/>
      <c r="EQ235" s="23"/>
      <c r="ER235" s="23" t="str">
        <f t="shared" si="7"/>
        <v/>
      </c>
      <c r="ES235" s="19"/>
      <c r="ET235" s="19" t="str">
        <f t="shared" si="8"/>
        <v/>
      </c>
      <c r="EU235" s="19"/>
      <c r="EV235" s="19"/>
      <c r="EW235" s="19"/>
      <c r="EX235" s="19"/>
      <c r="EY235" s="19"/>
      <c r="EZ235" s="19"/>
      <c r="FA235" s="19"/>
      <c r="FB235" s="19"/>
    </row>
    <row r="236" ht="15.75" customHeight="1">
      <c r="A236" s="19"/>
      <c r="F236" s="19"/>
      <c r="AH236" s="23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  <c r="CD236" s="19"/>
      <c r="CE236" s="19"/>
      <c r="CF236" s="19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19"/>
      <c r="CW236" s="19"/>
      <c r="CX236" s="19"/>
      <c r="CY236" s="19"/>
      <c r="CZ236" s="19"/>
      <c r="DA236" s="19"/>
      <c r="DB236" s="19"/>
      <c r="DC236" s="19"/>
      <c r="DD236" s="19"/>
      <c r="DE236" s="19"/>
      <c r="DF236" s="19"/>
      <c r="DG236" s="19"/>
      <c r="DH236" s="19"/>
      <c r="DI236" s="19"/>
      <c r="DJ236" s="19"/>
      <c r="DK236" s="19"/>
      <c r="DL236" s="19"/>
      <c r="DM236" s="19"/>
      <c r="DN236" s="19"/>
      <c r="DO236" s="19"/>
      <c r="DP236" s="19"/>
      <c r="DQ236" s="19"/>
      <c r="DR236" s="19"/>
      <c r="DS236" s="19"/>
      <c r="DT236" s="19"/>
      <c r="DU236" s="19"/>
      <c r="DV236" s="19"/>
      <c r="DW236" s="19"/>
      <c r="DX236" s="19"/>
      <c r="DY236" s="19"/>
      <c r="DZ236" s="19"/>
      <c r="EA236" s="19"/>
      <c r="EB236" s="19"/>
      <c r="EC236" s="19"/>
      <c r="ED236" s="19"/>
      <c r="EE236" s="19"/>
      <c r="EF236" s="19"/>
      <c r="EG236" s="19"/>
      <c r="EH236" s="19"/>
      <c r="EI236" s="19"/>
      <c r="EJ236" s="19"/>
      <c r="EK236" s="19"/>
      <c r="EL236" s="19"/>
      <c r="EM236" s="19"/>
      <c r="EN236" s="19"/>
      <c r="EO236" s="19"/>
      <c r="EP236" s="17"/>
      <c r="EQ236" s="23"/>
      <c r="ER236" s="23" t="str">
        <f t="shared" si="7"/>
        <v/>
      </c>
      <c r="ES236" s="19"/>
      <c r="ET236" s="19" t="str">
        <f t="shared" si="8"/>
        <v/>
      </c>
      <c r="EU236" s="19"/>
      <c r="EV236" s="19"/>
      <c r="EW236" s="19"/>
      <c r="EX236" s="19"/>
      <c r="EY236" s="19"/>
      <c r="EZ236" s="19"/>
      <c r="FA236" s="19"/>
      <c r="FB236" s="19"/>
    </row>
    <row r="237" ht="15.75" customHeight="1">
      <c r="A237" s="19"/>
      <c r="F237" s="19"/>
      <c r="AH237" s="23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7"/>
      <c r="EQ237" s="23"/>
      <c r="ER237" s="23" t="str">
        <f t="shared" si="7"/>
        <v/>
      </c>
      <c r="ES237" s="19"/>
      <c r="ET237" s="19" t="str">
        <f t="shared" si="8"/>
        <v/>
      </c>
      <c r="EU237" s="19"/>
      <c r="EV237" s="19"/>
      <c r="EW237" s="19"/>
      <c r="EX237" s="19"/>
      <c r="EY237" s="19"/>
      <c r="EZ237" s="19"/>
      <c r="FA237" s="19"/>
      <c r="FB237" s="19"/>
    </row>
    <row r="238" ht="15.75" customHeight="1">
      <c r="A238" s="19"/>
      <c r="F238" s="19"/>
      <c r="AH238" s="23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  <c r="CD238" s="19"/>
      <c r="CE238" s="19"/>
      <c r="CF238" s="19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19"/>
      <c r="CW238" s="19"/>
      <c r="CX238" s="19"/>
      <c r="CY238" s="19"/>
      <c r="CZ238" s="19"/>
      <c r="DA238" s="19"/>
      <c r="DB238" s="19"/>
      <c r="DC238" s="19"/>
      <c r="DD238" s="19"/>
      <c r="DE238" s="19"/>
      <c r="DF238" s="19"/>
      <c r="DG238" s="19"/>
      <c r="DH238" s="19"/>
      <c r="DI238" s="19"/>
      <c r="DJ238" s="19"/>
      <c r="DK238" s="19"/>
      <c r="DL238" s="19"/>
      <c r="DM238" s="19"/>
      <c r="DN238" s="19"/>
      <c r="DO238" s="19"/>
      <c r="DP238" s="19"/>
      <c r="DQ238" s="19"/>
      <c r="DR238" s="19"/>
      <c r="DS238" s="19"/>
      <c r="DT238" s="19"/>
      <c r="DU238" s="19"/>
      <c r="DV238" s="19"/>
      <c r="DW238" s="19"/>
      <c r="DX238" s="19"/>
      <c r="DY238" s="19"/>
      <c r="DZ238" s="19"/>
      <c r="EA238" s="19"/>
      <c r="EB238" s="19"/>
      <c r="EC238" s="19"/>
      <c r="ED238" s="19"/>
      <c r="EE238" s="19"/>
      <c r="EF238" s="19"/>
      <c r="EG238" s="19"/>
      <c r="EH238" s="19"/>
      <c r="EI238" s="19"/>
      <c r="EJ238" s="19"/>
      <c r="EK238" s="19"/>
      <c r="EL238" s="19"/>
      <c r="EM238" s="19"/>
      <c r="EN238" s="19"/>
      <c r="EO238" s="19"/>
      <c r="EP238" s="17"/>
      <c r="EQ238" s="23"/>
      <c r="ER238" s="23" t="str">
        <f t="shared" si="7"/>
        <v/>
      </c>
      <c r="ES238" s="19"/>
      <c r="ET238" s="19" t="str">
        <f t="shared" si="8"/>
        <v/>
      </c>
      <c r="EU238" s="19"/>
      <c r="EV238" s="19"/>
      <c r="EW238" s="19"/>
      <c r="EX238" s="19"/>
      <c r="EY238" s="19"/>
      <c r="EZ238" s="19"/>
      <c r="FA238" s="19"/>
      <c r="FB238" s="19"/>
    </row>
    <row r="239" ht="15.75" customHeight="1">
      <c r="A239" s="19"/>
      <c r="F239" s="19"/>
      <c r="AH239" s="23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  <c r="CD239" s="19"/>
      <c r="CE239" s="19"/>
      <c r="CF239" s="19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19"/>
      <c r="CW239" s="19"/>
      <c r="CX239" s="19"/>
      <c r="CY239" s="19"/>
      <c r="CZ239" s="19"/>
      <c r="DA239" s="19"/>
      <c r="DB239" s="19"/>
      <c r="DC239" s="19"/>
      <c r="DD239" s="19"/>
      <c r="DE239" s="19"/>
      <c r="DF239" s="19"/>
      <c r="DG239" s="19"/>
      <c r="DH239" s="19"/>
      <c r="DI239" s="19"/>
      <c r="DJ239" s="19"/>
      <c r="DK239" s="19"/>
      <c r="DL239" s="19"/>
      <c r="DM239" s="19"/>
      <c r="DN239" s="19"/>
      <c r="DO239" s="19"/>
      <c r="DP239" s="19"/>
      <c r="DQ239" s="19"/>
      <c r="DR239" s="19"/>
      <c r="DS239" s="19"/>
      <c r="DT239" s="19"/>
      <c r="DU239" s="19"/>
      <c r="DV239" s="19"/>
      <c r="DW239" s="19"/>
      <c r="DX239" s="19"/>
      <c r="DY239" s="19"/>
      <c r="DZ239" s="19"/>
      <c r="EA239" s="19"/>
      <c r="EB239" s="19"/>
      <c r="EC239" s="19"/>
      <c r="ED239" s="19"/>
      <c r="EE239" s="19"/>
      <c r="EF239" s="19"/>
      <c r="EG239" s="19"/>
      <c r="EH239" s="19"/>
      <c r="EI239" s="19"/>
      <c r="EJ239" s="19"/>
      <c r="EK239" s="19"/>
      <c r="EL239" s="19"/>
      <c r="EM239" s="19"/>
      <c r="EN239" s="19"/>
      <c r="EO239" s="19"/>
      <c r="EP239" s="17"/>
      <c r="EQ239" s="23"/>
      <c r="ER239" s="23" t="str">
        <f t="shared" si="7"/>
        <v/>
      </c>
      <c r="ES239" s="19"/>
      <c r="ET239" s="19" t="str">
        <f t="shared" si="8"/>
        <v/>
      </c>
      <c r="EU239" s="19"/>
      <c r="EV239" s="19"/>
      <c r="EW239" s="19"/>
      <c r="EX239" s="19"/>
      <c r="EY239" s="19"/>
      <c r="EZ239" s="19"/>
      <c r="FA239" s="19"/>
      <c r="FB239" s="19"/>
    </row>
    <row r="240" ht="15.75" customHeight="1">
      <c r="A240" s="19"/>
      <c r="F240" s="19"/>
      <c r="AH240" s="23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  <c r="CD240" s="19"/>
      <c r="CE240" s="19"/>
      <c r="CF240" s="19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19"/>
      <c r="CW240" s="19"/>
      <c r="CX240" s="19"/>
      <c r="CY240" s="19"/>
      <c r="CZ240" s="19"/>
      <c r="DA240" s="19"/>
      <c r="DB240" s="19"/>
      <c r="DC240" s="19"/>
      <c r="DD240" s="19"/>
      <c r="DE240" s="19"/>
      <c r="DF240" s="19"/>
      <c r="DG240" s="19"/>
      <c r="DH240" s="19"/>
      <c r="DI240" s="19"/>
      <c r="DJ240" s="19"/>
      <c r="DK240" s="19"/>
      <c r="DL240" s="19"/>
      <c r="DM240" s="19"/>
      <c r="DN240" s="19"/>
      <c r="DO240" s="19"/>
      <c r="DP240" s="19"/>
      <c r="DQ240" s="19"/>
      <c r="DR240" s="19"/>
      <c r="DS240" s="19"/>
      <c r="DT240" s="19"/>
      <c r="DU240" s="19"/>
      <c r="DV240" s="19"/>
      <c r="DW240" s="19"/>
      <c r="DX240" s="19"/>
      <c r="DY240" s="19"/>
      <c r="DZ240" s="19"/>
      <c r="EA240" s="19"/>
      <c r="EB240" s="19"/>
      <c r="EC240" s="19"/>
      <c r="ED240" s="19"/>
      <c r="EE240" s="19"/>
      <c r="EF240" s="19"/>
      <c r="EG240" s="19"/>
      <c r="EH240" s="19"/>
      <c r="EI240" s="19"/>
      <c r="EJ240" s="19"/>
      <c r="EK240" s="19"/>
      <c r="EL240" s="19"/>
      <c r="EM240" s="19"/>
      <c r="EN240" s="19"/>
      <c r="EO240" s="19"/>
      <c r="EP240" s="17"/>
      <c r="EQ240" s="23"/>
      <c r="ER240" s="23" t="str">
        <f t="shared" si="7"/>
        <v/>
      </c>
      <c r="ES240" s="19"/>
      <c r="ET240" s="19" t="str">
        <f t="shared" si="8"/>
        <v/>
      </c>
      <c r="EU240" s="19"/>
      <c r="EV240" s="19"/>
      <c r="EW240" s="19"/>
      <c r="EX240" s="19"/>
      <c r="EY240" s="19"/>
      <c r="EZ240" s="19"/>
      <c r="FA240" s="19"/>
      <c r="FB240" s="19"/>
    </row>
    <row r="241" ht="15.75" customHeight="1">
      <c r="A241" s="19"/>
      <c r="F241" s="19"/>
      <c r="AH241" s="23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  <c r="CD241" s="19"/>
      <c r="CE241" s="19"/>
      <c r="CF241" s="19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19"/>
      <c r="CW241" s="19"/>
      <c r="CX241" s="19"/>
      <c r="CY241" s="19"/>
      <c r="CZ241" s="19"/>
      <c r="DA241" s="19"/>
      <c r="DB241" s="19"/>
      <c r="DC241" s="19"/>
      <c r="DD241" s="19"/>
      <c r="DE241" s="19"/>
      <c r="DF241" s="19"/>
      <c r="DG241" s="19"/>
      <c r="DH241" s="19"/>
      <c r="DI241" s="19"/>
      <c r="DJ241" s="19"/>
      <c r="DK241" s="19"/>
      <c r="DL241" s="19"/>
      <c r="DM241" s="19"/>
      <c r="DN241" s="19"/>
      <c r="DO241" s="19"/>
      <c r="DP241" s="19"/>
      <c r="DQ241" s="19"/>
      <c r="DR241" s="19"/>
      <c r="DS241" s="19"/>
      <c r="DT241" s="19"/>
      <c r="DU241" s="19"/>
      <c r="DV241" s="19"/>
      <c r="DW241" s="19"/>
      <c r="DX241" s="19"/>
      <c r="DY241" s="19"/>
      <c r="DZ241" s="19"/>
      <c r="EA241" s="19"/>
      <c r="EB241" s="19"/>
      <c r="EC241" s="19"/>
      <c r="ED241" s="19"/>
      <c r="EE241" s="19"/>
      <c r="EF241" s="19"/>
      <c r="EG241" s="19"/>
      <c r="EH241" s="19"/>
      <c r="EI241" s="19"/>
      <c r="EJ241" s="19"/>
      <c r="EK241" s="19"/>
      <c r="EL241" s="19"/>
      <c r="EM241" s="19"/>
      <c r="EN241" s="19"/>
      <c r="EO241" s="19"/>
      <c r="EP241" s="17"/>
      <c r="EQ241" s="23"/>
      <c r="ER241" s="23" t="str">
        <f t="shared" si="7"/>
        <v/>
      </c>
      <c r="ES241" s="19"/>
      <c r="ET241" s="19" t="str">
        <f t="shared" si="8"/>
        <v/>
      </c>
      <c r="EU241" s="19"/>
      <c r="EV241" s="19"/>
      <c r="EW241" s="19"/>
      <c r="EX241" s="19"/>
      <c r="EY241" s="19"/>
      <c r="EZ241" s="19"/>
      <c r="FA241" s="19"/>
      <c r="FB241" s="19"/>
    </row>
    <row r="242" ht="15.75" customHeight="1">
      <c r="A242" s="19"/>
      <c r="F242" s="19"/>
      <c r="AH242" s="23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  <c r="CD242" s="19"/>
      <c r="CE242" s="19"/>
      <c r="CF242" s="19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19"/>
      <c r="CW242" s="19"/>
      <c r="CX242" s="19"/>
      <c r="CY242" s="19"/>
      <c r="CZ242" s="19"/>
      <c r="DA242" s="19"/>
      <c r="DB242" s="19"/>
      <c r="DC242" s="19"/>
      <c r="DD242" s="19"/>
      <c r="DE242" s="19"/>
      <c r="DF242" s="19"/>
      <c r="DG242" s="19"/>
      <c r="DH242" s="19"/>
      <c r="DI242" s="19"/>
      <c r="DJ242" s="19"/>
      <c r="DK242" s="19"/>
      <c r="DL242" s="19"/>
      <c r="DM242" s="19"/>
      <c r="DN242" s="19"/>
      <c r="DO242" s="19"/>
      <c r="DP242" s="19"/>
      <c r="DQ242" s="19"/>
      <c r="DR242" s="19"/>
      <c r="DS242" s="19"/>
      <c r="DT242" s="19"/>
      <c r="DU242" s="19"/>
      <c r="DV242" s="19"/>
      <c r="DW242" s="19"/>
      <c r="DX242" s="19"/>
      <c r="DY242" s="19"/>
      <c r="DZ242" s="19"/>
      <c r="EA242" s="19"/>
      <c r="EB242" s="19"/>
      <c r="EC242" s="19"/>
      <c r="ED242" s="19"/>
      <c r="EE242" s="19"/>
      <c r="EF242" s="19"/>
      <c r="EG242" s="19"/>
      <c r="EH242" s="19"/>
      <c r="EI242" s="19"/>
      <c r="EJ242" s="19"/>
      <c r="EK242" s="19"/>
      <c r="EL242" s="19"/>
      <c r="EM242" s="19"/>
      <c r="EN242" s="19"/>
      <c r="EO242" s="19"/>
      <c r="EP242" s="17"/>
      <c r="EQ242" s="23"/>
      <c r="ER242" s="23" t="str">
        <f t="shared" si="7"/>
        <v/>
      </c>
      <c r="ES242" s="19"/>
      <c r="ET242" s="19" t="str">
        <f t="shared" si="8"/>
        <v/>
      </c>
      <c r="EU242" s="19"/>
      <c r="EV242" s="19"/>
      <c r="EW242" s="19"/>
      <c r="EX242" s="19"/>
      <c r="EY242" s="19"/>
      <c r="EZ242" s="19"/>
      <c r="FA242" s="19"/>
      <c r="FB242" s="19"/>
    </row>
    <row r="243" ht="15.75" customHeight="1">
      <c r="A243" s="19"/>
      <c r="F243" s="19"/>
      <c r="AH243" s="23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  <c r="CD243" s="19"/>
      <c r="CE243" s="19"/>
      <c r="CF243" s="19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19"/>
      <c r="CW243" s="19"/>
      <c r="CX243" s="19"/>
      <c r="CY243" s="19"/>
      <c r="CZ243" s="19"/>
      <c r="DA243" s="19"/>
      <c r="DB243" s="19"/>
      <c r="DC243" s="19"/>
      <c r="DD243" s="19"/>
      <c r="DE243" s="19"/>
      <c r="DF243" s="19"/>
      <c r="DG243" s="19"/>
      <c r="DH243" s="19"/>
      <c r="DI243" s="19"/>
      <c r="DJ243" s="19"/>
      <c r="DK243" s="19"/>
      <c r="DL243" s="19"/>
      <c r="DM243" s="19"/>
      <c r="DN243" s="19"/>
      <c r="DO243" s="19"/>
      <c r="DP243" s="19"/>
      <c r="DQ243" s="19"/>
      <c r="DR243" s="19"/>
      <c r="DS243" s="19"/>
      <c r="DT243" s="19"/>
      <c r="DU243" s="19"/>
      <c r="DV243" s="19"/>
      <c r="DW243" s="19"/>
      <c r="DX243" s="19"/>
      <c r="DY243" s="19"/>
      <c r="DZ243" s="19"/>
      <c r="EA243" s="19"/>
      <c r="EB243" s="19"/>
      <c r="EC243" s="19"/>
      <c r="ED243" s="19"/>
      <c r="EE243" s="19"/>
      <c r="EF243" s="19"/>
      <c r="EG243" s="19"/>
      <c r="EH243" s="19"/>
      <c r="EI243" s="19"/>
      <c r="EJ243" s="19"/>
      <c r="EK243" s="19"/>
      <c r="EL243" s="19"/>
      <c r="EM243" s="19"/>
      <c r="EN243" s="19"/>
      <c r="EO243" s="19"/>
      <c r="EP243" s="17"/>
      <c r="EQ243" s="23"/>
      <c r="ER243" s="23" t="str">
        <f t="shared" si="7"/>
        <v/>
      </c>
      <c r="ES243" s="19"/>
      <c r="ET243" s="19" t="str">
        <f t="shared" si="8"/>
        <v/>
      </c>
      <c r="EU243" s="19"/>
      <c r="EV243" s="19"/>
      <c r="EW243" s="19"/>
      <c r="EX243" s="19"/>
      <c r="EY243" s="19"/>
      <c r="EZ243" s="19"/>
      <c r="FA243" s="19"/>
      <c r="FB243" s="19"/>
    </row>
    <row r="244" ht="15.75" customHeight="1">
      <c r="A244" s="19"/>
      <c r="F244" s="19"/>
      <c r="AH244" s="23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  <c r="CD244" s="19"/>
      <c r="CE244" s="19"/>
      <c r="CF244" s="19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19"/>
      <c r="CW244" s="19"/>
      <c r="CX244" s="19"/>
      <c r="CY244" s="19"/>
      <c r="CZ244" s="19"/>
      <c r="DA244" s="19"/>
      <c r="DB244" s="19"/>
      <c r="DC244" s="19"/>
      <c r="DD244" s="19"/>
      <c r="DE244" s="19"/>
      <c r="DF244" s="19"/>
      <c r="DG244" s="19"/>
      <c r="DH244" s="19"/>
      <c r="DI244" s="19"/>
      <c r="DJ244" s="19"/>
      <c r="DK244" s="19"/>
      <c r="DL244" s="19"/>
      <c r="DM244" s="19"/>
      <c r="DN244" s="19"/>
      <c r="DO244" s="19"/>
      <c r="DP244" s="19"/>
      <c r="DQ244" s="19"/>
      <c r="DR244" s="19"/>
      <c r="DS244" s="19"/>
      <c r="DT244" s="19"/>
      <c r="DU244" s="19"/>
      <c r="DV244" s="19"/>
      <c r="DW244" s="19"/>
      <c r="DX244" s="19"/>
      <c r="DY244" s="19"/>
      <c r="DZ244" s="19"/>
      <c r="EA244" s="19"/>
      <c r="EB244" s="19"/>
      <c r="EC244" s="19"/>
      <c r="ED244" s="19"/>
      <c r="EE244" s="19"/>
      <c r="EF244" s="19"/>
      <c r="EG244" s="19"/>
      <c r="EH244" s="19"/>
      <c r="EI244" s="19"/>
      <c r="EJ244" s="19"/>
      <c r="EK244" s="19"/>
      <c r="EL244" s="19"/>
      <c r="EM244" s="19"/>
      <c r="EN244" s="19"/>
      <c r="EO244" s="19"/>
      <c r="EP244" s="17"/>
      <c r="EQ244" s="23"/>
      <c r="ER244" s="23" t="str">
        <f t="shared" si="7"/>
        <v/>
      </c>
      <c r="ES244" s="19"/>
      <c r="ET244" s="19" t="str">
        <f t="shared" si="8"/>
        <v/>
      </c>
      <c r="EU244" s="19"/>
      <c r="EV244" s="19"/>
      <c r="EW244" s="19"/>
      <c r="EX244" s="19"/>
      <c r="EY244" s="19"/>
      <c r="EZ244" s="19"/>
      <c r="FA244" s="19"/>
      <c r="FB244" s="19"/>
    </row>
    <row r="245" ht="15.75" customHeight="1">
      <c r="A245" s="19"/>
      <c r="F245" s="19"/>
      <c r="AH245" s="23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  <c r="CD245" s="19"/>
      <c r="CE245" s="19"/>
      <c r="CF245" s="19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19"/>
      <c r="CW245" s="19"/>
      <c r="CX245" s="19"/>
      <c r="CY245" s="19"/>
      <c r="CZ245" s="19"/>
      <c r="DA245" s="19"/>
      <c r="DB245" s="19"/>
      <c r="DC245" s="19"/>
      <c r="DD245" s="19"/>
      <c r="DE245" s="19"/>
      <c r="DF245" s="19"/>
      <c r="DG245" s="19"/>
      <c r="DH245" s="19"/>
      <c r="DI245" s="19"/>
      <c r="DJ245" s="19"/>
      <c r="DK245" s="19"/>
      <c r="DL245" s="19"/>
      <c r="DM245" s="19"/>
      <c r="DN245" s="19"/>
      <c r="DO245" s="19"/>
      <c r="DP245" s="19"/>
      <c r="DQ245" s="19"/>
      <c r="DR245" s="19"/>
      <c r="DS245" s="19"/>
      <c r="DT245" s="19"/>
      <c r="DU245" s="19"/>
      <c r="DV245" s="19"/>
      <c r="DW245" s="19"/>
      <c r="DX245" s="19"/>
      <c r="DY245" s="19"/>
      <c r="DZ245" s="19"/>
      <c r="EA245" s="19"/>
      <c r="EB245" s="19"/>
      <c r="EC245" s="19"/>
      <c r="ED245" s="19"/>
      <c r="EE245" s="19"/>
      <c r="EF245" s="19"/>
      <c r="EG245" s="19"/>
      <c r="EH245" s="19"/>
      <c r="EI245" s="19"/>
      <c r="EJ245" s="19"/>
      <c r="EK245" s="19"/>
      <c r="EL245" s="19"/>
      <c r="EM245" s="19"/>
      <c r="EN245" s="19"/>
      <c r="EO245" s="19"/>
      <c r="EP245" s="17"/>
      <c r="EQ245" s="23"/>
      <c r="ER245" s="23" t="str">
        <f t="shared" si="7"/>
        <v/>
      </c>
      <c r="ES245" s="19"/>
      <c r="ET245" s="19" t="str">
        <f t="shared" si="8"/>
        <v/>
      </c>
      <c r="EU245" s="19"/>
      <c r="EV245" s="19"/>
      <c r="EW245" s="19"/>
      <c r="EX245" s="19"/>
      <c r="EY245" s="19"/>
      <c r="EZ245" s="19"/>
      <c r="FA245" s="19"/>
      <c r="FB245" s="19"/>
    </row>
    <row r="246" ht="15.75" customHeight="1">
      <c r="A246" s="19"/>
      <c r="F246" s="19"/>
      <c r="AH246" s="23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  <c r="CD246" s="19"/>
      <c r="CE246" s="19"/>
      <c r="CF246" s="19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19"/>
      <c r="CW246" s="19"/>
      <c r="CX246" s="19"/>
      <c r="CY246" s="19"/>
      <c r="CZ246" s="19"/>
      <c r="DA246" s="19"/>
      <c r="DB246" s="19"/>
      <c r="DC246" s="19"/>
      <c r="DD246" s="19"/>
      <c r="DE246" s="19"/>
      <c r="DF246" s="19"/>
      <c r="DG246" s="19"/>
      <c r="DH246" s="19"/>
      <c r="DI246" s="19"/>
      <c r="DJ246" s="19"/>
      <c r="DK246" s="19"/>
      <c r="DL246" s="19"/>
      <c r="DM246" s="19"/>
      <c r="DN246" s="19"/>
      <c r="DO246" s="19"/>
      <c r="DP246" s="19"/>
      <c r="DQ246" s="19"/>
      <c r="DR246" s="19"/>
      <c r="DS246" s="19"/>
      <c r="DT246" s="19"/>
      <c r="DU246" s="19"/>
      <c r="DV246" s="19"/>
      <c r="DW246" s="19"/>
      <c r="DX246" s="19"/>
      <c r="DY246" s="19"/>
      <c r="DZ246" s="19"/>
      <c r="EA246" s="19"/>
      <c r="EB246" s="19"/>
      <c r="EC246" s="19"/>
      <c r="ED246" s="19"/>
      <c r="EE246" s="19"/>
      <c r="EF246" s="19"/>
      <c r="EG246" s="19"/>
      <c r="EH246" s="19"/>
      <c r="EI246" s="19"/>
      <c r="EJ246" s="19"/>
      <c r="EK246" s="19"/>
      <c r="EL246" s="19"/>
      <c r="EM246" s="19"/>
      <c r="EN246" s="19"/>
      <c r="EO246" s="19"/>
      <c r="EP246" s="17"/>
      <c r="EQ246" s="23"/>
      <c r="ER246" s="23" t="str">
        <f t="shared" si="7"/>
        <v/>
      </c>
      <c r="ES246" s="19"/>
      <c r="ET246" s="19" t="str">
        <f t="shared" si="8"/>
        <v/>
      </c>
      <c r="EU246" s="19"/>
      <c r="EV246" s="19"/>
      <c r="EW246" s="19"/>
      <c r="EX246" s="19"/>
      <c r="EY246" s="19"/>
      <c r="EZ246" s="19"/>
      <c r="FA246" s="19"/>
      <c r="FB246" s="19"/>
    </row>
    <row r="247" ht="15.75" customHeight="1">
      <c r="A247" s="19"/>
      <c r="F247" s="19"/>
      <c r="AH247" s="23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  <c r="CD247" s="19"/>
      <c r="CE247" s="19"/>
      <c r="CF247" s="19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19"/>
      <c r="CW247" s="19"/>
      <c r="CX247" s="19"/>
      <c r="CY247" s="19"/>
      <c r="CZ247" s="19"/>
      <c r="DA247" s="19"/>
      <c r="DB247" s="19"/>
      <c r="DC247" s="19"/>
      <c r="DD247" s="19"/>
      <c r="DE247" s="19"/>
      <c r="DF247" s="19"/>
      <c r="DG247" s="19"/>
      <c r="DH247" s="19"/>
      <c r="DI247" s="19"/>
      <c r="DJ247" s="19"/>
      <c r="DK247" s="19"/>
      <c r="DL247" s="19"/>
      <c r="DM247" s="19"/>
      <c r="DN247" s="19"/>
      <c r="DO247" s="19"/>
      <c r="DP247" s="19"/>
      <c r="DQ247" s="19"/>
      <c r="DR247" s="19"/>
      <c r="DS247" s="19"/>
      <c r="DT247" s="19"/>
      <c r="DU247" s="19"/>
      <c r="DV247" s="19"/>
      <c r="DW247" s="19"/>
      <c r="DX247" s="19"/>
      <c r="DY247" s="19"/>
      <c r="DZ247" s="19"/>
      <c r="EA247" s="19"/>
      <c r="EB247" s="19"/>
      <c r="EC247" s="19"/>
      <c r="ED247" s="19"/>
      <c r="EE247" s="19"/>
      <c r="EF247" s="19"/>
      <c r="EG247" s="19"/>
      <c r="EH247" s="19"/>
      <c r="EI247" s="19"/>
      <c r="EJ247" s="19"/>
      <c r="EK247" s="19"/>
      <c r="EL247" s="19"/>
      <c r="EM247" s="19"/>
      <c r="EN247" s="19"/>
      <c r="EO247" s="19"/>
      <c r="EP247" s="17"/>
      <c r="EQ247" s="23"/>
      <c r="ER247" s="23" t="str">
        <f t="shared" si="7"/>
        <v/>
      </c>
      <c r="ES247" s="19"/>
      <c r="ET247" s="19" t="str">
        <f t="shared" si="8"/>
        <v/>
      </c>
      <c r="EU247" s="19"/>
      <c r="EV247" s="19"/>
      <c r="EW247" s="19"/>
      <c r="EX247" s="19"/>
      <c r="EY247" s="19"/>
      <c r="EZ247" s="19"/>
      <c r="FA247" s="19"/>
      <c r="FB247" s="19"/>
    </row>
    <row r="248" ht="15.75" customHeight="1">
      <c r="A248" s="19"/>
      <c r="F248" s="19"/>
      <c r="AH248" s="23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7"/>
      <c r="EQ248" s="23"/>
      <c r="ER248" s="23" t="str">
        <f t="shared" si="7"/>
        <v/>
      </c>
      <c r="ES248" s="19"/>
      <c r="ET248" s="19" t="str">
        <f t="shared" si="8"/>
        <v/>
      </c>
      <c r="EU248" s="19"/>
      <c r="EV248" s="19"/>
      <c r="EW248" s="19"/>
      <c r="EX248" s="19"/>
      <c r="EY248" s="19"/>
      <c r="EZ248" s="19"/>
      <c r="FA248" s="19"/>
      <c r="FB248" s="19"/>
    </row>
    <row r="249" ht="15.75" customHeight="1">
      <c r="A249" s="19"/>
      <c r="F249" s="19"/>
      <c r="AH249" s="23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  <c r="CD249" s="19"/>
      <c r="CE249" s="19"/>
      <c r="CF249" s="19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19"/>
      <c r="CW249" s="19"/>
      <c r="CX249" s="19"/>
      <c r="CY249" s="19"/>
      <c r="CZ249" s="19"/>
      <c r="DA249" s="19"/>
      <c r="DB249" s="19"/>
      <c r="DC249" s="19"/>
      <c r="DD249" s="19"/>
      <c r="DE249" s="19"/>
      <c r="DF249" s="19"/>
      <c r="DG249" s="19"/>
      <c r="DH249" s="19"/>
      <c r="DI249" s="19"/>
      <c r="DJ249" s="19"/>
      <c r="DK249" s="19"/>
      <c r="DL249" s="19"/>
      <c r="DM249" s="19"/>
      <c r="DN249" s="19"/>
      <c r="DO249" s="19"/>
      <c r="DP249" s="19"/>
      <c r="DQ249" s="19"/>
      <c r="DR249" s="19"/>
      <c r="DS249" s="19"/>
      <c r="DT249" s="19"/>
      <c r="DU249" s="19"/>
      <c r="DV249" s="19"/>
      <c r="DW249" s="19"/>
      <c r="DX249" s="19"/>
      <c r="DY249" s="19"/>
      <c r="DZ249" s="19"/>
      <c r="EA249" s="19"/>
      <c r="EB249" s="19"/>
      <c r="EC249" s="19"/>
      <c r="ED249" s="19"/>
      <c r="EE249" s="19"/>
      <c r="EF249" s="19"/>
      <c r="EG249" s="19"/>
      <c r="EH249" s="19"/>
      <c r="EI249" s="19"/>
      <c r="EJ249" s="19"/>
      <c r="EK249" s="19"/>
      <c r="EL249" s="19"/>
      <c r="EM249" s="19"/>
      <c r="EN249" s="19"/>
      <c r="EO249" s="19"/>
      <c r="EP249" s="17"/>
      <c r="EQ249" s="23"/>
      <c r="ER249" s="23" t="str">
        <f t="shared" si="7"/>
        <v/>
      </c>
      <c r="ES249" s="19"/>
      <c r="ET249" s="19" t="str">
        <f t="shared" si="8"/>
        <v/>
      </c>
      <c r="EU249" s="19"/>
      <c r="EV249" s="19"/>
      <c r="EW249" s="19"/>
      <c r="EX249" s="19"/>
      <c r="EY249" s="19"/>
      <c r="EZ249" s="19"/>
      <c r="FA249" s="19"/>
      <c r="FB249" s="19"/>
    </row>
    <row r="250" ht="15.75" customHeight="1">
      <c r="A250" s="19"/>
      <c r="F250" s="19"/>
      <c r="AH250" s="23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  <c r="CD250" s="19"/>
      <c r="CE250" s="19"/>
      <c r="CF250" s="19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19"/>
      <c r="CW250" s="19"/>
      <c r="CX250" s="19"/>
      <c r="CY250" s="19"/>
      <c r="CZ250" s="19"/>
      <c r="DA250" s="19"/>
      <c r="DB250" s="19"/>
      <c r="DC250" s="19"/>
      <c r="DD250" s="19"/>
      <c r="DE250" s="19"/>
      <c r="DF250" s="19"/>
      <c r="DG250" s="19"/>
      <c r="DH250" s="19"/>
      <c r="DI250" s="19"/>
      <c r="DJ250" s="19"/>
      <c r="DK250" s="19"/>
      <c r="DL250" s="19"/>
      <c r="DM250" s="19"/>
      <c r="DN250" s="19"/>
      <c r="DO250" s="19"/>
      <c r="DP250" s="19"/>
      <c r="DQ250" s="19"/>
      <c r="DR250" s="19"/>
      <c r="DS250" s="19"/>
      <c r="DT250" s="19"/>
      <c r="DU250" s="19"/>
      <c r="DV250" s="19"/>
      <c r="DW250" s="19"/>
      <c r="DX250" s="19"/>
      <c r="DY250" s="19"/>
      <c r="DZ250" s="19"/>
      <c r="EA250" s="19"/>
      <c r="EB250" s="19"/>
      <c r="EC250" s="19"/>
      <c r="ED250" s="19"/>
      <c r="EE250" s="19"/>
      <c r="EF250" s="19"/>
      <c r="EG250" s="19"/>
      <c r="EH250" s="19"/>
      <c r="EI250" s="19"/>
      <c r="EJ250" s="19"/>
      <c r="EK250" s="19"/>
      <c r="EL250" s="19"/>
      <c r="EM250" s="19"/>
      <c r="EN250" s="19"/>
      <c r="EO250" s="19"/>
      <c r="EP250" s="17"/>
      <c r="EQ250" s="23"/>
      <c r="ER250" s="23" t="str">
        <f t="shared" si="7"/>
        <v/>
      </c>
      <c r="ES250" s="19"/>
      <c r="ET250" s="19" t="str">
        <f t="shared" si="8"/>
        <v/>
      </c>
      <c r="EU250" s="19"/>
      <c r="EV250" s="19"/>
      <c r="EW250" s="19"/>
      <c r="EX250" s="19"/>
      <c r="EY250" s="19"/>
      <c r="EZ250" s="19"/>
      <c r="FA250" s="19"/>
      <c r="FB250" s="19"/>
    </row>
    <row r="251" ht="15.75" customHeight="1">
      <c r="A251" s="19"/>
      <c r="F251" s="19"/>
      <c r="AH251" s="23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  <c r="CD251" s="19"/>
      <c r="CE251" s="19"/>
      <c r="CF251" s="19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19"/>
      <c r="CW251" s="19"/>
      <c r="CX251" s="19"/>
      <c r="CY251" s="19"/>
      <c r="CZ251" s="19"/>
      <c r="DA251" s="19"/>
      <c r="DB251" s="19"/>
      <c r="DC251" s="19"/>
      <c r="DD251" s="19"/>
      <c r="DE251" s="19"/>
      <c r="DF251" s="19"/>
      <c r="DG251" s="19"/>
      <c r="DH251" s="19"/>
      <c r="DI251" s="19"/>
      <c r="DJ251" s="19"/>
      <c r="DK251" s="19"/>
      <c r="DL251" s="19"/>
      <c r="DM251" s="19"/>
      <c r="DN251" s="19"/>
      <c r="DO251" s="19"/>
      <c r="DP251" s="19"/>
      <c r="DQ251" s="19"/>
      <c r="DR251" s="19"/>
      <c r="DS251" s="19"/>
      <c r="DT251" s="19"/>
      <c r="DU251" s="19"/>
      <c r="DV251" s="19"/>
      <c r="DW251" s="19"/>
      <c r="DX251" s="19"/>
      <c r="DY251" s="19"/>
      <c r="DZ251" s="19"/>
      <c r="EA251" s="19"/>
      <c r="EB251" s="19"/>
      <c r="EC251" s="19"/>
      <c r="ED251" s="19"/>
      <c r="EE251" s="19"/>
      <c r="EF251" s="19"/>
      <c r="EG251" s="19"/>
      <c r="EH251" s="19"/>
      <c r="EI251" s="19"/>
      <c r="EJ251" s="19"/>
      <c r="EK251" s="19"/>
      <c r="EL251" s="19"/>
      <c r="EM251" s="19"/>
      <c r="EN251" s="19"/>
      <c r="EO251" s="19"/>
      <c r="EP251" s="17"/>
      <c r="EQ251" s="23"/>
      <c r="ER251" s="23" t="str">
        <f t="shared" si="7"/>
        <v/>
      </c>
      <c r="ES251" s="19"/>
      <c r="ET251" s="19" t="str">
        <f t="shared" si="8"/>
        <v/>
      </c>
      <c r="EU251" s="19"/>
      <c r="EV251" s="19"/>
      <c r="EW251" s="19"/>
      <c r="EX251" s="19"/>
      <c r="EY251" s="19"/>
      <c r="EZ251" s="19"/>
      <c r="FA251" s="19"/>
      <c r="FB251" s="19"/>
    </row>
    <row r="252" ht="15.75" customHeight="1">
      <c r="A252" s="19"/>
      <c r="F252" s="19"/>
      <c r="AH252" s="23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  <c r="CD252" s="19"/>
      <c r="CE252" s="19"/>
      <c r="CF252" s="19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19"/>
      <c r="CW252" s="19"/>
      <c r="CX252" s="19"/>
      <c r="CY252" s="19"/>
      <c r="CZ252" s="19"/>
      <c r="DA252" s="19"/>
      <c r="DB252" s="19"/>
      <c r="DC252" s="19"/>
      <c r="DD252" s="19"/>
      <c r="DE252" s="19"/>
      <c r="DF252" s="19"/>
      <c r="DG252" s="19"/>
      <c r="DH252" s="19"/>
      <c r="DI252" s="19"/>
      <c r="DJ252" s="19"/>
      <c r="DK252" s="19"/>
      <c r="DL252" s="19"/>
      <c r="DM252" s="19"/>
      <c r="DN252" s="19"/>
      <c r="DO252" s="19"/>
      <c r="DP252" s="19"/>
      <c r="DQ252" s="19"/>
      <c r="DR252" s="19"/>
      <c r="DS252" s="19"/>
      <c r="DT252" s="19"/>
      <c r="DU252" s="19"/>
      <c r="DV252" s="19"/>
      <c r="DW252" s="19"/>
      <c r="DX252" s="19"/>
      <c r="DY252" s="19"/>
      <c r="DZ252" s="19"/>
      <c r="EA252" s="19"/>
      <c r="EB252" s="19"/>
      <c r="EC252" s="19"/>
      <c r="ED252" s="19"/>
      <c r="EE252" s="19"/>
      <c r="EF252" s="19"/>
      <c r="EG252" s="19"/>
      <c r="EH252" s="19"/>
      <c r="EI252" s="19"/>
      <c r="EJ252" s="19"/>
      <c r="EK252" s="19"/>
      <c r="EL252" s="19"/>
      <c r="EM252" s="19"/>
      <c r="EN252" s="19"/>
      <c r="EO252" s="19"/>
      <c r="EP252" s="17"/>
      <c r="EQ252" s="23"/>
      <c r="ER252" s="23" t="str">
        <f t="shared" si="7"/>
        <v/>
      </c>
      <c r="ES252" s="19"/>
      <c r="ET252" s="19" t="str">
        <f t="shared" si="8"/>
        <v/>
      </c>
      <c r="EU252" s="19"/>
      <c r="EV252" s="19"/>
      <c r="EW252" s="19"/>
      <c r="EX252" s="19"/>
      <c r="EY252" s="19"/>
      <c r="EZ252" s="19"/>
      <c r="FA252" s="19"/>
      <c r="FB252" s="19"/>
    </row>
    <row r="253" ht="15.75" customHeight="1">
      <c r="A253" s="19"/>
      <c r="F253" s="19"/>
      <c r="AH253" s="23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  <c r="CD253" s="19"/>
      <c r="CE253" s="19"/>
      <c r="CF253" s="19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19"/>
      <c r="CW253" s="19"/>
      <c r="CX253" s="19"/>
      <c r="CY253" s="19"/>
      <c r="CZ253" s="19"/>
      <c r="DA253" s="19"/>
      <c r="DB253" s="19"/>
      <c r="DC253" s="19"/>
      <c r="DD253" s="19"/>
      <c r="DE253" s="19"/>
      <c r="DF253" s="19"/>
      <c r="DG253" s="19"/>
      <c r="DH253" s="19"/>
      <c r="DI253" s="19"/>
      <c r="DJ253" s="19"/>
      <c r="DK253" s="19"/>
      <c r="DL253" s="19"/>
      <c r="DM253" s="19"/>
      <c r="DN253" s="19"/>
      <c r="DO253" s="19"/>
      <c r="DP253" s="19"/>
      <c r="DQ253" s="19"/>
      <c r="DR253" s="19"/>
      <c r="DS253" s="19"/>
      <c r="DT253" s="19"/>
      <c r="DU253" s="19"/>
      <c r="DV253" s="19"/>
      <c r="DW253" s="19"/>
      <c r="DX253" s="19"/>
      <c r="DY253" s="19"/>
      <c r="DZ253" s="19"/>
      <c r="EA253" s="19"/>
      <c r="EB253" s="19"/>
      <c r="EC253" s="19"/>
      <c r="ED253" s="19"/>
      <c r="EE253" s="19"/>
      <c r="EF253" s="19"/>
      <c r="EG253" s="19"/>
      <c r="EH253" s="19"/>
      <c r="EI253" s="19"/>
      <c r="EJ253" s="19"/>
      <c r="EK253" s="19"/>
      <c r="EL253" s="19"/>
      <c r="EM253" s="19"/>
      <c r="EN253" s="19"/>
      <c r="EO253" s="19"/>
      <c r="EP253" s="17"/>
      <c r="EQ253" s="23"/>
      <c r="ER253" s="23" t="str">
        <f t="shared" si="7"/>
        <v/>
      </c>
      <c r="ES253" s="19"/>
      <c r="ET253" s="19" t="str">
        <f t="shared" si="8"/>
        <v/>
      </c>
      <c r="EU253" s="19"/>
      <c r="EV253" s="19"/>
      <c r="EW253" s="19"/>
      <c r="EX253" s="19"/>
      <c r="EY253" s="19"/>
      <c r="EZ253" s="19"/>
      <c r="FA253" s="19"/>
      <c r="FB253" s="19"/>
    </row>
    <row r="254" ht="15.75" customHeight="1">
      <c r="A254" s="19"/>
      <c r="F254" s="19"/>
      <c r="AH254" s="23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  <c r="CD254" s="19"/>
      <c r="CE254" s="19"/>
      <c r="CF254" s="19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19"/>
      <c r="CW254" s="19"/>
      <c r="CX254" s="19"/>
      <c r="CY254" s="19"/>
      <c r="CZ254" s="19"/>
      <c r="DA254" s="19"/>
      <c r="DB254" s="19"/>
      <c r="DC254" s="19"/>
      <c r="DD254" s="19"/>
      <c r="DE254" s="19"/>
      <c r="DF254" s="19"/>
      <c r="DG254" s="19"/>
      <c r="DH254" s="19"/>
      <c r="DI254" s="19"/>
      <c r="DJ254" s="19"/>
      <c r="DK254" s="19"/>
      <c r="DL254" s="19"/>
      <c r="DM254" s="19"/>
      <c r="DN254" s="19"/>
      <c r="DO254" s="19"/>
      <c r="DP254" s="19"/>
      <c r="DQ254" s="19"/>
      <c r="DR254" s="19"/>
      <c r="DS254" s="19"/>
      <c r="DT254" s="19"/>
      <c r="DU254" s="19"/>
      <c r="DV254" s="19"/>
      <c r="DW254" s="19"/>
      <c r="DX254" s="19"/>
      <c r="DY254" s="19"/>
      <c r="DZ254" s="19"/>
      <c r="EA254" s="19"/>
      <c r="EB254" s="19"/>
      <c r="EC254" s="19"/>
      <c r="ED254" s="19"/>
      <c r="EE254" s="19"/>
      <c r="EF254" s="19"/>
      <c r="EG254" s="19"/>
      <c r="EH254" s="19"/>
      <c r="EI254" s="19"/>
      <c r="EJ254" s="19"/>
      <c r="EK254" s="19"/>
      <c r="EL254" s="19"/>
      <c r="EM254" s="19"/>
      <c r="EN254" s="19"/>
      <c r="EO254" s="19"/>
      <c r="EP254" s="17"/>
      <c r="EQ254" s="23"/>
      <c r="ER254" s="23" t="str">
        <f t="shared" si="7"/>
        <v/>
      </c>
      <c r="ES254" s="19"/>
      <c r="ET254" s="19" t="str">
        <f t="shared" si="8"/>
        <v/>
      </c>
      <c r="EU254" s="19"/>
      <c r="EV254" s="19"/>
      <c r="EW254" s="19"/>
      <c r="EX254" s="19"/>
      <c r="EY254" s="19"/>
      <c r="EZ254" s="19"/>
      <c r="FA254" s="19"/>
      <c r="FB254" s="19"/>
    </row>
    <row r="255" ht="15.75" customHeight="1">
      <c r="A255" s="19"/>
      <c r="F255" s="19"/>
      <c r="AH255" s="23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  <c r="CD255" s="19"/>
      <c r="CE255" s="19"/>
      <c r="CF255" s="19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19"/>
      <c r="CW255" s="19"/>
      <c r="CX255" s="19"/>
      <c r="CY255" s="19"/>
      <c r="CZ255" s="19"/>
      <c r="DA255" s="19"/>
      <c r="DB255" s="19"/>
      <c r="DC255" s="19"/>
      <c r="DD255" s="19"/>
      <c r="DE255" s="19"/>
      <c r="DF255" s="19"/>
      <c r="DG255" s="19"/>
      <c r="DH255" s="19"/>
      <c r="DI255" s="19"/>
      <c r="DJ255" s="19"/>
      <c r="DK255" s="19"/>
      <c r="DL255" s="19"/>
      <c r="DM255" s="19"/>
      <c r="DN255" s="19"/>
      <c r="DO255" s="19"/>
      <c r="DP255" s="19"/>
      <c r="DQ255" s="19"/>
      <c r="DR255" s="19"/>
      <c r="DS255" s="19"/>
      <c r="DT255" s="19"/>
      <c r="DU255" s="19"/>
      <c r="DV255" s="19"/>
      <c r="DW255" s="19"/>
      <c r="DX255" s="19"/>
      <c r="DY255" s="19"/>
      <c r="DZ255" s="19"/>
      <c r="EA255" s="19"/>
      <c r="EB255" s="19"/>
      <c r="EC255" s="19"/>
      <c r="ED255" s="19"/>
      <c r="EE255" s="19"/>
      <c r="EF255" s="19"/>
      <c r="EG255" s="19"/>
      <c r="EH255" s="19"/>
      <c r="EI255" s="19"/>
      <c r="EJ255" s="19"/>
      <c r="EK255" s="19"/>
      <c r="EL255" s="19"/>
      <c r="EM255" s="19"/>
      <c r="EN255" s="19"/>
      <c r="EO255" s="19"/>
      <c r="EP255" s="17"/>
      <c r="EQ255" s="23"/>
      <c r="ER255" s="23" t="str">
        <f t="shared" si="7"/>
        <v/>
      </c>
      <c r="ES255" s="19"/>
      <c r="ET255" s="19" t="str">
        <f t="shared" si="8"/>
        <v/>
      </c>
      <c r="EU255" s="19"/>
      <c r="EV255" s="19"/>
      <c r="EW255" s="19"/>
      <c r="EX255" s="19"/>
      <c r="EY255" s="19"/>
      <c r="EZ255" s="19"/>
      <c r="FA255" s="19"/>
      <c r="FB255" s="19"/>
    </row>
    <row r="256" ht="15.75" customHeight="1">
      <c r="A256" s="19"/>
      <c r="F256" s="19"/>
      <c r="AH256" s="23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  <c r="CD256" s="19"/>
      <c r="CE256" s="19"/>
      <c r="CF256" s="19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19"/>
      <c r="CW256" s="19"/>
      <c r="CX256" s="19"/>
      <c r="CY256" s="19"/>
      <c r="CZ256" s="19"/>
      <c r="DA256" s="19"/>
      <c r="DB256" s="19"/>
      <c r="DC256" s="19"/>
      <c r="DD256" s="19"/>
      <c r="DE256" s="19"/>
      <c r="DF256" s="19"/>
      <c r="DG256" s="19"/>
      <c r="DH256" s="19"/>
      <c r="DI256" s="19"/>
      <c r="DJ256" s="19"/>
      <c r="DK256" s="19"/>
      <c r="DL256" s="19"/>
      <c r="DM256" s="19"/>
      <c r="DN256" s="19"/>
      <c r="DO256" s="19"/>
      <c r="DP256" s="19"/>
      <c r="DQ256" s="19"/>
      <c r="DR256" s="19"/>
      <c r="DS256" s="19"/>
      <c r="DT256" s="19"/>
      <c r="DU256" s="19"/>
      <c r="DV256" s="19"/>
      <c r="DW256" s="19"/>
      <c r="DX256" s="19"/>
      <c r="DY256" s="19"/>
      <c r="DZ256" s="19"/>
      <c r="EA256" s="19"/>
      <c r="EB256" s="19"/>
      <c r="EC256" s="19"/>
      <c r="ED256" s="19"/>
      <c r="EE256" s="19"/>
      <c r="EF256" s="19"/>
      <c r="EG256" s="19"/>
      <c r="EH256" s="19"/>
      <c r="EI256" s="19"/>
      <c r="EJ256" s="19"/>
      <c r="EK256" s="19"/>
      <c r="EL256" s="19"/>
      <c r="EM256" s="19"/>
      <c r="EN256" s="19"/>
      <c r="EO256" s="19"/>
      <c r="EP256" s="17"/>
      <c r="EQ256" s="23"/>
      <c r="ER256" s="23" t="str">
        <f t="shared" si="7"/>
        <v/>
      </c>
      <c r="ES256" s="19"/>
      <c r="ET256" s="19" t="str">
        <f t="shared" si="8"/>
        <v/>
      </c>
      <c r="EU256" s="19"/>
      <c r="EV256" s="19"/>
      <c r="EW256" s="19"/>
      <c r="EX256" s="19"/>
      <c r="EY256" s="19"/>
      <c r="EZ256" s="19"/>
      <c r="FA256" s="19"/>
      <c r="FB256" s="19"/>
    </row>
    <row r="257" ht="15.75" customHeight="1">
      <c r="A257" s="19"/>
      <c r="F257" s="19"/>
      <c r="AH257" s="23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  <c r="CD257" s="19"/>
      <c r="CE257" s="19"/>
      <c r="CF257" s="19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19"/>
      <c r="CW257" s="19"/>
      <c r="CX257" s="19"/>
      <c r="CY257" s="19"/>
      <c r="CZ257" s="19"/>
      <c r="DA257" s="19"/>
      <c r="DB257" s="19"/>
      <c r="DC257" s="19"/>
      <c r="DD257" s="19"/>
      <c r="DE257" s="19"/>
      <c r="DF257" s="19"/>
      <c r="DG257" s="19"/>
      <c r="DH257" s="19"/>
      <c r="DI257" s="19"/>
      <c r="DJ257" s="19"/>
      <c r="DK257" s="19"/>
      <c r="DL257" s="19"/>
      <c r="DM257" s="19"/>
      <c r="DN257" s="19"/>
      <c r="DO257" s="19"/>
      <c r="DP257" s="19"/>
      <c r="DQ257" s="19"/>
      <c r="DR257" s="19"/>
      <c r="DS257" s="19"/>
      <c r="DT257" s="19"/>
      <c r="DU257" s="19"/>
      <c r="DV257" s="19"/>
      <c r="DW257" s="19"/>
      <c r="DX257" s="19"/>
      <c r="DY257" s="19"/>
      <c r="DZ257" s="19"/>
      <c r="EA257" s="19"/>
      <c r="EB257" s="19"/>
      <c r="EC257" s="19"/>
      <c r="ED257" s="19"/>
      <c r="EE257" s="19"/>
      <c r="EF257" s="19"/>
      <c r="EG257" s="19"/>
      <c r="EH257" s="19"/>
      <c r="EI257" s="19"/>
      <c r="EJ257" s="19"/>
      <c r="EK257" s="19"/>
      <c r="EL257" s="19"/>
      <c r="EM257" s="19"/>
      <c r="EN257" s="19"/>
      <c r="EO257" s="19"/>
      <c r="EP257" s="17"/>
      <c r="EQ257" s="23"/>
      <c r="ER257" s="23" t="str">
        <f t="shared" si="7"/>
        <v/>
      </c>
      <c r="ES257" s="19"/>
      <c r="ET257" s="19" t="str">
        <f t="shared" si="8"/>
        <v/>
      </c>
      <c r="EU257" s="19"/>
      <c r="EV257" s="19"/>
      <c r="EW257" s="19"/>
      <c r="EX257" s="19"/>
      <c r="EY257" s="19"/>
      <c r="EZ257" s="19"/>
      <c r="FA257" s="19"/>
      <c r="FB257" s="19"/>
    </row>
    <row r="258" ht="15.75" customHeight="1">
      <c r="A258" s="19"/>
      <c r="F258" s="19"/>
      <c r="AH258" s="23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  <c r="CD258" s="19"/>
      <c r="CE258" s="19"/>
      <c r="CF258" s="19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19"/>
      <c r="CW258" s="19"/>
      <c r="CX258" s="19"/>
      <c r="CY258" s="19"/>
      <c r="CZ258" s="19"/>
      <c r="DA258" s="19"/>
      <c r="DB258" s="19"/>
      <c r="DC258" s="19"/>
      <c r="DD258" s="19"/>
      <c r="DE258" s="19"/>
      <c r="DF258" s="19"/>
      <c r="DG258" s="19"/>
      <c r="DH258" s="19"/>
      <c r="DI258" s="19"/>
      <c r="DJ258" s="19"/>
      <c r="DK258" s="19"/>
      <c r="DL258" s="19"/>
      <c r="DM258" s="19"/>
      <c r="DN258" s="19"/>
      <c r="DO258" s="19"/>
      <c r="DP258" s="19"/>
      <c r="DQ258" s="19"/>
      <c r="DR258" s="19"/>
      <c r="DS258" s="19"/>
      <c r="DT258" s="19"/>
      <c r="DU258" s="19"/>
      <c r="DV258" s="19"/>
      <c r="DW258" s="19"/>
      <c r="DX258" s="19"/>
      <c r="DY258" s="19"/>
      <c r="DZ258" s="19"/>
      <c r="EA258" s="19"/>
      <c r="EB258" s="19"/>
      <c r="EC258" s="19"/>
      <c r="ED258" s="19"/>
      <c r="EE258" s="19"/>
      <c r="EF258" s="19"/>
      <c r="EG258" s="19"/>
      <c r="EH258" s="19"/>
      <c r="EI258" s="19"/>
      <c r="EJ258" s="19"/>
      <c r="EK258" s="19"/>
      <c r="EL258" s="19"/>
      <c r="EM258" s="19"/>
      <c r="EN258" s="19"/>
      <c r="EO258" s="19"/>
      <c r="EP258" s="17"/>
      <c r="EQ258" s="23"/>
      <c r="ER258" s="23" t="str">
        <f t="shared" si="7"/>
        <v/>
      </c>
      <c r="ES258" s="19"/>
      <c r="ET258" s="19" t="str">
        <f t="shared" si="8"/>
        <v/>
      </c>
      <c r="EU258" s="19"/>
      <c r="EV258" s="19"/>
      <c r="EW258" s="19"/>
      <c r="EX258" s="19"/>
      <c r="EY258" s="19"/>
      <c r="EZ258" s="19"/>
      <c r="FA258" s="19"/>
      <c r="FB258" s="19"/>
    </row>
    <row r="259" ht="15.75" customHeight="1">
      <c r="A259" s="19"/>
      <c r="F259" s="19"/>
      <c r="AH259" s="23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7"/>
      <c r="EQ259" s="23"/>
      <c r="ER259" s="23" t="str">
        <f t="shared" si="7"/>
        <v/>
      </c>
      <c r="ES259" s="19"/>
      <c r="ET259" s="19" t="str">
        <f t="shared" si="8"/>
        <v/>
      </c>
      <c r="EU259" s="19"/>
      <c r="EV259" s="19"/>
      <c r="EW259" s="19"/>
      <c r="EX259" s="19"/>
      <c r="EY259" s="19"/>
      <c r="EZ259" s="19"/>
      <c r="FA259" s="19"/>
      <c r="FB259" s="19"/>
    </row>
    <row r="260" ht="15.75" customHeight="1">
      <c r="A260" s="19"/>
      <c r="F260" s="19"/>
      <c r="AH260" s="23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19"/>
      <c r="CW260" s="19"/>
      <c r="CX260" s="19"/>
      <c r="CY260" s="19"/>
      <c r="CZ260" s="19"/>
      <c r="DA260" s="19"/>
      <c r="DB260" s="19"/>
      <c r="DC260" s="19"/>
      <c r="DD260" s="19"/>
      <c r="DE260" s="19"/>
      <c r="DF260" s="19"/>
      <c r="DG260" s="19"/>
      <c r="DH260" s="19"/>
      <c r="DI260" s="19"/>
      <c r="DJ260" s="19"/>
      <c r="DK260" s="19"/>
      <c r="DL260" s="19"/>
      <c r="DM260" s="19"/>
      <c r="DN260" s="19"/>
      <c r="DO260" s="19"/>
      <c r="DP260" s="19"/>
      <c r="DQ260" s="19"/>
      <c r="DR260" s="19"/>
      <c r="DS260" s="19"/>
      <c r="DT260" s="19"/>
      <c r="DU260" s="19"/>
      <c r="DV260" s="19"/>
      <c r="DW260" s="19"/>
      <c r="DX260" s="19"/>
      <c r="DY260" s="19"/>
      <c r="DZ260" s="19"/>
      <c r="EA260" s="19"/>
      <c r="EB260" s="19"/>
      <c r="EC260" s="19"/>
      <c r="ED260" s="19"/>
      <c r="EE260" s="19"/>
      <c r="EF260" s="19"/>
      <c r="EG260" s="19"/>
      <c r="EH260" s="19"/>
      <c r="EI260" s="19"/>
      <c r="EJ260" s="19"/>
      <c r="EK260" s="19"/>
      <c r="EL260" s="19"/>
      <c r="EM260" s="19"/>
      <c r="EN260" s="19"/>
      <c r="EO260" s="19"/>
      <c r="EP260" s="17"/>
      <c r="EQ260" s="23"/>
      <c r="ER260" s="23" t="str">
        <f t="shared" si="7"/>
        <v/>
      </c>
      <c r="ES260" s="19"/>
      <c r="ET260" s="19" t="str">
        <f t="shared" si="8"/>
        <v/>
      </c>
      <c r="EU260" s="19"/>
      <c r="EV260" s="19"/>
      <c r="EW260" s="19"/>
      <c r="EX260" s="19"/>
      <c r="EY260" s="19"/>
      <c r="EZ260" s="19"/>
      <c r="FA260" s="19"/>
      <c r="FB260" s="19"/>
    </row>
    <row r="261" ht="15.75" customHeight="1">
      <c r="A261" s="19"/>
      <c r="F261" s="19"/>
      <c r="AH261" s="23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19"/>
      <c r="CW261" s="19"/>
      <c r="CX261" s="19"/>
      <c r="CY261" s="19"/>
      <c r="CZ261" s="19"/>
      <c r="DA261" s="19"/>
      <c r="DB261" s="19"/>
      <c r="DC261" s="19"/>
      <c r="DD261" s="19"/>
      <c r="DE261" s="19"/>
      <c r="DF261" s="19"/>
      <c r="DG261" s="19"/>
      <c r="DH261" s="19"/>
      <c r="DI261" s="19"/>
      <c r="DJ261" s="19"/>
      <c r="DK261" s="19"/>
      <c r="DL261" s="19"/>
      <c r="DM261" s="19"/>
      <c r="DN261" s="19"/>
      <c r="DO261" s="19"/>
      <c r="DP261" s="19"/>
      <c r="DQ261" s="19"/>
      <c r="DR261" s="19"/>
      <c r="DS261" s="19"/>
      <c r="DT261" s="19"/>
      <c r="DU261" s="19"/>
      <c r="DV261" s="19"/>
      <c r="DW261" s="19"/>
      <c r="DX261" s="19"/>
      <c r="DY261" s="19"/>
      <c r="DZ261" s="19"/>
      <c r="EA261" s="19"/>
      <c r="EB261" s="19"/>
      <c r="EC261" s="19"/>
      <c r="ED261" s="19"/>
      <c r="EE261" s="19"/>
      <c r="EF261" s="19"/>
      <c r="EG261" s="19"/>
      <c r="EH261" s="19"/>
      <c r="EI261" s="19"/>
      <c r="EJ261" s="19"/>
      <c r="EK261" s="19"/>
      <c r="EL261" s="19"/>
      <c r="EM261" s="19"/>
      <c r="EN261" s="19"/>
      <c r="EO261" s="19"/>
      <c r="EP261" s="17"/>
      <c r="EQ261" s="23"/>
      <c r="ER261" s="23" t="str">
        <f t="shared" si="7"/>
        <v/>
      </c>
      <c r="ES261" s="19"/>
      <c r="ET261" s="19" t="str">
        <f t="shared" si="8"/>
        <v/>
      </c>
      <c r="EU261" s="19"/>
      <c r="EV261" s="19"/>
      <c r="EW261" s="19"/>
      <c r="EX261" s="19"/>
      <c r="EY261" s="19"/>
      <c r="EZ261" s="19"/>
      <c r="FA261" s="19"/>
      <c r="FB261" s="19"/>
    </row>
    <row r="262" ht="15.75" customHeight="1">
      <c r="A262" s="19"/>
      <c r="F262" s="19"/>
      <c r="AH262" s="23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  <c r="CD262" s="19"/>
      <c r="CE262" s="19"/>
      <c r="CF262" s="19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19"/>
      <c r="CW262" s="19"/>
      <c r="CX262" s="19"/>
      <c r="CY262" s="19"/>
      <c r="CZ262" s="19"/>
      <c r="DA262" s="19"/>
      <c r="DB262" s="19"/>
      <c r="DC262" s="19"/>
      <c r="DD262" s="19"/>
      <c r="DE262" s="19"/>
      <c r="DF262" s="19"/>
      <c r="DG262" s="19"/>
      <c r="DH262" s="19"/>
      <c r="DI262" s="19"/>
      <c r="DJ262" s="19"/>
      <c r="DK262" s="19"/>
      <c r="DL262" s="19"/>
      <c r="DM262" s="19"/>
      <c r="DN262" s="19"/>
      <c r="DO262" s="19"/>
      <c r="DP262" s="19"/>
      <c r="DQ262" s="19"/>
      <c r="DR262" s="19"/>
      <c r="DS262" s="19"/>
      <c r="DT262" s="19"/>
      <c r="DU262" s="19"/>
      <c r="DV262" s="19"/>
      <c r="DW262" s="19"/>
      <c r="DX262" s="19"/>
      <c r="DY262" s="19"/>
      <c r="DZ262" s="19"/>
      <c r="EA262" s="19"/>
      <c r="EB262" s="19"/>
      <c r="EC262" s="19"/>
      <c r="ED262" s="19"/>
      <c r="EE262" s="19"/>
      <c r="EF262" s="19"/>
      <c r="EG262" s="19"/>
      <c r="EH262" s="19"/>
      <c r="EI262" s="19"/>
      <c r="EJ262" s="19"/>
      <c r="EK262" s="19"/>
      <c r="EL262" s="19"/>
      <c r="EM262" s="19"/>
      <c r="EN262" s="19"/>
      <c r="EO262" s="19"/>
      <c r="EP262" s="17"/>
      <c r="EQ262" s="23"/>
      <c r="ER262" s="23" t="str">
        <f t="shared" si="7"/>
        <v/>
      </c>
      <c r="ES262" s="19"/>
      <c r="ET262" s="19" t="str">
        <f t="shared" si="8"/>
        <v/>
      </c>
      <c r="EU262" s="19"/>
      <c r="EV262" s="19"/>
      <c r="EW262" s="19"/>
      <c r="EX262" s="19"/>
      <c r="EY262" s="19"/>
      <c r="EZ262" s="19"/>
      <c r="FA262" s="19"/>
      <c r="FB262" s="19"/>
    </row>
    <row r="263" ht="15.75" customHeight="1">
      <c r="A263" s="19"/>
      <c r="F263" s="19"/>
      <c r="AH263" s="23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  <c r="CD263" s="19"/>
      <c r="CE263" s="19"/>
      <c r="CF263" s="19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19"/>
      <c r="CW263" s="19"/>
      <c r="CX263" s="19"/>
      <c r="CY263" s="19"/>
      <c r="CZ263" s="19"/>
      <c r="DA263" s="19"/>
      <c r="DB263" s="19"/>
      <c r="DC263" s="19"/>
      <c r="DD263" s="19"/>
      <c r="DE263" s="19"/>
      <c r="DF263" s="19"/>
      <c r="DG263" s="19"/>
      <c r="DH263" s="19"/>
      <c r="DI263" s="19"/>
      <c r="DJ263" s="19"/>
      <c r="DK263" s="19"/>
      <c r="DL263" s="19"/>
      <c r="DM263" s="19"/>
      <c r="DN263" s="19"/>
      <c r="DO263" s="19"/>
      <c r="DP263" s="19"/>
      <c r="DQ263" s="19"/>
      <c r="DR263" s="19"/>
      <c r="DS263" s="19"/>
      <c r="DT263" s="19"/>
      <c r="DU263" s="19"/>
      <c r="DV263" s="19"/>
      <c r="DW263" s="19"/>
      <c r="DX263" s="19"/>
      <c r="DY263" s="19"/>
      <c r="DZ263" s="19"/>
      <c r="EA263" s="19"/>
      <c r="EB263" s="19"/>
      <c r="EC263" s="19"/>
      <c r="ED263" s="19"/>
      <c r="EE263" s="19"/>
      <c r="EF263" s="19"/>
      <c r="EG263" s="19"/>
      <c r="EH263" s="19"/>
      <c r="EI263" s="19"/>
      <c r="EJ263" s="19"/>
      <c r="EK263" s="19"/>
      <c r="EL263" s="19"/>
      <c r="EM263" s="19"/>
      <c r="EN263" s="19"/>
      <c r="EO263" s="19"/>
      <c r="EP263" s="17"/>
      <c r="EQ263" s="23"/>
      <c r="ER263" s="23" t="str">
        <f t="shared" si="7"/>
        <v/>
      </c>
      <c r="ES263" s="19"/>
      <c r="ET263" s="19" t="str">
        <f t="shared" si="8"/>
        <v/>
      </c>
      <c r="EU263" s="19"/>
      <c r="EV263" s="19"/>
      <c r="EW263" s="19"/>
      <c r="EX263" s="19"/>
      <c r="EY263" s="19"/>
      <c r="EZ263" s="19"/>
      <c r="FA263" s="19"/>
      <c r="FB263" s="19"/>
    </row>
    <row r="264" ht="15.75" customHeight="1">
      <c r="A264" s="19"/>
      <c r="F264" s="19"/>
      <c r="AH264" s="23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  <c r="CD264" s="19"/>
      <c r="CE264" s="19"/>
      <c r="CF264" s="19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19"/>
      <c r="CW264" s="19"/>
      <c r="CX264" s="19"/>
      <c r="CY264" s="19"/>
      <c r="CZ264" s="19"/>
      <c r="DA264" s="19"/>
      <c r="DB264" s="19"/>
      <c r="DC264" s="19"/>
      <c r="DD264" s="19"/>
      <c r="DE264" s="19"/>
      <c r="DF264" s="19"/>
      <c r="DG264" s="19"/>
      <c r="DH264" s="19"/>
      <c r="DI264" s="19"/>
      <c r="DJ264" s="19"/>
      <c r="DK264" s="19"/>
      <c r="DL264" s="19"/>
      <c r="DM264" s="19"/>
      <c r="DN264" s="19"/>
      <c r="DO264" s="19"/>
      <c r="DP264" s="19"/>
      <c r="DQ264" s="19"/>
      <c r="DR264" s="19"/>
      <c r="DS264" s="19"/>
      <c r="DT264" s="19"/>
      <c r="DU264" s="19"/>
      <c r="DV264" s="19"/>
      <c r="DW264" s="19"/>
      <c r="DX264" s="19"/>
      <c r="DY264" s="19"/>
      <c r="DZ264" s="19"/>
      <c r="EA264" s="19"/>
      <c r="EB264" s="19"/>
      <c r="EC264" s="19"/>
      <c r="ED264" s="19"/>
      <c r="EE264" s="19"/>
      <c r="EF264" s="19"/>
      <c r="EG264" s="19"/>
      <c r="EH264" s="19"/>
      <c r="EI264" s="19"/>
      <c r="EJ264" s="19"/>
      <c r="EK264" s="19"/>
      <c r="EL264" s="19"/>
      <c r="EM264" s="19"/>
      <c r="EN264" s="19"/>
      <c r="EO264" s="19"/>
      <c r="EP264" s="17"/>
      <c r="EQ264" s="23"/>
      <c r="ER264" s="23" t="str">
        <f t="shared" si="7"/>
        <v/>
      </c>
      <c r="ES264" s="19"/>
      <c r="ET264" s="19" t="str">
        <f t="shared" si="8"/>
        <v/>
      </c>
      <c r="EU264" s="19"/>
      <c r="EV264" s="19"/>
      <c r="EW264" s="19"/>
      <c r="EX264" s="19"/>
      <c r="EY264" s="19"/>
      <c r="EZ264" s="19"/>
      <c r="FA264" s="19"/>
      <c r="FB264" s="19"/>
    </row>
    <row r="265" ht="15.75" customHeight="1">
      <c r="A265" s="19"/>
      <c r="F265" s="19"/>
      <c r="AH265" s="23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  <c r="CD265" s="19"/>
      <c r="CE265" s="19"/>
      <c r="CF265" s="19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19"/>
      <c r="CW265" s="19"/>
      <c r="CX265" s="19"/>
      <c r="CY265" s="19"/>
      <c r="CZ265" s="19"/>
      <c r="DA265" s="19"/>
      <c r="DB265" s="19"/>
      <c r="DC265" s="19"/>
      <c r="DD265" s="19"/>
      <c r="DE265" s="19"/>
      <c r="DF265" s="19"/>
      <c r="DG265" s="19"/>
      <c r="DH265" s="19"/>
      <c r="DI265" s="19"/>
      <c r="DJ265" s="19"/>
      <c r="DK265" s="19"/>
      <c r="DL265" s="19"/>
      <c r="DM265" s="19"/>
      <c r="DN265" s="19"/>
      <c r="DO265" s="19"/>
      <c r="DP265" s="19"/>
      <c r="DQ265" s="19"/>
      <c r="DR265" s="19"/>
      <c r="DS265" s="19"/>
      <c r="DT265" s="19"/>
      <c r="DU265" s="19"/>
      <c r="DV265" s="19"/>
      <c r="DW265" s="19"/>
      <c r="DX265" s="19"/>
      <c r="DY265" s="19"/>
      <c r="DZ265" s="19"/>
      <c r="EA265" s="19"/>
      <c r="EB265" s="19"/>
      <c r="EC265" s="19"/>
      <c r="ED265" s="19"/>
      <c r="EE265" s="19"/>
      <c r="EF265" s="19"/>
      <c r="EG265" s="19"/>
      <c r="EH265" s="19"/>
      <c r="EI265" s="19"/>
      <c r="EJ265" s="19"/>
      <c r="EK265" s="19"/>
      <c r="EL265" s="19"/>
      <c r="EM265" s="19"/>
      <c r="EN265" s="19"/>
      <c r="EO265" s="19"/>
      <c r="EP265" s="17"/>
      <c r="EQ265" s="23"/>
      <c r="ER265" s="23" t="str">
        <f t="shared" si="7"/>
        <v/>
      </c>
      <c r="ES265" s="19"/>
      <c r="ET265" s="19" t="str">
        <f t="shared" si="8"/>
        <v/>
      </c>
      <c r="EU265" s="19"/>
      <c r="EV265" s="19"/>
      <c r="EW265" s="19"/>
      <c r="EX265" s="19"/>
      <c r="EY265" s="19"/>
      <c r="EZ265" s="19"/>
      <c r="FA265" s="19"/>
      <c r="FB265" s="19"/>
    </row>
    <row r="266" ht="15.75" customHeight="1">
      <c r="A266" s="19"/>
      <c r="F266" s="19"/>
      <c r="AH266" s="23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  <c r="CD266" s="19"/>
      <c r="CE266" s="19"/>
      <c r="CF266" s="19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19"/>
      <c r="CW266" s="19"/>
      <c r="CX266" s="19"/>
      <c r="CY266" s="19"/>
      <c r="CZ266" s="19"/>
      <c r="DA266" s="19"/>
      <c r="DB266" s="19"/>
      <c r="DC266" s="19"/>
      <c r="DD266" s="19"/>
      <c r="DE266" s="19"/>
      <c r="DF266" s="19"/>
      <c r="DG266" s="19"/>
      <c r="DH266" s="19"/>
      <c r="DI266" s="19"/>
      <c r="DJ266" s="19"/>
      <c r="DK266" s="19"/>
      <c r="DL266" s="19"/>
      <c r="DM266" s="19"/>
      <c r="DN266" s="19"/>
      <c r="DO266" s="19"/>
      <c r="DP266" s="19"/>
      <c r="DQ266" s="19"/>
      <c r="DR266" s="19"/>
      <c r="DS266" s="19"/>
      <c r="DT266" s="19"/>
      <c r="DU266" s="19"/>
      <c r="DV266" s="19"/>
      <c r="DW266" s="19"/>
      <c r="DX266" s="19"/>
      <c r="DY266" s="19"/>
      <c r="DZ266" s="19"/>
      <c r="EA266" s="19"/>
      <c r="EB266" s="19"/>
      <c r="EC266" s="19"/>
      <c r="ED266" s="19"/>
      <c r="EE266" s="19"/>
      <c r="EF266" s="19"/>
      <c r="EG266" s="19"/>
      <c r="EH266" s="19"/>
      <c r="EI266" s="19"/>
      <c r="EJ266" s="19"/>
      <c r="EK266" s="19"/>
      <c r="EL266" s="19"/>
      <c r="EM266" s="19"/>
      <c r="EN266" s="19"/>
      <c r="EO266" s="19"/>
      <c r="EP266" s="17"/>
      <c r="EQ266" s="23"/>
      <c r="ER266" s="23" t="str">
        <f t="shared" si="7"/>
        <v/>
      </c>
      <c r="ES266" s="19"/>
      <c r="ET266" s="19" t="str">
        <f t="shared" si="8"/>
        <v/>
      </c>
      <c r="EU266" s="19"/>
      <c r="EV266" s="19"/>
      <c r="EW266" s="19"/>
      <c r="EX266" s="19"/>
      <c r="EY266" s="19"/>
      <c r="EZ266" s="19"/>
      <c r="FA266" s="19"/>
      <c r="FB266" s="19"/>
    </row>
    <row r="267" ht="15.75" customHeight="1">
      <c r="A267" s="19"/>
      <c r="F267" s="19"/>
      <c r="AH267" s="23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  <c r="CD267" s="19"/>
      <c r="CE267" s="19"/>
      <c r="CF267" s="19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19"/>
      <c r="CW267" s="19"/>
      <c r="CX267" s="19"/>
      <c r="CY267" s="19"/>
      <c r="CZ267" s="19"/>
      <c r="DA267" s="19"/>
      <c r="DB267" s="19"/>
      <c r="DC267" s="19"/>
      <c r="DD267" s="19"/>
      <c r="DE267" s="19"/>
      <c r="DF267" s="19"/>
      <c r="DG267" s="19"/>
      <c r="DH267" s="19"/>
      <c r="DI267" s="19"/>
      <c r="DJ267" s="19"/>
      <c r="DK267" s="19"/>
      <c r="DL267" s="19"/>
      <c r="DM267" s="19"/>
      <c r="DN267" s="19"/>
      <c r="DO267" s="19"/>
      <c r="DP267" s="19"/>
      <c r="DQ267" s="19"/>
      <c r="DR267" s="19"/>
      <c r="DS267" s="19"/>
      <c r="DT267" s="19"/>
      <c r="DU267" s="19"/>
      <c r="DV267" s="19"/>
      <c r="DW267" s="19"/>
      <c r="DX267" s="19"/>
      <c r="DY267" s="19"/>
      <c r="DZ267" s="19"/>
      <c r="EA267" s="19"/>
      <c r="EB267" s="19"/>
      <c r="EC267" s="19"/>
      <c r="ED267" s="19"/>
      <c r="EE267" s="19"/>
      <c r="EF267" s="19"/>
      <c r="EG267" s="19"/>
      <c r="EH267" s="19"/>
      <c r="EI267" s="19"/>
      <c r="EJ267" s="19"/>
      <c r="EK267" s="19"/>
      <c r="EL267" s="19"/>
      <c r="EM267" s="19"/>
      <c r="EN267" s="19"/>
      <c r="EO267" s="19"/>
      <c r="EP267" s="17"/>
      <c r="EQ267" s="23"/>
      <c r="ER267" s="23" t="str">
        <f t="shared" si="7"/>
        <v/>
      </c>
      <c r="ES267" s="19"/>
      <c r="ET267" s="19" t="str">
        <f t="shared" si="8"/>
        <v/>
      </c>
      <c r="EU267" s="19"/>
      <c r="EV267" s="19"/>
      <c r="EW267" s="19"/>
      <c r="EX267" s="19"/>
      <c r="EY267" s="19"/>
      <c r="EZ267" s="19"/>
      <c r="FA267" s="19"/>
      <c r="FB267" s="19"/>
    </row>
    <row r="268" ht="15.75" customHeight="1">
      <c r="A268" s="19"/>
      <c r="F268" s="19"/>
      <c r="AH268" s="23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  <c r="CD268" s="19"/>
      <c r="CE268" s="19"/>
      <c r="CF268" s="19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19"/>
      <c r="CW268" s="19"/>
      <c r="CX268" s="19"/>
      <c r="CY268" s="19"/>
      <c r="CZ268" s="19"/>
      <c r="DA268" s="19"/>
      <c r="DB268" s="19"/>
      <c r="DC268" s="19"/>
      <c r="DD268" s="19"/>
      <c r="DE268" s="19"/>
      <c r="DF268" s="19"/>
      <c r="DG268" s="19"/>
      <c r="DH268" s="19"/>
      <c r="DI268" s="19"/>
      <c r="DJ268" s="19"/>
      <c r="DK268" s="19"/>
      <c r="DL268" s="19"/>
      <c r="DM268" s="19"/>
      <c r="DN268" s="19"/>
      <c r="DO268" s="19"/>
      <c r="DP268" s="19"/>
      <c r="DQ268" s="19"/>
      <c r="DR268" s="19"/>
      <c r="DS268" s="19"/>
      <c r="DT268" s="19"/>
      <c r="DU268" s="19"/>
      <c r="DV268" s="19"/>
      <c r="DW268" s="19"/>
      <c r="DX268" s="19"/>
      <c r="DY268" s="19"/>
      <c r="DZ268" s="19"/>
      <c r="EA268" s="19"/>
      <c r="EB268" s="19"/>
      <c r="EC268" s="19"/>
      <c r="ED268" s="19"/>
      <c r="EE268" s="19"/>
      <c r="EF268" s="19"/>
      <c r="EG268" s="19"/>
      <c r="EH268" s="19"/>
      <c r="EI268" s="19"/>
      <c r="EJ268" s="19"/>
      <c r="EK268" s="19"/>
      <c r="EL268" s="19"/>
      <c r="EM268" s="19"/>
      <c r="EN268" s="19"/>
      <c r="EO268" s="19"/>
      <c r="EP268" s="17"/>
      <c r="EQ268" s="23"/>
      <c r="ER268" s="23" t="str">
        <f t="shared" si="7"/>
        <v/>
      </c>
      <c r="ES268" s="19"/>
      <c r="ET268" s="19" t="str">
        <f t="shared" si="8"/>
        <v/>
      </c>
      <c r="EU268" s="19"/>
      <c r="EV268" s="19"/>
      <c r="EW268" s="19"/>
      <c r="EX268" s="19"/>
      <c r="EY268" s="19"/>
      <c r="EZ268" s="19"/>
      <c r="FA268" s="19"/>
      <c r="FB268" s="19"/>
    </row>
    <row r="269" ht="15.75" customHeight="1">
      <c r="A269" s="19"/>
      <c r="F269" s="19"/>
      <c r="AH269" s="23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  <c r="CD269" s="19"/>
      <c r="CE269" s="19"/>
      <c r="CF269" s="19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19"/>
      <c r="CW269" s="19"/>
      <c r="CX269" s="19"/>
      <c r="CY269" s="19"/>
      <c r="CZ269" s="19"/>
      <c r="DA269" s="19"/>
      <c r="DB269" s="19"/>
      <c r="DC269" s="19"/>
      <c r="DD269" s="19"/>
      <c r="DE269" s="19"/>
      <c r="DF269" s="19"/>
      <c r="DG269" s="19"/>
      <c r="DH269" s="19"/>
      <c r="DI269" s="19"/>
      <c r="DJ269" s="19"/>
      <c r="DK269" s="19"/>
      <c r="DL269" s="19"/>
      <c r="DM269" s="19"/>
      <c r="DN269" s="19"/>
      <c r="DO269" s="19"/>
      <c r="DP269" s="19"/>
      <c r="DQ269" s="19"/>
      <c r="DR269" s="19"/>
      <c r="DS269" s="19"/>
      <c r="DT269" s="19"/>
      <c r="DU269" s="19"/>
      <c r="DV269" s="19"/>
      <c r="DW269" s="19"/>
      <c r="DX269" s="19"/>
      <c r="DY269" s="19"/>
      <c r="DZ269" s="19"/>
      <c r="EA269" s="19"/>
      <c r="EB269" s="19"/>
      <c r="EC269" s="19"/>
      <c r="ED269" s="19"/>
      <c r="EE269" s="19"/>
      <c r="EF269" s="19"/>
      <c r="EG269" s="19"/>
      <c r="EH269" s="19"/>
      <c r="EI269" s="19"/>
      <c r="EJ269" s="19"/>
      <c r="EK269" s="19"/>
      <c r="EL269" s="19"/>
      <c r="EM269" s="19"/>
      <c r="EN269" s="19"/>
      <c r="EO269" s="19"/>
      <c r="EP269" s="17"/>
      <c r="EQ269" s="23"/>
      <c r="ER269" s="23" t="str">
        <f t="shared" si="7"/>
        <v/>
      </c>
      <c r="ES269" s="19"/>
      <c r="ET269" s="19" t="str">
        <f t="shared" si="8"/>
        <v/>
      </c>
      <c r="EU269" s="19"/>
      <c r="EV269" s="19"/>
      <c r="EW269" s="19"/>
      <c r="EX269" s="19"/>
      <c r="EY269" s="19"/>
      <c r="EZ269" s="19"/>
      <c r="FA269" s="19"/>
      <c r="FB269" s="19"/>
    </row>
    <row r="270" ht="15.75" customHeight="1">
      <c r="A270" s="19"/>
      <c r="F270" s="19"/>
      <c r="AH270" s="23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7"/>
      <c r="EQ270" s="23"/>
      <c r="ER270" s="23" t="str">
        <f t="shared" si="7"/>
        <v/>
      </c>
      <c r="ES270" s="19"/>
      <c r="ET270" s="19" t="str">
        <f t="shared" si="8"/>
        <v/>
      </c>
      <c r="EU270" s="19"/>
      <c r="EV270" s="19"/>
      <c r="EW270" s="19"/>
      <c r="EX270" s="19"/>
      <c r="EY270" s="19"/>
      <c r="EZ270" s="19"/>
      <c r="FA270" s="19"/>
      <c r="FB270" s="19"/>
    </row>
    <row r="271" ht="15.75" customHeight="1">
      <c r="A271" s="19"/>
      <c r="F271" s="19"/>
      <c r="AH271" s="23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  <c r="CD271" s="19"/>
      <c r="CE271" s="19"/>
      <c r="CF271" s="19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19"/>
      <c r="CW271" s="19"/>
      <c r="CX271" s="19"/>
      <c r="CY271" s="19"/>
      <c r="CZ271" s="19"/>
      <c r="DA271" s="19"/>
      <c r="DB271" s="19"/>
      <c r="DC271" s="19"/>
      <c r="DD271" s="19"/>
      <c r="DE271" s="19"/>
      <c r="DF271" s="19"/>
      <c r="DG271" s="19"/>
      <c r="DH271" s="19"/>
      <c r="DI271" s="19"/>
      <c r="DJ271" s="19"/>
      <c r="DK271" s="19"/>
      <c r="DL271" s="19"/>
      <c r="DM271" s="19"/>
      <c r="DN271" s="19"/>
      <c r="DO271" s="19"/>
      <c r="DP271" s="19"/>
      <c r="DQ271" s="19"/>
      <c r="DR271" s="19"/>
      <c r="DS271" s="19"/>
      <c r="DT271" s="19"/>
      <c r="DU271" s="19"/>
      <c r="DV271" s="19"/>
      <c r="DW271" s="19"/>
      <c r="DX271" s="19"/>
      <c r="DY271" s="19"/>
      <c r="DZ271" s="19"/>
      <c r="EA271" s="19"/>
      <c r="EB271" s="19"/>
      <c r="EC271" s="19"/>
      <c r="ED271" s="19"/>
      <c r="EE271" s="19"/>
      <c r="EF271" s="19"/>
      <c r="EG271" s="19"/>
      <c r="EH271" s="19"/>
      <c r="EI271" s="19"/>
      <c r="EJ271" s="19"/>
      <c r="EK271" s="19"/>
      <c r="EL271" s="19"/>
      <c r="EM271" s="19"/>
      <c r="EN271" s="19"/>
      <c r="EO271" s="19"/>
      <c r="EP271" s="17"/>
      <c r="EQ271" s="23"/>
      <c r="ER271" s="23" t="str">
        <f t="shared" si="7"/>
        <v/>
      </c>
      <c r="ES271" s="19"/>
      <c r="ET271" s="19" t="str">
        <f t="shared" si="8"/>
        <v/>
      </c>
      <c r="EU271" s="19"/>
      <c r="EV271" s="19"/>
      <c r="EW271" s="19"/>
      <c r="EX271" s="19"/>
      <c r="EY271" s="19"/>
      <c r="EZ271" s="19"/>
      <c r="FA271" s="19"/>
      <c r="FB271" s="19"/>
    </row>
    <row r="272" ht="15.75" customHeight="1">
      <c r="A272" s="19"/>
      <c r="F272" s="19"/>
      <c r="AH272" s="23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  <c r="CD272" s="19"/>
      <c r="CE272" s="19"/>
      <c r="CF272" s="19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19"/>
      <c r="CW272" s="19"/>
      <c r="CX272" s="19"/>
      <c r="CY272" s="19"/>
      <c r="CZ272" s="19"/>
      <c r="DA272" s="19"/>
      <c r="DB272" s="19"/>
      <c r="DC272" s="19"/>
      <c r="DD272" s="19"/>
      <c r="DE272" s="19"/>
      <c r="DF272" s="19"/>
      <c r="DG272" s="19"/>
      <c r="DH272" s="19"/>
      <c r="DI272" s="19"/>
      <c r="DJ272" s="19"/>
      <c r="DK272" s="19"/>
      <c r="DL272" s="19"/>
      <c r="DM272" s="19"/>
      <c r="DN272" s="19"/>
      <c r="DO272" s="19"/>
      <c r="DP272" s="19"/>
      <c r="DQ272" s="19"/>
      <c r="DR272" s="19"/>
      <c r="DS272" s="19"/>
      <c r="DT272" s="19"/>
      <c r="DU272" s="19"/>
      <c r="DV272" s="19"/>
      <c r="DW272" s="19"/>
      <c r="DX272" s="19"/>
      <c r="DY272" s="19"/>
      <c r="DZ272" s="19"/>
      <c r="EA272" s="19"/>
      <c r="EB272" s="19"/>
      <c r="EC272" s="19"/>
      <c r="ED272" s="19"/>
      <c r="EE272" s="19"/>
      <c r="EF272" s="19"/>
      <c r="EG272" s="19"/>
      <c r="EH272" s="19"/>
      <c r="EI272" s="19"/>
      <c r="EJ272" s="19"/>
      <c r="EK272" s="19"/>
      <c r="EL272" s="19"/>
      <c r="EM272" s="19"/>
      <c r="EN272" s="19"/>
      <c r="EO272" s="19"/>
      <c r="EP272" s="17"/>
      <c r="EQ272" s="23"/>
      <c r="ER272" s="23" t="str">
        <f t="shared" si="7"/>
        <v/>
      </c>
      <c r="ES272" s="19"/>
      <c r="ET272" s="19" t="str">
        <f t="shared" si="8"/>
        <v/>
      </c>
      <c r="EU272" s="19"/>
      <c r="EV272" s="19"/>
      <c r="EW272" s="19"/>
      <c r="EX272" s="19"/>
      <c r="EY272" s="19"/>
      <c r="EZ272" s="19"/>
      <c r="FA272" s="19"/>
      <c r="FB272" s="19"/>
    </row>
    <row r="273" ht="15.75" customHeight="1">
      <c r="A273" s="19"/>
      <c r="F273" s="19"/>
      <c r="AH273" s="23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  <c r="CD273" s="19"/>
      <c r="CE273" s="19"/>
      <c r="CF273" s="19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19"/>
      <c r="CW273" s="19"/>
      <c r="CX273" s="19"/>
      <c r="CY273" s="19"/>
      <c r="CZ273" s="19"/>
      <c r="DA273" s="19"/>
      <c r="DB273" s="19"/>
      <c r="DC273" s="19"/>
      <c r="DD273" s="19"/>
      <c r="DE273" s="19"/>
      <c r="DF273" s="19"/>
      <c r="DG273" s="19"/>
      <c r="DH273" s="19"/>
      <c r="DI273" s="19"/>
      <c r="DJ273" s="19"/>
      <c r="DK273" s="19"/>
      <c r="DL273" s="19"/>
      <c r="DM273" s="19"/>
      <c r="DN273" s="19"/>
      <c r="DO273" s="19"/>
      <c r="DP273" s="19"/>
      <c r="DQ273" s="19"/>
      <c r="DR273" s="19"/>
      <c r="DS273" s="19"/>
      <c r="DT273" s="19"/>
      <c r="DU273" s="19"/>
      <c r="DV273" s="19"/>
      <c r="DW273" s="19"/>
      <c r="DX273" s="19"/>
      <c r="DY273" s="19"/>
      <c r="DZ273" s="19"/>
      <c r="EA273" s="19"/>
      <c r="EB273" s="19"/>
      <c r="EC273" s="19"/>
      <c r="ED273" s="19"/>
      <c r="EE273" s="19"/>
      <c r="EF273" s="19"/>
      <c r="EG273" s="19"/>
      <c r="EH273" s="19"/>
      <c r="EI273" s="19"/>
      <c r="EJ273" s="19"/>
      <c r="EK273" s="19"/>
      <c r="EL273" s="19"/>
      <c r="EM273" s="19"/>
      <c r="EN273" s="19"/>
      <c r="EO273" s="19"/>
      <c r="EP273" s="17"/>
      <c r="EQ273" s="23"/>
      <c r="ER273" s="23" t="str">
        <f t="shared" si="7"/>
        <v/>
      </c>
      <c r="ES273" s="19"/>
      <c r="ET273" s="19" t="str">
        <f t="shared" si="8"/>
        <v/>
      </c>
      <c r="EU273" s="19"/>
      <c r="EV273" s="19"/>
      <c r="EW273" s="19"/>
      <c r="EX273" s="19"/>
      <c r="EY273" s="19"/>
      <c r="EZ273" s="19"/>
      <c r="FA273" s="19"/>
      <c r="FB273" s="19"/>
    </row>
    <row r="274" ht="15.75" customHeight="1">
      <c r="A274" s="19"/>
      <c r="F274" s="19"/>
      <c r="AH274" s="23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  <c r="CD274" s="19"/>
      <c r="CE274" s="19"/>
      <c r="CF274" s="19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19"/>
      <c r="CW274" s="19"/>
      <c r="CX274" s="19"/>
      <c r="CY274" s="19"/>
      <c r="CZ274" s="19"/>
      <c r="DA274" s="19"/>
      <c r="DB274" s="19"/>
      <c r="DC274" s="19"/>
      <c r="DD274" s="19"/>
      <c r="DE274" s="19"/>
      <c r="DF274" s="19"/>
      <c r="DG274" s="19"/>
      <c r="DH274" s="19"/>
      <c r="DI274" s="19"/>
      <c r="DJ274" s="19"/>
      <c r="DK274" s="19"/>
      <c r="DL274" s="19"/>
      <c r="DM274" s="19"/>
      <c r="DN274" s="19"/>
      <c r="DO274" s="19"/>
      <c r="DP274" s="19"/>
      <c r="DQ274" s="19"/>
      <c r="DR274" s="19"/>
      <c r="DS274" s="19"/>
      <c r="DT274" s="19"/>
      <c r="DU274" s="19"/>
      <c r="DV274" s="19"/>
      <c r="DW274" s="19"/>
      <c r="DX274" s="19"/>
      <c r="DY274" s="19"/>
      <c r="DZ274" s="19"/>
      <c r="EA274" s="19"/>
      <c r="EB274" s="19"/>
      <c r="EC274" s="19"/>
      <c r="ED274" s="19"/>
      <c r="EE274" s="19"/>
      <c r="EF274" s="19"/>
      <c r="EG274" s="19"/>
      <c r="EH274" s="19"/>
      <c r="EI274" s="19"/>
      <c r="EJ274" s="19"/>
      <c r="EK274" s="19"/>
      <c r="EL274" s="19"/>
      <c r="EM274" s="19"/>
      <c r="EN274" s="19"/>
      <c r="EO274" s="19"/>
      <c r="EP274" s="17"/>
      <c r="EQ274" s="23"/>
      <c r="ER274" s="23" t="str">
        <f t="shared" si="7"/>
        <v/>
      </c>
      <c r="ES274" s="19"/>
      <c r="ET274" s="19" t="str">
        <f t="shared" si="8"/>
        <v/>
      </c>
      <c r="EU274" s="19"/>
      <c r="EV274" s="19"/>
      <c r="EW274" s="19"/>
      <c r="EX274" s="19"/>
      <c r="EY274" s="19"/>
      <c r="EZ274" s="19"/>
      <c r="FA274" s="19"/>
      <c r="FB274" s="19"/>
    </row>
    <row r="275" ht="15.75" customHeight="1">
      <c r="A275" s="19"/>
      <c r="F275" s="19"/>
      <c r="AH275" s="23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  <c r="CD275" s="19"/>
      <c r="CE275" s="19"/>
      <c r="CF275" s="19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19"/>
      <c r="CW275" s="19"/>
      <c r="CX275" s="19"/>
      <c r="CY275" s="19"/>
      <c r="CZ275" s="19"/>
      <c r="DA275" s="19"/>
      <c r="DB275" s="19"/>
      <c r="DC275" s="19"/>
      <c r="DD275" s="19"/>
      <c r="DE275" s="19"/>
      <c r="DF275" s="19"/>
      <c r="DG275" s="19"/>
      <c r="DH275" s="19"/>
      <c r="DI275" s="19"/>
      <c r="DJ275" s="19"/>
      <c r="DK275" s="19"/>
      <c r="DL275" s="19"/>
      <c r="DM275" s="19"/>
      <c r="DN275" s="19"/>
      <c r="DO275" s="19"/>
      <c r="DP275" s="19"/>
      <c r="DQ275" s="19"/>
      <c r="DR275" s="19"/>
      <c r="DS275" s="19"/>
      <c r="DT275" s="19"/>
      <c r="DU275" s="19"/>
      <c r="DV275" s="19"/>
      <c r="DW275" s="19"/>
      <c r="DX275" s="19"/>
      <c r="DY275" s="19"/>
      <c r="DZ275" s="19"/>
      <c r="EA275" s="19"/>
      <c r="EB275" s="19"/>
      <c r="EC275" s="19"/>
      <c r="ED275" s="19"/>
      <c r="EE275" s="19"/>
      <c r="EF275" s="19"/>
      <c r="EG275" s="19"/>
      <c r="EH275" s="19"/>
      <c r="EI275" s="19"/>
      <c r="EJ275" s="19"/>
      <c r="EK275" s="19"/>
      <c r="EL275" s="19"/>
      <c r="EM275" s="19"/>
      <c r="EN275" s="19"/>
      <c r="EO275" s="19"/>
      <c r="EP275" s="17"/>
      <c r="EQ275" s="23"/>
      <c r="ER275" s="23" t="str">
        <f t="shared" si="7"/>
        <v/>
      </c>
      <c r="ES275" s="19"/>
      <c r="ET275" s="19" t="str">
        <f t="shared" si="8"/>
        <v/>
      </c>
      <c r="EU275" s="19"/>
      <c r="EV275" s="19"/>
      <c r="EW275" s="19"/>
      <c r="EX275" s="19"/>
      <c r="EY275" s="19"/>
      <c r="EZ275" s="19"/>
      <c r="FA275" s="19"/>
      <c r="FB275" s="19"/>
    </row>
    <row r="276" ht="15.75" customHeight="1">
      <c r="A276" s="19"/>
      <c r="F276" s="19"/>
      <c r="AH276" s="23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  <c r="CD276" s="19"/>
      <c r="CE276" s="19"/>
      <c r="CF276" s="19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19"/>
      <c r="CW276" s="19"/>
      <c r="CX276" s="19"/>
      <c r="CY276" s="19"/>
      <c r="CZ276" s="19"/>
      <c r="DA276" s="19"/>
      <c r="DB276" s="19"/>
      <c r="DC276" s="19"/>
      <c r="DD276" s="19"/>
      <c r="DE276" s="19"/>
      <c r="DF276" s="19"/>
      <c r="DG276" s="19"/>
      <c r="DH276" s="19"/>
      <c r="DI276" s="19"/>
      <c r="DJ276" s="19"/>
      <c r="DK276" s="19"/>
      <c r="DL276" s="19"/>
      <c r="DM276" s="19"/>
      <c r="DN276" s="19"/>
      <c r="DO276" s="19"/>
      <c r="DP276" s="19"/>
      <c r="DQ276" s="19"/>
      <c r="DR276" s="19"/>
      <c r="DS276" s="19"/>
      <c r="DT276" s="19"/>
      <c r="DU276" s="19"/>
      <c r="DV276" s="19"/>
      <c r="DW276" s="19"/>
      <c r="DX276" s="19"/>
      <c r="DY276" s="19"/>
      <c r="DZ276" s="19"/>
      <c r="EA276" s="19"/>
      <c r="EB276" s="19"/>
      <c r="EC276" s="19"/>
      <c r="ED276" s="19"/>
      <c r="EE276" s="19"/>
      <c r="EF276" s="19"/>
      <c r="EG276" s="19"/>
      <c r="EH276" s="19"/>
      <c r="EI276" s="19"/>
      <c r="EJ276" s="19"/>
      <c r="EK276" s="19"/>
      <c r="EL276" s="19"/>
      <c r="EM276" s="19"/>
      <c r="EN276" s="19"/>
      <c r="EO276" s="19"/>
      <c r="EP276" s="17"/>
      <c r="EQ276" s="23"/>
      <c r="ER276" s="23" t="str">
        <f t="shared" si="7"/>
        <v/>
      </c>
      <c r="ES276" s="19"/>
      <c r="ET276" s="19" t="str">
        <f t="shared" si="8"/>
        <v/>
      </c>
      <c r="EU276" s="19"/>
      <c r="EV276" s="19"/>
      <c r="EW276" s="19"/>
      <c r="EX276" s="19"/>
      <c r="EY276" s="19"/>
      <c r="EZ276" s="19"/>
      <c r="FA276" s="19"/>
      <c r="FB276" s="19"/>
    </row>
    <row r="277" ht="15.75" customHeight="1">
      <c r="A277" s="19"/>
      <c r="F277" s="19"/>
      <c r="AH277" s="23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  <c r="CD277" s="19"/>
      <c r="CE277" s="19"/>
      <c r="CF277" s="19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19"/>
      <c r="CW277" s="19"/>
      <c r="CX277" s="19"/>
      <c r="CY277" s="19"/>
      <c r="CZ277" s="19"/>
      <c r="DA277" s="19"/>
      <c r="DB277" s="19"/>
      <c r="DC277" s="19"/>
      <c r="DD277" s="19"/>
      <c r="DE277" s="19"/>
      <c r="DF277" s="19"/>
      <c r="DG277" s="19"/>
      <c r="DH277" s="19"/>
      <c r="DI277" s="19"/>
      <c r="DJ277" s="19"/>
      <c r="DK277" s="19"/>
      <c r="DL277" s="19"/>
      <c r="DM277" s="19"/>
      <c r="DN277" s="19"/>
      <c r="DO277" s="19"/>
      <c r="DP277" s="19"/>
      <c r="DQ277" s="19"/>
      <c r="DR277" s="19"/>
      <c r="DS277" s="19"/>
      <c r="DT277" s="19"/>
      <c r="DU277" s="19"/>
      <c r="DV277" s="19"/>
      <c r="DW277" s="19"/>
      <c r="DX277" s="19"/>
      <c r="DY277" s="19"/>
      <c r="DZ277" s="19"/>
      <c r="EA277" s="19"/>
      <c r="EB277" s="19"/>
      <c r="EC277" s="19"/>
      <c r="ED277" s="19"/>
      <c r="EE277" s="19"/>
      <c r="EF277" s="19"/>
      <c r="EG277" s="19"/>
      <c r="EH277" s="19"/>
      <c r="EI277" s="19"/>
      <c r="EJ277" s="19"/>
      <c r="EK277" s="19"/>
      <c r="EL277" s="19"/>
      <c r="EM277" s="19"/>
      <c r="EN277" s="19"/>
      <c r="EO277" s="19"/>
      <c r="EP277" s="17"/>
      <c r="EQ277" s="23"/>
      <c r="ER277" s="23" t="str">
        <f t="shared" si="7"/>
        <v/>
      </c>
      <c r="ES277" s="19"/>
      <c r="ET277" s="19" t="str">
        <f t="shared" si="8"/>
        <v/>
      </c>
      <c r="EU277" s="19"/>
      <c r="EV277" s="19"/>
      <c r="EW277" s="19"/>
      <c r="EX277" s="19"/>
      <c r="EY277" s="19"/>
      <c r="EZ277" s="19"/>
      <c r="FA277" s="19"/>
      <c r="FB277" s="19"/>
    </row>
    <row r="278" ht="15.75" customHeight="1">
      <c r="A278" s="19"/>
      <c r="F278" s="19"/>
      <c r="AH278" s="23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  <c r="CD278" s="19"/>
      <c r="CE278" s="19"/>
      <c r="CF278" s="19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19"/>
      <c r="CW278" s="19"/>
      <c r="CX278" s="19"/>
      <c r="CY278" s="19"/>
      <c r="CZ278" s="19"/>
      <c r="DA278" s="19"/>
      <c r="DB278" s="19"/>
      <c r="DC278" s="19"/>
      <c r="DD278" s="19"/>
      <c r="DE278" s="19"/>
      <c r="DF278" s="19"/>
      <c r="DG278" s="19"/>
      <c r="DH278" s="19"/>
      <c r="DI278" s="19"/>
      <c r="DJ278" s="19"/>
      <c r="DK278" s="19"/>
      <c r="DL278" s="19"/>
      <c r="DM278" s="19"/>
      <c r="DN278" s="19"/>
      <c r="DO278" s="19"/>
      <c r="DP278" s="19"/>
      <c r="DQ278" s="19"/>
      <c r="DR278" s="19"/>
      <c r="DS278" s="19"/>
      <c r="DT278" s="19"/>
      <c r="DU278" s="19"/>
      <c r="DV278" s="19"/>
      <c r="DW278" s="19"/>
      <c r="DX278" s="19"/>
      <c r="DY278" s="19"/>
      <c r="DZ278" s="19"/>
      <c r="EA278" s="19"/>
      <c r="EB278" s="19"/>
      <c r="EC278" s="19"/>
      <c r="ED278" s="19"/>
      <c r="EE278" s="19"/>
      <c r="EF278" s="19"/>
      <c r="EG278" s="19"/>
      <c r="EH278" s="19"/>
      <c r="EI278" s="19"/>
      <c r="EJ278" s="19"/>
      <c r="EK278" s="19"/>
      <c r="EL278" s="19"/>
      <c r="EM278" s="19"/>
      <c r="EN278" s="19"/>
      <c r="EO278" s="19"/>
      <c r="EP278" s="17"/>
      <c r="EQ278" s="23"/>
      <c r="ER278" s="23" t="str">
        <f t="shared" si="7"/>
        <v/>
      </c>
      <c r="ES278" s="19"/>
      <c r="ET278" s="19" t="str">
        <f t="shared" si="8"/>
        <v/>
      </c>
      <c r="EU278" s="19"/>
      <c r="EV278" s="19"/>
      <c r="EW278" s="19"/>
      <c r="EX278" s="19"/>
      <c r="EY278" s="19"/>
      <c r="EZ278" s="19"/>
      <c r="FA278" s="19"/>
      <c r="FB278" s="19"/>
    </row>
    <row r="279" ht="15.75" customHeight="1">
      <c r="A279" s="19"/>
      <c r="F279" s="19"/>
      <c r="AH279" s="23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  <c r="CD279" s="19"/>
      <c r="CE279" s="19"/>
      <c r="CF279" s="19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19"/>
      <c r="CW279" s="19"/>
      <c r="CX279" s="19"/>
      <c r="CY279" s="19"/>
      <c r="CZ279" s="19"/>
      <c r="DA279" s="19"/>
      <c r="DB279" s="19"/>
      <c r="DC279" s="19"/>
      <c r="DD279" s="19"/>
      <c r="DE279" s="19"/>
      <c r="DF279" s="19"/>
      <c r="DG279" s="19"/>
      <c r="DH279" s="19"/>
      <c r="DI279" s="19"/>
      <c r="DJ279" s="19"/>
      <c r="DK279" s="19"/>
      <c r="DL279" s="19"/>
      <c r="DM279" s="19"/>
      <c r="DN279" s="19"/>
      <c r="DO279" s="19"/>
      <c r="DP279" s="19"/>
      <c r="DQ279" s="19"/>
      <c r="DR279" s="19"/>
      <c r="DS279" s="19"/>
      <c r="DT279" s="19"/>
      <c r="DU279" s="19"/>
      <c r="DV279" s="19"/>
      <c r="DW279" s="19"/>
      <c r="DX279" s="19"/>
      <c r="DY279" s="19"/>
      <c r="DZ279" s="19"/>
      <c r="EA279" s="19"/>
      <c r="EB279" s="19"/>
      <c r="EC279" s="19"/>
      <c r="ED279" s="19"/>
      <c r="EE279" s="19"/>
      <c r="EF279" s="19"/>
      <c r="EG279" s="19"/>
      <c r="EH279" s="19"/>
      <c r="EI279" s="19"/>
      <c r="EJ279" s="19"/>
      <c r="EK279" s="19"/>
      <c r="EL279" s="19"/>
      <c r="EM279" s="19"/>
      <c r="EN279" s="19"/>
      <c r="EO279" s="19"/>
      <c r="EP279" s="17"/>
      <c r="EQ279" s="23"/>
      <c r="ER279" s="23" t="str">
        <f t="shared" si="7"/>
        <v/>
      </c>
      <c r="ES279" s="19"/>
      <c r="ET279" s="19" t="str">
        <f t="shared" si="8"/>
        <v/>
      </c>
      <c r="EU279" s="19"/>
      <c r="EV279" s="19"/>
      <c r="EW279" s="19"/>
      <c r="EX279" s="19"/>
      <c r="EY279" s="19"/>
      <c r="EZ279" s="19"/>
      <c r="FA279" s="19"/>
      <c r="FB279" s="19"/>
    </row>
    <row r="280" ht="15.75" customHeight="1">
      <c r="A280" s="19"/>
      <c r="F280" s="19"/>
      <c r="AH280" s="23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  <c r="CD280" s="19"/>
      <c r="CE280" s="19"/>
      <c r="CF280" s="19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19"/>
      <c r="CW280" s="19"/>
      <c r="CX280" s="19"/>
      <c r="CY280" s="19"/>
      <c r="CZ280" s="19"/>
      <c r="DA280" s="19"/>
      <c r="DB280" s="19"/>
      <c r="DC280" s="19"/>
      <c r="DD280" s="19"/>
      <c r="DE280" s="19"/>
      <c r="DF280" s="19"/>
      <c r="DG280" s="19"/>
      <c r="DH280" s="19"/>
      <c r="DI280" s="19"/>
      <c r="DJ280" s="19"/>
      <c r="DK280" s="19"/>
      <c r="DL280" s="19"/>
      <c r="DM280" s="19"/>
      <c r="DN280" s="19"/>
      <c r="DO280" s="19"/>
      <c r="DP280" s="19"/>
      <c r="DQ280" s="19"/>
      <c r="DR280" s="19"/>
      <c r="DS280" s="19"/>
      <c r="DT280" s="19"/>
      <c r="DU280" s="19"/>
      <c r="DV280" s="19"/>
      <c r="DW280" s="19"/>
      <c r="DX280" s="19"/>
      <c r="DY280" s="19"/>
      <c r="DZ280" s="19"/>
      <c r="EA280" s="19"/>
      <c r="EB280" s="19"/>
      <c r="EC280" s="19"/>
      <c r="ED280" s="19"/>
      <c r="EE280" s="19"/>
      <c r="EF280" s="19"/>
      <c r="EG280" s="19"/>
      <c r="EH280" s="19"/>
      <c r="EI280" s="19"/>
      <c r="EJ280" s="19"/>
      <c r="EK280" s="19"/>
      <c r="EL280" s="19"/>
      <c r="EM280" s="19"/>
      <c r="EN280" s="19"/>
      <c r="EO280" s="19"/>
      <c r="EP280" s="17"/>
      <c r="EQ280" s="23"/>
      <c r="ER280" s="23" t="str">
        <f t="shared" si="7"/>
        <v/>
      </c>
      <c r="ES280" s="19"/>
      <c r="ET280" s="19" t="str">
        <f t="shared" si="8"/>
        <v/>
      </c>
      <c r="EU280" s="19"/>
      <c r="EV280" s="19"/>
      <c r="EW280" s="19"/>
      <c r="EX280" s="19"/>
      <c r="EY280" s="19"/>
      <c r="EZ280" s="19"/>
      <c r="FA280" s="19"/>
      <c r="FB280" s="19"/>
    </row>
    <row r="281" ht="15.75" customHeight="1">
      <c r="A281" s="19"/>
      <c r="F281" s="19"/>
      <c r="AH281" s="23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7"/>
      <c r="EQ281" s="23"/>
      <c r="ER281" s="23" t="str">
        <f t="shared" si="7"/>
        <v/>
      </c>
      <c r="ES281" s="19"/>
      <c r="ET281" s="19" t="str">
        <f t="shared" si="8"/>
        <v/>
      </c>
      <c r="EU281" s="19"/>
      <c r="EV281" s="19"/>
      <c r="EW281" s="19"/>
      <c r="EX281" s="19"/>
      <c r="EY281" s="19"/>
      <c r="EZ281" s="19"/>
      <c r="FA281" s="19"/>
      <c r="FB281" s="19"/>
    </row>
    <row r="282" ht="15.75" customHeight="1">
      <c r="A282" s="19"/>
      <c r="F282" s="19"/>
      <c r="AH282" s="23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  <c r="CD282" s="19"/>
      <c r="CE282" s="19"/>
      <c r="CF282" s="19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19"/>
      <c r="CW282" s="19"/>
      <c r="CX282" s="19"/>
      <c r="CY282" s="19"/>
      <c r="CZ282" s="19"/>
      <c r="DA282" s="19"/>
      <c r="DB282" s="19"/>
      <c r="DC282" s="19"/>
      <c r="DD282" s="19"/>
      <c r="DE282" s="19"/>
      <c r="DF282" s="19"/>
      <c r="DG282" s="19"/>
      <c r="DH282" s="19"/>
      <c r="DI282" s="19"/>
      <c r="DJ282" s="19"/>
      <c r="DK282" s="19"/>
      <c r="DL282" s="19"/>
      <c r="DM282" s="19"/>
      <c r="DN282" s="19"/>
      <c r="DO282" s="19"/>
      <c r="DP282" s="19"/>
      <c r="DQ282" s="19"/>
      <c r="DR282" s="19"/>
      <c r="DS282" s="19"/>
      <c r="DT282" s="19"/>
      <c r="DU282" s="19"/>
      <c r="DV282" s="19"/>
      <c r="DW282" s="19"/>
      <c r="DX282" s="19"/>
      <c r="DY282" s="19"/>
      <c r="DZ282" s="19"/>
      <c r="EA282" s="19"/>
      <c r="EB282" s="19"/>
      <c r="EC282" s="19"/>
      <c r="ED282" s="19"/>
      <c r="EE282" s="19"/>
      <c r="EF282" s="19"/>
      <c r="EG282" s="19"/>
      <c r="EH282" s="19"/>
      <c r="EI282" s="19"/>
      <c r="EJ282" s="19"/>
      <c r="EK282" s="19"/>
      <c r="EL282" s="19"/>
      <c r="EM282" s="19"/>
      <c r="EN282" s="19"/>
      <c r="EO282" s="19"/>
      <c r="EP282" s="17"/>
      <c r="EQ282" s="23"/>
      <c r="ER282" s="23" t="str">
        <f t="shared" si="7"/>
        <v/>
      </c>
      <c r="ES282" s="19"/>
      <c r="ET282" s="19" t="str">
        <f t="shared" si="8"/>
        <v/>
      </c>
      <c r="EU282" s="19"/>
      <c r="EV282" s="19"/>
      <c r="EW282" s="19"/>
      <c r="EX282" s="19"/>
      <c r="EY282" s="19"/>
      <c r="EZ282" s="19"/>
      <c r="FA282" s="19"/>
      <c r="FB282" s="19"/>
    </row>
    <row r="283" ht="15.75" customHeight="1">
      <c r="A283" s="19"/>
      <c r="F283" s="19"/>
      <c r="AH283" s="23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  <c r="CD283" s="19"/>
      <c r="CE283" s="19"/>
      <c r="CF283" s="19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19"/>
      <c r="CW283" s="19"/>
      <c r="CX283" s="19"/>
      <c r="CY283" s="19"/>
      <c r="CZ283" s="19"/>
      <c r="DA283" s="19"/>
      <c r="DB283" s="19"/>
      <c r="DC283" s="19"/>
      <c r="DD283" s="19"/>
      <c r="DE283" s="19"/>
      <c r="DF283" s="19"/>
      <c r="DG283" s="19"/>
      <c r="DH283" s="19"/>
      <c r="DI283" s="19"/>
      <c r="DJ283" s="19"/>
      <c r="DK283" s="19"/>
      <c r="DL283" s="19"/>
      <c r="DM283" s="19"/>
      <c r="DN283" s="19"/>
      <c r="DO283" s="19"/>
      <c r="DP283" s="19"/>
      <c r="DQ283" s="19"/>
      <c r="DR283" s="19"/>
      <c r="DS283" s="19"/>
      <c r="DT283" s="19"/>
      <c r="DU283" s="19"/>
      <c r="DV283" s="19"/>
      <c r="DW283" s="19"/>
      <c r="DX283" s="19"/>
      <c r="DY283" s="19"/>
      <c r="DZ283" s="19"/>
      <c r="EA283" s="19"/>
      <c r="EB283" s="19"/>
      <c r="EC283" s="19"/>
      <c r="ED283" s="19"/>
      <c r="EE283" s="19"/>
      <c r="EF283" s="19"/>
      <c r="EG283" s="19"/>
      <c r="EH283" s="19"/>
      <c r="EI283" s="19"/>
      <c r="EJ283" s="19"/>
      <c r="EK283" s="19"/>
      <c r="EL283" s="19"/>
      <c r="EM283" s="19"/>
      <c r="EN283" s="19"/>
      <c r="EO283" s="19"/>
      <c r="EP283" s="17"/>
      <c r="EQ283" s="23"/>
      <c r="ER283" s="23" t="str">
        <f t="shared" si="7"/>
        <v/>
      </c>
      <c r="ES283" s="19"/>
      <c r="ET283" s="19" t="str">
        <f t="shared" si="8"/>
        <v/>
      </c>
      <c r="EU283" s="19"/>
      <c r="EV283" s="19"/>
      <c r="EW283" s="19"/>
      <c r="EX283" s="19"/>
      <c r="EY283" s="19"/>
      <c r="EZ283" s="19"/>
      <c r="FA283" s="19"/>
      <c r="FB283" s="19"/>
    </row>
    <row r="284" ht="15.75" customHeight="1">
      <c r="A284" s="19"/>
      <c r="F284" s="19"/>
      <c r="AH284" s="23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  <c r="CD284" s="19"/>
      <c r="CE284" s="19"/>
      <c r="CF284" s="19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19"/>
      <c r="CW284" s="19"/>
      <c r="CX284" s="19"/>
      <c r="CY284" s="19"/>
      <c r="CZ284" s="19"/>
      <c r="DA284" s="19"/>
      <c r="DB284" s="19"/>
      <c r="DC284" s="19"/>
      <c r="DD284" s="19"/>
      <c r="DE284" s="19"/>
      <c r="DF284" s="19"/>
      <c r="DG284" s="19"/>
      <c r="DH284" s="19"/>
      <c r="DI284" s="19"/>
      <c r="DJ284" s="19"/>
      <c r="DK284" s="19"/>
      <c r="DL284" s="19"/>
      <c r="DM284" s="19"/>
      <c r="DN284" s="19"/>
      <c r="DO284" s="19"/>
      <c r="DP284" s="19"/>
      <c r="DQ284" s="19"/>
      <c r="DR284" s="19"/>
      <c r="DS284" s="19"/>
      <c r="DT284" s="19"/>
      <c r="DU284" s="19"/>
      <c r="DV284" s="19"/>
      <c r="DW284" s="19"/>
      <c r="DX284" s="19"/>
      <c r="DY284" s="19"/>
      <c r="DZ284" s="19"/>
      <c r="EA284" s="19"/>
      <c r="EB284" s="19"/>
      <c r="EC284" s="19"/>
      <c r="ED284" s="19"/>
      <c r="EE284" s="19"/>
      <c r="EF284" s="19"/>
      <c r="EG284" s="19"/>
      <c r="EH284" s="19"/>
      <c r="EI284" s="19"/>
      <c r="EJ284" s="19"/>
      <c r="EK284" s="19"/>
      <c r="EL284" s="19"/>
      <c r="EM284" s="19"/>
      <c r="EN284" s="19"/>
      <c r="EO284" s="19"/>
      <c r="EP284" s="17"/>
      <c r="EQ284" s="23"/>
      <c r="ER284" s="23" t="str">
        <f t="shared" si="7"/>
        <v/>
      </c>
      <c r="ES284" s="19"/>
      <c r="ET284" s="19" t="str">
        <f t="shared" si="8"/>
        <v/>
      </c>
      <c r="EU284" s="19"/>
      <c r="EV284" s="19"/>
      <c r="EW284" s="19"/>
      <c r="EX284" s="19"/>
      <c r="EY284" s="19"/>
      <c r="EZ284" s="19"/>
      <c r="FA284" s="19"/>
      <c r="FB284" s="19"/>
    </row>
    <row r="285" ht="15.75" customHeight="1">
      <c r="A285" s="19"/>
      <c r="F285" s="19"/>
      <c r="AH285" s="23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  <c r="CD285" s="19"/>
      <c r="CE285" s="19"/>
      <c r="CF285" s="19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19"/>
      <c r="CW285" s="19"/>
      <c r="CX285" s="19"/>
      <c r="CY285" s="19"/>
      <c r="CZ285" s="19"/>
      <c r="DA285" s="19"/>
      <c r="DB285" s="19"/>
      <c r="DC285" s="19"/>
      <c r="DD285" s="19"/>
      <c r="DE285" s="19"/>
      <c r="DF285" s="19"/>
      <c r="DG285" s="19"/>
      <c r="DH285" s="19"/>
      <c r="DI285" s="19"/>
      <c r="DJ285" s="19"/>
      <c r="DK285" s="19"/>
      <c r="DL285" s="19"/>
      <c r="DM285" s="19"/>
      <c r="DN285" s="19"/>
      <c r="DO285" s="19"/>
      <c r="DP285" s="19"/>
      <c r="DQ285" s="19"/>
      <c r="DR285" s="19"/>
      <c r="DS285" s="19"/>
      <c r="DT285" s="19"/>
      <c r="DU285" s="19"/>
      <c r="DV285" s="19"/>
      <c r="DW285" s="19"/>
      <c r="DX285" s="19"/>
      <c r="DY285" s="19"/>
      <c r="DZ285" s="19"/>
      <c r="EA285" s="19"/>
      <c r="EB285" s="19"/>
      <c r="EC285" s="19"/>
      <c r="ED285" s="19"/>
      <c r="EE285" s="19"/>
      <c r="EF285" s="19"/>
      <c r="EG285" s="19"/>
      <c r="EH285" s="19"/>
      <c r="EI285" s="19"/>
      <c r="EJ285" s="19"/>
      <c r="EK285" s="19"/>
      <c r="EL285" s="19"/>
      <c r="EM285" s="19"/>
      <c r="EN285" s="19"/>
      <c r="EO285" s="19"/>
      <c r="EP285" s="17"/>
      <c r="EQ285" s="23"/>
      <c r="ER285" s="23" t="str">
        <f t="shared" si="7"/>
        <v/>
      </c>
      <c r="ES285" s="19"/>
      <c r="ET285" s="19" t="str">
        <f t="shared" si="8"/>
        <v/>
      </c>
      <c r="EU285" s="19"/>
      <c r="EV285" s="19"/>
      <c r="EW285" s="19"/>
      <c r="EX285" s="19"/>
      <c r="EY285" s="19"/>
      <c r="EZ285" s="19"/>
      <c r="FA285" s="19"/>
      <c r="FB285" s="19"/>
    </row>
    <row r="286" ht="15.75" customHeight="1">
      <c r="A286" s="19"/>
      <c r="F286" s="19"/>
      <c r="AH286" s="23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  <c r="CD286" s="19"/>
      <c r="CE286" s="19"/>
      <c r="CF286" s="19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19"/>
      <c r="CW286" s="19"/>
      <c r="CX286" s="19"/>
      <c r="CY286" s="19"/>
      <c r="CZ286" s="19"/>
      <c r="DA286" s="19"/>
      <c r="DB286" s="19"/>
      <c r="DC286" s="19"/>
      <c r="DD286" s="19"/>
      <c r="DE286" s="19"/>
      <c r="DF286" s="19"/>
      <c r="DG286" s="19"/>
      <c r="DH286" s="19"/>
      <c r="DI286" s="19"/>
      <c r="DJ286" s="19"/>
      <c r="DK286" s="19"/>
      <c r="DL286" s="19"/>
      <c r="DM286" s="19"/>
      <c r="DN286" s="19"/>
      <c r="DO286" s="19"/>
      <c r="DP286" s="19"/>
      <c r="DQ286" s="19"/>
      <c r="DR286" s="19"/>
      <c r="DS286" s="19"/>
      <c r="DT286" s="19"/>
      <c r="DU286" s="19"/>
      <c r="DV286" s="19"/>
      <c r="DW286" s="19"/>
      <c r="DX286" s="19"/>
      <c r="DY286" s="19"/>
      <c r="DZ286" s="19"/>
      <c r="EA286" s="19"/>
      <c r="EB286" s="19"/>
      <c r="EC286" s="19"/>
      <c r="ED286" s="19"/>
      <c r="EE286" s="19"/>
      <c r="EF286" s="19"/>
      <c r="EG286" s="19"/>
      <c r="EH286" s="19"/>
      <c r="EI286" s="19"/>
      <c r="EJ286" s="19"/>
      <c r="EK286" s="19"/>
      <c r="EL286" s="19"/>
      <c r="EM286" s="19"/>
      <c r="EN286" s="19"/>
      <c r="EO286" s="19"/>
      <c r="EP286" s="17"/>
      <c r="EQ286" s="23"/>
      <c r="ER286" s="23" t="str">
        <f t="shared" si="7"/>
        <v/>
      </c>
      <c r="ES286" s="19"/>
      <c r="ET286" s="19" t="str">
        <f t="shared" si="8"/>
        <v/>
      </c>
      <c r="EU286" s="19"/>
      <c r="EV286" s="19"/>
      <c r="EW286" s="19"/>
      <c r="EX286" s="19"/>
      <c r="EY286" s="19"/>
      <c r="EZ286" s="19"/>
      <c r="FA286" s="19"/>
      <c r="FB286" s="19"/>
    </row>
    <row r="287" ht="15.75" customHeight="1">
      <c r="A287" s="19"/>
      <c r="F287" s="19"/>
      <c r="AH287" s="23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  <c r="CD287" s="19"/>
      <c r="CE287" s="19"/>
      <c r="CF287" s="19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19"/>
      <c r="CW287" s="19"/>
      <c r="CX287" s="19"/>
      <c r="CY287" s="19"/>
      <c r="CZ287" s="19"/>
      <c r="DA287" s="19"/>
      <c r="DB287" s="19"/>
      <c r="DC287" s="19"/>
      <c r="DD287" s="19"/>
      <c r="DE287" s="19"/>
      <c r="DF287" s="19"/>
      <c r="DG287" s="19"/>
      <c r="DH287" s="19"/>
      <c r="DI287" s="19"/>
      <c r="DJ287" s="19"/>
      <c r="DK287" s="19"/>
      <c r="DL287" s="19"/>
      <c r="DM287" s="19"/>
      <c r="DN287" s="19"/>
      <c r="DO287" s="19"/>
      <c r="DP287" s="19"/>
      <c r="DQ287" s="19"/>
      <c r="DR287" s="19"/>
      <c r="DS287" s="19"/>
      <c r="DT287" s="19"/>
      <c r="DU287" s="19"/>
      <c r="DV287" s="19"/>
      <c r="DW287" s="19"/>
      <c r="DX287" s="19"/>
      <c r="DY287" s="19"/>
      <c r="DZ287" s="19"/>
      <c r="EA287" s="19"/>
      <c r="EB287" s="19"/>
      <c r="EC287" s="19"/>
      <c r="ED287" s="19"/>
      <c r="EE287" s="19"/>
      <c r="EF287" s="19"/>
      <c r="EG287" s="19"/>
      <c r="EH287" s="19"/>
      <c r="EI287" s="19"/>
      <c r="EJ287" s="19"/>
      <c r="EK287" s="19"/>
      <c r="EL287" s="19"/>
      <c r="EM287" s="19"/>
      <c r="EN287" s="19"/>
      <c r="EO287" s="19"/>
      <c r="EP287" s="17"/>
      <c r="EQ287" s="23"/>
      <c r="ER287" s="23" t="str">
        <f t="shared" si="7"/>
        <v/>
      </c>
      <c r="ES287" s="19"/>
      <c r="ET287" s="19" t="str">
        <f t="shared" si="8"/>
        <v/>
      </c>
      <c r="EU287" s="19"/>
      <c r="EV287" s="19"/>
      <c r="EW287" s="19"/>
      <c r="EX287" s="19"/>
      <c r="EY287" s="19"/>
      <c r="EZ287" s="19"/>
      <c r="FA287" s="19"/>
      <c r="FB287" s="19"/>
    </row>
    <row r="288" ht="15.75" customHeight="1">
      <c r="A288" s="19"/>
      <c r="F288" s="19"/>
      <c r="AH288" s="23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  <c r="CD288" s="19"/>
      <c r="CE288" s="19"/>
      <c r="CF288" s="19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19"/>
      <c r="CW288" s="19"/>
      <c r="CX288" s="19"/>
      <c r="CY288" s="19"/>
      <c r="CZ288" s="19"/>
      <c r="DA288" s="19"/>
      <c r="DB288" s="19"/>
      <c r="DC288" s="19"/>
      <c r="DD288" s="19"/>
      <c r="DE288" s="19"/>
      <c r="DF288" s="19"/>
      <c r="DG288" s="19"/>
      <c r="DH288" s="19"/>
      <c r="DI288" s="19"/>
      <c r="DJ288" s="19"/>
      <c r="DK288" s="19"/>
      <c r="DL288" s="19"/>
      <c r="DM288" s="19"/>
      <c r="DN288" s="19"/>
      <c r="DO288" s="19"/>
      <c r="DP288" s="19"/>
      <c r="DQ288" s="19"/>
      <c r="DR288" s="19"/>
      <c r="DS288" s="19"/>
      <c r="DT288" s="19"/>
      <c r="DU288" s="19"/>
      <c r="DV288" s="19"/>
      <c r="DW288" s="19"/>
      <c r="DX288" s="19"/>
      <c r="DY288" s="19"/>
      <c r="DZ288" s="19"/>
      <c r="EA288" s="19"/>
      <c r="EB288" s="19"/>
      <c r="EC288" s="19"/>
      <c r="ED288" s="19"/>
      <c r="EE288" s="19"/>
      <c r="EF288" s="19"/>
      <c r="EG288" s="19"/>
      <c r="EH288" s="19"/>
      <c r="EI288" s="19"/>
      <c r="EJ288" s="19"/>
      <c r="EK288" s="19"/>
      <c r="EL288" s="19"/>
      <c r="EM288" s="19"/>
      <c r="EN288" s="19"/>
      <c r="EO288" s="19"/>
      <c r="EP288" s="17"/>
      <c r="EQ288" s="23"/>
      <c r="ER288" s="23" t="str">
        <f t="shared" si="7"/>
        <v/>
      </c>
      <c r="ES288" s="19"/>
      <c r="ET288" s="19" t="str">
        <f t="shared" si="8"/>
        <v/>
      </c>
      <c r="EU288" s="19"/>
      <c r="EV288" s="19"/>
      <c r="EW288" s="19"/>
      <c r="EX288" s="19"/>
      <c r="EY288" s="19"/>
      <c r="EZ288" s="19"/>
      <c r="FA288" s="19"/>
      <c r="FB288" s="19"/>
    </row>
    <row r="289" ht="15.75" customHeight="1">
      <c r="A289" s="19"/>
      <c r="F289" s="19"/>
      <c r="AH289" s="23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  <c r="CD289" s="19"/>
      <c r="CE289" s="19"/>
      <c r="CF289" s="19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19"/>
      <c r="CW289" s="19"/>
      <c r="CX289" s="19"/>
      <c r="CY289" s="19"/>
      <c r="CZ289" s="19"/>
      <c r="DA289" s="19"/>
      <c r="DB289" s="19"/>
      <c r="DC289" s="19"/>
      <c r="DD289" s="19"/>
      <c r="DE289" s="19"/>
      <c r="DF289" s="19"/>
      <c r="DG289" s="19"/>
      <c r="DH289" s="19"/>
      <c r="DI289" s="19"/>
      <c r="DJ289" s="19"/>
      <c r="DK289" s="19"/>
      <c r="DL289" s="19"/>
      <c r="DM289" s="19"/>
      <c r="DN289" s="19"/>
      <c r="DO289" s="19"/>
      <c r="DP289" s="19"/>
      <c r="DQ289" s="19"/>
      <c r="DR289" s="19"/>
      <c r="DS289" s="19"/>
      <c r="DT289" s="19"/>
      <c r="DU289" s="19"/>
      <c r="DV289" s="19"/>
      <c r="DW289" s="19"/>
      <c r="DX289" s="19"/>
      <c r="DY289" s="19"/>
      <c r="DZ289" s="19"/>
      <c r="EA289" s="19"/>
      <c r="EB289" s="19"/>
      <c r="EC289" s="19"/>
      <c r="ED289" s="19"/>
      <c r="EE289" s="19"/>
      <c r="EF289" s="19"/>
      <c r="EG289" s="19"/>
      <c r="EH289" s="19"/>
      <c r="EI289" s="19"/>
      <c r="EJ289" s="19"/>
      <c r="EK289" s="19"/>
      <c r="EL289" s="19"/>
      <c r="EM289" s="19"/>
      <c r="EN289" s="19"/>
      <c r="EO289" s="19"/>
      <c r="EP289" s="17"/>
      <c r="EQ289" s="23"/>
      <c r="ER289" s="23" t="str">
        <f t="shared" si="7"/>
        <v/>
      </c>
      <c r="ES289" s="19"/>
      <c r="ET289" s="19" t="str">
        <f t="shared" si="8"/>
        <v/>
      </c>
      <c r="EU289" s="19"/>
      <c r="EV289" s="19"/>
      <c r="EW289" s="19"/>
      <c r="EX289" s="19"/>
      <c r="EY289" s="19"/>
      <c r="EZ289" s="19"/>
      <c r="FA289" s="19"/>
      <c r="FB289" s="19"/>
    </row>
    <row r="290" ht="15.75" customHeight="1">
      <c r="A290" s="19"/>
      <c r="F290" s="19"/>
      <c r="AH290" s="23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  <c r="CD290" s="19"/>
      <c r="CE290" s="19"/>
      <c r="CF290" s="19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19"/>
      <c r="CW290" s="19"/>
      <c r="CX290" s="19"/>
      <c r="CY290" s="19"/>
      <c r="CZ290" s="19"/>
      <c r="DA290" s="19"/>
      <c r="DB290" s="19"/>
      <c r="DC290" s="19"/>
      <c r="DD290" s="19"/>
      <c r="DE290" s="19"/>
      <c r="DF290" s="19"/>
      <c r="DG290" s="19"/>
      <c r="DH290" s="19"/>
      <c r="DI290" s="19"/>
      <c r="DJ290" s="19"/>
      <c r="DK290" s="19"/>
      <c r="DL290" s="19"/>
      <c r="DM290" s="19"/>
      <c r="DN290" s="19"/>
      <c r="DO290" s="19"/>
      <c r="DP290" s="19"/>
      <c r="DQ290" s="19"/>
      <c r="DR290" s="19"/>
      <c r="DS290" s="19"/>
      <c r="DT290" s="19"/>
      <c r="DU290" s="19"/>
      <c r="DV290" s="19"/>
      <c r="DW290" s="19"/>
      <c r="DX290" s="19"/>
      <c r="DY290" s="19"/>
      <c r="DZ290" s="19"/>
      <c r="EA290" s="19"/>
      <c r="EB290" s="19"/>
      <c r="EC290" s="19"/>
      <c r="ED290" s="19"/>
      <c r="EE290" s="19"/>
      <c r="EF290" s="19"/>
      <c r="EG290" s="19"/>
      <c r="EH290" s="19"/>
      <c r="EI290" s="19"/>
      <c r="EJ290" s="19"/>
      <c r="EK290" s="19"/>
      <c r="EL290" s="19"/>
      <c r="EM290" s="19"/>
      <c r="EN290" s="19"/>
      <c r="EO290" s="19"/>
      <c r="EP290" s="17"/>
      <c r="EQ290" s="23"/>
      <c r="ER290" s="23" t="str">
        <f t="shared" si="7"/>
        <v/>
      </c>
      <c r="ES290" s="19"/>
      <c r="ET290" s="19" t="str">
        <f t="shared" si="8"/>
        <v/>
      </c>
      <c r="EU290" s="19"/>
      <c r="EV290" s="19"/>
      <c r="EW290" s="19"/>
      <c r="EX290" s="19"/>
      <c r="EY290" s="19"/>
      <c r="EZ290" s="19"/>
      <c r="FA290" s="19"/>
      <c r="FB290" s="19"/>
    </row>
    <row r="291" ht="15.75" customHeight="1">
      <c r="A291" s="19"/>
      <c r="F291" s="19"/>
      <c r="AH291" s="23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  <c r="CD291" s="19"/>
      <c r="CE291" s="19"/>
      <c r="CF291" s="19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19"/>
      <c r="CW291" s="19"/>
      <c r="CX291" s="19"/>
      <c r="CY291" s="19"/>
      <c r="CZ291" s="19"/>
      <c r="DA291" s="19"/>
      <c r="DB291" s="19"/>
      <c r="DC291" s="19"/>
      <c r="DD291" s="19"/>
      <c r="DE291" s="19"/>
      <c r="DF291" s="19"/>
      <c r="DG291" s="19"/>
      <c r="DH291" s="19"/>
      <c r="DI291" s="19"/>
      <c r="DJ291" s="19"/>
      <c r="DK291" s="19"/>
      <c r="DL291" s="19"/>
      <c r="DM291" s="19"/>
      <c r="DN291" s="19"/>
      <c r="DO291" s="19"/>
      <c r="DP291" s="19"/>
      <c r="DQ291" s="19"/>
      <c r="DR291" s="19"/>
      <c r="DS291" s="19"/>
      <c r="DT291" s="19"/>
      <c r="DU291" s="19"/>
      <c r="DV291" s="19"/>
      <c r="DW291" s="19"/>
      <c r="DX291" s="19"/>
      <c r="DY291" s="19"/>
      <c r="DZ291" s="19"/>
      <c r="EA291" s="19"/>
      <c r="EB291" s="19"/>
      <c r="EC291" s="19"/>
      <c r="ED291" s="19"/>
      <c r="EE291" s="19"/>
      <c r="EF291" s="19"/>
      <c r="EG291" s="19"/>
      <c r="EH291" s="19"/>
      <c r="EI291" s="19"/>
      <c r="EJ291" s="19"/>
      <c r="EK291" s="19"/>
      <c r="EL291" s="19"/>
      <c r="EM291" s="19"/>
      <c r="EN291" s="19"/>
      <c r="EO291" s="19"/>
      <c r="EP291" s="17"/>
      <c r="EQ291" s="23"/>
      <c r="ER291" s="23" t="str">
        <f t="shared" si="7"/>
        <v/>
      </c>
      <c r="ES291" s="19"/>
      <c r="ET291" s="19" t="str">
        <f t="shared" si="8"/>
        <v/>
      </c>
      <c r="EU291" s="19"/>
      <c r="EV291" s="19"/>
      <c r="EW291" s="19"/>
      <c r="EX291" s="19"/>
      <c r="EY291" s="19"/>
      <c r="EZ291" s="19"/>
      <c r="FA291" s="19"/>
      <c r="FB291" s="19"/>
    </row>
    <row r="292" ht="15.75" customHeight="1">
      <c r="A292" s="19"/>
      <c r="F292" s="19"/>
      <c r="AH292" s="23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7"/>
      <c r="EQ292" s="23"/>
      <c r="ER292" s="23" t="str">
        <f t="shared" si="7"/>
        <v/>
      </c>
      <c r="ES292" s="19"/>
      <c r="ET292" s="19" t="str">
        <f t="shared" si="8"/>
        <v/>
      </c>
      <c r="EU292" s="19"/>
      <c r="EV292" s="19"/>
      <c r="EW292" s="19"/>
      <c r="EX292" s="19"/>
      <c r="EY292" s="19"/>
      <c r="EZ292" s="19"/>
      <c r="FA292" s="19"/>
      <c r="FB292" s="19"/>
    </row>
    <row r="293" ht="15.75" customHeight="1">
      <c r="A293" s="19"/>
      <c r="F293" s="19"/>
      <c r="AH293" s="23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  <c r="CD293" s="19"/>
      <c r="CE293" s="19"/>
      <c r="CF293" s="19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19"/>
      <c r="CW293" s="19"/>
      <c r="CX293" s="19"/>
      <c r="CY293" s="19"/>
      <c r="CZ293" s="19"/>
      <c r="DA293" s="19"/>
      <c r="DB293" s="19"/>
      <c r="DC293" s="19"/>
      <c r="DD293" s="19"/>
      <c r="DE293" s="19"/>
      <c r="DF293" s="19"/>
      <c r="DG293" s="19"/>
      <c r="DH293" s="19"/>
      <c r="DI293" s="19"/>
      <c r="DJ293" s="19"/>
      <c r="DK293" s="19"/>
      <c r="DL293" s="19"/>
      <c r="DM293" s="19"/>
      <c r="DN293" s="19"/>
      <c r="DO293" s="19"/>
      <c r="DP293" s="19"/>
      <c r="DQ293" s="19"/>
      <c r="DR293" s="19"/>
      <c r="DS293" s="19"/>
      <c r="DT293" s="19"/>
      <c r="DU293" s="19"/>
      <c r="DV293" s="19"/>
      <c r="DW293" s="19"/>
      <c r="DX293" s="19"/>
      <c r="DY293" s="19"/>
      <c r="DZ293" s="19"/>
      <c r="EA293" s="19"/>
      <c r="EB293" s="19"/>
      <c r="EC293" s="19"/>
      <c r="ED293" s="19"/>
      <c r="EE293" s="19"/>
      <c r="EF293" s="19"/>
      <c r="EG293" s="19"/>
      <c r="EH293" s="19"/>
      <c r="EI293" s="19"/>
      <c r="EJ293" s="19"/>
      <c r="EK293" s="19"/>
      <c r="EL293" s="19"/>
      <c r="EM293" s="19"/>
      <c r="EN293" s="19"/>
      <c r="EO293" s="19"/>
      <c r="EP293" s="17"/>
      <c r="EQ293" s="23"/>
      <c r="ER293" s="23" t="str">
        <f t="shared" si="7"/>
        <v/>
      </c>
      <c r="ES293" s="19"/>
      <c r="ET293" s="19" t="str">
        <f t="shared" si="8"/>
        <v/>
      </c>
      <c r="EU293" s="19"/>
      <c r="EV293" s="19"/>
      <c r="EW293" s="19"/>
      <c r="EX293" s="19"/>
      <c r="EY293" s="19"/>
      <c r="EZ293" s="19"/>
      <c r="FA293" s="19"/>
      <c r="FB293" s="19"/>
    </row>
    <row r="294" ht="15.75" customHeight="1">
      <c r="A294" s="19"/>
      <c r="F294" s="19"/>
      <c r="AH294" s="23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  <c r="CD294" s="19"/>
      <c r="CE294" s="19"/>
      <c r="CF294" s="19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19"/>
      <c r="CW294" s="19"/>
      <c r="CX294" s="19"/>
      <c r="CY294" s="19"/>
      <c r="CZ294" s="19"/>
      <c r="DA294" s="19"/>
      <c r="DB294" s="19"/>
      <c r="DC294" s="19"/>
      <c r="DD294" s="19"/>
      <c r="DE294" s="19"/>
      <c r="DF294" s="19"/>
      <c r="DG294" s="19"/>
      <c r="DH294" s="19"/>
      <c r="DI294" s="19"/>
      <c r="DJ294" s="19"/>
      <c r="DK294" s="19"/>
      <c r="DL294" s="19"/>
      <c r="DM294" s="19"/>
      <c r="DN294" s="19"/>
      <c r="DO294" s="19"/>
      <c r="DP294" s="19"/>
      <c r="DQ294" s="19"/>
      <c r="DR294" s="19"/>
      <c r="DS294" s="19"/>
      <c r="DT294" s="19"/>
      <c r="DU294" s="19"/>
      <c r="DV294" s="19"/>
      <c r="DW294" s="19"/>
      <c r="DX294" s="19"/>
      <c r="DY294" s="19"/>
      <c r="DZ294" s="19"/>
      <c r="EA294" s="19"/>
      <c r="EB294" s="19"/>
      <c r="EC294" s="19"/>
      <c r="ED294" s="19"/>
      <c r="EE294" s="19"/>
      <c r="EF294" s="19"/>
      <c r="EG294" s="19"/>
      <c r="EH294" s="19"/>
      <c r="EI294" s="19"/>
      <c r="EJ294" s="19"/>
      <c r="EK294" s="19"/>
      <c r="EL294" s="19"/>
      <c r="EM294" s="19"/>
      <c r="EN294" s="19"/>
      <c r="EO294" s="19"/>
      <c r="EP294" s="17"/>
      <c r="EQ294" s="23"/>
      <c r="ER294" s="23" t="str">
        <f t="shared" si="7"/>
        <v/>
      </c>
      <c r="ES294" s="19"/>
      <c r="ET294" s="19" t="str">
        <f t="shared" si="8"/>
        <v/>
      </c>
      <c r="EU294" s="19"/>
      <c r="EV294" s="19"/>
      <c r="EW294" s="19"/>
      <c r="EX294" s="19"/>
      <c r="EY294" s="19"/>
      <c r="EZ294" s="19"/>
      <c r="FA294" s="19"/>
      <c r="FB294" s="19"/>
    </row>
    <row r="295" ht="15.75" customHeight="1">
      <c r="A295" s="19"/>
      <c r="F295" s="19"/>
      <c r="AH295" s="23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  <c r="CD295" s="19"/>
      <c r="CE295" s="19"/>
      <c r="CF295" s="19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19"/>
      <c r="CW295" s="19"/>
      <c r="CX295" s="19"/>
      <c r="CY295" s="19"/>
      <c r="CZ295" s="19"/>
      <c r="DA295" s="19"/>
      <c r="DB295" s="19"/>
      <c r="DC295" s="19"/>
      <c r="DD295" s="19"/>
      <c r="DE295" s="19"/>
      <c r="DF295" s="19"/>
      <c r="DG295" s="19"/>
      <c r="DH295" s="19"/>
      <c r="DI295" s="19"/>
      <c r="DJ295" s="19"/>
      <c r="DK295" s="19"/>
      <c r="DL295" s="19"/>
      <c r="DM295" s="19"/>
      <c r="DN295" s="19"/>
      <c r="DO295" s="19"/>
      <c r="DP295" s="19"/>
      <c r="DQ295" s="19"/>
      <c r="DR295" s="19"/>
      <c r="DS295" s="19"/>
      <c r="DT295" s="19"/>
      <c r="DU295" s="19"/>
      <c r="DV295" s="19"/>
      <c r="DW295" s="19"/>
      <c r="DX295" s="19"/>
      <c r="DY295" s="19"/>
      <c r="DZ295" s="19"/>
      <c r="EA295" s="19"/>
      <c r="EB295" s="19"/>
      <c r="EC295" s="19"/>
      <c r="ED295" s="19"/>
      <c r="EE295" s="19"/>
      <c r="EF295" s="19"/>
      <c r="EG295" s="19"/>
      <c r="EH295" s="19"/>
      <c r="EI295" s="19"/>
      <c r="EJ295" s="19"/>
      <c r="EK295" s="19"/>
      <c r="EL295" s="19"/>
      <c r="EM295" s="19"/>
      <c r="EN295" s="19"/>
      <c r="EO295" s="19"/>
      <c r="EP295" s="17"/>
      <c r="EQ295" s="23"/>
      <c r="ER295" s="23" t="str">
        <f t="shared" si="7"/>
        <v/>
      </c>
      <c r="ES295" s="19"/>
      <c r="ET295" s="19" t="str">
        <f t="shared" si="8"/>
        <v/>
      </c>
      <c r="EU295" s="19"/>
      <c r="EV295" s="19"/>
      <c r="EW295" s="19"/>
      <c r="EX295" s="19"/>
      <c r="EY295" s="19"/>
      <c r="EZ295" s="19"/>
      <c r="FA295" s="19"/>
      <c r="FB295" s="19"/>
    </row>
    <row r="296" ht="15.75" customHeight="1">
      <c r="A296" s="19"/>
      <c r="F296" s="19"/>
      <c r="AH296" s="23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  <c r="CD296" s="19"/>
      <c r="CE296" s="19"/>
      <c r="CF296" s="19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19"/>
      <c r="CW296" s="19"/>
      <c r="CX296" s="19"/>
      <c r="CY296" s="19"/>
      <c r="CZ296" s="19"/>
      <c r="DA296" s="19"/>
      <c r="DB296" s="19"/>
      <c r="DC296" s="19"/>
      <c r="DD296" s="19"/>
      <c r="DE296" s="19"/>
      <c r="DF296" s="19"/>
      <c r="DG296" s="19"/>
      <c r="DH296" s="19"/>
      <c r="DI296" s="19"/>
      <c r="DJ296" s="19"/>
      <c r="DK296" s="19"/>
      <c r="DL296" s="19"/>
      <c r="DM296" s="19"/>
      <c r="DN296" s="19"/>
      <c r="DO296" s="19"/>
      <c r="DP296" s="19"/>
      <c r="DQ296" s="19"/>
      <c r="DR296" s="19"/>
      <c r="DS296" s="19"/>
      <c r="DT296" s="19"/>
      <c r="DU296" s="19"/>
      <c r="DV296" s="19"/>
      <c r="DW296" s="19"/>
      <c r="DX296" s="19"/>
      <c r="DY296" s="19"/>
      <c r="DZ296" s="19"/>
      <c r="EA296" s="19"/>
      <c r="EB296" s="19"/>
      <c r="EC296" s="19"/>
      <c r="ED296" s="19"/>
      <c r="EE296" s="19"/>
      <c r="EF296" s="19"/>
      <c r="EG296" s="19"/>
      <c r="EH296" s="19"/>
      <c r="EI296" s="19"/>
      <c r="EJ296" s="19"/>
      <c r="EK296" s="19"/>
      <c r="EL296" s="19"/>
      <c r="EM296" s="19"/>
      <c r="EN296" s="19"/>
      <c r="EO296" s="19"/>
      <c r="EP296" s="17"/>
      <c r="EQ296" s="23"/>
      <c r="ER296" s="23" t="str">
        <f t="shared" si="7"/>
        <v/>
      </c>
      <c r="ES296" s="19"/>
      <c r="ET296" s="19" t="str">
        <f t="shared" si="8"/>
        <v/>
      </c>
      <c r="EU296" s="19"/>
      <c r="EV296" s="19"/>
      <c r="EW296" s="19"/>
      <c r="EX296" s="19"/>
      <c r="EY296" s="19"/>
      <c r="EZ296" s="19"/>
      <c r="FA296" s="19"/>
      <c r="FB296" s="19"/>
    </row>
    <row r="297" ht="15.75" customHeight="1">
      <c r="A297" s="19"/>
      <c r="F297" s="19"/>
      <c r="AH297" s="23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  <c r="CD297" s="19"/>
      <c r="CE297" s="19"/>
      <c r="CF297" s="19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19"/>
      <c r="CW297" s="19"/>
      <c r="CX297" s="19"/>
      <c r="CY297" s="19"/>
      <c r="CZ297" s="19"/>
      <c r="DA297" s="19"/>
      <c r="DB297" s="19"/>
      <c r="DC297" s="19"/>
      <c r="DD297" s="19"/>
      <c r="DE297" s="19"/>
      <c r="DF297" s="19"/>
      <c r="DG297" s="19"/>
      <c r="DH297" s="19"/>
      <c r="DI297" s="19"/>
      <c r="DJ297" s="19"/>
      <c r="DK297" s="19"/>
      <c r="DL297" s="19"/>
      <c r="DM297" s="19"/>
      <c r="DN297" s="19"/>
      <c r="DO297" s="19"/>
      <c r="DP297" s="19"/>
      <c r="DQ297" s="19"/>
      <c r="DR297" s="19"/>
      <c r="DS297" s="19"/>
      <c r="DT297" s="19"/>
      <c r="DU297" s="19"/>
      <c r="DV297" s="19"/>
      <c r="DW297" s="19"/>
      <c r="DX297" s="19"/>
      <c r="DY297" s="19"/>
      <c r="DZ297" s="19"/>
      <c r="EA297" s="19"/>
      <c r="EB297" s="19"/>
      <c r="EC297" s="19"/>
      <c r="ED297" s="19"/>
      <c r="EE297" s="19"/>
      <c r="EF297" s="19"/>
      <c r="EG297" s="19"/>
      <c r="EH297" s="19"/>
      <c r="EI297" s="19"/>
      <c r="EJ297" s="19"/>
      <c r="EK297" s="19"/>
      <c r="EL297" s="19"/>
      <c r="EM297" s="19"/>
      <c r="EN297" s="19"/>
      <c r="EO297" s="19"/>
      <c r="EP297" s="17"/>
      <c r="EQ297" s="23"/>
      <c r="ER297" s="23" t="str">
        <f t="shared" si="7"/>
        <v/>
      </c>
      <c r="ES297" s="19"/>
      <c r="ET297" s="19" t="str">
        <f t="shared" si="8"/>
        <v/>
      </c>
      <c r="EU297" s="19"/>
      <c r="EV297" s="19"/>
      <c r="EW297" s="19"/>
      <c r="EX297" s="19"/>
      <c r="EY297" s="19"/>
      <c r="EZ297" s="19"/>
      <c r="FA297" s="19"/>
      <c r="FB297" s="19"/>
    </row>
    <row r="298" ht="15.75" customHeight="1">
      <c r="A298" s="19"/>
      <c r="F298" s="19"/>
      <c r="AH298" s="23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  <c r="CD298" s="19"/>
      <c r="CE298" s="19"/>
      <c r="CF298" s="19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19"/>
      <c r="CW298" s="19"/>
      <c r="CX298" s="19"/>
      <c r="CY298" s="19"/>
      <c r="CZ298" s="19"/>
      <c r="DA298" s="19"/>
      <c r="DB298" s="19"/>
      <c r="DC298" s="19"/>
      <c r="DD298" s="19"/>
      <c r="DE298" s="19"/>
      <c r="DF298" s="19"/>
      <c r="DG298" s="19"/>
      <c r="DH298" s="19"/>
      <c r="DI298" s="19"/>
      <c r="DJ298" s="19"/>
      <c r="DK298" s="19"/>
      <c r="DL298" s="19"/>
      <c r="DM298" s="19"/>
      <c r="DN298" s="19"/>
      <c r="DO298" s="19"/>
      <c r="DP298" s="19"/>
      <c r="DQ298" s="19"/>
      <c r="DR298" s="19"/>
      <c r="DS298" s="19"/>
      <c r="DT298" s="19"/>
      <c r="DU298" s="19"/>
      <c r="DV298" s="19"/>
      <c r="DW298" s="19"/>
      <c r="DX298" s="19"/>
      <c r="DY298" s="19"/>
      <c r="DZ298" s="19"/>
      <c r="EA298" s="19"/>
      <c r="EB298" s="19"/>
      <c r="EC298" s="19"/>
      <c r="ED298" s="19"/>
      <c r="EE298" s="19"/>
      <c r="EF298" s="19"/>
      <c r="EG298" s="19"/>
      <c r="EH298" s="19"/>
      <c r="EI298" s="19"/>
      <c r="EJ298" s="19"/>
      <c r="EK298" s="19"/>
      <c r="EL298" s="19"/>
      <c r="EM298" s="19"/>
      <c r="EN298" s="19"/>
      <c r="EO298" s="19"/>
      <c r="EP298" s="17"/>
      <c r="EQ298" s="23"/>
      <c r="ER298" s="23" t="str">
        <f t="shared" si="7"/>
        <v/>
      </c>
      <c r="ES298" s="19"/>
      <c r="ET298" s="19" t="str">
        <f t="shared" si="8"/>
        <v/>
      </c>
      <c r="EU298" s="19"/>
      <c r="EV298" s="19"/>
      <c r="EW298" s="19"/>
      <c r="EX298" s="19"/>
      <c r="EY298" s="19"/>
      <c r="EZ298" s="19"/>
      <c r="FA298" s="19"/>
      <c r="FB298" s="19"/>
    </row>
    <row r="299" ht="15.75" customHeight="1">
      <c r="A299" s="19"/>
      <c r="F299" s="19"/>
      <c r="AH299" s="23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  <c r="CD299" s="19"/>
      <c r="CE299" s="19"/>
      <c r="CF299" s="19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19"/>
      <c r="CW299" s="19"/>
      <c r="CX299" s="19"/>
      <c r="CY299" s="19"/>
      <c r="CZ299" s="19"/>
      <c r="DA299" s="19"/>
      <c r="DB299" s="19"/>
      <c r="DC299" s="19"/>
      <c r="DD299" s="19"/>
      <c r="DE299" s="19"/>
      <c r="DF299" s="19"/>
      <c r="DG299" s="19"/>
      <c r="DH299" s="19"/>
      <c r="DI299" s="19"/>
      <c r="DJ299" s="19"/>
      <c r="DK299" s="19"/>
      <c r="DL299" s="19"/>
      <c r="DM299" s="19"/>
      <c r="DN299" s="19"/>
      <c r="DO299" s="19"/>
      <c r="DP299" s="19"/>
      <c r="DQ299" s="19"/>
      <c r="DR299" s="19"/>
      <c r="DS299" s="19"/>
      <c r="DT299" s="19"/>
      <c r="DU299" s="19"/>
      <c r="DV299" s="19"/>
      <c r="DW299" s="19"/>
      <c r="DX299" s="19"/>
      <c r="DY299" s="19"/>
      <c r="DZ299" s="19"/>
      <c r="EA299" s="19"/>
      <c r="EB299" s="19"/>
      <c r="EC299" s="19"/>
      <c r="ED299" s="19"/>
      <c r="EE299" s="19"/>
      <c r="EF299" s="19"/>
      <c r="EG299" s="19"/>
      <c r="EH299" s="19"/>
      <c r="EI299" s="19"/>
      <c r="EJ299" s="19"/>
      <c r="EK299" s="19"/>
      <c r="EL299" s="19"/>
      <c r="EM299" s="19"/>
      <c r="EN299" s="19"/>
      <c r="EO299" s="19"/>
      <c r="EP299" s="17"/>
      <c r="EQ299" s="23"/>
      <c r="ER299" s="23" t="str">
        <f t="shared" si="7"/>
        <v/>
      </c>
      <c r="ES299" s="19"/>
      <c r="ET299" s="19" t="str">
        <f t="shared" si="8"/>
        <v/>
      </c>
      <c r="EU299" s="19"/>
      <c r="EV299" s="19"/>
      <c r="EW299" s="19"/>
      <c r="EX299" s="19"/>
      <c r="EY299" s="19"/>
      <c r="EZ299" s="19"/>
      <c r="FA299" s="19"/>
      <c r="FB299" s="19"/>
    </row>
    <row r="300" ht="15.75" customHeight="1">
      <c r="A300" s="19"/>
      <c r="F300" s="19"/>
      <c r="AH300" s="23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  <c r="CD300" s="19"/>
      <c r="CE300" s="19"/>
      <c r="CF300" s="19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19"/>
      <c r="CW300" s="19"/>
      <c r="CX300" s="19"/>
      <c r="CY300" s="19"/>
      <c r="CZ300" s="19"/>
      <c r="DA300" s="19"/>
      <c r="DB300" s="19"/>
      <c r="DC300" s="19"/>
      <c r="DD300" s="19"/>
      <c r="DE300" s="19"/>
      <c r="DF300" s="19"/>
      <c r="DG300" s="19"/>
      <c r="DH300" s="19"/>
      <c r="DI300" s="19"/>
      <c r="DJ300" s="19"/>
      <c r="DK300" s="19"/>
      <c r="DL300" s="19"/>
      <c r="DM300" s="19"/>
      <c r="DN300" s="19"/>
      <c r="DO300" s="19"/>
      <c r="DP300" s="19"/>
      <c r="DQ300" s="19"/>
      <c r="DR300" s="19"/>
      <c r="DS300" s="19"/>
      <c r="DT300" s="19"/>
      <c r="DU300" s="19"/>
      <c r="DV300" s="19"/>
      <c r="DW300" s="19"/>
      <c r="DX300" s="19"/>
      <c r="DY300" s="19"/>
      <c r="DZ300" s="19"/>
      <c r="EA300" s="19"/>
      <c r="EB300" s="19"/>
      <c r="EC300" s="19"/>
      <c r="ED300" s="19"/>
      <c r="EE300" s="19"/>
      <c r="EF300" s="19"/>
      <c r="EG300" s="19"/>
      <c r="EH300" s="19"/>
      <c r="EI300" s="19"/>
      <c r="EJ300" s="19"/>
      <c r="EK300" s="19"/>
      <c r="EL300" s="19"/>
      <c r="EM300" s="19"/>
      <c r="EN300" s="19"/>
      <c r="EO300" s="19"/>
      <c r="EP300" s="17"/>
      <c r="EQ300" s="23"/>
      <c r="ER300" s="23" t="str">
        <f t="shared" si="7"/>
        <v/>
      </c>
      <c r="ES300" s="19"/>
      <c r="ET300" s="19" t="str">
        <f t="shared" si="8"/>
        <v/>
      </c>
      <c r="EU300" s="19"/>
      <c r="EV300" s="19"/>
      <c r="EW300" s="19"/>
      <c r="EX300" s="19"/>
      <c r="EY300" s="19"/>
      <c r="EZ300" s="19"/>
      <c r="FA300" s="19"/>
      <c r="FB300" s="19"/>
    </row>
    <row r="301" ht="15.75" customHeight="1">
      <c r="A301" s="19"/>
      <c r="F301" s="19"/>
      <c r="AH301" s="23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19"/>
      <c r="CW301" s="19"/>
      <c r="CX301" s="19"/>
      <c r="CY301" s="19"/>
      <c r="CZ301" s="19"/>
      <c r="DA301" s="19"/>
      <c r="DB301" s="19"/>
      <c r="DC301" s="19"/>
      <c r="DD301" s="19"/>
      <c r="DE301" s="19"/>
      <c r="DF301" s="19"/>
      <c r="DG301" s="19"/>
      <c r="DH301" s="19"/>
      <c r="DI301" s="19"/>
      <c r="DJ301" s="19"/>
      <c r="DK301" s="19"/>
      <c r="DL301" s="19"/>
      <c r="DM301" s="19"/>
      <c r="DN301" s="19"/>
      <c r="DO301" s="19"/>
      <c r="DP301" s="19"/>
      <c r="DQ301" s="19"/>
      <c r="DR301" s="19"/>
      <c r="DS301" s="19"/>
      <c r="DT301" s="19"/>
      <c r="DU301" s="19"/>
      <c r="DV301" s="19"/>
      <c r="DW301" s="19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7"/>
      <c r="EQ301" s="23"/>
      <c r="ER301" s="23" t="str">
        <f t="shared" si="7"/>
        <v/>
      </c>
      <c r="ES301" s="19"/>
      <c r="ET301" s="19" t="str">
        <f t="shared" si="8"/>
        <v/>
      </c>
      <c r="EU301" s="19"/>
      <c r="EV301" s="19"/>
      <c r="EW301" s="19"/>
      <c r="EX301" s="19"/>
      <c r="EY301" s="19"/>
      <c r="EZ301" s="19"/>
      <c r="FA301" s="19"/>
      <c r="FB301" s="19"/>
    </row>
    <row r="302" ht="15.75" customHeight="1">
      <c r="A302" s="19"/>
      <c r="F302" s="19"/>
      <c r="AH302" s="23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  <c r="CD302" s="19"/>
      <c r="CE302" s="19"/>
      <c r="CF302" s="19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19"/>
      <c r="CW302" s="19"/>
      <c r="CX302" s="19"/>
      <c r="CY302" s="19"/>
      <c r="CZ302" s="19"/>
      <c r="DA302" s="19"/>
      <c r="DB302" s="19"/>
      <c r="DC302" s="19"/>
      <c r="DD302" s="19"/>
      <c r="DE302" s="19"/>
      <c r="DF302" s="19"/>
      <c r="DG302" s="19"/>
      <c r="DH302" s="19"/>
      <c r="DI302" s="19"/>
      <c r="DJ302" s="19"/>
      <c r="DK302" s="19"/>
      <c r="DL302" s="19"/>
      <c r="DM302" s="19"/>
      <c r="DN302" s="19"/>
      <c r="DO302" s="19"/>
      <c r="DP302" s="19"/>
      <c r="DQ302" s="19"/>
      <c r="DR302" s="19"/>
      <c r="DS302" s="19"/>
      <c r="DT302" s="19"/>
      <c r="DU302" s="19"/>
      <c r="DV302" s="19"/>
      <c r="DW302" s="19"/>
      <c r="DX302" s="19"/>
      <c r="DY302" s="19"/>
      <c r="DZ302" s="19"/>
      <c r="EA302" s="19"/>
      <c r="EB302" s="19"/>
      <c r="EC302" s="19"/>
      <c r="ED302" s="19"/>
      <c r="EE302" s="19"/>
      <c r="EF302" s="19"/>
      <c r="EG302" s="19"/>
      <c r="EH302" s="19"/>
      <c r="EI302" s="19"/>
      <c r="EJ302" s="19"/>
      <c r="EK302" s="19"/>
      <c r="EL302" s="19"/>
      <c r="EM302" s="19"/>
      <c r="EN302" s="19"/>
      <c r="EO302" s="19"/>
      <c r="EP302" s="17"/>
      <c r="EQ302" s="23"/>
      <c r="ER302" s="23" t="str">
        <f t="shared" si="7"/>
        <v/>
      </c>
      <c r="ES302" s="19"/>
      <c r="ET302" s="19" t="str">
        <f t="shared" si="8"/>
        <v/>
      </c>
      <c r="EU302" s="19"/>
      <c r="EV302" s="19"/>
      <c r="EW302" s="19"/>
      <c r="EX302" s="19"/>
      <c r="EY302" s="19"/>
      <c r="EZ302" s="19"/>
      <c r="FA302" s="19"/>
      <c r="FB302" s="19"/>
    </row>
    <row r="303" ht="15.75" customHeight="1">
      <c r="A303" s="19"/>
      <c r="F303" s="19"/>
      <c r="AH303" s="23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7"/>
      <c r="EQ303" s="23"/>
      <c r="ER303" s="23" t="str">
        <f t="shared" si="7"/>
        <v/>
      </c>
      <c r="ES303" s="19"/>
      <c r="ET303" s="19" t="str">
        <f t="shared" si="8"/>
        <v/>
      </c>
      <c r="EU303" s="19"/>
      <c r="EV303" s="19"/>
      <c r="EW303" s="19"/>
      <c r="EX303" s="19"/>
      <c r="EY303" s="19"/>
      <c r="EZ303" s="19"/>
      <c r="FA303" s="19"/>
      <c r="FB303" s="19"/>
    </row>
    <row r="304" ht="15.75" customHeight="1">
      <c r="A304" s="19"/>
      <c r="F304" s="19"/>
      <c r="AH304" s="23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  <c r="CD304" s="19"/>
      <c r="CE304" s="19"/>
      <c r="CF304" s="19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19"/>
      <c r="CW304" s="19"/>
      <c r="CX304" s="19"/>
      <c r="CY304" s="19"/>
      <c r="CZ304" s="19"/>
      <c r="DA304" s="19"/>
      <c r="DB304" s="19"/>
      <c r="DC304" s="19"/>
      <c r="DD304" s="19"/>
      <c r="DE304" s="19"/>
      <c r="DF304" s="19"/>
      <c r="DG304" s="19"/>
      <c r="DH304" s="19"/>
      <c r="DI304" s="19"/>
      <c r="DJ304" s="19"/>
      <c r="DK304" s="19"/>
      <c r="DL304" s="19"/>
      <c r="DM304" s="19"/>
      <c r="DN304" s="19"/>
      <c r="DO304" s="19"/>
      <c r="DP304" s="19"/>
      <c r="DQ304" s="19"/>
      <c r="DR304" s="19"/>
      <c r="DS304" s="19"/>
      <c r="DT304" s="19"/>
      <c r="DU304" s="19"/>
      <c r="DV304" s="19"/>
      <c r="DW304" s="19"/>
      <c r="DX304" s="19"/>
      <c r="DY304" s="19"/>
      <c r="DZ304" s="19"/>
      <c r="EA304" s="19"/>
      <c r="EB304" s="19"/>
      <c r="EC304" s="19"/>
      <c r="ED304" s="19"/>
      <c r="EE304" s="19"/>
      <c r="EF304" s="19"/>
      <c r="EG304" s="19"/>
      <c r="EH304" s="19"/>
      <c r="EI304" s="19"/>
      <c r="EJ304" s="19"/>
      <c r="EK304" s="19"/>
      <c r="EL304" s="19"/>
      <c r="EM304" s="19"/>
      <c r="EN304" s="19"/>
      <c r="EO304" s="19"/>
      <c r="EP304" s="17"/>
      <c r="EQ304" s="23"/>
      <c r="ER304" s="23" t="str">
        <f t="shared" si="7"/>
        <v/>
      </c>
      <c r="ES304" s="19"/>
      <c r="ET304" s="19" t="str">
        <f t="shared" si="8"/>
        <v/>
      </c>
      <c r="EU304" s="19"/>
      <c r="EV304" s="19"/>
      <c r="EW304" s="19"/>
      <c r="EX304" s="19"/>
      <c r="EY304" s="19"/>
      <c r="EZ304" s="19"/>
      <c r="FA304" s="19"/>
      <c r="FB304" s="19"/>
    </row>
    <row r="305" ht="15.75" customHeight="1">
      <c r="A305" s="19"/>
      <c r="F305" s="19"/>
      <c r="AH305" s="23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  <c r="CD305" s="19"/>
      <c r="CE305" s="19"/>
      <c r="CF305" s="19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19"/>
      <c r="CW305" s="19"/>
      <c r="CX305" s="19"/>
      <c r="CY305" s="19"/>
      <c r="CZ305" s="19"/>
      <c r="DA305" s="19"/>
      <c r="DB305" s="19"/>
      <c r="DC305" s="19"/>
      <c r="DD305" s="19"/>
      <c r="DE305" s="19"/>
      <c r="DF305" s="19"/>
      <c r="DG305" s="19"/>
      <c r="DH305" s="19"/>
      <c r="DI305" s="19"/>
      <c r="DJ305" s="19"/>
      <c r="DK305" s="19"/>
      <c r="DL305" s="19"/>
      <c r="DM305" s="19"/>
      <c r="DN305" s="19"/>
      <c r="DO305" s="19"/>
      <c r="DP305" s="19"/>
      <c r="DQ305" s="19"/>
      <c r="DR305" s="19"/>
      <c r="DS305" s="19"/>
      <c r="DT305" s="19"/>
      <c r="DU305" s="19"/>
      <c r="DV305" s="19"/>
      <c r="DW305" s="19"/>
      <c r="DX305" s="19"/>
      <c r="DY305" s="19"/>
      <c r="DZ305" s="19"/>
      <c r="EA305" s="19"/>
      <c r="EB305" s="19"/>
      <c r="EC305" s="19"/>
      <c r="ED305" s="19"/>
      <c r="EE305" s="19"/>
      <c r="EF305" s="19"/>
      <c r="EG305" s="19"/>
      <c r="EH305" s="19"/>
      <c r="EI305" s="19"/>
      <c r="EJ305" s="19"/>
      <c r="EK305" s="19"/>
      <c r="EL305" s="19"/>
      <c r="EM305" s="19"/>
      <c r="EN305" s="19"/>
      <c r="EO305" s="19"/>
      <c r="EP305" s="17"/>
      <c r="EQ305" s="23"/>
      <c r="ER305" s="23" t="str">
        <f t="shared" si="7"/>
        <v/>
      </c>
      <c r="ES305" s="19"/>
      <c r="ET305" s="19" t="str">
        <f t="shared" si="8"/>
        <v/>
      </c>
      <c r="EU305" s="19"/>
      <c r="EV305" s="19"/>
      <c r="EW305" s="19"/>
      <c r="EX305" s="19"/>
      <c r="EY305" s="19"/>
      <c r="EZ305" s="19"/>
      <c r="FA305" s="19"/>
      <c r="FB305" s="19"/>
    </row>
    <row r="306" ht="15.75" customHeight="1">
      <c r="A306" s="19"/>
      <c r="F306" s="19"/>
      <c r="AH306" s="23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  <c r="CD306" s="19"/>
      <c r="CE306" s="19"/>
      <c r="CF306" s="19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19"/>
      <c r="CW306" s="19"/>
      <c r="CX306" s="19"/>
      <c r="CY306" s="19"/>
      <c r="CZ306" s="19"/>
      <c r="DA306" s="19"/>
      <c r="DB306" s="19"/>
      <c r="DC306" s="19"/>
      <c r="DD306" s="19"/>
      <c r="DE306" s="19"/>
      <c r="DF306" s="19"/>
      <c r="DG306" s="19"/>
      <c r="DH306" s="19"/>
      <c r="DI306" s="19"/>
      <c r="DJ306" s="19"/>
      <c r="DK306" s="19"/>
      <c r="DL306" s="19"/>
      <c r="DM306" s="19"/>
      <c r="DN306" s="19"/>
      <c r="DO306" s="19"/>
      <c r="DP306" s="19"/>
      <c r="DQ306" s="19"/>
      <c r="DR306" s="19"/>
      <c r="DS306" s="19"/>
      <c r="DT306" s="19"/>
      <c r="DU306" s="19"/>
      <c r="DV306" s="19"/>
      <c r="DW306" s="19"/>
      <c r="DX306" s="19"/>
      <c r="DY306" s="19"/>
      <c r="DZ306" s="19"/>
      <c r="EA306" s="19"/>
      <c r="EB306" s="19"/>
      <c r="EC306" s="19"/>
      <c r="ED306" s="19"/>
      <c r="EE306" s="19"/>
      <c r="EF306" s="19"/>
      <c r="EG306" s="19"/>
      <c r="EH306" s="19"/>
      <c r="EI306" s="19"/>
      <c r="EJ306" s="19"/>
      <c r="EK306" s="19"/>
      <c r="EL306" s="19"/>
      <c r="EM306" s="19"/>
      <c r="EN306" s="19"/>
      <c r="EO306" s="19"/>
      <c r="EP306" s="17"/>
      <c r="EQ306" s="23"/>
      <c r="ER306" s="23" t="str">
        <f t="shared" si="7"/>
        <v/>
      </c>
      <c r="ES306" s="19"/>
      <c r="ET306" s="19" t="str">
        <f t="shared" si="8"/>
        <v/>
      </c>
      <c r="EU306" s="19"/>
      <c r="EV306" s="19"/>
      <c r="EW306" s="19"/>
      <c r="EX306" s="19"/>
      <c r="EY306" s="19"/>
      <c r="EZ306" s="19"/>
      <c r="FA306" s="19"/>
      <c r="FB306" s="19"/>
    </row>
    <row r="307" ht="15.75" customHeight="1">
      <c r="A307" s="19"/>
      <c r="F307" s="19"/>
      <c r="AH307" s="23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  <c r="CD307" s="19"/>
      <c r="CE307" s="19"/>
      <c r="CF307" s="19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19"/>
      <c r="CW307" s="19"/>
      <c r="CX307" s="19"/>
      <c r="CY307" s="19"/>
      <c r="CZ307" s="19"/>
      <c r="DA307" s="19"/>
      <c r="DB307" s="19"/>
      <c r="DC307" s="19"/>
      <c r="DD307" s="19"/>
      <c r="DE307" s="19"/>
      <c r="DF307" s="19"/>
      <c r="DG307" s="19"/>
      <c r="DH307" s="19"/>
      <c r="DI307" s="19"/>
      <c r="DJ307" s="19"/>
      <c r="DK307" s="19"/>
      <c r="DL307" s="19"/>
      <c r="DM307" s="19"/>
      <c r="DN307" s="19"/>
      <c r="DO307" s="19"/>
      <c r="DP307" s="19"/>
      <c r="DQ307" s="19"/>
      <c r="DR307" s="19"/>
      <c r="DS307" s="19"/>
      <c r="DT307" s="19"/>
      <c r="DU307" s="19"/>
      <c r="DV307" s="19"/>
      <c r="DW307" s="19"/>
      <c r="DX307" s="19"/>
      <c r="DY307" s="19"/>
      <c r="DZ307" s="19"/>
      <c r="EA307" s="19"/>
      <c r="EB307" s="19"/>
      <c r="EC307" s="19"/>
      <c r="ED307" s="19"/>
      <c r="EE307" s="19"/>
      <c r="EF307" s="19"/>
      <c r="EG307" s="19"/>
      <c r="EH307" s="19"/>
      <c r="EI307" s="19"/>
      <c r="EJ307" s="19"/>
      <c r="EK307" s="19"/>
      <c r="EL307" s="19"/>
      <c r="EM307" s="19"/>
      <c r="EN307" s="19"/>
      <c r="EO307" s="19"/>
      <c r="EP307" s="17"/>
      <c r="EQ307" s="23"/>
      <c r="ER307" s="23" t="str">
        <f t="shared" si="7"/>
        <v/>
      </c>
      <c r="ES307" s="19"/>
      <c r="ET307" s="19" t="str">
        <f t="shared" si="8"/>
        <v/>
      </c>
      <c r="EU307" s="19"/>
      <c r="EV307" s="19"/>
      <c r="EW307" s="19"/>
      <c r="EX307" s="19"/>
      <c r="EY307" s="19"/>
      <c r="EZ307" s="19"/>
      <c r="FA307" s="19"/>
      <c r="FB307" s="19"/>
    </row>
    <row r="308" ht="15.75" customHeight="1">
      <c r="A308" s="19"/>
      <c r="F308" s="19"/>
      <c r="AH308" s="23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  <c r="CD308" s="19"/>
      <c r="CE308" s="19"/>
      <c r="CF308" s="19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19"/>
      <c r="CW308" s="19"/>
      <c r="CX308" s="19"/>
      <c r="CY308" s="19"/>
      <c r="CZ308" s="19"/>
      <c r="DA308" s="19"/>
      <c r="DB308" s="19"/>
      <c r="DC308" s="19"/>
      <c r="DD308" s="19"/>
      <c r="DE308" s="19"/>
      <c r="DF308" s="19"/>
      <c r="DG308" s="19"/>
      <c r="DH308" s="19"/>
      <c r="DI308" s="19"/>
      <c r="DJ308" s="19"/>
      <c r="DK308" s="19"/>
      <c r="DL308" s="19"/>
      <c r="DM308" s="19"/>
      <c r="DN308" s="19"/>
      <c r="DO308" s="19"/>
      <c r="DP308" s="19"/>
      <c r="DQ308" s="19"/>
      <c r="DR308" s="19"/>
      <c r="DS308" s="19"/>
      <c r="DT308" s="19"/>
      <c r="DU308" s="19"/>
      <c r="DV308" s="19"/>
      <c r="DW308" s="19"/>
      <c r="DX308" s="19"/>
      <c r="DY308" s="19"/>
      <c r="DZ308" s="19"/>
      <c r="EA308" s="19"/>
      <c r="EB308" s="19"/>
      <c r="EC308" s="19"/>
      <c r="ED308" s="19"/>
      <c r="EE308" s="19"/>
      <c r="EF308" s="19"/>
      <c r="EG308" s="19"/>
      <c r="EH308" s="19"/>
      <c r="EI308" s="19"/>
      <c r="EJ308" s="19"/>
      <c r="EK308" s="19"/>
      <c r="EL308" s="19"/>
      <c r="EM308" s="19"/>
      <c r="EN308" s="19"/>
      <c r="EO308" s="19"/>
      <c r="EP308" s="17"/>
      <c r="EQ308" s="23"/>
      <c r="ER308" s="23" t="str">
        <f t="shared" si="7"/>
        <v/>
      </c>
      <c r="ES308" s="19"/>
      <c r="ET308" s="19" t="str">
        <f t="shared" si="8"/>
        <v/>
      </c>
      <c r="EU308" s="19"/>
      <c r="EV308" s="19"/>
      <c r="EW308" s="19"/>
      <c r="EX308" s="19"/>
      <c r="EY308" s="19"/>
      <c r="EZ308" s="19"/>
      <c r="FA308" s="19"/>
      <c r="FB308" s="19"/>
    </row>
    <row r="309" ht="15.75" customHeight="1">
      <c r="A309" s="19"/>
      <c r="F309" s="19"/>
      <c r="AH309" s="23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  <c r="CD309" s="19"/>
      <c r="CE309" s="19"/>
      <c r="CF309" s="19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19"/>
      <c r="CW309" s="19"/>
      <c r="CX309" s="19"/>
      <c r="CY309" s="19"/>
      <c r="CZ309" s="19"/>
      <c r="DA309" s="19"/>
      <c r="DB309" s="19"/>
      <c r="DC309" s="19"/>
      <c r="DD309" s="19"/>
      <c r="DE309" s="19"/>
      <c r="DF309" s="19"/>
      <c r="DG309" s="19"/>
      <c r="DH309" s="19"/>
      <c r="DI309" s="19"/>
      <c r="DJ309" s="19"/>
      <c r="DK309" s="19"/>
      <c r="DL309" s="19"/>
      <c r="DM309" s="19"/>
      <c r="DN309" s="19"/>
      <c r="DO309" s="19"/>
      <c r="DP309" s="19"/>
      <c r="DQ309" s="19"/>
      <c r="DR309" s="19"/>
      <c r="DS309" s="19"/>
      <c r="DT309" s="19"/>
      <c r="DU309" s="19"/>
      <c r="DV309" s="19"/>
      <c r="DW309" s="19"/>
      <c r="DX309" s="19"/>
      <c r="DY309" s="19"/>
      <c r="DZ309" s="19"/>
      <c r="EA309" s="19"/>
      <c r="EB309" s="19"/>
      <c r="EC309" s="19"/>
      <c r="ED309" s="19"/>
      <c r="EE309" s="19"/>
      <c r="EF309" s="19"/>
      <c r="EG309" s="19"/>
      <c r="EH309" s="19"/>
      <c r="EI309" s="19"/>
      <c r="EJ309" s="19"/>
      <c r="EK309" s="19"/>
      <c r="EL309" s="19"/>
      <c r="EM309" s="19"/>
      <c r="EN309" s="19"/>
      <c r="EO309" s="19"/>
      <c r="EP309" s="17"/>
      <c r="EQ309" s="23"/>
      <c r="ER309" s="23" t="str">
        <f t="shared" si="7"/>
        <v/>
      </c>
      <c r="ES309" s="19"/>
      <c r="ET309" s="19" t="str">
        <f t="shared" si="8"/>
        <v/>
      </c>
      <c r="EU309" s="19"/>
      <c r="EV309" s="19"/>
      <c r="EW309" s="19"/>
      <c r="EX309" s="19"/>
      <c r="EY309" s="19"/>
      <c r="EZ309" s="19"/>
      <c r="FA309" s="19"/>
      <c r="FB309" s="19"/>
    </row>
    <row r="310" ht="15.75" customHeight="1">
      <c r="A310" s="19"/>
      <c r="F310" s="19"/>
      <c r="AH310" s="23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  <c r="CD310" s="19"/>
      <c r="CE310" s="19"/>
      <c r="CF310" s="19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19"/>
      <c r="CW310" s="19"/>
      <c r="CX310" s="19"/>
      <c r="CY310" s="19"/>
      <c r="CZ310" s="19"/>
      <c r="DA310" s="19"/>
      <c r="DB310" s="19"/>
      <c r="DC310" s="19"/>
      <c r="DD310" s="19"/>
      <c r="DE310" s="19"/>
      <c r="DF310" s="19"/>
      <c r="DG310" s="19"/>
      <c r="DH310" s="19"/>
      <c r="DI310" s="19"/>
      <c r="DJ310" s="19"/>
      <c r="DK310" s="19"/>
      <c r="DL310" s="19"/>
      <c r="DM310" s="19"/>
      <c r="DN310" s="19"/>
      <c r="DO310" s="19"/>
      <c r="DP310" s="19"/>
      <c r="DQ310" s="19"/>
      <c r="DR310" s="19"/>
      <c r="DS310" s="19"/>
      <c r="DT310" s="19"/>
      <c r="DU310" s="19"/>
      <c r="DV310" s="19"/>
      <c r="DW310" s="19"/>
      <c r="DX310" s="19"/>
      <c r="DY310" s="19"/>
      <c r="DZ310" s="19"/>
      <c r="EA310" s="19"/>
      <c r="EB310" s="19"/>
      <c r="EC310" s="19"/>
      <c r="ED310" s="19"/>
      <c r="EE310" s="19"/>
      <c r="EF310" s="19"/>
      <c r="EG310" s="19"/>
      <c r="EH310" s="19"/>
      <c r="EI310" s="19"/>
      <c r="EJ310" s="19"/>
      <c r="EK310" s="19"/>
      <c r="EL310" s="19"/>
      <c r="EM310" s="19"/>
      <c r="EN310" s="19"/>
      <c r="EO310" s="19"/>
      <c r="EP310" s="17"/>
      <c r="EQ310" s="23"/>
      <c r="ER310" s="23" t="str">
        <f t="shared" si="7"/>
        <v/>
      </c>
      <c r="ES310" s="19"/>
      <c r="ET310" s="19" t="str">
        <f t="shared" si="8"/>
        <v/>
      </c>
      <c r="EU310" s="19"/>
      <c r="EV310" s="19"/>
      <c r="EW310" s="19"/>
      <c r="EX310" s="19"/>
      <c r="EY310" s="19"/>
      <c r="EZ310" s="19"/>
      <c r="FA310" s="19"/>
      <c r="FB310" s="19"/>
    </row>
    <row r="311" ht="15.75" customHeight="1">
      <c r="A311" s="19"/>
      <c r="F311" s="19"/>
      <c r="AH311" s="23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  <c r="CD311" s="19"/>
      <c r="CE311" s="19"/>
      <c r="CF311" s="19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19"/>
      <c r="CW311" s="19"/>
      <c r="CX311" s="19"/>
      <c r="CY311" s="19"/>
      <c r="CZ311" s="19"/>
      <c r="DA311" s="19"/>
      <c r="DB311" s="19"/>
      <c r="DC311" s="19"/>
      <c r="DD311" s="19"/>
      <c r="DE311" s="19"/>
      <c r="DF311" s="19"/>
      <c r="DG311" s="19"/>
      <c r="DH311" s="19"/>
      <c r="DI311" s="19"/>
      <c r="DJ311" s="19"/>
      <c r="DK311" s="19"/>
      <c r="DL311" s="19"/>
      <c r="DM311" s="19"/>
      <c r="DN311" s="19"/>
      <c r="DO311" s="19"/>
      <c r="DP311" s="19"/>
      <c r="DQ311" s="19"/>
      <c r="DR311" s="19"/>
      <c r="DS311" s="19"/>
      <c r="DT311" s="19"/>
      <c r="DU311" s="19"/>
      <c r="DV311" s="19"/>
      <c r="DW311" s="19"/>
      <c r="DX311" s="19"/>
      <c r="DY311" s="19"/>
      <c r="DZ311" s="19"/>
      <c r="EA311" s="19"/>
      <c r="EB311" s="19"/>
      <c r="EC311" s="19"/>
      <c r="ED311" s="19"/>
      <c r="EE311" s="19"/>
      <c r="EF311" s="19"/>
      <c r="EG311" s="19"/>
      <c r="EH311" s="19"/>
      <c r="EI311" s="19"/>
      <c r="EJ311" s="19"/>
      <c r="EK311" s="19"/>
      <c r="EL311" s="19"/>
      <c r="EM311" s="19"/>
      <c r="EN311" s="19"/>
      <c r="EO311" s="19"/>
      <c r="EP311" s="17"/>
      <c r="EQ311" s="23"/>
      <c r="ER311" s="23" t="str">
        <f t="shared" si="7"/>
        <v/>
      </c>
      <c r="ES311" s="19"/>
      <c r="ET311" s="19" t="str">
        <f t="shared" si="8"/>
        <v/>
      </c>
      <c r="EU311" s="19"/>
      <c r="EV311" s="19"/>
      <c r="EW311" s="19"/>
      <c r="EX311" s="19"/>
      <c r="EY311" s="19"/>
      <c r="EZ311" s="19"/>
      <c r="FA311" s="19"/>
      <c r="FB311" s="19"/>
    </row>
    <row r="312" ht="15.75" customHeight="1">
      <c r="A312" s="19"/>
      <c r="F312" s="19"/>
      <c r="AH312" s="23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  <c r="CD312" s="19"/>
      <c r="CE312" s="19"/>
      <c r="CF312" s="19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19"/>
      <c r="CW312" s="19"/>
      <c r="CX312" s="19"/>
      <c r="CY312" s="19"/>
      <c r="CZ312" s="19"/>
      <c r="DA312" s="19"/>
      <c r="DB312" s="19"/>
      <c r="DC312" s="19"/>
      <c r="DD312" s="19"/>
      <c r="DE312" s="19"/>
      <c r="DF312" s="19"/>
      <c r="DG312" s="19"/>
      <c r="DH312" s="19"/>
      <c r="DI312" s="19"/>
      <c r="DJ312" s="19"/>
      <c r="DK312" s="19"/>
      <c r="DL312" s="19"/>
      <c r="DM312" s="19"/>
      <c r="DN312" s="19"/>
      <c r="DO312" s="19"/>
      <c r="DP312" s="19"/>
      <c r="DQ312" s="19"/>
      <c r="DR312" s="19"/>
      <c r="DS312" s="19"/>
      <c r="DT312" s="19"/>
      <c r="DU312" s="19"/>
      <c r="DV312" s="19"/>
      <c r="DW312" s="19"/>
      <c r="DX312" s="19"/>
      <c r="DY312" s="19"/>
      <c r="DZ312" s="19"/>
      <c r="EA312" s="19"/>
      <c r="EB312" s="19"/>
      <c r="EC312" s="19"/>
      <c r="ED312" s="19"/>
      <c r="EE312" s="19"/>
      <c r="EF312" s="19"/>
      <c r="EG312" s="19"/>
      <c r="EH312" s="19"/>
      <c r="EI312" s="19"/>
      <c r="EJ312" s="19"/>
      <c r="EK312" s="19"/>
      <c r="EL312" s="19"/>
      <c r="EM312" s="19"/>
      <c r="EN312" s="19"/>
      <c r="EO312" s="19"/>
      <c r="EP312" s="17"/>
      <c r="EQ312" s="23"/>
      <c r="ER312" s="23" t="str">
        <f t="shared" si="7"/>
        <v/>
      </c>
      <c r="ES312" s="19"/>
      <c r="ET312" s="19" t="str">
        <f t="shared" si="8"/>
        <v/>
      </c>
      <c r="EU312" s="19"/>
      <c r="EV312" s="19"/>
      <c r="EW312" s="19"/>
      <c r="EX312" s="19"/>
      <c r="EY312" s="19"/>
      <c r="EZ312" s="19"/>
      <c r="FA312" s="19"/>
      <c r="FB312" s="19"/>
    </row>
    <row r="313" ht="15.75" customHeight="1">
      <c r="A313" s="19"/>
      <c r="F313" s="19"/>
      <c r="AH313" s="23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  <c r="CD313" s="19"/>
      <c r="CE313" s="19"/>
      <c r="CF313" s="19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19"/>
      <c r="CW313" s="19"/>
      <c r="CX313" s="19"/>
      <c r="CY313" s="19"/>
      <c r="CZ313" s="19"/>
      <c r="DA313" s="19"/>
      <c r="DB313" s="19"/>
      <c r="DC313" s="19"/>
      <c r="DD313" s="19"/>
      <c r="DE313" s="19"/>
      <c r="DF313" s="19"/>
      <c r="DG313" s="19"/>
      <c r="DH313" s="19"/>
      <c r="DI313" s="19"/>
      <c r="DJ313" s="19"/>
      <c r="DK313" s="19"/>
      <c r="DL313" s="19"/>
      <c r="DM313" s="19"/>
      <c r="DN313" s="19"/>
      <c r="DO313" s="19"/>
      <c r="DP313" s="19"/>
      <c r="DQ313" s="19"/>
      <c r="DR313" s="19"/>
      <c r="DS313" s="19"/>
      <c r="DT313" s="19"/>
      <c r="DU313" s="19"/>
      <c r="DV313" s="19"/>
      <c r="DW313" s="19"/>
      <c r="DX313" s="19"/>
      <c r="DY313" s="19"/>
      <c r="DZ313" s="19"/>
      <c r="EA313" s="19"/>
      <c r="EB313" s="19"/>
      <c r="EC313" s="19"/>
      <c r="ED313" s="19"/>
      <c r="EE313" s="19"/>
      <c r="EF313" s="19"/>
      <c r="EG313" s="19"/>
      <c r="EH313" s="19"/>
      <c r="EI313" s="19"/>
      <c r="EJ313" s="19"/>
      <c r="EK313" s="19"/>
      <c r="EL313" s="19"/>
      <c r="EM313" s="19"/>
      <c r="EN313" s="19"/>
      <c r="EO313" s="19"/>
      <c r="EP313" s="17"/>
      <c r="EQ313" s="23"/>
      <c r="ER313" s="23" t="str">
        <f t="shared" si="7"/>
        <v/>
      </c>
      <c r="ES313" s="19"/>
      <c r="ET313" s="19" t="str">
        <f t="shared" si="8"/>
        <v/>
      </c>
      <c r="EU313" s="19"/>
      <c r="EV313" s="19"/>
      <c r="EW313" s="19"/>
      <c r="EX313" s="19"/>
      <c r="EY313" s="19"/>
      <c r="EZ313" s="19"/>
      <c r="FA313" s="19"/>
      <c r="FB313" s="19"/>
    </row>
    <row r="314" ht="15.75" customHeight="1">
      <c r="A314" s="19"/>
      <c r="F314" s="19"/>
      <c r="AH314" s="23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7"/>
      <c r="EQ314" s="23"/>
      <c r="ER314" s="23" t="str">
        <f t="shared" si="7"/>
        <v/>
      </c>
      <c r="ES314" s="19"/>
      <c r="ET314" s="19" t="str">
        <f t="shared" si="8"/>
        <v/>
      </c>
      <c r="EU314" s="19"/>
      <c r="EV314" s="19"/>
      <c r="EW314" s="19"/>
      <c r="EX314" s="19"/>
      <c r="EY314" s="19"/>
      <c r="EZ314" s="19"/>
      <c r="FA314" s="19"/>
      <c r="FB314" s="19"/>
    </row>
    <row r="315" ht="15.75" customHeight="1">
      <c r="A315" s="19"/>
      <c r="F315" s="19"/>
      <c r="AH315" s="23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  <c r="CD315" s="19"/>
      <c r="CE315" s="19"/>
      <c r="CF315" s="19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19"/>
      <c r="CW315" s="19"/>
      <c r="CX315" s="19"/>
      <c r="CY315" s="19"/>
      <c r="CZ315" s="19"/>
      <c r="DA315" s="19"/>
      <c r="DB315" s="19"/>
      <c r="DC315" s="19"/>
      <c r="DD315" s="19"/>
      <c r="DE315" s="19"/>
      <c r="DF315" s="19"/>
      <c r="DG315" s="19"/>
      <c r="DH315" s="19"/>
      <c r="DI315" s="19"/>
      <c r="DJ315" s="19"/>
      <c r="DK315" s="19"/>
      <c r="DL315" s="19"/>
      <c r="DM315" s="19"/>
      <c r="DN315" s="19"/>
      <c r="DO315" s="19"/>
      <c r="DP315" s="19"/>
      <c r="DQ315" s="19"/>
      <c r="DR315" s="19"/>
      <c r="DS315" s="19"/>
      <c r="DT315" s="19"/>
      <c r="DU315" s="19"/>
      <c r="DV315" s="19"/>
      <c r="DW315" s="19"/>
      <c r="DX315" s="19"/>
      <c r="DY315" s="19"/>
      <c r="DZ315" s="19"/>
      <c r="EA315" s="19"/>
      <c r="EB315" s="19"/>
      <c r="EC315" s="19"/>
      <c r="ED315" s="19"/>
      <c r="EE315" s="19"/>
      <c r="EF315" s="19"/>
      <c r="EG315" s="19"/>
      <c r="EH315" s="19"/>
      <c r="EI315" s="19"/>
      <c r="EJ315" s="19"/>
      <c r="EK315" s="19"/>
      <c r="EL315" s="19"/>
      <c r="EM315" s="19"/>
      <c r="EN315" s="19"/>
      <c r="EO315" s="19"/>
      <c r="EP315" s="17"/>
      <c r="EQ315" s="23"/>
      <c r="ER315" s="23" t="str">
        <f t="shared" si="7"/>
        <v/>
      </c>
      <c r="ES315" s="19"/>
      <c r="ET315" s="19" t="str">
        <f t="shared" si="8"/>
        <v/>
      </c>
      <c r="EU315" s="19"/>
      <c r="EV315" s="19"/>
      <c r="EW315" s="19"/>
      <c r="EX315" s="19"/>
      <c r="EY315" s="19"/>
      <c r="EZ315" s="19"/>
      <c r="FA315" s="19"/>
      <c r="FB315" s="19"/>
    </row>
    <row r="316" ht="15.75" customHeight="1">
      <c r="A316" s="19"/>
      <c r="F316" s="19"/>
      <c r="AH316" s="23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  <c r="CD316" s="19"/>
      <c r="CE316" s="19"/>
      <c r="CF316" s="19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19"/>
      <c r="CW316" s="19"/>
      <c r="CX316" s="19"/>
      <c r="CY316" s="19"/>
      <c r="CZ316" s="19"/>
      <c r="DA316" s="19"/>
      <c r="DB316" s="19"/>
      <c r="DC316" s="19"/>
      <c r="DD316" s="19"/>
      <c r="DE316" s="19"/>
      <c r="DF316" s="19"/>
      <c r="DG316" s="19"/>
      <c r="DH316" s="19"/>
      <c r="DI316" s="19"/>
      <c r="DJ316" s="19"/>
      <c r="DK316" s="19"/>
      <c r="DL316" s="19"/>
      <c r="DM316" s="19"/>
      <c r="DN316" s="19"/>
      <c r="DO316" s="19"/>
      <c r="DP316" s="19"/>
      <c r="DQ316" s="19"/>
      <c r="DR316" s="19"/>
      <c r="DS316" s="19"/>
      <c r="DT316" s="19"/>
      <c r="DU316" s="19"/>
      <c r="DV316" s="19"/>
      <c r="DW316" s="19"/>
      <c r="DX316" s="19"/>
      <c r="DY316" s="19"/>
      <c r="DZ316" s="19"/>
      <c r="EA316" s="19"/>
      <c r="EB316" s="19"/>
      <c r="EC316" s="19"/>
      <c r="ED316" s="19"/>
      <c r="EE316" s="19"/>
      <c r="EF316" s="19"/>
      <c r="EG316" s="19"/>
      <c r="EH316" s="19"/>
      <c r="EI316" s="19"/>
      <c r="EJ316" s="19"/>
      <c r="EK316" s="19"/>
      <c r="EL316" s="19"/>
      <c r="EM316" s="19"/>
      <c r="EN316" s="19"/>
      <c r="EO316" s="19"/>
      <c r="EP316" s="17"/>
      <c r="EQ316" s="23"/>
      <c r="ER316" s="23" t="str">
        <f t="shared" si="7"/>
        <v/>
      </c>
      <c r="ES316" s="19"/>
      <c r="ET316" s="19" t="str">
        <f t="shared" si="8"/>
        <v/>
      </c>
      <c r="EU316" s="19"/>
      <c r="EV316" s="19"/>
      <c r="EW316" s="19"/>
      <c r="EX316" s="19"/>
      <c r="EY316" s="19"/>
      <c r="EZ316" s="19"/>
      <c r="FA316" s="19"/>
      <c r="FB316" s="19"/>
    </row>
    <row r="317" ht="15.75" customHeight="1">
      <c r="A317" s="19"/>
      <c r="F317" s="19"/>
      <c r="AH317" s="23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  <c r="CD317" s="19"/>
      <c r="CE317" s="19"/>
      <c r="CF317" s="19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19"/>
      <c r="CW317" s="19"/>
      <c r="CX317" s="19"/>
      <c r="CY317" s="19"/>
      <c r="CZ317" s="19"/>
      <c r="DA317" s="19"/>
      <c r="DB317" s="19"/>
      <c r="DC317" s="19"/>
      <c r="DD317" s="19"/>
      <c r="DE317" s="19"/>
      <c r="DF317" s="19"/>
      <c r="DG317" s="19"/>
      <c r="DH317" s="19"/>
      <c r="DI317" s="19"/>
      <c r="DJ317" s="19"/>
      <c r="DK317" s="19"/>
      <c r="DL317" s="19"/>
      <c r="DM317" s="19"/>
      <c r="DN317" s="19"/>
      <c r="DO317" s="19"/>
      <c r="DP317" s="19"/>
      <c r="DQ317" s="19"/>
      <c r="DR317" s="19"/>
      <c r="DS317" s="19"/>
      <c r="DT317" s="19"/>
      <c r="DU317" s="19"/>
      <c r="DV317" s="19"/>
      <c r="DW317" s="19"/>
      <c r="DX317" s="19"/>
      <c r="DY317" s="19"/>
      <c r="DZ317" s="19"/>
      <c r="EA317" s="19"/>
      <c r="EB317" s="19"/>
      <c r="EC317" s="19"/>
      <c r="ED317" s="19"/>
      <c r="EE317" s="19"/>
      <c r="EF317" s="19"/>
      <c r="EG317" s="19"/>
      <c r="EH317" s="19"/>
      <c r="EI317" s="19"/>
      <c r="EJ317" s="19"/>
      <c r="EK317" s="19"/>
      <c r="EL317" s="19"/>
      <c r="EM317" s="19"/>
      <c r="EN317" s="19"/>
      <c r="EO317" s="19"/>
      <c r="EP317" s="17"/>
      <c r="EQ317" s="23"/>
      <c r="ER317" s="23" t="str">
        <f t="shared" si="7"/>
        <v/>
      </c>
      <c r="ES317" s="19"/>
      <c r="ET317" s="19" t="str">
        <f t="shared" si="8"/>
        <v/>
      </c>
      <c r="EU317" s="19"/>
      <c r="EV317" s="19"/>
      <c r="EW317" s="19"/>
      <c r="EX317" s="19"/>
      <c r="EY317" s="19"/>
      <c r="EZ317" s="19"/>
      <c r="FA317" s="19"/>
      <c r="FB317" s="19"/>
    </row>
    <row r="318" ht="15.75" customHeight="1">
      <c r="A318" s="19"/>
      <c r="F318" s="19"/>
      <c r="AH318" s="23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  <c r="CD318" s="19"/>
      <c r="CE318" s="19"/>
      <c r="CF318" s="19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19"/>
      <c r="CW318" s="19"/>
      <c r="CX318" s="19"/>
      <c r="CY318" s="19"/>
      <c r="CZ318" s="19"/>
      <c r="DA318" s="19"/>
      <c r="DB318" s="19"/>
      <c r="DC318" s="19"/>
      <c r="DD318" s="19"/>
      <c r="DE318" s="19"/>
      <c r="DF318" s="19"/>
      <c r="DG318" s="19"/>
      <c r="DH318" s="19"/>
      <c r="DI318" s="19"/>
      <c r="DJ318" s="19"/>
      <c r="DK318" s="19"/>
      <c r="DL318" s="19"/>
      <c r="DM318" s="19"/>
      <c r="DN318" s="19"/>
      <c r="DO318" s="19"/>
      <c r="DP318" s="19"/>
      <c r="DQ318" s="19"/>
      <c r="DR318" s="19"/>
      <c r="DS318" s="19"/>
      <c r="DT318" s="19"/>
      <c r="DU318" s="19"/>
      <c r="DV318" s="19"/>
      <c r="DW318" s="19"/>
      <c r="DX318" s="19"/>
      <c r="DY318" s="19"/>
      <c r="DZ318" s="19"/>
      <c r="EA318" s="19"/>
      <c r="EB318" s="19"/>
      <c r="EC318" s="19"/>
      <c r="ED318" s="19"/>
      <c r="EE318" s="19"/>
      <c r="EF318" s="19"/>
      <c r="EG318" s="19"/>
      <c r="EH318" s="19"/>
      <c r="EI318" s="19"/>
      <c r="EJ318" s="19"/>
      <c r="EK318" s="19"/>
      <c r="EL318" s="19"/>
      <c r="EM318" s="19"/>
      <c r="EN318" s="19"/>
      <c r="EO318" s="19"/>
      <c r="EP318" s="17"/>
      <c r="EQ318" s="23"/>
      <c r="ER318" s="23" t="str">
        <f t="shared" si="7"/>
        <v/>
      </c>
      <c r="ES318" s="19"/>
      <c r="ET318" s="19" t="str">
        <f t="shared" si="8"/>
        <v/>
      </c>
      <c r="EU318" s="19"/>
      <c r="EV318" s="19"/>
      <c r="EW318" s="19"/>
      <c r="EX318" s="19"/>
      <c r="EY318" s="19"/>
      <c r="EZ318" s="19"/>
      <c r="FA318" s="19"/>
      <c r="FB318" s="19"/>
    </row>
    <row r="319" ht="15.75" customHeight="1">
      <c r="A319" s="19"/>
      <c r="F319" s="19"/>
      <c r="AH319" s="23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  <c r="CD319" s="19"/>
      <c r="CE319" s="19"/>
      <c r="CF319" s="19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19"/>
      <c r="CW319" s="19"/>
      <c r="CX319" s="19"/>
      <c r="CY319" s="19"/>
      <c r="CZ319" s="19"/>
      <c r="DA319" s="19"/>
      <c r="DB319" s="19"/>
      <c r="DC319" s="19"/>
      <c r="DD319" s="19"/>
      <c r="DE319" s="19"/>
      <c r="DF319" s="19"/>
      <c r="DG319" s="19"/>
      <c r="DH319" s="19"/>
      <c r="DI319" s="19"/>
      <c r="DJ319" s="19"/>
      <c r="DK319" s="19"/>
      <c r="DL319" s="19"/>
      <c r="DM319" s="19"/>
      <c r="DN319" s="19"/>
      <c r="DO319" s="19"/>
      <c r="DP319" s="19"/>
      <c r="DQ319" s="19"/>
      <c r="DR319" s="19"/>
      <c r="DS319" s="19"/>
      <c r="DT319" s="19"/>
      <c r="DU319" s="19"/>
      <c r="DV319" s="19"/>
      <c r="DW319" s="19"/>
      <c r="DX319" s="19"/>
      <c r="DY319" s="19"/>
      <c r="DZ319" s="19"/>
      <c r="EA319" s="19"/>
      <c r="EB319" s="19"/>
      <c r="EC319" s="19"/>
      <c r="ED319" s="19"/>
      <c r="EE319" s="19"/>
      <c r="EF319" s="19"/>
      <c r="EG319" s="19"/>
      <c r="EH319" s="19"/>
      <c r="EI319" s="19"/>
      <c r="EJ319" s="19"/>
      <c r="EK319" s="19"/>
      <c r="EL319" s="19"/>
      <c r="EM319" s="19"/>
      <c r="EN319" s="19"/>
      <c r="EO319" s="19"/>
      <c r="EP319" s="17"/>
      <c r="EQ319" s="23"/>
      <c r="ER319" s="23" t="str">
        <f t="shared" si="7"/>
        <v/>
      </c>
      <c r="ES319" s="19"/>
      <c r="ET319" s="19" t="str">
        <f t="shared" si="8"/>
        <v/>
      </c>
      <c r="EU319" s="19"/>
      <c r="EV319" s="19"/>
      <c r="EW319" s="19"/>
      <c r="EX319" s="19"/>
      <c r="EY319" s="19"/>
      <c r="EZ319" s="19"/>
      <c r="FA319" s="19"/>
      <c r="FB319" s="19"/>
    </row>
    <row r="320" ht="15.75" customHeight="1">
      <c r="A320" s="19"/>
      <c r="F320" s="19"/>
      <c r="AH320" s="23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  <c r="CD320" s="19"/>
      <c r="CE320" s="19"/>
      <c r="CF320" s="19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19"/>
      <c r="CW320" s="19"/>
      <c r="CX320" s="19"/>
      <c r="CY320" s="19"/>
      <c r="CZ320" s="19"/>
      <c r="DA320" s="19"/>
      <c r="DB320" s="19"/>
      <c r="DC320" s="19"/>
      <c r="DD320" s="19"/>
      <c r="DE320" s="19"/>
      <c r="DF320" s="19"/>
      <c r="DG320" s="19"/>
      <c r="DH320" s="19"/>
      <c r="DI320" s="19"/>
      <c r="DJ320" s="19"/>
      <c r="DK320" s="19"/>
      <c r="DL320" s="19"/>
      <c r="DM320" s="19"/>
      <c r="DN320" s="19"/>
      <c r="DO320" s="19"/>
      <c r="DP320" s="19"/>
      <c r="DQ320" s="19"/>
      <c r="DR320" s="19"/>
      <c r="DS320" s="19"/>
      <c r="DT320" s="19"/>
      <c r="DU320" s="19"/>
      <c r="DV320" s="19"/>
      <c r="DW320" s="19"/>
      <c r="DX320" s="19"/>
      <c r="DY320" s="19"/>
      <c r="DZ320" s="19"/>
      <c r="EA320" s="19"/>
      <c r="EB320" s="19"/>
      <c r="EC320" s="19"/>
      <c r="ED320" s="19"/>
      <c r="EE320" s="19"/>
      <c r="EF320" s="19"/>
      <c r="EG320" s="19"/>
      <c r="EH320" s="19"/>
      <c r="EI320" s="19"/>
      <c r="EJ320" s="19"/>
      <c r="EK320" s="19"/>
      <c r="EL320" s="19"/>
      <c r="EM320" s="19"/>
      <c r="EN320" s="19"/>
      <c r="EO320" s="19"/>
      <c r="EP320" s="17"/>
      <c r="EQ320" s="23"/>
      <c r="ER320" s="23" t="str">
        <f t="shared" si="7"/>
        <v/>
      </c>
      <c r="ES320" s="19"/>
      <c r="ET320" s="19" t="str">
        <f t="shared" si="8"/>
        <v/>
      </c>
      <c r="EU320" s="19"/>
      <c r="EV320" s="19"/>
      <c r="EW320" s="19"/>
      <c r="EX320" s="19"/>
      <c r="EY320" s="19"/>
      <c r="EZ320" s="19"/>
      <c r="FA320" s="19"/>
      <c r="FB320" s="19"/>
    </row>
    <row r="321" ht="15.75" customHeight="1">
      <c r="A321" s="19"/>
      <c r="F321" s="19"/>
      <c r="AH321" s="23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  <c r="CD321" s="19"/>
      <c r="CE321" s="19"/>
      <c r="CF321" s="19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19"/>
      <c r="CW321" s="19"/>
      <c r="CX321" s="19"/>
      <c r="CY321" s="19"/>
      <c r="CZ321" s="19"/>
      <c r="DA321" s="19"/>
      <c r="DB321" s="19"/>
      <c r="DC321" s="19"/>
      <c r="DD321" s="19"/>
      <c r="DE321" s="19"/>
      <c r="DF321" s="19"/>
      <c r="DG321" s="19"/>
      <c r="DH321" s="19"/>
      <c r="DI321" s="19"/>
      <c r="DJ321" s="19"/>
      <c r="DK321" s="19"/>
      <c r="DL321" s="19"/>
      <c r="DM321" s="19"/>
      <c r="DN321" s="19"/>
      <c r="DO321" s="19"/>
      <c r="DP321" s="19"/>
      <c r="DQ321" s="19"/>
      <c r="DR321" s="19"/>
      <c r="DS321" s="19"/>
      <c r="DT321" s="19"/>
      <c r="DU321" s="19"/>
      <c r="DV321" s="19"/>
      <c r="DW321" s="19"/>
      <c r="DX321" s="19"/>
      <c r="DY321" s="19"/>
      <c r="DZ321" s="19"/>
      <c r="EA321" s="19"/>
      <c r="EB321" s="19"/>
      <c r="EC321" s="19"/>
      <c r="ED321" s="19"/>
      <c r="EE321" s="19"/>
      <c r="EF321" s="19"/>
      <c r="EG321" s="19"/>
      <c r="EH321" s="19"/>
      <c r="EI321" s="19"/>
      <c r="EJ321" s="19"/>
      <c r="EK321" s="19"/>
      <c r="EL321" s="19"/>
      <c r="EM321" s="19"/>
      <c r="EN321" s="19"/>
      <c r="EO321" s="19"/>
      <c r="EP321" s="17"/>
      <c r="EQ321" s="23"/>
      <c r="ER321" s="23" t="str">
        <f t="shared" si="7"/>
        <v/>
      </c>
      <c r="ES321" s="19"/>
      <c r="ET321" s="19" t="str">
        <f t="shared" si="8"/>
        <v/>
      </c>
      <c r="EU321" s="19"/>
      <c r="EV321" s="19"/>
      <c r="EW321" s="19"/>
      <c r="EX321" s="19"/>
      <c r="EY321" s="19"/>
      <c r="EZ321" s="19"/>
      <c r="FA321" s="19"/>
      <c r="FB321" s="19"/>
    </row>
    <row r="322" ht="15.75" customHeight="1">
      <c r="A322" s="19"/>
      <c r="F322" s="19"/>
      <c r="AH322" s="23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  <c r="CD322" s="19"/>
      <c r="CE322" s="19"/>
      <c r="CF322" s="19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19"/>
      <c r="CW322" s="19"/>
      <c r="CX322" s="19"/>
      <c r="CY322" s="19"/>
      <c r="CZ322" s="19"/>
      <c r="DA322" s="19"/>
      <c r="DB322" s="19"/>
      <c r="DC322" s="19"/>
      <c r="DD322" s="19"/>
      <c r="DE322" s="19"/>
      <c r="DF322" s="19"/>
      <c r="DG322" s="19"/>
      <c r="DH322" s="19"/>
      <c r="DI322" s="19"/>
      <c r="DJ322" s="19"/>
      <c r="DK322" s="19"/>
      <c r="DL322" s="19"/>
      <c r="DM322" s="19"/>
      <c r="DN322" s="19"/>
      <c r="DO322" s="19"/>
      <c r="DP322" s="19"/>
      <c r="DQ322" s="19"/>
      <c r="DR322" s="19"/>
      <c r="DS322" s="19"/>
      <c r="DT322" s="19"/>
      <c r="DU322" s="19"/>
      <c r="DV322" s="19"/>
      <c r="DW322" s="19"/>
      <c r="DX322" s="19"/>
      <c r="DY322" s="19"/>
      <c r="DZ322" s="19"/>
      <c r="EA322" s="19"/>
      <c r="EB322" s="19"/>
      <c r="EC322" s="19"/>
      <c r="ED322" s="19"/>
      <c r="EE322" s="19"/>
      <c r="EF322" s="19"/>
      <c r="EG322" s="19"/>
      <c r="EH322" s="19"/>
      <c r="EI322" s="19"/>
      <c r="EJ322" s="19"/>
      <c r="EK322" s="19"/>
      <c r="EL322" s="19"/>
      <c r="EM322" s="19"/>
      <c r="EN322" s="19"/>
      <c r="EO322" s="19"/>
      <c r="EP322" s="17"/>
      <c r="EQ322" s="23"/>
      <c r="ER322" s="23" t="str">
        <f t="shared" si="7"/>
        <v/>
      </c>
      <c r="ES322" s="19"/>
      <c r="ET322" s="19" t="str">
        <f t="shared" si="8"/>
        <v/>
      </c>
      <c r="EU322" s="19"/>
      <c r="EV322" s="19"/>
      <c r="EW322" s="19"/>
      <c r="EX322" s="19"/>
      <c r="EY322" s="19"/>
      <c r="EZ322" s="19"/>
      <c r="FA322" s="19"/>
      <c r="FB322" s="19"/>
    </row>
    <row r="323" ht="15.75" customHeight="1">
      <c r="A323" s="19"/>
      <c r="F323" s="19"/>
      <c r="AH323" s="23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  <c r="CD323" s="19"/>
      <c r="CE323" s="19"/>
      <c r="CF323" s="19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19"/>
      <c r="CW323" s="19"/>
      <c r="CX323" s="19"/>
      <c r="CY323" s="19"/>
      <c r="CZ323" s="19"/>
      <c r="DA323" s="19"/>
      <c r="DB323" s="19"/>
      <c r="DC323" s="19"/>
      <c r="DD323" s="19"/>
      <c r="DE323" s="19"/>
      <c r="DF323" s="19"/>
      <c r="DG323" s="19"/>
      <c r="DH323" s="19"/>
      <c r="DI323" s="19"/>
      <c r="DJ323" s="19"/>
      <c r="DK323" s="19"/>
      <c r="DL323" s="19"/>
      <c r="DM323" s="19"/>
      <c r="DN323" s="19"/>
      <c r="DO323" s="19"/>
      <c r="DP323" s="19"/>
      <c r="DQ323" s="19"/>
      <c r="DR323" s="19"/>
      <c r="DS323" s="19"/>
      <c r="DT323" s="19"/>
      <c r="DU323" s="19"/>
      <c r="DV323" s="19"/>
      <c r="DW323" s="19"/>
      <c r="DX323" s="19"/>
      <c r="DY323" s="19"/>
      <c r="DZ323" s="19"/>
      <c r="EA323" s="19"/>
      <c r="EB323" s="19"/>
      <c r="EC323" s="19"/>
      <c r="ED323" s="19"/>
      <c r="EE323" s="19"/>
      <c r="EF323" s="19"/>
      <c r="EG323" s="19"/>
      <c r="EH323" s="19"/>
      <c r="EI323" s="19"/>
      <c r="EJ323" s="19"/>
      <c r="EK323" s="19"/>
      <c r="EL323" s="19"/>
      <c r="EM323" s="19"/>
      <c r="EN323" s="19"/>
      <c r="EO323" s="19"/>
      <c r="EP323" s="17"/>
      <c r="EQ323" s="23"/>
      <c r="ER323" s="23" t="str">
        <f t="shared" si="7"/>
        <v/>
      </c>
      <c r="ES323" s="19"/>
      <c r="ET323" s="19" t="str">
        <f t="shared" si="8"/>
        <v/>
      </c>
      <c r="EU323" s="19"/>
      <c r="EV323" s="19"/>
      <c r="EW323" s="19"/>
      <c r="EX323" s="19"/>
      <c r="EY323" s="19"/>
      <c r="EZ323" s="19"/>
      <c r="FA323" s="19"/>
      <c r="FB323" s="19"/>
    </row>
    <row r="324" ht="15.75" customHeight="1">
      <c r="A324" s="19"/>
      <c r="F324" s="19"/>
      <c r="AH324" s="23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  <c r="CD324" s="19"/>
      <c r="CE324" s="19"/>
      <c r="CF324" s="19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19"/>
      <c r="CW324" s="19"/>
      <c r="CX324" s="19"/>
      <c r="CY324" s="19"/>
      <c r="CZ324" s="19"/>
      <c r="DA324" s="19"/>
      <c r="DB324" s="19"/>
      <c r="DC324" s="19"/>
      <c r="DD324" s="19"/>
      <c r="DE324" s="19"/>
      <c r="DF324" s="19"/>
      <c r="DG324" s="19"/>
      <c r="DH324" s="19"/>
      <c r="DI324" s="19"/>
      <c r="DJ324" s="19"/>
      <c r="DK324" s="19"/>
      <c r="DL324" s="19"/>
      <c r="DM324" s="19"/>
      <c r="DN324" s="19"/>
      <c r="DO324" s="19"/>
      <c r="DP324" s="19"/>
      <c r="DQ324" s="19"/>
      <c r="DR324" s="19"/>
      <c r="DS324" s="19"/>
      <c r="DT324" s="19"/>
      <c r="DU324" s="19"/>
      <c r="DV324" s="19"/>
      <c r="DW324" s="19"/>
      <c r="DX324" s="19"/>
      <c r="DY324" s="19"/>
      <c r="DZ324" s="19"/>
      <c r="EA324" s="19"/>
      <c r="EB324" s="19"/>
      <c r="EC324" s="19"/>
      <c r="ED324" s="19"/>
      <c r="EE324" s="19"/>
      <c r="EF324" s="19"/>
      <c r="EG324" s="19"/>
      <c r="EH324" s="19"/>
      <c r="EI324" s="19"/>
      <c r="EJ324" s="19"/>
      <c r="EK324" s="19"/>
      <c r="EL324" s="19"/>
      <c r="EM324" s="19"/>
      <c r="EN324" s="19"/>
      <c r="EO324" s="19"/>
      <c r="EP324" s="17"/>
      <c r="EQ324" s="23"/>
      <c r="ER324" s="23" t="str">
        <f t="shared" si="7"/>
        <v/>
      </c>
      <c r="ES324" s="19"/>
      <c r="ET324" s="19" t="str">
        <f t="shared" si="8"/>
        <v/>
      </c>
      <c r="EU324" s="19"/>
      <c r="EV324" s="19"/>
      <c r="EW324" s="19"/>
      <c r="EX324" s="19"/>
      <c r="EY324" s="19"/>
      <c r="EZ324" s="19"/>
      <c r="FA324" s="19"/>
      <c r="FB324" s="19"/>
    </row>
    <row r="325" ht="15.75" customHeight="1">
      <c r="A325" s="19"/>
      <c r="F325" s="19"/>
      <c r="AH325" s="23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7"/>
      <c r="EQ325" s="23"/>
      <c r="ER325" s="23" t="str">
        <f t="shared" si="7"/>
        <v/>
      </c>
      <c r="ES325" s="19"/>
      <c r="ET325" s="19" t="str">
        <f t="shared" si="8"/>
        <v/>
      </c>
      <c r="EU325" s="19"/>
      <c r="EV325" s="19"/>
      <c r="EW325" s="19"/>
      <c r="EX325" s="19"/>
      <c r="EY325" s="19"/>
      <c r="EZ325" s="19"/>
      <c r="FA325" s="19"/>
      <c r="FB325" s="19"/>
    </row>
    <row r="326" ht="15.75" customHeight="1">
      <c r="A326" s="19"/>
      <c r="F326" s="19"/>
      <c r="AH326" s="23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  <c r="CD326" s="19"/>
      <c r="CE326" s="19"/>
      <c r="CF326" s="19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19"/>
      <c r="CW326" s="19"/>
      <c r="CX326" s="19"/>
      <c r="CY326" s="19"/>
      <c r="CZ326" s="19"/>
      <c r="DA326" s="19"/>
      <c r="DB326" s="19"/>
      <c r="DC326" s="19"/>
      <c r="DD326" s="19"/>
      <c r="DE326" s="19"/>
      <c r="DF326" s="19"/>
      <c r="DG326" s="19"/>
      <c r="DH326" s="19"/>
      <c r="DI326" s="19"/>
      <c r="DJ326" s="19"/>
      <c r="DK326" s="19"/>
      <c r="DL326" s="19"/>
      <c r="DM326" s="19"/>
      <c r="DN326" s="19"/>
      <c r="DO326" s="19"/>
      <c r="DP326" s="19"/>
      <c r="DQ326" s="19"/>
      <c r="DR326" s="19"/>
      <c r="DS326" s="19"/>
      <c r="DT326" s="19"/>
      <c r="DU326" s="19"/>
      <c r="DV326" s="19"/>
      <c r="DW326" s="19"/>
      <c r="DX326" s="19"/>
      <c r="DY326" s="19"/>
      <c r="DZ326" s="19"/>
      <c r="EA326" s="19"/>
      <c r="EB326" s="19"/>
      <c r="EC326" s="19"/>
      <c r="ED326" s="19"/>
      <c r="EE326" s="19"/>
      <c r="EF326" s="19"/>
      <c r="EG326" s="19"/>
      <c r="EH326" s="19"/>
      <c r="EI326" s="19"/>
      <c r="EJ326" s="19"/>
      <c r="EK326" s="19"/>
      <c r="EL326" s="19"/>
      <c r="EM326" s="19"/>
      <c r="EN326" s="19"/>
      <c r="EO326" s="19"/>
      <c r="EP326" s="17"/>
      <c r="EQ326" s="23"/>
      <c r="ER326" s="23" t="str">
        <f t="shared" si="7"/>
        <v/>
      </c>
      <c r="ES326" s="19"/>
      <c r="ET326" s="19" t="str">
        <f t="shared" si="8"/>
        <v/>
      </c>
      <c r="EU326" s="19"/>
      <c r="EV326" s="19"/>
      <c r="EW326" s="19"/>
      <c r="EX326" s="19"/>
      <c r="EY326" s="19"/>
      <c r="EZ326" s="19"/>
      <c r="FA326" s="19"/>
      <c r="FB326" s="19"/>
    </row>
    <row r="327" ht="15.75" customHeight="1">
      <c r="A327" s="19"/>
      <c r="F327" s="19"/>
      <c r="AH327" s="23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  <c r="CD327" s="19"/>
      <c r="CE327" s="19"/>
      <c r="CF327" s="19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19"/>
      <c r="CW327" s="19"/>
      <c r="CX327" s="19"/>
      <c r="CY327" s="19"/>
      <c r="CZ327" s="19"/>
      <c r="DA327" s="19"/>
      <c r="DB327" s="19"/>
      <c r="DC327" s="19"/>
      <c r="DD327" s="19"/>
      <c r="DE327" s="19"/>
      <c r="DF327" s="19"/>
      <c r="DG327" s="19"/>
      <c r="DH327" s="19"/>
      <c r="DI327" s="19"/>
      <c r="DJ327" s="19"/>
      <c r="DK327" s="19"/>
      <c r="DL327" s="19"/>
      <c r="DM327" s="19"/>
      <c r="DN327" s="19"/>
      <c r="DO327" s="19"/>
      <c r="DP327" s="19"/>
      <c r="DQ327" s="19"/>
      <c r="DR327" s="19"/>
      <c r="DS327" s="19"/>
      <c r="DT327" s="19"/>
      <c r="DU327" s="19"/>
      <c r="DV327" s="19"/>
      <c r="DW327" s="19"/>
      <c r="DX327" s="19"/>
      <c r="DY327" s="19"/>
      <c r="DZ327" s="19"/>
      <c r="EA327" s="19"/>
      <c r="EB327" s="19"/>
      <c r="EC327" s="19"/>
      <c r="ED327" s="19"/>
      <c r="EE327" s="19"/>
      <c r="EF327" s="19"/>
      <c r="EG327" s="19"/>
      <c r="EH327" s="19"/>
      <c r="EI327" s="19"/>
      <c r="EJ327" s="19"/>
      <c r="EK327" s="19"/>
      <c r="EL327" s="19"/>
      <c r="EM327" s="19"/>
      <c r="EN327" s="19"/>
      <c r="EO327" s="19"/>
      <c r="EP327" s="17"/>
      <c r="EQ327" s="23"/>
      <c r="ER327" s="23" t="str">
        <f t="shared" si="7"/>
        <v/>
      </c>
      <c r="ES327" s="19"/>
      <c r="ET327" s="19" t="str">
        <f t="shared" si="8"/>
        <v/>
      </c>
      <c r="EU327" s="19"/>
      <c r="EV327" s="19"/>
      <c r="EW327" s="19"/>
      <c r="EX327" s="19"/>
      <c r="EY327" s="19"/>
      <c r="EZ327" s="19"/>
      <c r="FA327" s="19"/>
      <c r="FB327" s="19"/>
    </row>
    <row r="328" ht="15.75" customHeight="1">
      <c r="A328" s="19"/>
      <c r="F328" s="19"/>
      <c r="AH328" s="23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  <c r="CD328" s="19"/>
      <c r="CE328" s="19"/>
      <c r="CF328" s="19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19"/>
      <c r="CW328" s="19"/>
      <c r="CX328" s="19"/>
      <c r="CY328" s="19"/>
      <c r="CZ328" s="19"/>
      <c r="DA328" s="19"/>
      <c r="DB328" s="19"/>
      <c r="DC328" s="19"/>
      <c r="DD328" s="19"/>
      <c r="DE328" s="19"/>
      <c r="DF328" s="19"/>
      <c r="DG328" s="19"/>
      <c r="DH328" s="19"/>
      <c r="DI328" s="19"/>
      <c r="DJ328" s="19"/>
      <c r="DK328" s="19"/>
      <c r="DL328" s="19"/>
      <c r="DM328" s="19"/>
      <c r="DN328" s="19"/>
      <c r="DO328" s="19"/>
      <c r="DP328" s="19"/>
      <c r="DQ328" s="19"/>
      <c r="DR328" s="19"/>
      <c r="DS328" s="19"/>
      <c r="DT328" s="19"/>
      <c r="DU328" s="19"/>
      <c r="DV328" s="19"/>
      <c r="DW328" s="19"/>
      <c r="DX328" s="19"/>
      <c r="DY328" s="19"/>
      <c r="DZ328" s="19"/>
      <c r="EA328" s="19"/>
      <c r="EB328" s="19"/>
      <c r="EC328" s="19"/>
      <c r="ED328" s="19"/>
      <c r="EE328" s="19"/>
      <c r="EF328" s="19"/>
      <c r="EG328" s="19"/>
      <c r="EH328" s="19"/>
      <c r="EI328" s="19"/>
      <c r="EJ328" s="19"/>
      <c r="EK328" s="19"/>
      <c r="EL328" s="19"/>
      <c r="EM328" s="19"/>
      <c r="EN328" s="19"/>
      <c r="EO328" s="19"/>
      <c r="EP328" s="17"/>
      <c r="EQ328" s="23"/>
      <c r="ER328" s="23" t="str">
        <f t="shared" si="7"/>
        <v/>
      </c>
      <c r="ES328" s="19"/>
      <c r="ET328" s="19" t="str">
        <f t="shared" si="8"/>
        <v/>
      </c>
      <c r="EU328" s="19"/>
      <c r="EV328" s="19"/>
      <c r="EW328" s="19"/>
      <c r="EX328" s="19"/>
      <c r="EY328" s="19"/>
      <c r="EZ328" s="19"/>
      <c r="FA328" s="19"/>
      <c r="FB328" s="19"/>
    </row>
    <row r="329" ht="15.75" customHeight="1">
      <c r="A329" s="19"/>
      <c r="F329" s="19"/>
      <c r="AH329" s="23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  <c r="CD329" s="19"/>
      <c r="CE329" s="19"/>
      <c r="CF329" s="19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19"/>
      <c r="CW329" s="19"/>
      <c r="CX329" s="19"/>
      <c r="CY329" s="19"/>
      <c r="CZ329" s="19"/>
      <c r="DA329" s="19"/>
      <c r="DB329" s="19"/>
      <c r="DC329" s="19"/>
      <c r="DD329" s="19"/>
      <c r="DE329" s="19"/>
      <c r="DF329" s="19"/>
      <c r="DG329" s="19"/>
      <c r="DH329" s="19"/>
      <c r="DI329" s="19"/>
      <c r="DJ329" s="19"/>
      <c r="DK329" s="19"/>
      <c r="DL329" s="19"/>
      <c r="DM329" s="19"/>
      <c r="DN329" s="19"/>
      <c r="DO329" s="19"/>
      <c r="DP329" s="19"/>
      <c r="DQ329" s="19"/>
      <c r="DR329" s="19"/>
      <c r="DS329" s="19"/>
      <c r="DT329" s="19"/>
      <c r="DU329" s="19"/>
      <c r="DV329" s="19"/>
      <c r="DW329" s="19"/>
      <c r="DX329" s="19"/>
      <c r="DY329" s="19"/>
      <c r="DZ329" s="19"/>
      <c r="EA329" s="19"/>
      <c r="EB329" s="19"/>
      <c r="EC329" s="19"/>
      <c r="ED329" s="19"/>
      <c r="EE329" s="19"/>
      <c r="EF329" s="19"/>
      <c r="EG329" s="19"/>
      <c r="EH329" s="19"/>
      <c r="EI329" s="19"/>
      <c r="EJ329" s="19"/>
      <c r="EK329" s="19"/>
      <c r="EL329" s="19"/>
      <c r="EM329" s="19"/>
      <c r="EN329" s="19"/>
      <c r="EO329" s="19"/>
      <c r="EP329" s="17"/>
      <c r="EQ329" s="23"/>
      <c r="ER329" s="23" t="str">
        <f t="shared" si="7"/>
        <v/>
      </c>
      <c r="ES329" s="19"/>
      <c r="ET329" s="19" t="str">
        <f t="shared" si="8"/>
        <v/>
      </c>
      <c r="EU329" s="19"/>
      <c r="EV329" s="19"/>
      <c r="EW329" s="19"/>
      <c r="EX329" s="19"/>
      <c r="EY329" s="19"/>
      <c r="EZ329" s="19"/>
      <c r="FA329" s="19"/>
      <c r="FB329" s="19"/>
    </row>
    <row r="330" ht="15.75" customHeight="1">
      <c r="A330" s="19"/>
      <c r="F330" s="19"/>
      <c r="AH330" s="23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  <c r="CD330" s="19"/>
      <c r="CE330" s="19"/>
      <c r="CF330" s="19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19"/>
      <c r="CW330" s="19"/>
      <c r="CX330" s="19"/>
      <c r="CY330" s="19"/>
      <c r="CZ330" s="19"/>
      <c r="DA330" s="19"/>
      <c r="DB330" s="19"/>
      <c r="DC330" s="19"/>
      <c r="DD330" s="19"/>
      <c r="DE330" s="19"/>
      <c r="DF330" s="19"/>
      <c r="DG330" s="19"/>
      <c r="DH330" s="19"/>
      <c r="DI330" s="19"/>
      <c r="DJ330" s="19"/>
      <c r="DK330" s="19"/>
      <c r="DL330" s="19"/>
      <c r="DM330" s="19"/>
      <c r="DN330" s="19"/>
      <c r="DO330" s="19"/>
      <c r="DP330" s="19"/>
      <c r="DQ330" s="19"/>
      <c r="DR330" s="19"/>
      <c r="DS330" s="19"/>
      <c r="DT330" s="19"/>
      <c r="DU330" s="19"/>
      <c r="DV330" s="19"/>
      <c r="DW330" s="19"/>
      <c r="DX330" s="19"/>
      <c r="DY330" s="19"/>
      <c r="DZ330" s="19"/>
      <c r="EA330" s="19"/>
      <c r="EB330" s="19"/>
      <c r="EC330" s="19"/>
      <c r="ED330" s="19"/>
      <c r="EE330" s="19"/>
      <c r="EF330" s="19"/>
      <c r="EG330" s="19"/>
      <c r="EH330" s="19"/>
      <c r="EI330" s="19"/>
      <c r="EJ330" s="19"/>
      <c r="EK330" s="19"/>
      <c r="EL330" s="19"/>
      <c r="EM330" s="19"/>
      <c r="EN330" s="19"/>
      <c r="EO330" s="19"/>
      <c r="EP330" s="17"/>
      <c r="EQ330" s="23"/>
      <c r="ER330" s="23" t="str">
        <f t="shared" si="7"/>
        <v/>
      </c>
      <c r="ES330" s="19"/>
      <c r="ET330" s="19" t="str">
        <f t="shared" si="8"/>
        <v/>
      </c>
      <c r="EU330" s="19"/>
      <c r="EV330" s="19"/>
      <c r="EW330" s="19"/>
      <c r="EX330" s="19"/>
      <c r="EY330" s="19"/>
      <c r="EZ330" s="19"/>
      <c r="FA330" s="19"/>
      <c r="FB330" s="19"/>
    </row>
    <row r="331" ht="15.75" customHeight="1">
      <c r="A331" s="19"/>
      <c r="F331" s="19"/>
      <c r="AH331" s="23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  <c r="CD331" s="19"/>
      <c r="CE331" s="19"/>
      <c r="CF331" s="19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19"/>
      <c r="CW331" s="19"/>
      <c r="CX331" s="19"/>
      <c r="CY331" s="19"/>
      <c r="CZ331" s="19"/>
      <c r="DA331" s="19"/>
      <c r="DB331" s="19"/>
      <c r="DC331" s="19"/>
      <c r="DD331" s="19"/>
      <c r="DE331" s="19"/>
      <c r="DF331" s="19"/>
      <c r="DG331" s="19"/>
      <c r="DH331" s="19"/>
      <c r="DI331" s="19"/>
      <c r="DJ331" s="19"/>
      <c r="DK331" s="19"/>
      <c r="DL331" s="19"/>
      <c r="DM331" s="19"/>
      <c r="DN331" s="19"/>
      <c r="DO331" s="19"/>
      <c r="DP331" s="19"/>
      <c r="DQ331" s="19"/>
      <c r="DR331" s="19"/>
      <c r="DS331" s="19"/>
      <c r="DT331" s="19"/>
      <c r="DU331" s="19"/>
      <c r="DV331" s="19"/>
      <c r="DW331" s="19"/>
      <c r="DX331" s="19"/>
      <c r="DY331" s="19"/>
      <c r="DZ331" s="19"/>
      <c r="EA331" s="19"/>
      <c r="EB331" s="19"/>
      <c r="EC331" s="19"/>
      <c r="ED331" s="19"/>
      <c r="EE331" s="19"/>
      <c r="EF331" s="19"/>
      <c r="EG331" s="19"/>
      <c r="EH331" s="19"/>
      <c r="EI331" s="19"/>
      <c r="EJ331" s="19"/>
      <c r="EK331" s="19"/>
      <c r="EL331" s="19"/>
      <c r="EM331" s="19"/>
      <c r="EN331" s="19"/>
      <c r="EO331" s="19"/>
      <c r="EP331" s="17"/>
      <c r="EQ331" s="23"/>
      <c r="ER331" s="23" t="str">
        <f t="shared" si="7"/>
        <v/>
      </c>
      <c r="ES331" s="19"/>
      <c r="ET331" s="19" t="str">
        <f t="shared" si="8"/>
        <v/>
      </c>
      <c r="EU331" s="19"/>
      <c r="EV331" s="19"/>
      <c r="EW331" s="19"/>
      <c r="EX331" s="19"/>
      <c r="EY331" s="19"/>
      <c r="EZ331" s="19"/>
      <c r="FA331" s="19"/>
      <c r="FB331" s="19"/>
    </row>
    <row r="332" ht="15.75" customHeight="1">
      <c r="A332" s="19"/>
      <c r="F332" s="19"/>
      <c r="AH332" s="23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  <c r="CD332" s="19"/>
      <c r="CE332" s="19"/>
      <c r="CF332" s="19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19"/>
      <c r="CW332" s="19"/>
      <c r="CX332" s="19"/>
      <c r="CY332" s="19"/>
      <c r="CZ332" s="19"/>
      <c r="DA332" s="19"/>
      <c r="DB332" s="19"/>
      <c r="DC332" s="19"/>
      <c r="DD332" s="19"/>
      <c r="DE332" s="19"/>
      <c r="DF332" s="19"/>
      <c r="DG332" s="19"/>
      <c r="DH332" s="19"/>
      <c r="DI332" s="19"/>
      <c r="DJ332" s="19"/>
      <c r="DK332" s="19"/>
      <c r="DL332" s="19"/>
      <c r="DM332" s="19"/>
      <c r="DN332" s="19"/>
      <c r="DO332" s="19"/>
      <c r="DP332" s="19"/>
      <c r="DQ332" s="19"/>
      <c r="DR332" s="19"/>
      <c r="DS332" s="19"/>
      <c r="DT332" s="19"/>
      <c r="DU332" s="19"/>
      <c r="DV332" s="19"/>
      <c r="DW332" s="19"/>
      <c r="DX332" s="19"/>
      <c r="DY332" s="19"/>
      <c r="DZ332" s="19"/>
      <c r="EA332" s="19"/>
      <c r="EB332" s="19"/>
      <c r="EC332" s="19"/>
      <c r="ED332" s="19"/>
      <c r="EE332" s="19"/>
      <c r="EF332" s="19"/>
      <c r="EG332" s="19"/>
      <c r="EH332" s="19"/>
      <c r="EI332" s="19"/>
      <c r="EJ332" s="19"/>
      <c r="EK332" s="19"/>
      <c r="EL332" s="19"/>
      <c r="EM332" s="19"/>
      <c r="EN332" s="19"/>
      <c r="EO332" s="19"/>
      <c r="EP332" s="17"/>
      <c r="EQ332" s="23"/>
      <c r="ER332" s="23" t="str">
        <f t="shared" si="7"/>
        <v/>
      </c>
      <c r="ES332" s="19"/>
      <c r="ET332" s="19" t="str">
        <f t="shared" si="8"/>
        <v/>
      </c>
      <c r="EU332" s="19"/>
      <c r="EV332" s="19"/>
      <c r="EW332" s="19"/>
      <c r="EX332" s="19"/>
      <c r="EY332" s="19"/>
      <c r="EZ332" s="19"/>
      <c r="FA332" s="19"/>
      <c r="FB332" s="19"/>
    </row>
    <row r="333" ht="15.75" customHeight="1">
      <c r="A333" s="19"/>
      <c r="F333" s="19"/>
      <c r="AH333" s="23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  <c r="CD333" s="19"/>
      <c r="CE333" s="19"/>
      <c r="CF333" s="19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19"/>
      <c r="CW333" s="19"/>
      <c r="CX333" s="19"/>
      <c r="CY333" s="19"/>
      <c r="CZ333" s="19"/>
      <c r="DA333" s="19"/>
      <c r="DB333" s="19"/>
      <c r="DC333" s="19"/>
      <c r="DD333" s="19"/>
      <c r="DE333" s="19"/>
      <c r="DF333" s="19"/>
      <c r="DG333" s="19"/>
      <c r="DH333" s="19"/>
      <c r="DI333" s="19"/>
      <c r="DJ333" s="19"/>
      <c r="DK333" s="19"/>
      <c r="DL333" s="19"/>
      <c r="DM333" s="19"/>
      <c r="DN333" s="19"/>
      <c r="DO333" s="19"/>
      <c r="DP333" s="19"/>
      <c r="DQ333" s="19"/>
      <c r="DR333" s="19"/>
      <c r="DS333" s="19"/>
      <c r="DT333" s="19"/>
      <c r="DU333" s="19"/>
      <c r="DV333" s="19"/>
      <c r="DW333" s="19"/>
      <c r="DX333" s="19"/>
      <c r="DY333" s="19"/>
      <c r="DZ333" s="19"/>
      <c r="EA333" s="19"/>
      <c r="EB333" s="19"/>
      <c r="EC333" s="19"/>
      <c r="ED333" s="19"/>
      <c r="EE333" s="19"/>
      <c r="EF333" s="19"/>
      <c r="EG333" s="19"/>
      <c r="EH333" s="19"/>
      <c r="EI333" s="19"/>
      <c r="EJ333" s="19"/>
      <c r="EK333" s="19"/>
      <c r="EL333" s="19"/>
      <c r="EM333" s="19"/>
      <c r="EN333" s="19"/>
      <c r="EO333" s="19"/>
      <c r="EP333" s="17"/>
      <c r="EQ333" s="23"/>
      <c r="ER333" s="23" t="str">
        <f t="shared" si="7"/>
        <v/>
      </c>
      <c r="ES333" s="19"/>
      <c r="ET333" s="19" t="str">
        <f t="shared" si="8"/>
        <v/>
      </c>
      <c r="EU333" s="19"/>
      <c r="EV333" s="19"/>
      <c r="EW333" s="19"/>
      <c r="EX333" s="19"/>
      <c r="EY333" s="19"/>
      <c r="EZ333" s="19"/>
      <c r="FA333" s="19"/>
      <c r="FB333" s="19"/>
    </row>
    <row r="334" ht="15.75" customHeight="1">
      <c r="A334" s="19"/>
      <c r="F334" s="19"/>
      <c r="AH334" s="23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  <c r="CD334" s="19"/>
      <c r="CE334" s="19"/>
      <c r="CF334" s="19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19"/>
      <c r="CW334" s="19"/>
      <c r="CX334" s="19"/>
      <c r="CY334" s="19"/>
      <c r="CZ334" s="19"/>
      <c r="DA334" s="19"/>
      <c r="DB334" s="19"/>
      <c r="DC334" s="19"/>
      <c r="DD334" s="19"/>
      <c r="DE334" s="19"/>
      <c r="DF334" s="19"/>
      <c r="DG334" s="19"/>
      <c r="DH334" s="19"/>
      <c r="DI334" s="19"/>
      <c r="DJ334" s="19"/>
      <c r="DK334" s="19"/>
      <c r="DL334" s="19"/>
      <c r="DM334" s="19"/>
      <c r="DN334" s="19"/>
      <c r="DO334" s="19"/>
      <c r="DP334" s="19"/>
      <c r="DQ334" s="19"/>
      <c r="DR334" s="19"/>
      <c r="DS334" s="19"/>
      <c r="DT334" s="19"/>
      <c r="DU334" s="19"/>
      <c r="DV334" s="19"/>
      <c r="DW334" s="19"/>
      <c r="DX334" s="19"/>
      <c r="DY334" s="19"/>
      <c r="DZ334" s="19"/>
      <c r="EA334" s="19"/>
      <c r="EB334" s="19"/>
      <c r="EC334" s="19"/>
      <c r="ED334" s="19"/>
      <c r="EE334" s="19"/>
      <c r="EF334" s="19"/>
      <c r="EG334" s="19"/>
      <c r="EH334" s="19"/>
      <c r="EI334" s="19"/>
      <c r="EJ334" s="19"/>
      <c r="EK334" s="19"/>
      <c r="EL334" s="19"/>
      <c r="EM334" s="19"/>
      <c r="EN334" s="19"/>
      <c r="EO334" s="19"/>
      <c r="EP334" s="17"/>
      <c r="EQ334" s="23"/>
      <c r="ER334" s="23" t="str">
        <f t="shared" si="7"/>
        <v/>
      </c>
      <c r="ES334" s="19"/>
      <c r="ET334" s="19" t="str">
        <f t="shared" si="8"/>
        <v/>
      </c>
      <c r="EU334" s="19"/>
      <c r="EV334" s="19"/>
      <c r="EW334" s="19"/>
      <c r="EX334" s="19"/>
      <c r="EY334" s="19"/>
      <c r="EZ334" s="19"/>
      <c r="FA334" s="19"/>
      <c r="FB334" s="19"/>
    </row>
    <row r="335" ht="15.75" customHeight="1">
      <c r="A335" s="19"/>
      <c r="F335" s="19"/>
      <c r="AH335" s="23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  <c r="CD335" s="19"/>
      <c r="CE335" s="19"/>
      <c r="CF335" s="19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19"/>
      <c r="CW335" s="19"/>
      <c r="CX335" s="19"/>
      <c r="CY335" s="19"/>
      <c r="CZ335" s="19"/>
      <c r="DA335" s="19"/>
      <c r="DB335" s="19"/>
      <c r="DC335" s="19"/>
      <c r="DD335" s="19"/>
      <c r="DE335" s="19"/>
      <c r="DF335" s="19"/>
      <c r="DG335" s="19"/>
      <c r="DH335" s="19"/>
      <c r="DI335" s="19"/>
      <c r="DJ335" s="19"/>
      <c r="DK335" s="19"/>
      <c r="DL335" s="19"/>
      <c r="DM335" s="19"/>
      <c r="DN335" s="19"/>
      <c r="DO335" s="19"/>
      <c r="DP335" s="19"/>
      <c r="DQ335" s="19"/>
      <c r="DR335" s="19"/>
      <c r="DS335" s="19"/>
      <c r="DT335" s="19"/>
      <c r="DU335" s="19"/>
      <c r="DV335" s="19"/>
      <c r="DW335" s="19"/>
      <c r="DX335" s="19"/>
      <c r="DY335" s="19"/>
      <c r="DZ335" s="19"/>
      <c r="EA335" s="19"/>
      <c r="EB335" s="19"/>
      <c r="EC335" s="19"/>
      <c r="ED335" s="19"/>
      <c r="EE335" s="19"/>
      <c r="EF335" s="19"/>
      <c r="EG335" s="19"/>
      <c r="EH335" s="19"/>
      <c r="EI335" s="19"/>
      <c r="EJ335" s="19"/>
      <c r="EK335" s="19"/>
      <c r="EL335" s="19"/>
      <c r="EM335" s="19"/>
      <c r="EN335" s="19"/>
      <c r="EO335" s="19"/>
      <c r="EP335" s="17"/>
      <c r="EQ335" s="23"/>
      <c r="ER335" s="23" t="str">
        <f t="shared" si="7"/>
        <v/>
      </c>
      <c r="ES335" s="19"/>
      <c r="ET335" s="19" t="str">
        <f t="shared" si="8"/>
        <v/>
      </c>
      <c r="EU335" s="19"/>
      <c r="EV335" s="19"/>
      <c r="EW335" s="19"/>
      <c r="EX335" s="19"/>
      <c r="EY335" s="19"/>
      <c r="EZ335" s="19"/>
      <c r="FA335" s="19"/>
      <c r="FB335" s="19"/>
    </row>
    <row r="336" ht="15.75" customHeight="1">
      <c r="A336" s="19"/>
      <c r="F336" s="19"/>
      <c r="AH336" s="23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7"/>
      <c r="EQ336" s="23"/>
      <c r="ER336" s="23" t="str">
        <f t="shared" si="7"/>
        <v/>
      </c>
      <c r="ES336" s="19"/>
      <c r="ET336" s="19" t="str">
        <f t="shared" si="8"/>
        <v/>
      </c>
      <c r="EU336" s="19"/>
      <c r="EV336" s="19"/>
      <c r="EW336" s="19"/>
      <c r="EX336" s="19"/>
      <c r="EY336" s="19"/>
      <c r="EZ336" s="19"/>
      <c r="FA336" s="19"/>
      <c r="FB336" s="19"/>
    </row>
    <row r="337" ht="15.75" customHeight="1">
      <c r="A337" s="19"/>
      <c r="F337" s="19"/>
      <c r="AH337" s="23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  <c r="CD337" s="19"/>
      <c r="CE337" s="19"/>
      <c r="CF337" s="19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19"/>
      <c r="CW337" s="19"/>
      <c r="CX337" s="19"/>
      <c r="CY337" s="19"/>
      <c r="CZ337" s="19"/>
      <c r="DA337" s="19"/>
      <c r="DB337" s="19"/>
      <c r="DC337" s="19"/>
      <c r="DD337" s="19"/>
      <c r="DE337" s="19"/>
      <c r="DF337" s="19"/>
      <c r="DG337" s="19"/>
      <c r="DH337" s="19"/>
      <c r="DI337" s="19"/>
      <c r="DJ337" s="19"/>
      <c r="DK337" s="19"/>
      <c r="DL337" s="19"/>
      <c r="DM337" s="19"/>
      <c r="DN337" s="19"/>
      <c r="DO337" s="19"/>
      <c r="DP337" s="19"/>
      <c r="DQ337" s="19"/>
      <c r="DR337" s="19"/>
      <c r="DS337" s="19"/>
      <c r="DT337" s="19"/>
      <c r="DU337" s="19"/>
      <c r="DV337" s="19"/>
      <c r="DW337" s="19"/>
      <c r="DX337" s="19"/>
      <c r="DY337" s="19"/>
      <c r="DZ337" s="19"/>
      <c r="EA337" s="19"/>
      <c r="EB337" s="19"/>
      <c r="EC337" s="19"/>
      <c r="ED337" s="19"/>
      <c r="EE337" s="19"/>
      <c r="EF337" s="19"/>
      <c r="EG337" s="19"/>
      <c r="EH337" s="19"/>
      <c r="EI337" s="19"/>
      <c r="EJ337" s="19"/>
      <c r="EK337" s="19"/>
      <c r="EL337" s="19"/>
      <c r="EM337" s="19"/>
      <c r="EN337" s="19"/>
      <c r="EO337" s="19"/>
      <c r="EP337" s="17"/>
      <c r="EQ337" s="23"/>
      <c r="ER337" s="23" t="str">
        <f t="shared" si="7"/>
        <v/>
      </c>
      <c r="ES337" s="19"/>
      <c r="ET337" s="19" t="str">
        <f t="shared" si="8"/>
        <v/>
      </c>
      <c r="EU337" s="19"/>
      <c r="EV337" s="19"/>
      <c r="EW337" s="19"/>
      <c r="EX337" s="19"/>
      <c r="EY337" s="19"/>
      <c r="EZ337" s="19"/>
      <c r="FA337" s="19"/>
      <c r="FB337" s="19"/>
    </row>
    <row r="338" ht="15.75" customHeight="1">
      <c r="A338" s="19"/>
      <c r="F338" s="19"/>
      <c r="AH338" s="23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  <c r="CD338" s="19"/>
      <c r="CE338" s="19"/>
      <c r="CF338" s="19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19"/>
      <c r="CW338" s="19"/>
      <c r="CX338" s="19"/>
      <c r="CY338" s="19"/>
      <c r="CZ338" s="19"/>
      <c r="DA338" s="19"/>
      <c r="DB338" s="19"/>
      <c r="DC338" s="19"/>
      <c r="DD338" s="19"/>
      <c r="DE338" s="19"/>
      <c r="DF338" s="19"/>
      <c r="DG338" s="19"/>
      <c r="DH338" s="19"/>
      <c r="DI338" s="19"/>
      <c r="DJ338" s="19"/>
      <c r="DK338" s="19"/>
      <c r="DL338" s="19"/>
      <c r="DM338" s="19"/>
      <c r="DN338" s="19"/>
      <c r="DO338" s="19"/>
      <c r="DP338" s="19"/>
      <c r="DQ338" s="19"/>
      <c r="DR338" s="19"/>
      <c r="DS338" s="19"/>
      <c r="DT338" s="19"/>
      <c r="DU338" s="19"/>
      <c r="DV338" s="19"/>
      <c r="DW338" s="19"/>
      <c r="DX338" s="19"/>
      <c r="DY338" s="19"/>
      <c r="DZ338" s="19"/>
      <c r="EA338" s="19"/>
      <c r="EB338" s="19"/>
      <c r="EC338" s="19"/>
      <c r="ED338" s="19"/>
      <c r="EE338" s="19"/>
      <c r="EF338" s="19"/>
      <c r="EG338" s="19"/>
      <c r="EH338" s="19"/>
      <c r="EI338" s="19"/>
      <c r="EJ338" s="19"/>
      <c r="EK338" s="19"/>
      <c r="EL338" s="19"/>
      <c r="EM338" s="19"/>
      <c r="EN338" s="19"/>
      <c r="EO338" s="19"/>
      <c r="EP338" s="17"/>
      <c r="EQ338" s="23"/>
      <c r="ER338" s="23" t="str">
        <f t="shared" si="7"/>
        <v/>
      </c>
      <c r="ES338" s="19"/>
      <c r="ET338" s="19" t="str">
        <f t="shared" si="8"/>
        <v/>
      </c>
      <c r="EU338" s="19"/>
      <c r="EV338" s="19"/>
      <c r="EW338" s="19"/>
      <c r="EX338" s="19"/>
      <c r="EY338" s="19"/>
      <c r="EZ338" s="19"/>
      <c r="FA338" s="19"/>
      <c r="FB338" s="19"/>
    </row>
    <row r="339" ht="15.75" customHeight="1">
      <c r="A339" s="19"/>
      <c r="F339" s="19"/>
      <c r="AH339" s="23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  <c r="CD339" s="19"/>
      <c r="CE339" s="19"/>
      <c r="CF339" s="19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19"/>
      <c r="CW339" s="19"/>
      <c r="CX339" s="19"/>
      <c r="CY339" s="19"/>
      <c r="CZ339" s="19"/>
      <c r="DA339" s="19"/>
      <c r="DB339" s="19"/>
      <c r="DC339" s="19"/>
      <c r="DD339" s="19"/>
      <c r="DE339" s="19"/>
      <c r="DF339" s="19"/>
      <c r="DG339" s="19"/>
      <c r="DH339" s="19"/>
      <c r="DI339" s="19"/>
      <c r="DJ339" s="19"/>
      <c r="DK339" s="19"/>
      <c r="DL339" s="19"/>
      <c r="DM339" s="19"/>
      <c r="DN339" s="19"/>
      <c r="DO339" s="19"/>
      <c r="DP339" s="19"/>
      <c r="DQ339" s="19"/>
      <c r="DR339" s="19"/>
      <c r="DS339" s="19"/>
      <c r="DT339" s="19"/>
      <c r="DU339" s="19"/>
      <c r="DV339" s="19"/>
      <c r="DW339" s="19"/>
      <c r="DX339" s="19"/>
      <c r="DY339" s="19"/>
      <c r="DZ339" s="19"/>
      <c r="EA339" s="19"/>
      <c r="EB339" s="19"/>
      <c r="EC339" s="19"/>
      <c r="ED339" s="19"/>
      <c r="EE339" s="19"/>
      <c r="EF339" s="19"/>
      <c r="EG339" s="19"/>
      <c r="EH339" s="19"/>
      <c r="EI339" s="19"/>
      <c r="EJ339" s="19"/>
      <c r="EK339" s="19"/>
      <c r="EL339" s="19"/>
      <c r="EM339" s="19"/>
      <c r="EN339" s="19"/>
      <c r="EO339" s="19"/>
      <c r="EP339" s="17"/>
      <c r="EQ339" s="23"/>
      <c r="ER339" s="23" t="str">
        <f t="shared" si="7"/>
        <v/>
      </c>
      <c r="ES339" s="19"/>
      <c r="ET339" s="19" t="str">
        <f t="shared" si="8"/>
        <v/>
      </c>
      <c r="EU339" s="19"/>
      <c r="EV339" s="19"/>
      <c r="EW339" s="19"/>
      <c r="EX339" s="19"/>
      <c r="EY339" s="19"/>
      <c r="EZ339" s="19"/>
      <c r="FA339" s="19"/>
      <c r="FB339" s="19"/>
    </row>
    <row r="340" ht="15.75" customHeight="1">
      <c r="A340" s="19"/>
      <c r="F340" s="19"/>
      <c r="AH340" s="23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  <c r="CD340" s="19"/>
      <c r="CE340" s="19"/>
      <c r="CF340" s="19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19"/>
      <c r="CW340" s="19"/>
      <c r="CX340" s="19"/>
      <c r="CY340" s="19"/>
      <c r="CZ340" s="19"/>
      <c r="DA340" s="19"/>
      <c r="DB340" s="19"/>
      <c r="DC340" s="19"/>
      <c r="DD340" s="19"/>
      <c r="DE340" s="19"/>
      <c r="DF340" s="19"/>
      <c r="DG340" s="19"/>
      <c r="DH340" s="19"/>
      <c r="DI340" s="19"/>
      <c r="DJ340" s="19"/>
      <c r="DK340" s="19"/>
      <c r="DL340" s="19"/>
      <c r="DM340" s="19"/>
      <c r="DN340" s="19"/>
      <c r="DO340" s="19"/>
      <c r="DP340" s="19"/>
      <c r="DQ340" s="19"/>
      <c r="DR340" s="19"/>
      <c r="DS340" s="19"/>
      <c r="DT340" s="19"/>
      <c r="DU340" s="19"/>
      <c r="DV340" s="19"/>
      <c r="DW340" s="19"/>
      <c r="DX340" s="19"/>
      <c r="DY340" s="19"/>
      <c r="DZ340" s="19"/>
      <c r="EA340" s="19"/>
      <c r="EB340" s="19"/>
      <c r="EC340" s="19"/>
      <c r="ED340" s="19"/>
      <c r="EE340" s="19"/>
      <c r="EF340" s="19"/>
      <c r="EG340" s="19"/>
      <c r="EH340" s="19"/>
      <c r="EI340" s="19"/>
      <c r="EJ340" s="19"/>
      <c r="EK340" s="19"/>
      <c r="EL340" s="19"/>
      <c r="EM340" s="19"/>
      <c r="EN340" s="19"/>
      <c r="EO340" s="19"/>
      <c r="EP340" s="17"/>
      <c r="EQ340" s="23"/>
      <c r="ER340" s="23" t="str">
        <f t="shared" si="7"/>
        <v/>
      </c>
      <c r="ES340" s="19"/>
      <c r="ET340" s="19" t="str">
        <f t="shared" si="8"/>
        <v/>
      </c>
      <c r="EU340" s="19"/>
      <c r="EV340" s="19"/>
      <c r="EW340" s="19"/>
      <c r="EX340" s="19"/>
      <c r="EY340" s="19"/>
      <c r="EZ340" s="19"/>
      <c r="FA340" s="19"/>
      <c r="FB340" s="19"/>
    </row>
    <row r="341" ht="15.75" customHeight="1">
      <c r="A341" s="19"/>
      <c r="F341" s="19"/>
      <c r="AH341" s="23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  <c r="CD341" s="19"/>
      <c r="CE341" s="19"/>
      <c r="CF341" s="19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19"/>
      <c r="CW341" s="19"/>
      <c r="CX341" s="19"/>
      <c r="CY341" s="19"/>
      <c r="CZ341" s="19"/>
      <c r="DA341" s="19"/>
      <c r="DB341" s="19"/>
      <c r="DC341" s="19"/>
      <c r="DD341" s="19"/>
      <c r="DE341" s="19"/>
      <c r="DF341" s="19"/>
      <c r="DG341" s="19"/>
      <c r="DH341" s="19"/>
      <c r="DI341" s="19"/>
      <c r="DJ341" s="19"/>
      <c r="DK341" s="19"/>
      <c r="DL341" s="19"/>
      <c r="DM341" s="19"/>
      <c r="DN341" s="19"/>
      <c r="DO341" s="19"/>
      <c r="DP341" s="19"/>
      <c r="DQ341" s="19"/>
      <c r="DR341" s="19"/>
      <c r="DS341" s="19"/>
      <c r="DT341" s="19"/>
      <c r="DU341" s="19"/>
      <c r="DV341" s="19"/>
      <c r="DW341" s="19"/>
      <c r="DX341" s="19"/>
      <c r="DY341" s="19"/>
      <c r="DZ341" s="19"/>
      <c r="EA341" s="19"/>
      <c r="EB341" s="19"/>
      <c r="EC341" s="19"/>
      <c r="ED341" s="19"/>
      <c r="EE341" s="19"/>
      <c r="EF341" s="19"/>
      <c r="EG341" s="19"/>
      <c r="EH341" s="19"/>
      <c r="EI341" s="19"/>
      <c r="EJ341" s="19"/>
      <c r="EK341" s="19"/>
      <c r="EL341" s="19"/>
      <c r="EM341" s="19"/>
      <c r="EN341" s="19"/>
      <c r="EO341" s="19"/>
      <c r="EP341" s="17"/>
      <c r="EQ341" s="23"/>
      <c r="ER341" s="23" t="str">
        <f t="shared" si="7"/>
        <v/>
      </c>
      <c r="ES341" s="19"/>
      <c r="ET341" s="19" t="str">
        <f t="shared" si="8"/>
        <v/>
      </c>
      <c r="EU341" s="19"/>
      <c r="EV341" s="19"/>
      <c r="EW341" s="19"/>
      <c r="EX341" s="19"/>
      <c r="EY341" s="19"/>
      <c r="EZ341" s="19"/>
      <c r="FA341" s="19"/>
      <c r="FB341" s="19"/>
    </row>
    <row r="342" ht="15.75" customHeight="1">
      <c r="A342" s="19"/>
      <c r="F342" s="19"/>
      <c r="AH342" s="23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  <c r="CD342" s="19"/>
      <c r="CE342" s="19"/>
      <c r="CF342" s="19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19"/>
      <c r="CW342" s="19"/>
      <c r="CX342" s="19"/>
      <c r="CY342" s="19"/>
      <c r="CZ342" s="19"/>
      <c r="DA342" s="19"/>
      <c r="DB342" s="19"/>
      <c r="DC342" s="19"/>
      <c r="DD342" s="19"/>
      <c r="DE342" s="19"/>
      <c r="DF342" s="19"/>
      <c r="DG342" s="19"/>
      <c r="DH342" s="19"/>
      <c r="DI342" s="19"/>
      <c r="DJ342" s="19"/>
      <c r="DK342" s="19"/>
      <c r="DL342" s="19"/>
      <c r="DM342" s="19"/>
      <c r="DN342" s="19"/>
      <c r="DO342" s="19"/>
      <c r="DP342" s="19"/>
      <c r="DQ342" s="19"/>
      <c r="DR342" s="19"/>
      <c r="DS342" s="19"/>
      <c r="DT342" s="19"/>
      <c r="DU342" s="19"/>
      <c r="DV342" s="19"/>
      <c r="DW342" s="19"/>
      <c r="DX342" s="19"/>
      <c r="DY342" s="19"/>
      <c r="DZ342" s="19"/>
      <c r="EA342" s="19"/>
      <c r="EB342" s="19"/>
      <c r="EC342" s="19"/>
      <c r="ED342" s="19"/>
      <c r="EE342" s="19"/>
      <c r="EF342" s="19"/>
      <c r="EG342" s="19"/>
      <c r="EH342" s="19"/>
      <c r="EI342" s="19"/>
      <c r="EJ342" s="19"/>
      <c r="EK342" s="19"/>
      <c r="EL342" s="19"/>
      <c r="EM342" s="19"/>
      <c r="EN342" s="19"/>
      <c r="EO342" s="19"/>
      <c r="EP342" s="17"/>
      <c r="EQ342" s="23"/>
      <c r="ER342" s="23" t="str">
        <f t="shared" si="7"/>
        <v/>
      </c>
      <c r="ES342" s="19"/>
      <c r="ET342" s="19" t="str">
        <f t="shared" si="8"/>
        <v/>
      </c>
      <c r="EU342" s="19"/>
      <c r="EV342" s="19"/>
      <c r="EW342" s="19"/>
      <c r="EX342" s="19"/>
      <c r="EY342" s="19"/>
      <c r="EZ342" s="19"/>
      <c r="FA342" s="19"/>
      <c r="FB342" s="19"/>
    </row>
    <row r="343" ht="15.75" customHeight="1">
      <c r="A343" s="19"/>
      <c r="F343" s="19"/>
      <c r="AH343" s="23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  <c r="CD343" s="19"/>
      <c r="CE343" s="19"/>
      <c r="CF343" s="19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19"/>
      <c r="CW343" s="19"/>
      <c r="CX343" s="19"/>
      <c r="CY343" s="19"/>
      <c r="CZ343" s="19"/>
      <c r="DA343" s="19"/>
      <c r="DB343" s="19"/>
      <c r="DC343" s="19"/>
      <c r="DD343" s="19"/>
      <c r="DE343" s="19"/>
      <c r="DF343" s="19"/>
      <c r="DG343" s="19"/>
      <c r="DH343" s="19"/>
      <c r="DI343" s="19"/>
      <c r="DJ343" s="19"/>
      <c r="DK343" s="19"/>
      <c r="DL343" s="19"/>
      <c r="DM343" s="19"/>
      <c r="DN343" s="19"/>
      <c r="DO343" s="19"/>
      <c r="DP343" s="19"/>
      <c r="DQ343" s="19"/>
      <c r="DR343" s="19"/>
      <c r="DS343" s="19"/>
      <c r="DT343" s="19"/>
      <c r="DU343" s="19"/>
      <c r="DV343" s="19"/>
      <c r="DW343" s="19"/>
      <c r="DX343" s="19"/>
      <c r="DY343" s="19"/>
      <c r="DZ343" s="19"/>
      <c r="EA343" s="19"/>
      <c r="EB343" s="19"/>
      <c r="EC343" s="19"/>
      <c r="ED343" s="19"/>
      <c r="EE343" s="19"/>
      <c r="EF343" s="19"/>
      <c r="EG343" s="19"/>
      <c r="EH343" s="19"/>
      <c r="EI343" s="19"/>
      <c r="EJ343" s="19"/>
      <c r="EK343" s="19"/>
      <c r="EL343" s="19"/>
      <c r="EM343" s="19"/>
      <c r="EN343" s="19"/>
      <c r="EO343" s="19"/>
      <c r="EP343" s="17"/>
      <c r="EQ343" s="23"/>
      <c r="ER343" s="23" t="str">
        <f t="shared" si="7"/>
        <v/>
      </c>
      <c r="ES343" s="19"/>
      <c r="ET343" s="19" t="str">
        <f t="shared" si="8"/>
        <v/>
      </c>
      <c r="EU343" s="19"/>
      <c r="EV343" s="19"/>
      <c r="EW343" s="19"/>
      <c r="EX343" s="19"/>
      <c r="EY343" s="19"/>
      <c r="EZ343" s="19"/>
      <c r="FA343" s="19"/>
      <c r="FB343" s="19"/>
    </row>
    <row r="344" ht="15.75" customHeight="1">
      <c r="A344" s="19"/>
      <c r="F344" s="19"/>
      <c r="AH344" s="23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  <c r="CD344" s="19"/>
      <c r="CE344" s="19"/>
      <c r="CF344" s="19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19"/>
      <c r="CW344" s="19"/>
      <c r="CX344" s="19"/>
      <c r="CY344" s="19"/>
      <c r="CZ344" s="19"/>
      <c r="DA344" s="19"/>
      <c r="DB344" s="19"/>
      <c r="DC344" s="19"/>
      <c r="DD344" s="19"/>
      <c r="DE344" s="19"/>
      <c r="DF344" s="19"/>
      <c r="DG344" s="19"/>
      <c r="DH344" s="19"/>
      <c r="DI344" s="19"/>
      <c r="DJ344" s="19"/>
      <c r="DK344" s="19"/>
      <c r="DL344" s="19"/>
      <c r="DM344" s="19"/>
      <c r="DN344" s="19"/>
      <c r="DO344" s="19"/>
      <c r="DP344" s="19"/>
      <c r="DQ344" s="19"/>
      <c r="DR344" s="19"/>
      <c r="DS344" s="19"/>
      <c r="DT344" s="19"/>
      <c r="DU344" s="19"/>
      <c r="DV344" s="19"/>
      <c r="DW344" s="19"/>
      <c r="DX344" s="19"/>
      <c r="DY344" s="19"/>
      <c r="DZ344" s="19"/>
      <c r="EA344" s="19"/>
      <c r="EB344" s="19"/>
      <c r="EC344" s="19"/>
      <c r="ED344" s="19"/>
      <c r="EE344" s="19"/>
      <c r="EF344" s="19"/>
      <c r="EG344" s="19"/>
      <c r="EH344" s="19"/>
      <c r="EI344" s="19"/>
      <c r="EJ344" s="19"/>
      <c r="EK344" s="19"/>
      <c r="EL344" s="19"/>
      <c r="EM344" s="19"/>
      <c r="EN344" s="19"/>
      <c r="EO344" s="19"/>
      <c r="EP344" s="17"/>
      <c r="EQ344" s="23"/>
      <c r="ER344" s="23" t="str">
        <f t="shared" si="7"/>
        <v/>
      </c>
      <c r="ES344" s="19"/>
      <c r="ET344" s="19" t="str">
        <f t="shared" si="8"/>
        <v/>
      </c>
      <c r="EU344" s="19"/>
      <c r="EV344" s="19"/>
      <c r="EW344" s="19"/>
      <c r="EX344" s="19"/>
      <c r="EY344" s="19"/>
      <c r="EZ344" s="19"/>
      <c r="FA344" s="19"/>
      <c r="FB344" s="19"/>
    </row>
    <row r="345" ht="15.75" customHeight="1">
      <c r="A345" s="19"/>
      <c r="F345" s="19"/>
      <c r="AH345" s="23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  <c r="CD345" s="19"/>
      <c r="CE345" s="19"/>
      <c r="CF345" s="19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19"/>
      <c r="CW345" s="19"/>
      <c r="CX345" s="19"/>
      <c r="CY345" s="19"/>
      <c r="CZ345" s="19"/>
      <c r="DA345" s="19"/>
      <c r="DB345" s="19"/>
      <c r="DC345" s="19"/>
      <c r="DD345" s="19"/>
      <c r="DE345" s="19"/>
      <c r="DF345" s="19"/>
      <c r="DG345" s="19"/>
      <c r="DH345" s="19"/>
      <c r="DI345" s="19"/>
      <c r="DJ345" s="19"/>
      <c r="DK345" s="19"/>
      <c r="DL345" s="19"/>
      <c r="DM345" s="19"/>
      <c r="DN345" s="19"/>
      <c r="DO345" s="19"/>
      <c r="DP345" s="19"/>
      <c r="DQ345" s="19"/>
      <c r="DR345" s="19"/>
      <c r="DS345" s="19"/>
      <c r="DT345" s="19"/>
      <c r="DU345" s="19"/>
      <c r="DV345" s="19"/>
      <c r="DW345" s="19"/>
      <c r="DX345" s="19"/>
      <c r="DY345" s="19"/>
      <c r="DZ345" s="19"/>
      <c r="EA345" s="19"/>
      <c r="EB345" s="19"/>
      <c r="EC345" s="19"/>
      <c r="ED345" s="19"/>
      <c r="EE345" s="19"/>
      <c r="EF345" s="19"/>
      <c r="EG345" s="19"/>
      <c r="EH345" s="19"/>
      <c r="EI345" s="19"/>
      <c r="EJ345" s="19"/>
      <c r="EK345" s="19"/>
      <c r="EL345" s="19"/>
      <c r="EM345" s="19"/>
      <c r="EN345" s="19"/>
      <c r="EO345" s="19"/>
      <c r="EP345" s="17"/>
      <c r="EQ345" s="23"/>
      <c r="ER345" s="23" t="str">
        <f t="shared" si="7"/>
        <v/>
      </c>
      <c r="ES345" s="19"/>
      <c r="ET345" s="19" t="str">
        <f t="shared" si="8"/>
        <v/>
      </c>
      <c r="EU345" s="19"/>
      <c r="EV345" s="19"/>
      <c r="EW345" s="19"/>
      <c r="EX345" s="19"/>
      <c r="EY345" s="19"/>
      <c r="EZ345" s="19"/>
      <c r="FA345" s="19"/>
      <c r="FB345" s="19"/>
    </row>
    <row r="346" ht="15.75" customHeight="1">
      <c r="A346" s="19"/>
      <c r="F346" s="19"/>
      <c r="AH346" s="23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  <c r="CD346" s="19"/>
      <c r="CE346" s="19"/>
      <c r="CF346" s="19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19"/>
      <c r="CW346" s="19"/>
      <c r="CX346" s="19"/>
      <c r="CY346" s="19"/>
      <c r="CZ346" s="19"/>
      <c r="DA346" s="19"/>
      <c r="DB346" s="19"/>
      <c r="DC346" s="19"/>
      <c r="DD346" s="19"/>
      <c r="DE346" s="19"/>
      <c r="DF346" s="19"/>
      <c r="DG346" s="19"/>
      <c r="DH346" s="19"/>
      <c r="DI346" s="19"/>
      <c r="DJ346" s="19"/>
      <c r="DK346" s="19"/>
      <c r="DL346" s="19"/>
      <c r="DM346" s="19"/>
      <c r="DN346" s="19"/>
      <c r="DO346" s="19"/>
      <c r="DP346" s="19"/>
      <c r="DQ346" s="19"/>
      <c r="DR346" s="19"/>
      <c r="DS346" s="19"/>
      <c r="DT346" s="19"/>
      <c r="DU346" s="19"/>
      <c r="DV346" s="19"/>
      <c r="DW346" s="19"/>
      <c r="DX346" s="19"/>
      <c r="DY346" s="19"/>
      <c r="DZ346" s="19"/>
      <c r="EA346" s="19"/>
      <c r="EB346" s="19"/>
      <c r="EC346" s="19"/>
      <c r="ED346" s="19"/>
      <c r="EE346" s="19"/>
      <c r="EF346" s="19"/>
      <c r="EG346" s="19"/>
      <c r="EH346" s="19"/>
      <c r="EI346" s="19"/>
      <c r="EJ346" s="19"/>
      <c r="EK346" s="19"/>
      <c r="EL346" s="19"/>
      <c r="EM346" s="19"/>
      <c r="EN346" s="19"/>
      <c r="EO346" s="19"/>
      <c r="EP346" s="17"/>
      <c r="EQ346" s="23"/>
      <c r="ER346" s="23" t="str">
        <f t="shared" si="7"/>
        <v/>
      </c>
      <c r="ES346" s="19"/>
      <c r="ET346" s="19" t="str">
        <f t="shared" si="8"/>
        <v/>
      </c>
      <c r="EU346" s="19"/>
      <c r="EV346" s="19"/>
      <c r="EW346" s="19"/>
      <c r="EX346" s="19"/>
      <c r="EY346" s="19"/>
      <c r="EZ346" s="19"/>
      <c r="FA346" s="19"/>
      <c r="FB346" s="19"/>
    </row>
    <row r="347" ht="15.75" customHeight="1">
      <c r="A347" s="19"/>
      <c r="F347" s="19"/>
      <c r="AH347" s="23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7"/>
      <c r="EQ347" s="23"/>
      <c r="ER347" s="23" t="str">
        <f t="shared" si="7"/>
        <v/>
      </c>
      <c r="ES347" s="19"/>
      <c r="ET347" s="19" t="str">
        <f t="shared" si="8"/>
        <v/>
      </c>
      <c r="EU347" s="19"/>
      <c r="EV347" s="19"/>
      <c r="EW347" s="19"/>
      <c r="EX347" s="19"/>
      <c r="EY347" s="19"/>
      <c r="EZ347" s="19"/>
      <c r="FA347" s="19"/>
      <c r="FB347" s="19"/>
    </row>
    <row r="348" ht="15.75" customHeight="1">
      <c r="A348" s="19"/>
      <c r="F348" s="19"/>
      <c r="AH348" s="23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  <c r="CD348" s="19"/>
      <c r="CE348" s="19"/>
      <c r="CF348" s="19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19"/>
      <c r="CW348" s="19"/>
      <c r="CX348" s="19"/>
      <c r="CY348" s="19"/>
      <c r="CZ348" s="19"/>
      <c r="DA348" s="19"/>
      <c r="DB348" s="19"/>
      <c r="DC348" s="19"/>
      <c r="DD348" s="19"/>
      <c r="DE348" s="19"/>
      <c r="DF348" s="19"/>
      <c r="DG348" s="19"/>
      <c r="DH348" s="19"/>
      <c r="DI348" s="19"/>
      <c r="DJ348" s="19"/>
      <c r="DK348" s="19"/>
      <c r="DL348" s="19"/>
      <c r="DM348" s="19"/>
      <c r="DN348" s="19"/>
      <c r="DO348" s="19"/>
      <c r="DP348" s="19"/>
      <c r="DQ348" s="19"/>
      <c r="DR348" s="19"/>
      <c r="DS348" s="19"/>
      <c r="DT348" s="19"/>
      <c r="DU348" s="19"/>
      <c r="DV348" s="19"/>
      <c r="DW348" s="19"/>
      <c r="DX348" s="19"/>
      <c r="DY348" s="19"/>
      <c r="DZ348" s="19"/>
      <c r="EA348" s="19"/>
      <c r="EB348" s="19"/>
      <c r="EC348" s="19"/>
      <c r="ED348" s="19"/>
      <c r="EE348" s="19"/>
      <c r="EF348" s="19"/>
      <c r="EG348" s="19"/>
      <c r="EH348" s="19"/>
      <c r="EI348" s="19"/>
      <c r="EJ348" s="19"/>
      <c r="EK348" s="19"/>
      <c r="EL348" s="19"/>
      <c r="EM348" s="19"/>
      <c r="EN348" s="19"/>
      <c r="EO348" s="19"/>
      <c r="EP348" s="17"/>
      <c r="EQ348" s="23"/>
      <c r="ER348" s="23" t="str">
        <f t="shared" si="7"/>
        <v/>
      </c>
      <c r="ES348" s="19"/>
      <c r="ET348" s="19" t="str">
        <f t="shared" si="8"/>
        <v/>
      </c>
      <c r="EU348" s="19"/>
      <c r="EV348" s="19"/>
      <c r="EW348" s="19"/>
      <c r="EX348" s="19"/>
      <c r="EY348" s="19"/>
      <c r="EZ348" s="19"/>
      <c r="FA348" s="19"/>
      <c r="FB348" s="19"/>
    </row>
    <row r="349" ht="15.75" customHeight="1">
      <c r="A349" s="19"/>
      <c r="F349" s="19"/>
      <c r="AH349" s="23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  <c r="CD349" s="19"/>
      <c r="CE349" s="19"/>
      <c r="CF349" s="19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19"/>
      <c r="CW349" s="19"/>
      <c r="CX349" s="19"/>
      <c r="CY349" s="19"/>
      <c r="CZ349" s="19"/>
      <c r="DA349" s="19"/>
      <c r="DB349" s="19"/>
      <c r="DC349" s="19"/>
      <c r="DD349" s="19"/>
      <c r="DE349" s="19"/>
      <c r="DF349" s="19"/>
      <c r="DG349" s="19"/>
      <c r="DH349" s="19"/>
      <c r="DI349" s="19"/>
      <c r="DJ349" s="19"/>
      <c r="DK349" s="19"/>
      <c r="DL349" s="19"/>
      <c r="DM349" s="19"/>
      <c r="DN349" s="19"/>
      <c r="DO349" s="19"/>
      <c r="DP349" s="19"/>
      <c r="DQ349" s="19"/>
      <c r="DR349" s="19"/>
      <c r="DS349" s="19"/>
      <c r="DT349" s="19"/>
      <c r="DU349" s="19"/>
      <c r="DV349" s="19"/>
      <c r="DW349" s="19"/>
      <c r="DX349" s="19"/>
      <c r="DY349" s="19"/>
      <c r="DZ349" s="19"/>
      <c r="EA349" s="19"/>
      <c r="EB349" s="19"/>
      <c r="EC349" s="19"/>
      <c r="ED349" s="19"/>
      <c r="EE349" s="19"/>
      <c r="EF349" s="19"/>
      <c r="EG349" s="19"/>
      <c r="EH349" s="19"/>
      <c r="EI349" s="19"/>
      <c r="EJ349" s="19"/>
      <c r="EK349" s="19"/>
      <c r="EL349" s="19"/>
      <c r="EM349" s="19"/>
      <c r="EN349" s="19"/>
      <c r="EO349" s="19"/>
      <c r="EP349" s="17"/>
      <c r="EQ349" s="23"/>
      <c r="ER349" s="23" t="str">
        <f t="shared" si="7"/>
        <v/>
      </c>
      <c r="ES349" s="19"/>
      <c r="ET349" s="19" t="str">
        <f t="shared" si="8"/>
        <v/>
      </c>
      <c r="EU349" s="19"/>
      <c r="EV349" s="19"/>
      <c r="EW349" s="19"/>
      <c r="EX349" s="19"/>
      <c r="EY349" s="19"/>
      <c r="EZ349" s="19"/>
      <c r="FA349" s="19"/>
      <c r="FB349" s="19"/>
    </row>
    <row r="350" ht="15.75" customHeight="1">
      <c r="A350" s="19"/>
      <c r="F350" s="19"/>
      <c r="AH350" s="23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  <c r="CD350" s="19"/>
      <c r="CE350" s="19"/>
      <c r="CF350" s="19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19"/>
      <c r="CW350" s="19"/>
      <c r="CX350" s="19"/>
      <c r="CY350" s="19"/>
      <c r="CZ350" s="19"/>
      <c r="DA350" s="19"/>
      <c r="DB350" s="19"/>
      <c r="DC350" s="19"/>
      <c r="DD350" s="19"/>
      <c r="DE350" s="19"/>
      <c r="DF350" s="19"/>
      <c r="DG350" s="19"/>
      <c r="DH350" s="19"/>
      <c r="DI350" s="19"/>
      <c r="DJ350" s="19"/>
      <c r="DK350" s="19"/>
      <c r="DL350" s="19"/>
      <c r="DM350" s="19"/>
      <c r="DN350" s="19"/>
      <c r="DO350" s="19"/>
      <c r="DP350" s="19"/>
      <c r="DQ350" s="19"/>
      <c r="DR350" s="19"/>
      <c r="DS350" s="19"/>
      <c r="DT350" s="19"/>
      <c r="DU350" s="19"/>
      <c r="DV350" s="19"/>
      <c r="DW350" s="19"/>
      <c r="DX350" s="19"/>
      <c r="DY350" s="19"/>
      <c r="DZ350" s="19"/>
      <c r="EA350" s="19"/>
      <c r="EB350" s="19"/>
      <c r="EC350" s="19"/>
      <c r="ED350" s="19"/>
      <c r="EE350" s="19"/>
      <c r="EF350" s="19"/>
      <c r="EG350" s="19"/>
      <c r="EH350" s="19"/>
      <c r="EI350" s="19"/>
      <c r="EJ350" s="19"/>
      <c r="EK350" s="19"/>
      <c r="EL350" s="19"/>
      <c r="EM350" s="19"/>
      <c r="EN350" s="19"/>
      <c r="EO350" s="19"/>
      <c r="EP350" s="17"/>
      <c r="EQ350" s="23"/>
      <c r="ER350" s="23" t="str">
        <f t="shared" si="7"/>
        <v/>
      </c>
      <c r="ES350" s="19"/>
      <c r="ET350" s="19" t="str">
        <f t="shared" si="8"/>
        <v/>
      </c>
      <c r="EU350" s="19"/>
      <c r="EV350" s="19"/>
      <c r="EW350" s="19"/>
      <c r="EX350" s="19"/>
      <c r="EY350" s="19"/>
      <c r="EZ350" s="19"/>
      <c r="FA350" s="19"/>
      <c r="FB350" s="19"/>
    </row>
    <row r="351" ht="15.75" customHeight="1">
      <c r="A351" s="19"/>
      <c r="F351" s="19"/>
      <c r="AH351" s="23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  <c r="CD351" s="19"/>
      <c r="CE351" s="19"/>
      <c r="CF351" s="19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19"/>
      <c r="CW351" s="19"/>
      <c r="CX351" s="19"/>
      <c r="CY351" s="19"/>
      <c r="CZ351" s="19"/>
      <c r="DA351" s="19"/>
      <c r="DB351" s="19"/>
      <c r="DC351" s="19"/>
      <c r="DD351" s="19"/>
      <c r="DE351" s="19"/>
      <c r="DF351" s="19"/>
      <c r="DG351" s="19"/>
      <c r="DH351" s="19"/>
      <c r="DI351" s="19"/>
      <c r="DJ351" s="19"/>
      <c r="DK351" s="19"/>
      <c r="DL351" s="19"/>
      <c r="DM351" s="19"/>
      <c r="DN351" s="19"/>
      <c r="DO351" s="19"/>
      <c r="DP351" s="19"/>
      <c r="DQ351" s="19"/>
      <c r="DR351" s="19"/>
      <c r="DS351" s="19"/>
      <c r="DT351" s="19"/>
      <c r="DU351" s="19"/>
      <c r="DV351" s="19"/>
      <c r="DW351" s="19"/>
      <c r="DX351" s="19"/>
      <c r="DY351" s="19"/>
      <c r="DZ351" s="19"/>
      <c r="EA351" s="19"/>
      <c r="EB351" s="19"/>
      <c r="EC351" s="19"/>
      <c r="ED351" s="19"/>
      <c r="EE351" s="19"/>
      <c r="EF351" s="19"/>
      <c r="EG351" s="19"/>
      <c r="EH351" s="19"/>
      <c r="EI351" s="19"/>
      <c r="EJ351" s="19"/>
      <c r="EK351" s="19"/>
      <c r="EL351" s="19"/>
      <c r="EM351" s="19"/>
      <c r="EN351" s="19"/>
      <c r="EO351" s="19"/>
      <c r="EP351" s="17"/>
      <c r="EQ351" s="23"/>
      <c r="ER351" s="23" t="str">
        <f t="shared" si="7"/>
        <v/>
      </c>
      <c r="ES351" s="19"/>
      <c r="ET351" s="19" t="str">
        <f t="shared" si="8"/>
        <v/>
      </c>
      <c r="EU351" s="19"/>
      <c r="EV351" s="19"/>
      <c r="EW351" s="19"/>
      <c r="EX351" s="19"/>
      <c r="EY351" s="19"/>
      <c r="EZ351" s="19"/>
      <c r="FA351" s="19"/>
      <c r="FB351" s="19"/>
    </row>
    <row r="352" ht="15.75" customHeight="1">
      <c r="A352" s="19"/>
      <c r="F352" s="19"/>
      <c r="AH352" s="23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  <c r="CD352" s="19"/>
      <c r="CE352" s="19"/>
      <c r="CF352" s="19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19"/>
      <c r="CW352" s="19"/>
      <c r="CX352" s="19"/>
      <c r="CY352" s="19"/>
      <c r="CZ352" s="19"/>
      <c r="DA352" s="19"/>
      <c r="DB352" s="19"/>
      <c r="DC352" s="19"/>
      <c r="DD352" s="19"/>
      <c r="DE352" s="19"/>
      <c r="DF352" s="19"/>
      <c r="DG352" s="19"/>
      <c r="DH352" s="19"/>
      <c r="DI352" s="19"/>
      <c r="DJ352" s="19"/>
      <c r="DK352" s="19"/>
      <c r="DL352" s="19"/>
      <c r="DM352" s="19"/>
      <c r="DN352" s="19"/>
      <c r="DO352" s="19"/>
      <c r="DP352" s="19"/>
      <c r="DQ352" s="19"/>
      <c r="DR352" s="19"/>
      <c r="DS352" s="19"/>
      <c r="DT352" s="19"/>
      <c r="DU352" s="19"/>
      <c r="DV352" s="19"/>
      <c r="DW352" s="19"/>
      <c r="DX352" s="19"/>
      <c r="DY352" s="19"/>
      <c r="DZ352" s="19"/>
      <c r="EA352" s="19"/>
      <c r="EB352" s="19"/>
      <c r="EC352" s="19"/>
      <c r="ED352" s="19"/>
      <c r="EE352" s="19"/>
      <c r="EF352" s="19"/>
      <c r="EG352" s="19"/>
      <c r="EH352" s="19"/>
      <c r="EI352" s="19"/>
      <c r="EJ352" s="19"/>
      <c r="EK352" s="19"/>
      <c r="EL352" s="19"/>
      <c r="EM352" s="19"/>
      <c r="EN352" s="19"/>
      <c r="EO352" s="19"/>
      <c r="EP352" s="17"/>
      <c r="EQ352" s="23"/>
      <c r="ER352" s="23" t="str">
        <f t="shared" si="7"/>
        <v/>
      </c>
      <c r="ES352" s="19"/>
      <c r="ET352" s="19" t="str">
        <f t="shared" si="8"/>
        <v/>
      </c>
      <c r="EU352" s="19"/>
      <c r="EV352" s="19"/>
      <c r="EW352" s="19"/>
      <c r="EX352" s="19"/>
      <c r="EY352" s="19"/>
      <c r="EZ352" s="19"/>
      <c r="FA352" s="19"/>
      <c r="FB352" s="19"/>
    </row>
    <row r="353" ht="15.75" customHeight="1">
      <c r="A353" s="19"/>
      <c r="F353" s="19"/>
      <c r="AH353" s="23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  <c r="CD353" s="19"/>
      <c r="CE353" s="19"/>
      <c r="CF353" s="19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19"/>
      <c r="CW353" s="19"/>
      <c r="CX353" s="19"/>
      <c r="CY353" s="19"/>
      <c r="CZ353" s="19"/>
      <c r="DA353" s="19"/>
      <c r="DB353" s="19"/>
      <c r="DC353" s="19"/>
      <c r="DD353" s="19"/>
      <c r="DE353" s="19"/>
      <c r="DF353" s="19"/>
      <c r="DG353" s="19"/>
      <c r="DH353" s="19"/>
      <c r="DI353" s="19"/>
      <c r="DJ353" s="19"/>
      <c r="DK353" s="19"/>
      <c r="DL353" s="19"/>
      <c r="DM353" s="19"/>
      <c r="DN353" s="19"/>
      <c r="DO353" s="19"/>
      <c r="DP353" s="19"/>
      <c r="DQ353" s="19"/>
      <c r="DR353" s="19"/>
      <c r="DS353" s="19"/>
      <c r="DT353" s="19"/>
      <c r="DU353" s="19"/>
      <c r="DV353" s="19"/>
      <c r="DW353" s="19"/>
      <c r="DX353" s="19"/>
      <c r="DY353" s="19"/>
      <c r="DZ353" s="19"/>
      <c r="EA353" s="19"/>
      <c r="EB353" s="19"/>
      <c r="EC353" s="19"/>
      <c r="ED353" s="19"/>
      <c r="EE353" s="19"/>
      <c r="EF353" s="19"/>
      <c r="EG353" s="19"/>
      <c r="EH353" s="19"/>
      <c r="EI353" s="19"/>
      <c r="EJ353" s="19"/>
      <c r="EK353" s="19"/>
      <c r="EL353" s="19"/>
      <c r="EM353" s="19"/>
      <c r="EN353" s="19"/>
      <c r="EO353" s="19"/>
      <c r="EP353" s="17"/>
      <c r="EQ353" s="23"/>
      <c r="ER353" s="23" t="str">
        <f t="shared" si="7"/>
        <v/>
      </c>
      <c r="ES353" s="19"/>
      <c r="ET353" s="19" t="str">
        <f t="shared" si="8"/>
        <v/>
      </c>
      <c r="EU353" s="19"/>
      <c r="EV353" s="19"/>
      <c r="EW353" s="19"/>
      <c r="EX353" s="19"/>
      <c r="EY353" s="19"/>
      <c r="EZ353" s="19"/>
      <c r="FA353" s="19"/>
      <c r="FB353" s="19"/>
    </row>
    <row r="354" ht="15.75" customHeight="1">
      <c r="A354" s="19"/>
      <c r="F354" s="19"/>
      <c r="AH354" s="23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  <c r="CD354" s="19"/>
      <c r="CE354" s="19"/>
      <c r="CF354" s="19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19"/>
      <c r="CW354" s="19"/>
      <c r="CX354" s="19"/>
      <c r="CY354" s="19"/>
      <c r="CZ354" s="19"/>
      <c r="DA354" s="19"/>
      <c r="DB354" s="19"/>
      <c r="DC354" s="19"/>
      <c r="DD354" s="19"/>
      <c r="DE354" s="19"/>
      <c r="DF354" s="19"/>
      <c r="DG354" s="19"/>
      <c r="DH354" s="19"/>
      <c r="DI354" s="19"/>
      <c r="DJ354" s="19"/>
      <c r="DK354" s="19"/>
      <c r="DL354" s="19"/>
      <c r="DM354" s="19"/>
      <c r="DN354" s="19"/>
      <c r="DO354" s="19"/>
      <c r="DP354" s="19"/>
      <c r="DQ354" s="19"/>
      <c r="DR354" s="19"/>
      <c r="DS354" s="19"/>
      <c r="DT354" s="19"/>
      <c r="DU354" s="19"/>
      <c r="DV354" s="19"/>
      <c r="DW354" s="19"/>
      <c r="DX354" s="19"/>
      <c r="DY354" s="19"/>
      <c r="DZ354" s="19"/>
      <c r="EA354" s="19"/>
      <c r="EB354" s="19"/>
      <c r="EC354" s="19"/>
      <c r="ED354" s="19"/>
      <c r="EE354" s="19"/>
      <c r="EF354" s="19"/>
      <c r="EG354" s="19"/>
      <c r="EH354" s="19"/>
      <c r="EI354" s="19"/>
      <c r="EJ354" s="19"/>
      <c r="EK354" s="19"/>
      <c r="EL354" s="19"/>
      <c r="EM354" s="19"/>
      <c r="EN354" s="19"/>
      <c r="EO354" s="19"/>
      <c r="EP354" s="17"/>
      <c r="EQ354" s="23"/>
      <c r="ER354" s="23" t="str">
        <f t="shared" si="7"/>
        <v/>
      </c>
      <c r="ES354" s="19"/>
      <c r="ET354" s="19" t="str">
        <f t="shared" si="8"/>
        <v/>
      </c>
      <c r="EU354" s="19"/>
      <c r="EV354" s="19"/>
      <c r="EW354" s="19"/>
      <c r="EX354" s="19"/>
      <c r="EY354" s="19"/>
      <c r="EZ354" s="19"/>
      <c r="FA354" s="19"/>
      <c r="FB354" s="19"/>
    </row>
    <row r="355" ht="15.75" customHeight="1">
      <c r="A355" s="19"/>
      <c r="F355" s="19"/>
      <c r="AH355" s="23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  <c r="CD355" s="19"/>
      <c r="CE355" s="19"/>
      <c r="CF355" s="19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19"/>
      <c r="CW355" s="19"/>
      <c r="CX355" s="19"/>
      <c r="CY355" s="19"/>
      <c r="CZ355" s="19"/>
      <c r="DA355" s="19"/>
      <c r="DB355" s="19"/>
      <c r="DC355" s="19"/>
      <c r="DD355" s="19"/>
      <c r="DE355" s="19"/>
      <c r="DF355" s="19"/>
      <c r="DG355" s="19"/>
      <c r="DH355" s="19"/>
      <c r="DI355" s="19"/>
      <c r="DJ355" s="19"/>
      <c r="DK355" s="19"/>
      <c r="DL355" s="19"/>
      <c r="DM355" s="19"/>
      <c r="DN355" s="19"/>
      <c r="DO355" s="19"/>
      <c r="DP355" s="19"/>
      <c r="DQ355" s="19"/>
      <c r="DR355" s="19"/>
      <c r="DS355" s="19"/>
      <c r="DT355" s="19"/>
      <c r="DU355" s="19"/>
      <c r="DV355" s="19"/>
      <c r="DW355" s="19"/>
      <c r="DX355" s="19"/>
      <c r="DY355" s="19"/>
      <c r="DZ355" s="19"/>
      <c r="EA355" s="19"/>
      <c r="EB355" s="19"/>
      <c r="EC355" s="19"/>
      <c r="ED355" s="19"/>
      <c r="EE355" s="19"/>
      <c r="EF355" s="19"/>
      <c r="EG355" s="19"/>
      <c r="EH355" s="19"/>
      <c r="EI355" s="19"/>
      <c r="EJ355" s="19"/>
      <c r="EK355" s="19"/>
      <c r="EL355" s="19"/>
      <c r="EM355" s="19"/>
      <c r="EN355" s="19"/>
      <c r="EO355" s="19"/>
      <c r="EP355" s="17"/>
      <c r="EQ355" s="23"/>
      <c r="ER355" s="23" t="str">
        <f t="shared" si="7"/>
        <v/>
      </c>
      <c r="ES355" s="19"/>
      <c r="ET355" s="19" t="str">
        <f t="shared" si="8"/>
        <v/>
      </c>
      <c r="EU355" s="19"/>
      <c r="EV355" s="19"/>
      <c r="EW355" s="19"/>
      <c r="EX355" s="19"/>
      <c r="EY355" s="19"/>
      <c r="EZ355" s="19"/>
      <c r="FA355" s="19"/>
      <c r="FB355" s="19"/>
    </row>
    <row r="356" ht="15.75" customHeight="1">
      <c r="A356" s="19"/>
      <c r="F356" s="19"/>
      <c r="AH356" s="23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  <c r="CD356" s="19"/>
      <c r="CE356" s="19"/>
      <c r="CF356" s="19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19"/>
      <c r="CW356" s="19"/>
      <c r="CX356" s="19"/>
      <c r="CY356" s="19"/>
      <c r="CZ356" s="19"/>
      <c r="DA356" s="19"/>
      <c r="DB356" s="19"/>
      <c r="DC356" s="19"/>
      <c r="DD356" s="19"/>
      <c r="DE356" s="19"/>
      <c r="DF356" s="19"/>
      <c r="DG356" s="19"/>
      <c r="DH356" s="19"/>
      <c r="DI356" s="19"/>
      <c r="DJ356" s="19"/>
      <c r="DK356" s="19"/>
      <c r="DL356" s="19"/>
      <c r="DM356" s="19"/>
      <c r="DN356" s="19"/>
      <c r="DO356" s="19"/>
      <c r="DP356" s="19"/>
      <c r="DQ356" s="19"/>
      <c r="DR356" s="19"/>
      <c r="DS356" s="19"/>
      <c r="DT356" s="19"/>
      <c r="DU356" s="19"/>
      <c r="DV356" s="19"/>
      <c r="DW356" s="19"/>
      <c r="DX356" s="19"/>
      <c r="DY356" s="19"/>
      <c r="DZ356" s="19"/>
      <c r="EA356" s="19"/>
      <c r="EB356" s="19"/>
      <c r="EC356" s="19"/>
      <c r="ED356" s="19"/>
      <c r="EE356" s="19"/>
      <c r="EF356" s="19"/>
      <c r="EG356" s="19"/>
      <c r="EH356" s="19"/>
      <c r="EI356" s="19"/>
      <c r="EJ356" s="19"/>
      <c r="EK356" s="19"/>
      <c r="EL356" s="19"/>
      <c r="EM356" s="19"/>
      <c r="EN356" s="19"/>
      <c r="EO356" s="19"/>
      <c r="EP356" s="17"/>
      <c r="EQ356" s="23"/>
      <c r="ER356" s="23" t="str">
        <f t="shared" si="7"/>
        <v/>
      </c>
      <c r="ES356" s="19"/>
      <c r="ET356" s="19" t="str">
        <f t="shared" si="8"/>
        <v/>
      </c>
      <c r="EU356" s="19"/>
      <c r="EV356" s="19"/>
      <c r="EW356" s="19"/>
      <c r="EX356" s="19"/>
      <c r="EY356" s="19"/>
      <c r="EZ356" s="19"/>
      <c r="FA356" s="19"/>
      <c r="FB356" s="19"/>
    </row>
    <row r="357" ht="15.75" customHeight="1">
      <c r="A357" s="19"/>
      <c r="F357" s="19"/>
      <c r="AH357" s="23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  <c r="CD357" s="19"/>
      <c r="CE357" s="19"/>
      <c r="CF357" s="19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19"/>
      <c r="CW357" s="19"/>
      <c r="CX357" s="19"/>
      <c r="CY357" s="19"/>
      <c r="CZ357" s="19"/>
      <c r="DA357" s="19"/>
      <c r="DB357" s="19"/>
      <c r="DC357" s="19"/>
      <c r="DD357" s="19"/>
      <c r="DE357" s="19"/>
      <c r="DF357" s="19"/>
      <c r="DG357" s="19"/>
      <c r="DH357" s="19"/>
      <c r="DI357" s="19"/>
      <c r="DJ357" s="19"/>
      <c r="DK357" s="19"/>
      <c r="DL357" s="19"/>
      <c r="DM357" s="19"/>
      <c r="DN357" s="19"/>
      <c r="DO357" s="19"/>
      <c r="DP357" s="19"/>
      <c r="DQ357" s="19"/>
      <c r="DR357" s="19"/>
      <c r="DS357" s="19"/>
      <c r="DT357" s="19"/>
      <c r="DU357" s="19"/>
      <c r="DV357" s="19"/>
      <c r="DW357" s="19"/>
      <c r="DX357" s="19"/>
      <c r="DY357" s="19"/>
      <c r="DZ357" s="19"/>
      <c r="EA357" s="19"/>
      <c r="EB357" s="19"/>
      <c r="EC357" s="19"/>
      <c r="ED357" s="19"/>
      <c r="EE357" s="19"/>
      <c r="EF357" s="19"/>
      <c r="EG357" s="19"/>
      <c r="EH357" s="19"/>
      <c r="EI357" s="19"/>
      <c r="EJ357" s="19"/>
      <c r="EK357" s="19"/>
      <c r="EL357" s="19"/>
      <c r="EM357" s="19"/>
      <c r="EN357" s="19"/>
      <c r="EO357" s="19"/>
      <c r="EP357" s="17"/>
      <c r="EQ357" s="23"/>
      <c r="ER357" s="23" t="str">
        <f t="shared" si="7"/>
        <v/>
      </c>
      <c r="ES357" s="19"/>
      <c r="ET357" s="19" t="str">
        <f t="shared" si="8"/>
        <v/>
      </c>
      <c r="EU357" s="19"/>
      <c r="EV357" s="19"/>
      <c r="EW357" s="19"/>
      <c r="EX357" s="19"/>
      <c r="EY357" s="19"/>
      <c r="EZ357" s="19"/>
      <c r="FA357" s="19"/>
      <c r="FB357" s="19"/>
    </row>
    <row r="358" ht="15.75" customHeight="1">
      <c r="A358" s="19"/>
      <c r="F358" s="19"/>
      <c r="AH358" s="23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7"/>
      <c r="EQ358" s="23"/>
      <c r="ER358" s="23" t="str">
        <f t="shared" si="7"/>
        <v/>
      </c>
      <c r="ES358" s="19"/>
      <c r="ET358" s="19" t="str">
        <f t="shared" si="8"/>
        <v/>
      </c>
      <c r="EU358" s="19"/>
      <c r="EV358" s="19"/>
      <c r="EW358" s="19"/>
      <c r="EX358" s="19"/>
      <c r="EY358" s="19"/>
      <c r="EZ358" s="19"/>
      <c r="FA358" s="19"/>
      <c r="FB358" s="19"/>
    </row>
    <row r="359" ht="15.75" customHeight="1">
      <c r="A359" s="19"/>
      <c r="F359" s="19"/>
      <c r="AH359" s="23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  <c r="CD359" s="19"/>
      <c r="CE359" s="19"/>
      <c r="CF359" s="19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19"/>
      <c r="CW359" s="19"/>
      <c r="CX359" s="19"/>
      <c r="CY359" s="19"/>
      <c r="CZ359" s="19"/>
      <c r="DA359" s="19"/>
      <c r="DB359" s="19"/>
      <c r="DC359" s="19"/>
      <c r="DD359" s="19"/>
      <c r="DE359" s="19"/>
      <c r="DF359" s="19"/>
      <c r="DG359" s="19"/>
      <c r="DH359" s="19"/>
      <c r="DI359" s="19"/>
      <c r="DJ359" s="19"/>
      <c r="DK359" s="19"/>
      <c r="DL359" s="19"/>
      <c r="DM359" s="19"/>
      <c r="DN359" s="19"/>
      <c r="DO359" s="19"/>
      <c r="DP359" s="19"/>
      <c r="DQ359" s="19"/>
      <c r="DR359" s="19"/>
      <c r="DS359" s="19"/>
      <c r="DT359" s="19"/>
      <c r="DU359" s="19"/>
      <c r="DV359" s="19"/>
      <c r="DW359" s="19"/>
      <c r="DX359" s="19"/>
      <c r="DY359" s="19"/>
      <c r="DZ359" s="19"/>
      <c r="EA359" s="19"/>
      <c r="EB359" s="19"/>
      <c r="EC359" s="19"/>
      <c r="ED359" s="19"/>
      <c r="EE359" s="19"/>
      <c r="EF359" s="19"/>
      <c r="EG359" s="19"/>
      <c r="EH359" s="19"/>
      <c r="EI359" s="19"/>
      <c r="EJ359" s="19"/>
      <c r="EK359" s="19"/>
      <c r="EL359" s="19"/>
      <c r="EM359" s="19"/>
      <c r="EN359" s="19"/>
      <c r="EO359" s="19"/>
      <c r="EP359" s="17"/>
      <c r="EQ359" s="23"/>
      <c r="ER359" s="23" t="str">
        <f t="shared" si="7"/>
        <v/>
      </c>
      <c r="ES359" s="19"/>
      <c r="ET359" s="19" t="str">
        <f t="shared" si="8"/>
        <v/>
      </c>
      <c r="EU359" s="19"/>
      <c r="EV359" s="19"/>
      <c r="EW359" s="19"/>
      <c r="EX359" s="19"/>
      <c r="EY359" s="19"/>
      <c r="EZ359" s="19"/>
      <c r="FA359" s="19"/>
      <c r="FB359" s="19"/>
    </row>
    <row r="360" ht="15.75" customHeight="1">
      <c r="A360" s="19"/>
      <c r="F360" s="19"/>
      <c r="AH360" s="23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  <c r="CD360" s="19"/>
      <c r="CE360" s="19"/>
      <c r="CF360" s="19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19"/>
      <c r="CW360" s="19"/>
      <c r="CX360" s="19"/>
      <c r="CY360" s="19"/>
      <c r="CZ360" s="19"/>
      <c r="DA360" s="19"/>
      <c r="DB360" s="19"/>
      <c r="DC360" s="19"/>
      <c r="DD360" s="19"/>
      <c r="DE360" s="19"/>
      <c r="DF360" s="19"/>
      <c r="DG360" s="19"/>
      <c r="DH360" s="19"/>
      <c r="DI360" s="19"/>
      <c r="DJ360" s="19"/>
      <c r="DK360" s="19"/>
      <c r="DL360" s="19"/>
      <c r="DM360" s="19"/>
      <c r="DN360" s="19"/>
      <c r="DO360" s="19"/>
      <c r="DP360" s="19"/>
      <c r="DQ360" s="19"/>
      <c r="DR360" s="19"/>
      <c r="DS360" s="19"/>
      <c r="DT360" s="19"/>
      <c r="DU360" s="19"/>
      <c r="DV360" s="19"/>
      <c r="DW360" s="19"/>
      <c r="DX360" s="19"/>
      <c r="DY360" s="19"/>
      <c r="DZ360" s="19"/>
      <c r="EA360" s="19"/>
      <c r="EB360" s="19"/>
      <c r="EC360" s="19"/>
      <c r="ED360" s="19"/>
      <c r="EE360" s="19"/>
      <c r="EF360" s="19"/>
      <c r="EG360" s="19"/>
      <c r="EH360" s="19"/>
      <c r="EI360" s="19"/>
      <c r="EJ360" s="19"/>
      <c r="EK360" s="19"/>
      <c r="EL360" s="19"/>
      <c r="EM360" s="19"/>
      <c r="EN360" s="19"/>
      <c r="EO360" s="19"/>
      <c r="EP360" s="17"/>
      <c r="EQ360" s="23"/>
      <c r="ER360" s="23" t="str">
        <f t="shared" si="7"/>
        <v/>
      </c>
      <c r="ES360" s="19"/>
      <c r="ET360" s="19" t="str">
        <f t="shared" si="8"/>
        <v/>
      </c>
      <c r="EU360" s="19"/>
      <c r="EV360" s="19"/>
      <c r="EW360" s="19"/>
      <c r="EX360" s="19"/>
      <c r="EY360" s="19"/>
      <c r="EZ360" s="19"/>
      <c r="FA360" s="19"/>
      <c r="FB360" s="19"/>
    </row>
    <row r="361" ht="15.75" customHeight="1">
      <c r="A361" s="19"/>
      <c r="F361" s="19"/>
      <c r="AH361" s="23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  <c r="CD361" s="19"/>
      <c r="CE361" s="19"/>
      <c r="CF361" s="19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19"/>
      <c r="CW361" s="19"/>
      <c r="CX361" s="19"/>
      <c r="CY361" s="19"/>
      <c r="CZ361" s="19"/>
      <c r="DA361" s="19"/>
      <c r="DB361" s="19"/>
      <c r="DC361" s="19"/>
      <c r="DD361" s="19"/>
      <c r="DE361" s="19"/>
      <c r="DF361" s="19"/>
      <c r="DG361" s="19"/>
      <c r="DH361" s="19"/>
      <c r="DI361" s="19"/>
      <c r="DJ361" s="19"/>
      <c r="DK361" s="19"/>
      <c r="DL361" s="19"/>
      <c r="DM361" s="19"/>
      <c r="DN361" s="19"/>
      <c r="DO361" s="19"/>
      <c r="DP361" s="19"/>
      <c r="DQ361" s="19"/>
      <c r="DR361" s="19"/>
      <c r="DS361" s="19"/>
      <c r="DT361" s="19"/>
      <c r="DU361" s="19"/>
      <c r="DV361" s="19"/>
      <c r="DW361" s="19"/>
      <c r="DX361" s="19"/>
      <c r="DY361" s="19"/>
      <c r="DZ361" s="19"/>
      <c r="EA361" s="19"/>
      <c r="EB361" s="19"/>
      <c r="EC361" s="19"/>
      <c r="ED361" s="19"/>
      <c r="EE361" s="19"/>
      <c r="EF361" s="19"/>
      <c r="EG361" s="19"/>
      <c r="EH361" s="19"/>
      <c r="EI361" s="19"/>
      <c r="EJ361" s="19"/>
      <c r="EK361" s="19"/>
      <c r="EL361" s="19"/>
      <c r="EM361" s="19"/>
      <c r="EN361" s="19"/>
      <c r="EO361" s="19"/>
      <c r="EP361" s="17"/>
      <c r="EQ361" s="23"/>
      <c r="ER361" s="23" t="str">
        <f t="shared" si="7"/>
        <v/>
      </c>
      <c r="ES361" s="19"/>
      <c r="ET361" s="19" t="str">
        <f t="shared" si="8"/>
        <v/>
      </c>
      <c r="EU361" s="19"/>
      <c r="EV361" s="19"/>
      <c r="EW361" s="19"/>
      <c r="EX361" s="19"/>
      <c r="EY361" s="19"/>
      <c r="EZ361" s="19"/>
      <c r="FA361" s="19"/>
      <c r="FB361" s="19"/>
    </row>
    <row r="362" ht="15.75" customHeight="1">
      <c r="A362" s="19"/>
      <c r="F362" s="19"/>
      <c r="AH362" s="23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  <c r="CD362" s="19"/>
      <c r="CE362" s="19"/>
      <c r="CF362" s="19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19"/>
      <c r="CW362" s="19"/>
      <c r="CX362" s="19"/>
      <c r="CY362" s="19"/>
      <c r="CZ362" s="19"/>
      <c r="DA362" s="19"/>
      <c r="DB362" s="19"/>
      <c r="DC362" s="19"/>
      <c r="DD362" s="19"/>
      <c r="DE362" s="19"/>
      <c r="DF362" s="19"/>
      <c r="DG362" s="19"/>
      <c r="DH362" s="19"/>
      <c r="DI362" s="19"/>
      <c r="DJ362" s="19"/>
      <c r="DK362" s="19"/>
      <c r="DL362" s="19"/>
      <c r="DM362" s="19"/>
      <c r="DN362" s="19"/>
      <c r="DO362" s="19"/>
      <c r="DP362" s="19"/>
      <c r="DQ362" s="19"/>
      <c r="DR362" s="19"/>
      <c r="DS362" s="19"/>
      <c r="DT362" s="19"/>
      <c r="DU362" s="19"/>
      <c r="DV362" s="19"/>
      <c r="DW362" s="19"/>
      <c r="DX362" s="19"/>
      <c r="DY362" s="19"/>
      <c r="DZ362" s="19"/>
      <c r="EA362" s="19"/>
      <c r="EB362" s="19"/>
      <c r="EC362" s="19"/>
      <c r="ED362" s="19"/>
      <c r="EE362" s="19"/>
      <c r="EF362" s="19"/>
      <c r="EG362" s="19"/>
      <c r="EH362" s="19"/>
      <c r="EI362" s="19"/>
      <c r="EJ362" s="19"/>
      <c r="EK362" s="19"/>
      <c r="EL362" s="19"/>
      <c r="EM362" s="19"/>
      <c r="EN362" s="19"/>
      <c r="EO362" s="19"/>
      <c r="EP362" s="17"/>
      <c r="EQ362" s="23"/>
      <c r="ER362" s="23" t="str">
        <f t="shared" si="7"/>
        <v/>
      </c>
      <c r="ES362" s="19"/>
      <c r="ET362" s="19" t="str">
        <f t="shared" si="8"/>
        <v/>
      </c>
      <c r="EU362" s="19"/>
      <c r="EV362" s="19"/>
      <c r="EW362" s="19"/>
      <c r="EX362" s="19"/>
      <c r="EY362" s="19"/>
      <c r="EZ362" s="19"/>
      <c r="FA362" s="19"/>
      <c r="FB362" s="19"/>
    </row>
    <row r="363" ht="15.75" customHeight="1">
      <c r="A363" s="19"/>
      <c r="F363" s="19"/>
      <c r="AH363" s="23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  <c r="CD363" s="19"/>
      <c r="CE363" s="19"/>
      <c r="CF363" s="19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19"/>
      <c r="CW363" s="19"/>
      <c r="CX363" s="19"/>
      <c r="CY363" s="19"/>
      <c r="CZ363" s="19"/>
      <c r="DA363" s="19"/>
      <c r="DB363" s="19"/>
      <c r="DC363" s="19"/>
      <c r="DD363" s="19"/>
      <c r="DE363" s="19"/>
      <c r="DF363" s="19"/>
      <c r="DG363" s="19"/>
      <c r="DH363" s="19"/>
      <c r="DI363" s="19"/>
      <c r="DJ363" s="19"/>
      <c r="DK363" s="19"/>
      <c r="DL363" s="19"/>
      <c r="DM363" s="19"/>
      <c r="DN363" s="19"/>
      <c r="DO363" s="19"/>
      <c r="DP363" s="19"/>
      <c r="DQ363" s="19"/>
      <c r="DR363" s="19"/>
      <c r="DS363" s="19"/>
      <c r="DT363" s="19"/>
      <c r="DU363" s="19"/>
      <c r="DV363" s="19"/>
      <c r="DW363" s="19"/>
      <c r="DX363" s="19"/>
      <c r="DY363" s="19"/>
      <c r="DZ363" s="19"/>
      <c r="EA363" s="19"/>
      <c r="EB363" s="19"/>
      <c r="EC363" s="19"/>
      <c r="ED363" s="19"/>
      <c r="EE363" s="19"/>
      <c r="EF363" s="19"/>
      <c r="EG363" s="19"/>
      <c r="EH363" s="19"/>
      <c r="EI363" s="19"/>
      <c r="EJ363" s="19"/>
      <c r="EK363" s="19"/>
      <c r="EL363" s="19"/>
      <c r="EM363" s="19"/>
      <c r="EN363" s="19"/>
      <c r="EO363" s="19"/>
      <c r="EP363" s="17"/>
      <c r="EQ363" s="23"/>
      <c r="ER363" s="23" t="str">
        <f t="shared" si="7"/>
        <v/>
      </c>
      <c r="ES363" s="19"/>
      <c r="ET363" s="19" t="str">
        <f t="shared" si="8"/>
        <v/>
      </c>
      <c r="EU363" s="19"/>
      <c r="EV363" s="19"/>
      <c r="EW363" s="19"/>
      <c r="EX363" s="19"/>
      <c r="EY363" s="19"/>
      <c r="EZ363" s="19"/>
      <c r="FA363" s="19"/>
      <c r="FB363" s="19"/>
    </row>
    <row r="364" ht="15.75" customHeight="1">
      <c r="A364" s="19"/>
      <c r="F364" s="19"/>
      <c r="AH364" s="23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  <c r="CD364" s="19"/>
      <c r="CE364" s="19"/>
      <c r="CF364" s="19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19"/>
      <c r="CW364" s="19"/>
      <c r="CX364" s="19"/>
      <c r="CY364" s="19"/>
      <c r="CZ364" s="19"/>
      <c r="DA364" s="19"/>
      <c r="DB364" s="19"/>
      <c r="DC364" s="19"/>
      <c r="DD364" s="19"/>
      <c r="DE364" s="19"/>
      <c r="DF364" s="19"/>
      <c r="DG364" s="19"/>
      <c r="DH364" s="19"/>
      <c r="DI364" s="19"/>
      <c r="DJ364" s="19"/>
      <c r="DK364" s="19"/>
      <c r="DL364" s="19"/>
      <c r="DM364" s="19"/>
      <c r="DN364" s="19"/>
      <c r="DO364" s="19"/>
      <c r="DP364" s="19"/>
      <c r="DQ364" s="19"/>
      <c r="DR364" s="19"/>
      <c r="DS364" s="19"/>
      <c r="DT364" s="19"/>
      <c r="DU364" s="19"/>
      <c r="DV364" s="19"/>
      <c r="DW364" s="19"/>
      <c r="DX364" s="19"/>
      <c r="DY364" s="19"/>
      <c r="DZ364" s="19"/>
      <c r="EA364" s="19"/>
      <c r="EB364" s="19"/>
      <c r="EC364" s="19"/>
      <c r="ED364" s="19"/>
      <c r="EE364" s="19"/>
      <c r="EF364" s="19"/>
      <c r="EG364" s="19"/>
      <c r="EH364" s="19"/>
      <c r="EI364" s="19"/>
      <c r="EJ364" s="19"/>
      <c r="EK364" s="19"/>
      <c r="EL364" s="19"/>
      <c r="EM364" s="19"/>
      <c r="EN364" s="19"/>
      <c r="EO364" s="19"/>
      <c r="EP364" s="17"/>
      <c r="EQ364" s="23"/>
      <c r="ER364" s="23" t="str">
        <f t="shared" si="7"/>
        <v/>
      </c>
      <c r="ES364" s="19"/>
      <c r="ET364" s="19" t="str">
        <f t="shared" si="8"/>
        <v/>
      </c>
      <c r="EU364" s="19"/>
      <c r="EV364" s="19"/>
      <c r="EW364" s="19"/>
      <c r="EX364" s="19"/>
      <c r="EY364" s="19"/>
      <c r="EZ364" s="19"/>
      <c r="FA364" s="19"/>
      <c r="FB364" s="19"/>
    </row>
    <row r="365" ht="15.75" customHeight="1">
      <c r="A365" s="19"/>
      <c r="F365" s="19"/>
      <c r="AH365" s="23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  <c r="CD365" s="19"/>
      <c r="CE365" s="19"/>
      <c r="CF365" s="19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19"/>
      <c r="CW365" s="19"/>
      <c r="CX365" s="19"/>
      <c r="CY365" s="19"/>
      <c r="CZ365" s="19"/>
      <c r="DA365" s="19"/>
      <c r="DB365" s="19"/>
      <c r="DC365" s="19"/>
      <c r="DD365" s="19"/>
      <c r="DE365" s="19"/>
      <c r="DF365" s="19"/>
      <c r="DG365" s="19"/>
      <c r="DH365" s="19"/>
      <c r="DI365" s="19"/>
      <c r="DJ365" s="19"/>
      <c r="DK365" s="19"/>
      <c r="DL365" s="19"/>
      <c r="DM365" s="19"/>
      <c r="DN365" s="19"/>
      <c r="DO365" s="19"/>
      <c r="DP365" s="19"/>
      <c r="DQ365" s="19"/>
      <c r="DR365" s="19"/>
      <c r="DS365" s="19"/>
      <c r="DT365" s="19"/>
      <c r="DU365" s="19"/>
      <c r="DV365" s="19"/>
      <c r="DW365" s="19"/>
      <c r="DX365" s="19"/>
      <c r="DY365" s="19"/>
      <c r="DZ365" s="19"/>
      <c r="EA365" s="19"/>
      <c r="EB365" s="19"/>
      <c r="EC365" s="19"/>
      <c r="ED365" s="19"/>
      <c r="EE365" s="19"/>
      <c r="EF365" s="19"/>
      <c r="EG365" s="19"/>
      <c r="EH365" s="19"/>
      <c r="EI365" s="19"/>
      <c r="EJ365" s="19"/>
      <c r="EK365" s="19"/>
      <c r="EL365" s="19"/>
      <c r="EM365" s="19"/>
      <c r="EN365" s="19"/>
      <c r="EO365" s="19"/>
      <c r="EP365" s="17"/>
      <c r="EQ365" s="23"/>
      <c r="ER365" s="23" t="str">
        <f t="shared" si="7"/>
        <v/>
      </c>
      <c r="ES365" s="19"/>
      <c r="ET365" s="19" t="str">
        <f t="shared" si="8"/>
        <v/>
      </c>
      <c r="EU365" s="19"/>
      <c r="EV365" s="19"/>
      <c r="EW365" s="19"/>
      <c r="EX365" s="19"/>
      <c r="EY365" s="19"/>
      <c r="EZ365" s="19"/>
      <c r="FA365" s="19"/>
      <c r="FB365" s="19"/>
    </row>
    <row r="366" ht="15.75" customHeight="1">
      <c r="A366" s="19"/>
      <c r="F366" s="19"/>
      <c r="AH366" s="23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  <c r="CD366" s="19"/>
      <c r="CE366" s="19"/>
      <c r="CF366" s="19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19"/>
      <c r="CW366" s="19"/>
      <c r="CX366" s="19"/>
      <c r="CY366" s="19"/>
      <c r="CZ366" s="19"/>
      <c r="DA366" s="19"/>
      <c r="DB366" s="19"/>
      <c r="DC366" s="19"/>
      <c r="DD366" s="19"/>
      <c r="DE366" s="19"/>
      <c r="DF366" s="19"/>
      <c r="DG366" s="19"/>
      <c r="DH366" s="19"/>
      <c r="DI366" s="19"/>
      <c r="DJ366" s="19"/>
      <c r="DK366" s="19"/>
      <c r="DL366" s="19"/>
      <c r="DM366" s="19"/>
      <c r="DN366" s="19"/>
      <c r="DO366" s="19"/>
      <c r="DP366" s="19"/>
      <c r="DQ366" s="19"/>
      <c r="DR366" s="19"/>
      <c r="DS366" s="19"/>
      <c r="DT366" s="19"/>
      <c r="DU366" s="19"/>
      <c r="DV366" s="19"/>
      <c r="DW366" s="19"/>
      <c r="DX366" s="19"/>
      <c r="DY366" s="19"/>
      <c r="DZ366" s="19"/>
      <c r="EA366" s="19"/>
      <c r="EB366" s="19"/>
      <c r="EC366" s="19"/>
      <c r="ED366" s="19"/>
      <c r="EE366" s="19"/>
      <c r="EF366" s="19"/>
      <c r="EG366" s="19"/>
      <c r="EH366" s="19"/>
      <c r="EI366" s="19"/>
      <c r="EJ366" s="19"/>
      <c r="EK366" s="19"/>
      <c r="EL366" s="19"/>
      <c r="EM366" s="19"/>
      <c r="EN366" s="19"/>
      <c r="EO366" s="19"/>
      <c r="EP366" s="17"/>
      <c r="EQ366" s="23"/>
      <c r="ER366" s="23" t="str">
        <f t="shared" si="7"/>
        <v/>
      </c>
      <c r="ES366" s="19"/>
      <c r="ET366" s="19" t="str">
        <f t="shared" si="8"/>
        <v/>
      </c>
      <c r="EU366" s="19"/>
      <c r="EV366" s="19"/>
      <c r="EW366" s="19"/>
      <c r="EX366" s="19"/>
      <c r="EY366" s="19"/>
      <c r="EZ366" s="19"/>
      <c r="FA366" s="19"/>
      <c r="FB366" s="19"/>
    </row>
    <row r="367" ht="15.75" customHeight="1">
      <c r="A367" s="19"/>
      <c r="F367" s="19"/>
      <c r="AH367" s="23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  <c r="CD367" s="19"/>
      <c r="CE367" s="19"/>
      <c r="CF367" s="19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19"/>
      <c r="CW367" s="19"/>
      <c r="CX367" s="19"/>
      <c r="CY367" s="19"/>
      <c r="CZ367" s="19"/>
      <c r="DA367" s="19"/>
      <c r="DB367" s="19"/>
      <c r="DC367" s="19"/>
      <c r="DD367" s="19"/>
      <c r="DE367" s="19"/>
      <c r="DF367" s="19"/>
      <c r="DG367" s="19"/>
      <c r="DH367" s="19"/>
      <c r="DI367" s="19"/>
      <c r="DJ367" s="19"/>
      <c r="DK367" s="19"/>
      <c r="DL367" s="19"/>
      <c r="DM367" s="19"/>
      <c r="DN367" s="19"/>
      <c r="DO367" s="19"/>
      <c r="DP367" s="19"/>
      <c r="DQ367" s="19"/>
      <c r="DR367" s="19"/>
      <c r="DS367" s="19"/>
      <c r="DT367" s="19"/>
      <c r="DU367" s="19"/>
      <c r="DV367" s="19"/>
      <c r="DW367" s="19"/>
      <c r="DX367" s="19"/>
      <c r="DY367" s="19"/>
      <c r="DZ367" s="19"/>
      <c r="EA367" s="19"/>
      <c r="EB367" s="19"/>
      <c r="EC367" s="19"/>
      <c r="ED367" s="19"/>
      <c r="EE367" s="19"/>
      <c r="EF367" s="19"/>
      <c r="EG367" s="19"/>
      <c r="EH367" s="19"/>
      <c r="EI367" s="19"/>
      <c r="EJ367" s="19"/>
      <c r="EK367" s="19"/>
      <c r="EL367" s="19"/>
      <c r="EM367" s="19"/>
      <c r="EN367" s="19"/>
      <c r="EO367" s="19"/>
      <c r="EP367" s="17"/>
      <c r="EQ367" s="23"/>
      <c r="ER367" s="23" t="str">
        <f t="shared" si="7"/>
        <v/>
      </c>
      <c r="ES367" s="19"/>
      <c r="ET367" s="19" t="str">
        <f t="shared" si="8"/>
        <v/>
      </c>
      <c r="EU367" s="19"/>
      <c r="EV367" s="19"/>
      <c r="EW367" s="19"/>
      <c r="EX367" s="19"/>
      <c r="EY367" s="19"/>
      <c r="EZ367" s="19"/>
      <c r="FA367" s="19"/>
      <c r="FB367" s="19"/>
    </row>
    <row r="368" ht="15.75" customHeight="1">
      <c r="A368" s="19"/>
      <c r="F368" s="19"/>
      <c r="AH368" s="23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  <c r="CD368" s="19"/>
      <c r="CE368" s="19"/>
      <c r="CF368" s="19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19"/>
      <c r="CW368" s="19"/>
      <c r="CX368" s="19"/>
      <c r="CY368" s="19"/>
      <c r="CZ368" s="19"/>
      <c r="DA368" s="19"/>
      <c r="DB368" s="19"/>
      <c r="DC368" s="19"/>
      <c r="DD368" s="19"/>
      <c r="DE368" s="19"/>
      <c r="DF368" s="19"/>
      <c r="DG368" s="19"/>
      <c r="DH368" s="19"/>
      <c r="DI368" s="19"/>
      <c r="DJ368" s="19"/>
      <c r="DK368" s="19"/>
      <c r="DL368" s="19"/>
      <c r="DM368" s="19"/>
      <c r="DN368" s="19"/>
      <c r="DO368" s="19"/>
      <c r="DP368" s="19"/>
      <c r="DQ368" s="19"/>
      <c r="DR368" s="19"/>
      <c r="DS368" s="19"/>
      <c r="DT368" s="19"/>
      <c r="DU368" s="19"/>
      <c r="DV368" s="19"/>
      <c r="DW368" s="19"/>
      <c r="DX368" s="19"/>
      <c r="DY368" s="19"/>
      <c r="DZ368" s="19"/>
      <c r="EA368" s="19"/>
      <c r="EB368" s="19"/>
      <c r="EC368" s="19"/>
      <c r="ED368" s="19"/>
      <c r="EE368" s="19"/>
      <c r="EF368" s="19"/>
      <c r="EG368" s="19"/>
      <c r="EH368" s="19"/>
      <c r="EI368" s="19"/>
      <c r="EJ368" s="19"/>
      <c r="EK368" s="19"/>
      <c r="EL368" s="19"/>
      <c r="EM368" s="19"/>
      <c r="EN368" s="19"/>
      <c r="EO368" s="19"/>
      <c r="EP368" s="17"/>
      <c r="EQ368" s="23"/>
      <c r="ER368" s="23" t="str">
        <f t="shared" si="7"/>
        <v/>
      </c>
      <c r="ES368" s="19"/>
      <c r="ET368" s="19" t="str">
        <f t="shared" si="8"/>
        <v/>
      </c>
      <c r="EU368" s="19"/>
      <c r="EV368" s="19"/>
      <c r="EW368" s="19"/>
      <c r="EX368" s="19"/>
      <c r="EY368" s="19"/>
      <c r="EZ368" s="19"/>
      <c r="FA368" s="19"/>
      <c r="FB368" s="19"/>
    </row>
    <row r="369" ht="15.75" customHeight="1">
      <c r="A369" s="19"/>
      <c r="F369" s="19"/>
      <c r="AH369" s="23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7"/>
      <c r="EQ369" s="23"/>
      <c r="ER369" s="23" t="str">
        <f t="shared" si="7"/>
        <v/>
      </c>
      <c r="ES369" s="19"/>
      <c r="ET369" s="19" t="str">
        <f t="shared" si="8"/>
        <v/>
      </c>
      <c r="EU369" s="19"/>
      <c r="EV369" s="19"/>
      <c r="EW369" s="19"/>
      <c r="EX369" s="19"/>
      <c r="EY369" s="19"/>
      <c r="EZ369" s="19"/>
      <c r="FA369" s="19"/>
      <c r="FB369" s="19"/>
    </row>
    <row r="370" ht="15.75" customHeight="1">
      <c r="A370" s="19"/>
      <c r="F370" s="19"/>
      <c r="AH370" s="23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  <c r="CD370" s="19"/>
      <c r="CE370" s="19"/>
      <c r="CF370" s="19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19"/>
      <c r="CW370" s="19"/>
      <c r="CX370" s="19"/>
      <c r="CY370" s="19"/>
      <c r="CZ370" s="19"/>
      <c r="DA370" s="19"/>
      <c r="DB370" s="19"/>
      <c r="DC370" s="19"/>
      <c r="DD370" s="19"/>
      <c r="DE370" s="19"/>
      <c r="DF370" s="19"/>
      <c r="DG370" s="19"/>
      <c r="DH370" s="19"/>
      <c r="DI370" s="19"/>
      <c r="DJ370" s="19"/>
      <c r="DK370" s="19"/>
      <c r="DL370" s="19"/>
      <c r="DM370" s="19"/>
      <c r="DN370" s="19"/>
      <c r="DO370" s="19"/>
      <c r="DP370" s="19"/>
      <c r="DQ370" s="19"/>
      <c r="DR370" s="19"/>
      <c r="DS370" s="19"/>
      <c r="DT370" s="19"/>
      <c r="DU370" s="19"/>
      <c r="DV370" s="19"/>
      <c r="DW370" s="19"/>
      <c r="DX370" s="19"/>
      <c r="DY370" s="19"/>
      <c r="DZ370" s="19"/>
      <c r="EA370" s="19"/>
      <c r="EB370" s="19"/>
      <c r="EC370" s="19"/>
      <c r="ED370" s="19"/>
      <c r="EE370" s="19"/>
      <c r="EF370" s="19"/>
      <c r="EG370" s="19"/>
      <c r="EH370" s="19"/>
      <c r="EI370" s="19"/>
      <c r="EJ370" s="19"/>
      <c r="EK370" s="19"/>
      <c r="EL370" s="19"/>
      <c r="EM370" s="19"/>
      <c r="EN370" s="19"/>
      <c r="EO370" s="19"/>
      <c r="EP370" s="17"/>
      <c r="EQ370" s="23"/>
      <c r="ER370" s="23" t="str">
        <f t="shared" si="7"/>
        <v/>
      </c>
      <c r="ES370" s="19"/>
      <c r="ET370" s="19" t="str">
        <f t="shared" si="8"/>
        <v/>
      </c>
      <c r="EU370" s="19"/>
      <c r="EV370" s="19"/>
      <c r="EW370" s="19"/>
      <c r="EX370" s="19"/>
      <c r="EY370" s="19"/>
      <c r="EZ370" s="19"/>
      <c r="FA370" s="19"/>
      <c r="FB370" s="19"/>
    </row>
    <row r="371" ht="15.75" customHeight="1">
      <c r="A371" s="19"/>
      <c r="F371" s="19"/>
      <c r="AH371" s="23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  <c r="CD371" s="19"/>
      <c r="CE371" s="19"/>
      <c r="CF371" s="19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19"/>
      <c r="CW371" s="19"/>
      <c r="CX371" s="19"/>
      <c r="CY371" s="19"/>
      <c r="CZ371" s="19"/>
      <c r="DA371" s="19"/>
      <c r="DB371" s="19"/>
      <c r="DC371" s="19"/>
      <c r="DD371" s="19"/>
      <c r="DE371" s="19"/>
      <c r="DF371" s="19"/>
      <c r="DG371" s="19"/>
      <c r="DH371" s="19"/>
      <c r="DI371" s="19"/>
      <c r="DJ371" s="19"/>
      <c r="DK371" s="19"/>
      <c r="DL371" s="19"/>
      <c r="DM371" s="19"/>
      <c r="DN371" s="19"/>
      <c r="DO371" s="19"/>
      <c r="DP371" s="19"/>
      <c r="DQ371" s="19"/>
      <c r="DR371" s="19"/>
      <c r="DS371" s="19"/>
      <c r="DT371" s="19"/>
      <c r="DU371" s="19"/>
      <c r="DV371" s="19"/>
      <c r="DW371" s="19"/>
      <c r="DX371" s="19"/>
      <c r="DY371" s="19"/>
      <c r="DZ371" s="19"/>
      <c r="EA371" s="19"/>
      <c r="EB371" s="19"/>
      <c r="EC371" s="19"/>
      <c r="ED371" s="19"/>
      <c r="EE371" s="19"/>
      <c r="EF371" s="19"/>
      <c r="EG371" s="19"/>
      <c r="EH371" s="19"/>
      <c r="EI371" s="19"/>
      <c r="EJ371" s="19"/>
      <c r="EK371" s="19"/>
      <c r="EL371" s="19"/>
      <c r="EM371" s="19"/>
      <c r="EN371" s="19"/>
      <c r="EO371" s="19"/>
      <c r="EP371" s="17"/>
      <c r="EQ371" s="23"/>
      <c r="ER371" s="23" t="str">
        <f t="shared" si="7"/>
        <v/>
      </c>
      <c r="ES371" s="19"/>
      <c r="ET371" s="19" t="str">
        <f t="shared" si="8"/>
        <v/>
      </c>
      <c r="EU371" s="19"/>
      <c r="EV371" s="19"/>
      <c r="EW371" s="19"/>
      <c r="EX371" s="19"/>
      <c r="EY371" s="19"/>
      <c r="EZ371" s="19"/>
      <c r="FA371" s="19"/>
      <c r="FB371" s="19"/>
    </row>
    <row r="372" ht="15.75" customHeight="1">
      <c r="A372" s="19"/>
      <c r="F372" s="19"/>
      <c r="AH372" s="23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  <c r="CD372" s="19"/>
      <c r="CE372" s="19"/>
      <c r="CF372" s="19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19"/>
      <c r="CW372" s="19"/>
      <c r="CX372" s="19"/>
      <c r="CY372" s="19"/>
      <c r="CZ372" s="19"/>
      <c r="DA372" s="19"/>
      <c r="DB372" s="19"/>
      <c r="DC372" s="19"/>
      <c r="DD372" s="19"/>
      <c r="DE372" s="19"/>
      <c r="DF372" s="19"/>
      <c r="DG372" s="19"/>
      <c r="DH372" s="19"/>
      <c r="DI372" s="19"/>
      <c r="DJ372" s="19"/>
      <c r="DK372" s="19"/>
      <c r="DL372" s="19"/>
      <c r="DM372" s="19"/>
      <c r="DN372" s="19"/>
      <c r="DO372" s="19"/>
      <c r="DP372" s="19"/>
      <c r="DQ372" s="19"/>
      <c r="DR372" s="19"/>
      <c r="DS372" s="19"/>
      <c r="DT372" s="19"/>
      <c r="DU372" s="19"/>
      <c r="DV372" s="19"/>
      <c r="DW372" s="19"/>
      <c r="DX372" s="19"/>
      <c r="DY372" s="19"/>
      <c r="DZ372" s="19"/>
      <c r="EA372" s="19"/>
      <c r="EB372" s="19"/>
      <c r="EC372" s="19"/>
      <c r="ED372" s="19"/>
      <c r="EE372" s="19"/>
      <c r="EF372" s="19"/>
      <c r="EG372" s="19"/>
      <c r="EH372" s="19"/>
      <c r="EI372" s="19"/>
      <c r="EJ372" s="19"/>
      <c r="EK372" s="19"/>
      <c r="EL372" s="19"/>
      <c r="EM372" s="19"/>
      <c r="EN372" s="19"/>
      <c r="EO372" s="19"/>
      <c r="EP372" s="17"/>
      <c r="EQ372" s="23"/>
      <c r="ER372" s="23" t="str">
        <f t="shared" si="7"/>
        <v/>
      </c>
      <c r="ES372" s="19"/>
      <c r="ET372" s="19" t="str">
        <f t="shared" si="8"/>
        <v/>
      </c>
      <c r="EU372" s="19"/>
      <c r="EV372" s="19"/>
      <c r="EW372" s="19"/>
      <c r="EX372" s="19"/>
      <c r="EY372" s="19"/>
      <c r="EZ372" s="19"/>
      <c r="FA372" s="19"/>
      <c r="FB372" s="19"/>
    </row>
    <row r="373" ht="15.75" customHeight="1">
      <c r="A373" s="19"/>
      <c r="F373" s="19"/>
      <c r="AH373" s="23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  <c r="CD373" s="19"/>
      <c r="CE373" s="19"/>
      <c r="CF373" s="19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19"/>
      <c r="CW373" s="19"/>
      <c r="CX373" s="19"/>
      <c r="CY373" s="19"/>
      <c r="CZ373" s="19"/>
      <c r="DA373" s="19"/>
      <c r="DB373" s="19"/>
      <c r="DC373" s="19"/>
      <c r="DD373" s="19"/>
      <c r="DE373" s="19"/>
      <c r="DF373" s="19"/>
      <c r="DG373" s="19"/>
      <c r="DH373" s="19"/>
      <c r="DI373" s="19"/>
      <c r="DJ373" s="19"/>
      <c r="DK373" s="19"/>
      <c r="DL373" s="19"/>
      <c r="DM373" s="19"/>
      <c r="DN373" s="19"/>
      <c r="DO373" s="19"/>
      <c r="DP373" s="19"/>
      <c r="DQ373" s="19"/>
      <c r="DR373" s="19"/>
      <c r="DS373" s="19"/>
      <c r="DT373" s="19"/>
      <c r="DU373" s="19"/>
      <c r="DV373" s="19"/>
      <c r="DW373" s="19"/>
      <c r="DX373" s="19"/>
      <c r="DY373" s="19"/>
      <c r="DZ373" s="19"/>
      <c r="EA373" s="19"/>
      <c r="EB373" s="19"/>
      <c r="EC373" s="19"/>
      <c r="ED373" s="19"/>
      <c r="EE373" s="19"/>
      <c r="EF373" s="19"/>
      <c r="EG373" s="19"/>
      <c r="EH373" s="19"/>
      <c r="EI373" s="19"/>
      <c r="EJ373" s="19"/>
      <c r="EK373" s="19"/>
      <c r="EL373" s="19"/>
      <c r="EM373" s="19"/>
      <c r="EN373" s="19"/>
      <c r="EO373" s="19"/>
      <c r="EP373" s="17"/>
      <c r="EQ373" s="23"/>
      <c r="ER373" s="23" t="str">
        <f t="shared" si="7"/>
        <v/>
      </c>
      <c r="ES373" s="19"/>
      <c r="ET373" s="19" t="str">
        <f t="shared" si="8"/>
        <v/>
      </c>
      <c r="EU373" s="19"/>
      <c r="EV373" s="19"/>
      <c r="EW373" s="19"/>
      <c r="EX373" s="19"/>
      <c r="EY373" s="19"/>
      <c r="EZ373" s="19"/>
      <c r="FA373" s="19"/>
      <c r="FB373" s="19"/>
    </row>
    <row r="374" ht="15.75" customHeight="1">
      <c r="A374" s="19"/>
      <c r="F374" s="19"/>
      <c r="AH374" s="23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  <c r="CD374" s="19"/>
      <c r="CE374" s="19"/>
      <c r="CF374" s="19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19"/>
      <c r="CW374" s="19"/>
      <c r="CX374" s="19"/>
      <c r="CY374" s="19"/>
      <c r="CZ374" s="19"/>
      <c r="DA374" s="19"/>
      <c r="DB374" s="19"/>
      <c r="DC374" s="19"/>
      <c r="DD374" s="19"/>
      <c r="DE374" s="19"/>
      <c r="DF374" s="19"/>
      <c r="DG374" s="19"/>
      <c r="DH374" s="19"/>
      <c r="DI374" s="19"/>
      <c r="DJ374" s="19"/>
      <c r="DK374" s="19"/>
      <c r="DL374" s="19"/>
      <c r="DM374" s="19"/>
      <c r="DN374" s="19"/>
      <c r="DO374" s="19"/>
      <c r="DP374" s="19"/>
      <c r="DQ374" s="19"/>
      <c r="DR374" s="19"/>
      <c r="DS374" s="19"/>
      <c r="DT374" s="19"/>
      <c r="DU374" s="19"/>
      <c r="DV374" s="19"/>
      <c r="DW374" s="19"/>
      <c r="DX374" s="19"/>
      <c r="DY374" s="19"/>
      <c r="DZ374" s="19"/>
      <c r="EA374" s="19"/>
      <c r="EB374" s="19"/>
      <c r="EC374" s="19"/>
      <c r="ED374" s="19"/>
      <c r="EE374" s="19"/>
      <c r="EF374" s="19"/>
      <c r="EG374" s="19"/>
      <c r="EH374" s="19"/>
      <c r="EI374" s="19"/>
      <c r="EJ374" s="19"/>
      <c r="EK374" s="19"/>
      <c r="EL374" s="19"/>
      <c r="EM374" s="19"/>
      <c r="EN374" s="19"/>
      <c r="EO374" s="19"/>
      <c r="EP374" s="17"/>
      <c r="EQ374" s="23"/>
      <c r="ER374" s="23" t="str">
        <f t="shared" si="7"/>
        <v/>
      </c>
      <c r="ES374" s="19"/>
      <c r="ET374" s="19" t="str">
        <f t="shared" si="8"/>
        <v/>
      </c>
      <c r="EU374" s="19"/>
      <c r="EV374" s="19"/>
      <c r="EW374" s="19"/>
      <c r="EX374" s="19"/>
      <c r="EY374" s="19"/>
      <c r="EZ374" s="19"/>
      <c r="FA374" s="19"/>
      <c r="FB374" s="19"/>
    </row>
    <row r="375" ht="15.75" customHeight="1">
      <c r="A375" s="19"/>
      <c r="F375" s="19"/>
      <c r="AH375" s="23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  <c r="CD375" s="19"/>
      <c r="CE375" s="19"/>
      <c r="CF375" s="19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19"/>
      <c r="CW375" s="19"/>
      <c r="CX375" s="19"/>
      <c r="CY375" s="19"/>
      <c r="CZ375" s="19"/>
      <c r="DA375" s="19"/>
      <c r="DB375" s="19"/>
      <c r="DC375" s="19"/>
      <c r="DD375" s="19"/>
      <c r="DE375" s="19"/>
      <c r="DF375" s="19"/>
      <c r="DG375" s="19"/>
      <c r="DH375" s="19"/>
      <c r="DI375" s="19"/>
      <c r="DJ375" s="19"/>
      <c r="DK375" s="19"/>
      <c r="DL375" s="19"/>
      <c r="DM375" s="19"/>
      <c r="DN375" s="19"/>
      <c r="DO375" s="19"/>
      <c r="DP375" s="19"/>
      <c r="DQ375" s="19"/>
      <c r="DR375" s="19"/>
      <c r="DS375" s="19"/>
      <c r="DT375" s="19"/>
      <c r="DU375" s="19"/>
      <c r="DV375" s="19"/>
      <c r="DW375" s="19"/>
      <c r="DX375" s="19"/>
      <c r="DY375" s="19"/>
      <c r="DZ375" s="19"/>
      <c r="EA375" s="19"/>
      <c r="EB375" s="19"/>
      <c r="EC375" s="19"/>
      <c r="ED375" s="19"/>
      <c r="EE375" s="19"/>
      <c r="EF375" s="19"/>
      <c r="EG375" s="19"/>
      <c r="EH375" s="19"/>
      <c r="EI375" s="19"/>
      <c r="EJ375" s="19"/>
      <c r="EK375" s="19"/>
      <c r="EL375" s="19"/>
      <c r="EM375" s="19"/>
      <c r="EN375" s="19"/>
      <c r="EO375" s="19"/>
      <c r="EP375" s="17"/>
      <c r="EQ375" s="23"/>
      <c r="ER375" s="23" t="str">
        <f t="shared" si="7"/>
        <v/>
      </c>
      <c r="ES375" s="19"/>
      <c r="ET375" s="19" t="str">
        <f t="shared" si="8"/>
        <v/>
      </c>
      <c r="EU375" s="19"/>
      <c r="EV375" s="19"/>
      <c r="EW375" s="19"/>
      <c r="EX375" s="19"/>
      <c r="EY375" s="19"/>
      <c r="EZ375" s="19"/>
      <c r="FA375" s="19"/>
      <c r="FB375" s="19"/>
    </row>
    <row r="376" ht="15.75" customHeight="1">
      <c r="A376" s="19"/>
      <c r="F376" s="19"/>
      <c r="AH376" s="23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  <c r="CD376" s="19"/>
      <c r="CE376" s="19"/>
      <c r="CF376" s="19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19"/>
      <c r="CW376" s="19"/>
      <c r="CX376" s="19"/>
      <c r="CY376" s="19"/>
      <c r="CZ376" s="19"/>
      <c r="DA376" s="19"/>
      <c r="DB376" s="19"/>
      <c r="DC376" s="19"/>
      <c r="DD376" s="19"/>
      <c r="DE376" s="19"/>
      <c r="DF376" s="19"/>
      <c r="DG376" s="19"/>
      <c r="DH376" s="19"/>
      <c r="DI376" s="19"/>
      <c r="DJ376" s="19"/>
      <c r="DK376" s="19"/>
      <c r="DL376" s="19"/>
      <c r="DM376" s="19"/>
      <c r="DN376" s="19"/>
      <c r="DO376" s="19"/>
      <c r="DP376" s="19"/>
      <c r="DQ376" s="19"/>
      <c r="DR376" s="19"/>
      <c r="DS376" s="19"/>
      <c r="DT376" s="19"/>
      <c r="DU376" s="19"/>
      <c r="DV376" s="19"/>
      <c r="DW376" s="19"/>
      <c r="DX376" s="19"/>
      <c r="DY376" s="19"/>
      <c r="DZ376" s="19"/>
      <c r="EA376" s="19"/>
      <c r="EB376" s="19"/>
      <c r="EC376" s="19"/>
      <c r="ED376" s="19"/>
      <c r="EE376" s="19"/>
      <c r="EF376" s="19"/>
      <c r="EG376" s="19"/>
      <c r="EH376" s="19"/>
      <c r="EI376" s="19"/>
      <c r="EJ376" s="19"/>
      <c r="EK376" s="19"/>
      <c r="EL376" s="19"/>
      <c r="EM376" s="19"/>
      <c r="EN376" s="19"/>
      <c r="EO376" s="19"/>
      <c r="EP376" s="17"/>
      <c r="EQ376" s="23"/>
      <c r="ER376" s="23" t="str">
        <f t="shared" si="7"/>
        <v/>
      </c>
      <c r="ES376" s="19"/>
      <c r="ET376" s="19" t="str">
        <f t="shared" si="8"/>
        <v/>
      </c>
      <c r="EU376" s="19"/>
      <c r="EV376" s="19"/>
      <c r="EW376" s="19"/>
      <c r="EX376" s="19"/>
      <c r="EY376" s="19"/>
      <c r="EZ376" s="19"/>
      <c r="FA376" s="19"/>
      <c r="FB376" s="19"/>
    </row>
    <row r="377" ht="15.75" customHeight="1">
      <c r="A377" s="19"/>
      <c r="F377" s="19"/>
      <c r="AH377" s="23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  <c r="CD377" s="19"/>
      <c r="CE377" s="19"/>
      <c r="CF377" s="19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19"/>
      <c r="CW377" s="19"/>
      <c r="CX377" s="19"/>
      <c r="CY377" s="19"/>
      <c r="CZ377" s="19"/>
      <c r="DA377" s="19"/>
      <c r="DB377" s="19"/>
      <c r="DC377" s="19"/>
      <c r="DD377" s="19"/>
      <c r="DE377" s="19"/>
      <c r="DF377" s="19"/>
      <c r="DG377" s="19"/>
      <c r="DH377" s="19"/>
      <c r="DI377" s="19"/>
      <c r="DJ377" s="19"/>
      <c r="DK377" s="19"/>
      <c r="DL377" s="19"/>
      <c r="DM377" s="19"/>
      <c r="DN377" s="19"/>
      <c r="DO377" s="19"/>
      <c r="DP377" s="19"/>
      <c r="DQ377" s="19"/>
      <c r="DR377" s="19"/>
      <c r="DS377" s="19"/>
      <c r="DT377" s="19"/>
      <c r="DU377" s="19"/>
      <c r="DV377" s="19"/>
      <c r="DW377" s="19"/>
      <c r="DX377" s="19"/>
      <c r="DY377" s="19"/>
      <c r="DZ377" s="19"/>
      <c r="EA377" s="19"/>
      <c r="EB377" s="19"/>
      <c r="EC377" s="19"/>
      <c r="ED377" s="19"/>
      <c r="EE377" s="19"/>
      <c r="EF377" s="19"/>
      <c r="EG377" s="19"/>
      <c r="EH377" s="19"/>
      <c r="EI377" s="19"/>
      <c r="EJ377" s="19"/>
      <c r="EK377" s="19"/>
      <c r="EL377" s="19"/>
      <c r="EM377" s="19"/>
      <c r="EN377" s="19"/>
      <c r="EO377" s="19"/>
      <c r="EP377" s="17"/>
      <c r="EQ377" s="23"/>
      <c r="ER377" s="23" t="str">
        <f t="shared" si="7"/>
        <v/>
      </c>
      <c r="ES377" s="19"/>
      <c r="ET377" s="19" t="str">
        <f t="shared" si="8"/>
        <v/>
      </c>
      <c r="EU377" s="19"/>
      <c r="EV377" s="19"/>
      <c r="EW377" s="19"/>
      <c r="EX377" s="19"/>
      <c r="EY377" s="19"/>
      <c r="EZ377" s="19"/>
      <c r="FA377" s="19"/>
      <c r="FB377" s="19"/>
    </row>
    <row r="378" ht="15.75" customHeight="1">
      <c r="A378" s="19"/>
      <c r="F378" s="19"/>
      <c r="AH378" s="23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  <c r="CD378" s="19"/>
      <c r="CE378" s="19"/>
      <c r="CF378" s="19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19"/>
      <c r="CW378" s="19"/>
      <c r="CX378" s="19"/>
      <c r="CY378" s="19"/>
      <c r="CZ378" s="19"/>
      <c r="DA378" s="19"/>
      <c r="DB378" s="19"/>
      <c r="DC378" s="19"/>
      <c r="DD378" s="19"/>
      <c r="DE378" s="19"/>
      <c r="DF378" s="19"/>
      <c r="DG378" s="19"/>
      <c r="DH378" s="19"/>
      <c r="DI378" s="19"/>
      <c r="DJ378" s="19"/>
      <c r="DK378" s="19"/>
      <c r="DL378" s="19"/>
      <c r="DM378" s="19"/>
      <c r="DN378" s="19"/>
      <c r="DO378" s="19"/>
      <c r="DP378" s="19"/>
      <c r="DQ378" s="19"/>
      <c r="DR378" s="19"/>
      <c r="DS378" s="19"/>
      <c r="DT378" s="19"/>
      <c r="DU378" s="19"/>
      <c r="DV378" s="19"/>
      <c r="DW378" s="19"/>
      <c r="DX378" s="19"/>
      <c r="DY378" s="19"/>
      <c r="DZ378" s="19"/>
      <c r="EA378" s="19"/>
      <c r="EB378" s="19"/>
      <c r="EC378" s="19"/>
      <c r="ED378" s="19"/>
      <c r="EE378" s="19"/>
      <c r="EF378" s="19"/>
      <c r="EG378" s="19"/>
      <c r="EH378" s="19"/>
      <c r="EI378" s="19"/>
      <c r="EJ378" s="19"/>
      <c r="EK378" s="19"/>
      <c r="EL378" s="19"/>
      <c r="EM378" s="19"/>
      <c r="EN378" s="19"/>
      <c r="EO378" s="19"/>
      <c r="EP378" s="17"/>
      <c r="EQ378" s="23"/>
      <c r="ER378" s="23" t="str">
        <f t="shared" si="7"/>
        <v/>
      </c>
      <c r="ES378" s="19"/>
      <c r="ET378" s="19" t="str">
        <f t="shared" si="8"/>
        <v/>
      </c>
      <c r="EU378" s="19"/>
      <c r="EV378" s="19"/>
      <c r="EW378" s="19"/>
      <c r="EX378" s="19"/>
      <c r="EY378" s="19"/>
      <c r="EZ378" s="19"/>
      <c r="FA378" s="19"/>
      <c r="FB378" s="19"/>
    </row>
    <row r="379" ht="15.75" customHeight="1">
      <c r="A379" s="19"/>
      <c r="F379" s="19"/>
      <c r="AH379" s="23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  <c r="CD379" s="19"/>
      <c r="CE379" s="19"/>
      <c r="CF379" s="19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19"/>
      <c r="CW379" s="19"/>
      <c r="CX379" s="19"/>
      <c r="CY379" s="19"/>
      <c r="CZ379" s="19"/>
      <c r="DA379" s="19"/>
      <c r="DB379" s="19"/>
      <c r="DC379" s="19"/>
      <c r="DD379" s="19"/>
      <c r="DE379" s="19"/>
      <c r="DF379" s="19"/>
      <c r="DG379" s="19"/>
      <c r="DH379" s="19"/>
      <c r="DI379" s="19"/>
      <c r="DJ379" s="19"/>
      <c r="DK379" s="19"/>
      <c r="DL379" s="19"/>
      <c r="DM379" s="19"/>
      <c r="DN379" s="19"/>
      <c r="DO379" s="19"/>
      <c r="DP379" s="19"/>
      <c r="DQ379" s="19"/>
      <c r="DR379" s="19"/>
      <c r="DS379" s="19"/>
      <c r="DT379" s="19"/>
      <c r="DU379" s="19"/>
      <c r="DV379" s="19"/>
      <c r="DW379" s="19"/>
      <c r="DX379" s="19"/>
      <c r="DY379" s="19"/>
      <c r="DZ379" s="19"/>
      <c r="EA379" s="19"/>
      <c r="EB379" s="19"/>
      <c r="EC379" s="19"/>
      <c r="ED379" s="19"/>
      <c r="EE379" s="19"/>
      <c r="EF379" s="19"/>
      <c r="EG379" s="19"/>
      <c r="EH379" s="19"/>
      <c r="EI379" s="19"/>
      <c r="EJ379" s="19"/>
      <c r="EK379" s="19"/>
      <c r="EL379" s="19"/>
      <c r="EM379" s="19"/>
      <c r="EN379" s="19"/>
      <c r="EO379" s="19"/>
      <c r="EP379" s="17"/>
      <c r="EQ379" s="23"/>
      <c r="ER379" s="23" t="str">
        <f t="shared" si="7"/>
        <v/>
      </c>
      <c r="ES379" s="19"/>
      <c r="ET379" s="19" t="str">
        <f t="shared" si="8"/>
        <v/>
      </c>
      <c r="EU379" s="19"/>
      <c r="EV379" s="19"/>
      <c r="EW379" s="19"/>
      <c r="EX379" s="19"/>
      <c r="EY379" s="19"/>
      <c r="EZ379" s="19"/>
      <c r="FA379" s="19"/>
      <c r="FB379" s="19"/>
    </row>
    <row r="380" ht="15.75" customHeight="1">
      <c r="A380" s="19"/>
      <c r="F380" s="19"/>
      <c r="AH380" s="23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7"/>
      <c r="EQ380" s="23"/>
      <c r="ER380" s="23" t="str">
        <f t="shared" si="7"/>
        <v/>
      </c>
      <c r="ES380" s="19"/>
      <c r="ET380" s="19" t="str">
        <f t="shared" si="8"/>
        <v/>
      </c>
      <c r="EU380" s="19"/>
      <c r="EV380" s="19"/>
      <c r="EW380" s="19"/>
      <c r="EX380" s="19"/>
      <c r="EY380" s="19"/>
      <c r="EZ380" s="19"/>
      <c r="FA380" s="19"/>
      <c r="FB380" s="19"/>
    </row>
    <row r="381" ht="15.75" customHeight="1">
      <c r="A381" s="19"/>
      <c r="F381" s="19"/>
      <c r="AH381" s="23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  <c r="CD381" s="19"/>
      <c r="CE381" s="19"/>
      <c r="CF381" s="19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19"/>
      <c r="CW381" s="19"/>
      <c r="CX381" s="19"/>
      <c r="CY381" s="19"/>
      <c r="CZ381" s="19"/>
      <c r="DA381" s="19"/>
      <c r="DB381" s="19"/>
      <c r="DC381" s="19"/>
      <c r="DD381" s="19"/>
      <c r="DE381" s="19"/>
      <c r="DF381" s="19"/>
      <c r="DG381" s="19"/>
      <c r="DH381" s="19"/>
      <c r="DI381" s="19"/>
      <c r="DJ381" s="19"/>
      <c r="DK381" s="19"/>
      <c r="DL381" s="19"/>
      <c r="DM381" s="19"/>
      <c r="DN381" s="19"/>
      <c r="DO381" s="19"/>
      <c r="DP381" s="19"/>
      <c r="DQ381" s="19"/>
      <c r="DR381" s="19"/>
      <c r="DS381" s="19"/>
      <c r="DT381" s="19"/>
      <c r="DU381" s="19"/>
      <c r="DV381" s="19"/>
      <c r="DW381" s="19"/>
      <c r="DX381" s="19"/>
      <c r="DY381" s="19"/>
      <c r="DZ381" s="19"/>
      <c r="EA381" s="19"/>
      <c r="EB381" s="19"/>
      <c r="EC381" s="19"/>
      <c r="ED381" s="19"/>
      <c r="EE381" s="19"/>
      <c r="EF381" s="19"/>
      <c r="EG381" s="19"/>
      <c r="EH381" s="19"/>
      <c r="EI381" s="19"/>
      <c r="EJ381" s="19"/>
      <c r="EK381" s="19"/>
      <c r="EL381" s="19"/>
      <c r="EM381" s="19"/>
      <c r="EN381" s="19"/>
      <c r="EO381" s="19"/>
      <c r="EP381" s="17"/>
      <c r="EQ381" s="23"/>
      <c r="ER381" s="23" t="str">
        <f t="shared" si="7"/>
        <v/>
      </c>
      <c r="ES381" s="19"/>
      <c r="ET381" s="19" t="str">
        <f t="shared" si="8"/>
        <v/>
      </c>
      <c r="EU381" s="19"/>
      <c r="EV381" s="19"/>
      <c r="EW381" s="19"/>
      <c r="EX381" s="19"/>
      <c r="EY381" s="19"/>
      <c r="EZ381" s="19"/>
      <c r="FA381" s="19"/>
      <c r="FB381" s="19"/>
    </row>
    <row r="382" ht="15.75" customHeight="1">
      <c r="A382" s="19"/>
      <c r="F382" s="19"/>
      <c r="AH382" s="23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  <c r="CD382" s="19"/>
      <c r="CE382" s="19"/>
      <c r="CF382" s="19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19"/>
      <c r="CW382" s="19"/>
      <c r="CX382" s="19"/>
      <c r="CY382" s="19"/>
      <c r="CZ382" s="19"/>
      <c r="DA382" s="19"/>
      <c r="DB382" s="19"/>
      <c r="DC382" s="19"/>
      <c r="DD382" s="19"/>
      <c r="DE382" s="19"/>
      <c r="DF382" s="19"/>
      <c r="DG382" s="19"/>
      <c r="DH382" s="19"/>
      <c r="DI382" s="19"/>
      <c r="DJ382" s="19"/>
      <c r="DK382" s="19"/>
      <c r="DL382" s="19"/>
      <c r="DM382" s="19"/>
      <c r="DN382" s="19"/>
      <c r="DO382" s="19"/>
      <c r="DP382" s="19"/>
      <c r="DQ382" s="19"/>
      <c r="DR382" s="19"/>
      <c r="DS382" s="19"/>
      <c r="DT382" s="19"/>
      <c r="DU382" s="19"/>
      <c r="DV382" s="19"/>
      <c r="DW382" s="19"/>
      <c r="DX382" s="19"/>
      <c r="DY382" s="19"/>
      <c r="DZ382" s="19"/>
      <c r="EA382" s="19"/>
      <c r="EB382" s="19"/>
      <c r="EC382" s="19"/>
      <c r="ED382" s="19"/>
      <c r="EE382" s="19"/>
      <c r="EF382" s="19"/>
      <c r="EG382" s="19"/>
      <c r="EH382" s="19"/>
      <c r="EI382" s="19"/>
      <c r="EJ382" s="19"/>
      <c r="EK382" s="19"/>
      <c r="EL382" s="19"/>
      <c r="EM382" s="19"/>
      <c r="EN382" s="19"/>
      <c r="EO382" s="19"/>
      <c r="EP382" s="17"/>
      <c r="EQ382" s="23"/>
      <c r="ER382" s="23" t="str">
        <f t="shared" si="7"/>
        <v/>
      </c>
      <c r="ES382" s="19"/>
      <c r="ET382" s="19" t="str">
        <f t="shared" si="8"/>
        <v/>
      </c>
      <c r="EU382" s="19"/>
      <c r="EV382" s="19"/>
      <c r="EW382" s="19"/>
      <c r="EX382" s="19"/>
      <c r="EY382" s="19"/>
      <c r="EZ382" s="19"/>
      <c r="FA382" s="19"/>
      <c r="FB382" s="19"/>
    </row>
    <row r="383" ht="15.75" customHeight="1">
      <c r="A383" s="19"/>
      <c r="F383" s="19"/>
      <c r="AH383" s="23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  <c r="CD383" s="19"/>
      <c r="CE383" s="19"/>
      <c r="CF383" s="19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19"/>
      <c r="CW383" s="19"/>
      <c r="CX383" s="19"/>
      <c r="CY383" s="19"/>
      <c r="CZ383" s="19"/>
      <c r="DA383" s="19"/>
      <c r="DB383" s="19"/>
      <c r="DC383" s="19"/>
      <c r="DD383" s="19"/>
      <c r="DE383" s="19"/>
      <c r="DF383" s="19"/>
      <c r="DG383" s="19"/>
      <c r="DH383" s="19"/>
      <c r="DI383" s="19"/>
      <c r="DJ383" s="19"/>
      <c r="DK383" s="19"/>
      <c r="DL383" s="19"/>
      <c r="DM383" s="19"/>
      <c r="DN383" s="19"/>
      <c r="DO383" s="19"/>
      <c r="DP383" s="19"/>
      <c r="DQ383" s="19"/>
      <c r="DR383" s="19"/>
      <c r="DS383" s="19"/>
      <c r="DT383" s="19"/>
      <c r="DU383" s="19"/>
      <c r="DV383" s="19"/>
      <c r="DW383" s="19"/>
      <c r="DX383" s="19"/>
      <c r="DY383" s="19"/>
      <c r="DZ383" s="19"/>
      <c r="EA383" s="19"/>
      <c r="EB383" s="19"/>
      <c r="EC383" s="19"/>
      <c r="ED383" s="19"/>
      <c r="EE383" s="19"/>
      <c r="EF383" s="19"/>
      <c r="EG383" s="19"/>
      <c r="EH383" s="19"/>
      <c r="EI383" s="19"/>
      <c r="EJ383" s="19"/>
      <c r="EK383" s="19"/>
      <c r="EL383" s="19"/>
      <c r="EM383" s="19"/>
      <c r="EN383" s="19"/>
      <c r="EO383" s="19"/>
      <c r="EP383" s="17"/>
      <c r="EQ383" s="23"/>
      <c r="ER383" s="23" t="str">
        <f t="shared" si="7"/>
        <v/>
      </c>
      <c r="ES383" s="19"/>
      <c r="ET383" s="19" t="str">
        <f t="shared" si="8"/>
        <v/>
      </c>
      <c r="EU383" s="19"/>
      <c r="EV383" s="19"/>
      <c r="EW383" s="19"/>
      <c r="EX383" s="19"/>
      <c r="EY383" s="19"/>
      <c r="EZ383" s="19"/>
      <c r="FA383" s="19"/>
      <c r="FB383" s="19"/>
    </row>
    <row r="384" ht="15.75" customHeight="1">
      <c r="A384" s="19"/>
      <c r="F384" s="19"/>
      <c r="AH384" s="23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  <c r="CD384" s="19"/>
      <c r="CE384" s="19"/>
      <c r="CF384" s="19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19"/>
      <c r="CW384" s="19"/>
      <c r="CX384" s="19"/>
      <c r="CY384" s="19"/>
      <c r="CZ384" s="19"/>
      <c r="DA384" s="19"/>
      <c r="DB384" s="19"/>
      <c r="DC384" s="19"/>
      <c r="DD384" s="19"/>
      <c r="DE384" s="19"/>
      <c r="DF384" s="19"/>
      <c r="DG384" s="19"/>
      <c r="DH384" s="19"/>
      <c r="DI384" s="19"/>
      <c r="DJ384" s="19"/>
      <c r="DK384" s="19"/>
      <c r="DL384" s="19"/>
      <c r="DM384" s="19"/>
      <c r="DN384" s="19"/>
      <c r="DO384" s="19"/>
      <c r="DP384" s="19"/>
      <c r="DQ384" s="19"/>
      <c r="DR384" s="19"/>
      <c r="DS384" s="19"/>
      <c r="DT384" s="19"/>
      <c r="DU384" s="19"/>
      <c r="DV384" s="19"/>
      <c r="DW384" s="19"/>
      <c r="DX384" s="19"/>
      <c r="DY384" s="19"/>
      <c r="DZ384" s="19"/>
      <c r="EA384" s="19"/>
      <c r="EB384" s="19"/>
      <c r="EC384" s="19"/>
      <c r="ED384" s="19"/>
      <c r="EE384" s="19"/>
      <c r="EF384" s="19"/>
      <c r="EG384" s="19"/>
      <c r="EH384" s="19"/>
      <c r="EI384" s="19"/>
      <c r="EJ384" s="19"/>
      <c r="EK384" s="19"/>
      <c r="EL384" s="19"/>
      <c r="EM384" s="19"/>
      <c r="EN384" s="19"/>
      <c r="EO384" s="19"/>
      <c r="EP384" s="17"/>
      <c r="EQ384" s="23"/>
      <c r="ER384" s="23" t="str">
        <f t="shared" si="7"/>
        <v/>
      </c>
      <c r="ES384" s="19"/>
      <c r="ET384" s="19" t="str">
        <f t="shared" si="8"/>
        <v/>
      </c>
      <c r="EU384" s="19"/>
      <c r="EV384" s="19"/>
      <c r="EW384" s="19"/>
      <c r="EX384" s="19"/>
      <c r="EY384" s="19"/>
      <c r="EZ384" s="19"/>
      <c r="FA384" s="19"/>
      <c r="FB384" s="19"/>
    </row>
    <row r="385" ht="15.75" customHeight="1">
      <c r="A385" s="19"/>
      <c r="F385" s="19"/>
      <c r="AH385" s="23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  <c r="CD385" s="19"/>
      <c r="CE385" s="19"/>
      <c r="CF385" s="19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19"/>
      <c r="CW385" s="19"/>
      <c r="CX385" s="19"/>
      <c r="CY385" s="19"/>
      <c r="CZ385" s="19"/>
      <c r="DA385" s="19"/>
      <c r="DB385" s="19"/>
      <c r="DC385" s="19"/>
      <c r="DD385" s="19"/>
      <c r="DE385" s="19"/>
      <c r="DF385" s="19"/>
      <c r="DG385" s="19"/>
      <c r="DH385" s="19"/>
      <c r="DI385" s="19"/>
      <c r="DJ385" s="19"/>
      <c r="DK385" s="19"/>
      <c r="DL385" s="19"/>
      <c r="DM385" s="19"/>
      <c r="DN385" s="19"/>
      <c r="DO385" s="19"/>
      <c r="DP385" s="19"/>
      <c r="DQ385" s="19"/>
      <c r="DR385" s="19"/>
      <c r="DS385" s="19"/>
      <c r="DT385" s="19"/>
      <c r="DU385" s="19"/>
      <c r="DV385" s="19"/>
      <c r="DW385" s="19"/>
      <c r="DX385" s="19"/>
      <c r="DY385" s="19"/>
      <c r="DZ385" s="19"/>
      <c r="EA385" s="19"/>
      <c r="EB385" s="19"/>
      <c r="EC385" s="19"/>
      <c r="ED385" s="19"/>
      <c r="EE385" s="19"/>
      <c r="EF385" s="19"/>
      <c r="EG385" s="19"/>
      <c r="EH385" s="19"/>
      <c r="EI385" s="19"/>
      <c r="EJ385" s="19"/>
      <c r="EK385" s="19"/>
      <c r="EL385" s="19"/>
      <c r="EM385" s="19"/>
      <c r="EN385" s="19"/>
      <c r="EO385" s="19"/>
      <c r="EP385" s="17"/>
      <c r="EQ385" s="23"/>
      <c r="ER385" s="23" t="str">
        <f t="shared" si="7"/>
        <v/>
      </c>
      <c r="ES385" s="19"/>
      <c r="ET385" s="19" t="str">
        <f t="shared" si="8"/>
        <v/>
      </c>
      <c r="EU385" s="19"/>
      <c r="EV385" s="19"/>
      <c r="EW385" s="19"/>
      <c r="EX385" s="19"/>
      <c r="EY385" s="19"/>
      <c r="EZ385" s="19"/>
      <c r="FA385" s="19"/>
      <c r="FB385" s="19"/>
    </row>
    <row r="386" ht="15.75" customHeight="1">
      <c r="A386" s="19"/>
      <c r="F386" s="19"/>
      <c r="AH386" s="23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  <c r="CD386" s="19"/>
      <c r="CE386" s="19"/>
      <c r="CF386" s="19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19"/>
      <c r="CW386" s="19"/>
      <c r="CX386" s="19"/>
      <c r="CY386" s="19"/>
      <c r="CZ386" s="19"/>
      <c r="DA386" s="19"/>
      <c r="DB386" s="19"/>
      <c r="DC386" s="19"/>
      <c r="DD386" s="19"/>
      <c r="DE386" s="19"/>
      <c r="DF386" s="19"/>
      <c r="DG386" s="19"/>
      <c r="DH386" s="19"/>
      <c r="DI386" s="19"/>
      <c r="DJ386" s="19"/>
      <c r="DK386" s="19"/>
      <c r="DL386" s="19"/>
      <c r="DM386" s="19"/>
      <c r="DN386" s="19"/>
      <c r="DO386" s="19"/>
      <c r="DP386" s="19"/>
      <c r="DQ386" s="19"/>
      <c r="DR386" s="19"/>
      <c r="DS386" s="19"/>
      <c r="DT386" s="19"/>
      <c r="DU386" s="19"/>
      <c r="DV386" s="19"/>
      <c r="DW386" s="19"/>
      <c r="DX386" s="19"/>
      <c r="DY386" s="19"/>
      <c r="DZ386" s="19"/>
      <c r="EA386" s="19"/>
      <c r="EB386" s="19"/>
      <c r="EC386" s="19"/>
      <c r="ED386" s="19"/>
      <c r="EE386" s="19"/>
      <c r="EF386" s="19"/>
      <c r="EG386" s="19"/>
      <c r="EH386" s="19"/>
      <c r="EI386" s="19"/>
      <c r="EJ386" s="19"/>
      <c r="EK386" s="19"/>
      <c r="EL386" s="19"/>
      <c r="EM386" s="19"/>
      <c r="EN386" s="19"/>
      <c r="EO386" s="19"/>
      <c r="EP386" s="17"/>
      <c r="EQ386" s="23"/>
      <c r="ER386" s="23" t="str">
        <f t="shared" si="7"/>
        <v/>
      </c>
      <c r="ES386" s="19"/>
      <c r="ET386" s="19" t="str">
        <f t="shared" si="8"/>
        <v/>
      </c>
      <c r="EU386" s="19"/>
      <c r="EV386" s="19"/>
      <c r="EW386" s="19"/>
      <c r="EX386" s="19"/>
      <c r="EY386" s="19"/>
      <c r="EZ386" s="19"/>
      <c r="FA386" s="19"/>
      <c r="FB386" s="19"/>
    </row>
    <row r="387" ht="15.75" customHeight="1">
      <c r="A387" s="19"/>
      <c r="F387" s="19"/>
      <c r="AH387" s="23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  <c r="CD387" s="19"/>
      <c r="CE387" s="19"/>
      <c r="CF387" s="19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19"/>
      <c r="CW387" s="19"/>
      <c r="CX387" s="19"/>
      <c r="CY387" s="19"/>
      <c r="CZ387" s="19"/>
      <c r="DA387" s="19"/>
      <c r="DB387" s="19"/>
      <c r="DC387" s="19"/>
      <c r="DD387" s="19"/>
      <c r="DE387" s="19"/>
      <c r="DF387" s="19"/>
      <c r="DG387" s="19"/>
      <c r="DH387" s="19"/>
      <c r="DI387" s="19"/>
      <c r="DJ387" s="19"/>
      <c r="DK387" s="19"/>
      <c r="DL387" s="19"/>
      <c r="DM387" s="19"/>
      <c r="DN387" s="19"/>
      <c r="DO387" s="19"/>
      <c r="DP387" s="19"/>
      <c r="DQ387" s="19"/>
      <c r="DR387" s="19"/>
      <c r="DS387" s="19"/>
      <c r="DT387" s="19"/>
      <c r="DU387" s="19"/>
      <c r="DV387" s="19"/>
      <c r="DW387" s="19"/>
      <c r="DX387" s="19"/>
      <c r="DY387" s="19"/>
      <c r="DZ387" s="19"/>
      <c r="EA387" s="19"/>
      <c r="EB387" s="19"/>
      <c r="EC387" s="19"/>
      <c r="ED387" s="19"/>
      <c r="EE387" s="19"/>
      <c r="EF387" s="19"/>
      <c r="EG387" s="19"/>
      <c r="EH387" s="19"/>
      <c r="EI387" s="19"/>
      <c r="EJ387" s="19"/>
      <c r="EK387" s="19"/>
      <c r="EL387" s="19"/>
      <c r="EM387" s="19"/>
      <c r="EN387" s="19"/>
      <c r="EO387" s="19"/>
      <c r="EP387" s="17"/>
      <c r="EQ387" s="23"/>
      <c r="ER387" s="23" t="str">
        <f t="shared" si="7"/>
        <v/>
      </c>
      <c r="ES387" s="19"/>
      <c r="ET387" s="19" t="str">
        <f t="shared" si="8"/>
        <v/>
      </c>
      <c r="EU387" s="19"/>
      <c r="EV387" s="19"/>
      <c r="EW387" s="19"/>
      <c r="EX387" s="19"/>
      <c r="EY387" s="19"/>
      <c r="EZ387" s="19"/>
      <c r="FA387" s="19"/>
      <c r="FB387" s="19"/>
    </row>
    <row r="388" ht="15.75" customHeight="1">
      <c r="A388" s="19"/>
      <c r="F388" s="19"/>
      <c r="AH388" s="23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  <c r="CD388" s="19"/>
      <c r="CE388" s="19"/>
      <c r="CF388" s="19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19"/>
      <c r="CW388" s="19"/>
      <c r="CX388" s="19"/>
      <c r="CY388" s="19"/>
      <c r="CZ388" s="19"/>
      <c r="DA388" s="19"/>
      <c r="DB388" s="19"/>
      <c r="DC388" s="19"/>
      <c r="DD388" s="19"/>
      <c r="DE388" s="19"/>
      <c r="DF388" s="19"/>
      <c r="DG388" s="19"/>
      <c r="DH388" s="19"/>
      <c r="DI388" s="19"/>
      <c r="DJ388" s="19"/>
      <c r="DK388" s="19"/>
      <c r="DL388" s="19"/>
      <c r="DM388" s="19"/>
      <c r="DN388" s="19"/>
      <c r="DO388" s="19"/>
      <c r="DP388" s="19"/>
      <c r="DQ388" s="19"/>
      <c r="DR388" s="19"/>
      <c r="DS388" s="19"/>
      <c r="DT388" s="19"/>
      <c r="DU388" s="19"/>
      <c r="DV388" s="19"/>
      <c r="DW388" s="19"/>
      <c r="DX388" s="19"/>
      <c r="DY388" s="19"/>
      <c r="DZ388" s="19"/>
      <c r="EA388" s="19"/>
      <c r="EB388" s="19"/>
      <c r="EC388" s="19"/>
      <c r="ED388" s="19"/>
      <c r="EE388" s="19"/>
      <c r="EF388" s="19"/>
      <c r="EG388" s="19"/>
      <c r="EH388" s="19"/>
      <c r="EI388" s="19"/>
      <c r="EJ388" s="19"/>
      <c r="EK388" s="19"/>
      <c r="EL388" s="19"/>
      <c r="EM388" s="19"/>
      <c r="EN388" s="19"/>
      <c r="EO388" s="19"/>
      <c r="EP388" s="17"/>
      <c r="EQ388" s="23"/>
      <c r="ER388" s="23" t="str">
        <f t="shared" si="7"/>
        <v/>
      </c>
      <c r="ES388" s="19"/>
      <c r="ET388" s="19" t="str">
        <f t="shared" si="8"/>
        <v/>
      </c>
      <c r="EU388" s="19"/>
      <c r="EV388" s="19"/>
      <c r="EW388" s="19"/>
      <c r="EX388" s="19"/>
      <c r="EY388" s="19"/>
      <c r="EZ388" s="19"/>
      <c r="FA388" s="19"/>
      <c r="FB388" s="19"/>
    </row>
    <row r="389" ht="15.75" customHeight="1">
      <c r="A389" s="19"/>
      <c r="F389" s="19"/>
      <c r="AH389" s="23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  <c r="CD389" s="19"/>
      <c r="CE389" s="19"/>
      <c r="CF389" s="19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19"/>
      <c r="CW389" s="19"/>
      <c r="CX389" s="19"/>
      <c r="CY389" s="19"/>
      <c r="CZ389" s="19"/>
      <c r="DA389" s="19"/>
      <c r="DB389" s="19"/>
      <c r="DC389" s="19"/>
      <c r="DD389" s="19"/>
      <c r="DE389" s="19"/>
      <c r="DF389" s="19"/>
      <c r="DG389" s="19"/>
      <c r="DH389" s="19"/>
      <c r="DI389" s="19"/>
      <c r="DJ389" s="19"/>
      <c r="DK389" s="19"/>
      <c r="DL389" s="19"/>
      <c r="DM389" s="19"/>
      <c r="DN389" s="19"/>
      <c r="DO389" s="19"/>
      <c r="DP389" s="19"/>
      <c r="DQ389" s="19"/>
      <c r="DR389" s="19"/>
      <c r="DS389" s="19"/>
      <c r="DT389" s="19"/>
      <c r="DU389" s="19"/>
      <c r="DV389" s="19"/>
      <c r="DW389" s="19"/>
      <c r="DX389" s="19"/>
      <c r="DY389" s="19"/>
      <c r="DZ389" s="19"/>
      <c r="EA389" s="19"/>
      <c r="EB389" s="19"/>
      <c r="EC389" s="19"/>
      <c r="ED389" s="19"/>
      <c r="EE389" s="19"/>
      <c r="EF389" s="19"/>
      <c r="EG389" s="19"/>
      <c r="EH389" s="19"/>
      <c r="EI389" s="19"/>
      <c r="EJ389" s="19"/>
      <c r="EK389" s="19"/>
      <c r="EL389" s="19"/>
      <c r="EM389" s="19"/>
      <c r="EN389" s="19"/>
      <c r="EO389" s="19"/>
      <c r="EP389" s="17"/>
      <c r="EQ389" s="23"/>
      <c r="ER389" s="23" t="str">
        <f t="shared" si="7"/>
        <v/>
      </c>
      <c r="ES389" s="19"/>
      <c r="ET389" s="19" t="str">
        <f t="shared" si="8"/>
        <v/>
      </c>
      <c r="EU389" s="19"/>
      <c r="EV389" s="19"/>
      <c r="EW389" s="19"/>
      <c r="EX389" s="19"/>
      <c r="EY389" s="19"/>
      <c r="EZ389" s="19"/>
      <c r="FA389" s="19"/>
      <c r="FB389" s="19"/>
    </row>
    <row r="390" ht="15.75" customHeight="1">
      <c r="A390" s="19"/>
      <c r="F390" s="19"/>
      <c r="AH390" s="23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  <c r="CD390" s="19"/>
      <c r="CE390" s="19"/>
      <c r="CF390" s="19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19"/>
      <c r="CW390" s="19"/>
      <c r="CX390" s="19"/>
      <c r="CY390" s="19"/>
      <c r="CZ390" s="19"/>
      <c r="DA390" s="19"/>
      <c r="DB390" s="19"/>
      <c r="DC390" s="19"/>
      <c r="DD390" s="19"/>
      <c r="DE390" s="19"/>
      <c r="DF390" s="19"/>
      <c r="DG390" s="19"/>
      <c r="DH390" s="19"/>
      <c r="DI390" s="19"/>
      <c r="DJ390" s="19"/>
      <c r="DK390" s="19"/>
      <c r="DL390" s="19"/>
      <c r="DM390" s="19"/>
      <c r="DN390" s="19"/>
      <c r="DO390" s="19"/>
      <c r="DP390" s="19"/>
      <c r="DQ390" s="19"/>
      <c r="DR390" s="19"/>
      <c r="DS390" s="19"/>
      <c r="DT390" s="19"/>
      <c r="DU390" s="19"/>
      <c r="DV390" s="19"/>
      <c r="DW390" s="19"/>
      <c r="DX390" s="19"/>
      <c r="DY390" s="19"/>
      <c r="DZ390" s="19"/>
      <c r="EA390" s="19"/>
      <c r="EB390" s="19"/>
      <c r="EC390" s="19"/>
      <c r="ED390" s="19"/>
      <c r="EE390" s="19"/>
      <c r="EF390" s="19"/>
      <c r="EG390" s="19"/>
      <c r="EH390" s="19"/>
      <c r="EI390" s="19"/>
      <c r="EJ390" s="19"/>
      <c r="EK390" s="19"/>
      <c r="EL390" s="19"/>
      <c r="EM390" s="19"/>
      <c r="EN390" s="19"/>
      <c r="EO390" s="19"/>
      <c r="EP390" s="17"/>
      <c r="EQ390" s="23"/>
      <c r="ER390" s="23" t="str">
        <f t="shared" si="7"/>
        <v/>
      </c>
      <c r="ES390" s="19"/>
      <c r="ET390" s="19" t="str">
        <f t="shared" si="8"/>
        <v/>
      </c>
      <c r="EU390" s="19"/>
      <c r="EV390" s="19"/>
      <c r="EW390" s="19"/>
      <c r="EX390" s="19"/>
      <c r="EY390" s="19"/>
      <c r="EZ390" s="19"/>
      <c r="FA390" s="19"/>
      <c r="FB390" s="19"/>
    </row>
    <row r="391" ht="15.75" customHeight="1">
      <c r="A391" s="19"/>
      <c r="F391" s="19"/>
      <c r="AH391" s="23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7"/>
      <c r="EQ391" s="23"/>
      <c r="ER391" s="23" t="str">
        <f t="shared" si="7"/>
        <v/>
      </c>
      <c r="ES391" s="19"/>
      <c r="ET391" s="19" t="str">
        <f t="shared" si="8"/>
        <v/>
      </c>
      <c r="EU391" s="19"/>
      <c r="EV391" s="19"/>
      <c r="EW391" s="19"/>
      <c r="EX391" s="19"/>
      <c r="EY391" s="19"/>
      <c r="EZ391" s="19"/>
      <c r="FA391" s="19"/>
      <c r="FB391" s="19"/>
    </row>
    <row r="392" ht="15.75" customHeight="1">
      <c r="A392" s="19"/>
      <c r="F392" s="19"/>
      <c r="AH392" s="23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  <c r="CD392" s="19"/>
      <c r="CE392" s="19"/>
      <c r="CF392" s="19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19"/>
      <c r="CW392" s="19"/>
      <c r="CX392" s="19"/>
      <c r="CY392" s="19"/>
      <c r="CZ392" s="19"/>
      <c r="DA392" s="19"/>
      <c r="DB392" s="19"/>
      <c r="DC392" s="19"/>
      <c r="DD392" s="19"/>
      <c r="DE392" s="19"/>
      <c r="DF392" s="19"/>
      <c r="DG392" s="19"/>
      <c r="DH392" s="19"/>
      <c r="DI392" s="19"/>
      <c r="DJ392" s="19"/>
      <c r="DK392" s="19"/>
      <c r="DL392" s="19"/>
      <c r="DM392" s="19"/>
      <c r="DN392" s="19"/>
      <c r="DO392" s="19"/>
      <c r="DP392" s="19"/>
      <c r="DQ392" s="19"/>
      <c r="DR392" s="19"/>
      <c r="DS392" s="19"/>
      <c r="DT392" s="19"/>
      <c r="DU392" s="19"/>
      <c r="DV392" s="19"/>
      <c r="DW392" s="19"/>
      <c r="DX392" s="19"/>
      <c r="DY392" s="19"/>
      <c r="DZ392" s="19"/>
      <c r="EA392" s="19"/>
      <c r="EB392" s="19"/>
      <c r="EC392" s="19"/>
      <c r="ED392" s="19"/>
      <c r="EE392" s="19"/>
      <c r="EF392" s="19"/>
      <c r="EG392" s="19"/>
      <c r="EH392" s="19"/>
      <c r="EI392" s="19"/>
      <c r="EJ392" s="19"/>
      <c r="EK392" s="19"/>
      <c r="EL392" s="19"/>
      <c r="EM392" s="19"/>
      <c r="EN392" s="19"/>
      <c r="EO392" s="19"/>
      <c r="EP392" s="17"/>
      <c r="EQ392" s="23"/>
      <c r="ER392" s="23" t="str">
        <f t="shared" si="7"/>
        <v/>
      </c>
      <c r="ES392" s="19"/>
      <c r="ET392" s="19" t="str">
        <f t="shared" si="8"/>
        <v/>
      </c>
      <c r="EU392" s="19"/>
      <c r="EV392" s="19"/>
      <c r="EW392" s="19"/>
      <c r="EX392" s="19"/>
      <c r="EY392" s="19"/>
      <c r="EZ392" s="19"/>
      <c r="FA392" s="19"/>
      <c r="FB392" s="19"/>
    </row>
    <row r="393" ht="15.75" customHeight="1">
      <c r="A393" s="19"/>
      <c r="F393" s="19"/>
      <c r="AH393" s="23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  <c r="CD393" s="19"/>
      <c r="CE393" s="19"/>
      <c r="CF393" s="19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19"/>
      <c r="CW393" s="19"/>
      <c r="CX393" s="19"/>
      <c r="CY393" s="19"/>
      <c r="CZ393" s="19"/>
      <c r="DA393" s="19"/>
      <c r="DB393" s="19"/>
      <c r="DC393" s="19"/>
      <c r="DD393" s="19"/>
      <c r="DE393" s="19"/>
      <c r="DF393" s="19"/>
      <c r="DG393" s="19"/>
      <c r="DH393" s="19"/>
      <c r="DI393" s="19"/>
      <c r="DJ393" s="19"/>
      <c r="DK393" s="19"/>
      <c r="DL393" s="19"/>
      <c r="DM393" s="19"/>
      <c r="DN393" s="19"/>
      <c r="DO393" s="19"/>
      <c r="DP393" s="19"/>
      <c r="DQ393" s="19"/>
      <c r="DR393" s="19"/>
      <c r="DS393" s="19"/>
      <c r="DT393" s="19"/>
      <c r="DU393" s="19"/>
      <c r="DV393" s="19"/>
      <c r="DW393" s="19"/>
      <c r="DX393" s="19"/>
      <c r="DY393" s="19"/>
      <c r="DZ393" s="19"/>
      <c r="EA393" s="19"/>
      <c r="EB393" s="19"/>
      <c r="EC393" s="19"/>
      <c r="ED393" s="19"/>
      <c r="EE393" s="19"/>
      <c r="EF393" s="19"/>
      <c r="EG393" s="19"/>
      <c r="EH393" s="19"/>
      <c r="EI393" s="19"/>
      <c r="EJ393" s="19"/>
      <c r="EK393" s="19"/>
      <c r="EL393" s="19"/>
      <c r="EM393" s="19"/>
      <c r="EN393" s="19"/>
      <c r="EO393" s="19"/>
      <c r="EP393" s="17"/>
      <c r="EQ393" s="23"/>
      <c r="ER393" s="23" t="str">
        <f t="shared" si="7"/>
        <v/>
      </c>
      <c r="ES393" s="19"/>
      <c r="ET393" s="19" t="str">
        <f t="shared" si="8"/>
        <v/>
      </c>
      <c r="EU393" s="19"/>
      <c r="EV393" s="19"/>
      <c r="EW393" s="19"/>
      <c r="EX393" s="19"/>
      <c r="EY393" s="19"/>
      <c r="EZ393" s="19"/>
      <c r="FA393" s="19"/>
      <c r="FB393" s="19"/>
    </row>
    <row r="394" ht="15.75" customHeight="1">
      <c r="A394" s="19"/>
      <c r="F394" s="19"/>
      <c r="AH394" s="23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19"/>
      <c r="CW394" s="19"/>
      <c r="CX394" s="19"/>
      <c r="CY394" s="19"/>
      <c r="CZ394" s="19"/>
      <c r="DA394" s="19"/>
      <c r="DB394" s="19"/>
      <c r="DC394" s="19"/>
      <c r="DD394" s="19"/>
      <c r="DE394" s="19"/>
      <c r="DF394" s="19"/>
      <c r="DG394" s="19"/>
      <c r="DH394" s="19"/>
      <c r="DI394" s="19"/>
      <c r="DJ394" s="19"/>
      <c r="DK394" s="19"/>
      <c r="DL394" s="19"/>
      <c r="DM394" s="19"/>
      <c r="DN394" s="19"/>
      <c r="DO394" s="19"/>
      <c r="DP394" s="19"/>
      <c r="DQ394" s="19"/>
      <c r="DR394" s="19"/>
      <c r="DS394" s="19"/>
      <c r="DT394" s="19"/>
      <c r="DU394" s="19"/>
      <c r="DV394" s="19"/>
      <c r="DW394" s="19"/>
      <c r="DX394" s="19"/>
      <c r="DY394" s="19"/>
      <c r="DZ394" s="19"/>
      <c r="EA394" s="19"/>
      <c r="EB394" s="19"/>
      <c r="EC394" s="19"/>
      <c r="ED394" s="19"/>
      <c r="EE394" s="19"/>
      <c r="EF394" s="19"/>
      <c r="EG394" s="19"/>
      <c r="EH394" s="19"/>
      <c r="EI394" s="19"/>
      <c r="EJ394" s="19"/>
      <c r="EK394" s="19"/>
      <c r="EL394" s="19"/>
      <c r="EM394" s="19"/>
      <c r="EN394" s="19"/>
      <c r="EO394" s="19"/>
      <c r="EP394" s="17"/>
      <c r="EQ394" s="23"/>
      <c r="ER394" s="23" t="str">
        <f t="shared" si="7"/>
        <v/>
      </c>
      <c r="ES394" s="19"/>
      <c r="ET394" s="19" t="str">
        <f t="shared" si="8"/>
        <v/>
      </c>
      <c r="EU394" s="19"/>
      <c r="EV394" s="19"/>
      <c r="EW394" s="19"/>
      <c r="EX394" s="19"/>
      <c r="EY394" s="19"/>
      <c r="EZ394" s="19"/>
      <c r="FA394" s="19"/>
      <c r="FB394" s="19"/>
    </row>
    <row r="395" ht="15.75" customHeight="1">
      <c r="A395" s="19"/>
      <c r="F395" s="19"/>
      <c r="AH395" s="23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  <c r="CD395" s="19"/>
      <c r="CE395" s="19"/>
      <c r="CF395" s="19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19"/>
      <c r="CW395" s="19"/>
      <c r="CX395" s="19"/>
      <c r="CY395" s="19"/>
      <c r="CZ395" s="19"/>
      <c r="DA395" s="19"/>
      <c r="DB395" s="19"/>
      <c r="DC395" s="19"/>
      <c r="DD395" s="19"/>
      <c r="DE395" s="19"/>
      <c r="DF395" s="19"/>
      <c r="DG395" s="19"/>
      <c r="DH395" s="19"/>
      <c r="DI395" s="19"/>
      <c r="DJ395" s="19"/>
      <c r="DK395" s="19"/>
      <c r="DL395" s="19"/>
      <c r="DM395" s="19"/>
      <c r="DN395" s="19"/>
      <c r="DO395" s="19"/>
      <c r="DP395" s="19"/>
      <c r="DQ395" s="19"/>
      <c r="DR395" s="19"/>
      <c r="DS395" s="19"/>
      <c r="DT395" s="19"/>
      <c r="DU395" s="19"/>
      <c r="DV395" s="19"/>
      <c r="DW395" s="19"/>
      <c r="DX395" s="19"/>
      <c r="DY395" s="19"/>
      <c r="DZ395" s="19"/>
      <c r="EA395" s="19"/>
      <c r="EB395" s="19"/>
      <c r="EC395" s="19"/>
      <c r="ED395" s="19"/>
      <c r="EE395" s="19"/>
      <c r="EF395" s="19"/>
      <c r="EG395" s="19"/>
      <c r="EH395" s="19"/>
      <c r="EI395" s="19"/>
      <c r="EJ395" s="19"/>
      <c r="EK395" s="19"/>
      <c r="EL395" s="19"/>
      <c r="EM395" s="19"/>
      <c r="EN395" s="19"/>
      <c r="EO395" s="19"/>
      <c r="EP395" s="17"/>
      <c r="EQ395" s="23"/>
      <c r="ER395" s="23" t="str">
        <f t="shared" si="7"/>
        <v/>
      </c>
      <c r="ES395" s="19"/>
      <c r="ET395" s="19" t="str">
        <f t="shared" si="8"/>
        <v/>
      </c>
      <c r="EU395" s="19"/>
      <c r="EV395" s="19"/>
      <c r="EW395" s="19"/>
      <c r="EX395" s="19"/>
      <c r="EY395" s="19"/>
      <c r="EZ395" s="19"/>
      <c r="FA395" s="19"/>
      <c r="FB395" s="19"/>
    </row>
    <row r="396" ht="15.75" customHeight="1">
      <c r="A396" s="19"/>
      <c r="F396" s="19"/>
      <c r="AH396" s="23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  <c r="CD396" s="19"/>
      <c r="CE396" s="19"/>
      <c r="CF396" s="19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19"/>
      <c r="CW396" s="19"/>
      <c r="CX396" s="19"/>
      <c r="CY396" s="19"/>
      <c r="CZ396" s="19"/>
      <c r="DA396" s="19"/>
      <c r="DB396" s="19"/>
      <c r="DC396" s="19"/>
      <c r="DD396" s="19"/>
      <c r="DE396" s="19"/>
      <c r="DF396" s="19"/>
      <c r="DG396" s="19"/>
      <c r="DH396" s="19"/>
      <c r="DI396" s="19"/>
      <c r="DJ396" s="19"/>
      <c r="DK396" s="19"/>
      <c r="DL396" s="19"/>
      <c r="DM396" s="19"/>
      <c r="DN396" s="19"/>
      <c r="DO396" s="19"/>
      <c r="DP396" s="19"/>
      <c r="DQ396" s="19"/>
      <c r="DR396" s="19"/>
      <c r="DS396" s="19"/>
      <c r="DT396" s="19"/>
      <c r="DU396" s="19"/>
      <c r="DV396" s="19"/>
      <c r="DW396" s="19"/>
      <c r="DX396" s="19"/>
      <c r="DY396" s="19"/>
      <c r="DZ396" s="19"/>
      <c r="EA396" s="19"/>
      <c r="EB396" s="19"/>
      <c r="EC396" s="19"/>
      <c r="ED396" s="19"/>
      <c r="EE396" s="19"/>
      <c r="EF396" s="19"/>
      <c r="EG396" s="19"/>
      <c r="EH396" s="19"/>
      <c r="EI396" s="19"/>
      <c r="EJ396" s="19"/>
      <c r="EK396" s="19"/>
      <c r="EL396" s="19"/>
      <c r="EM396" s="19"/>
      <c r="EN396" s="19"/>
      <c r="EO396" s="19"/>
      <c r="EP396" s="17"/>
      <c r="EQ396" s="23"/>
      <c r="ER396" s="23" t="str">
        <f t="shared" si="7"/>
        <v/>
      </c>
      <c r="ES396" s="19"/>
      <c r="ET396" s="19" t="str">
        <f t="shared" si="8"/>
        <v/>
      </c>
      <c r="EU396" s="19"/>
      <c r="EV396" s="19"/>
      <c r="EW396" s="19"/>
      <c r="EX396" s="19"/>
      <c r="EY396" s="19"/>
      <c r="EZ396" s="19"/>
      <c r="FA396" s="19"/>
      <c r="FB396" s="19"/>
    </row>
    <row r="397" ht="15.75" customHeight="1">
      <c r="A397" s="19"/>
      <c r="F397" s="19"/>
      <c r="AH397" s="23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  <c r="CD397" s="19"/>
      <c r="CE397" s="19"/>
      <c r="CF397" s="19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19"/>
      <c r="CW397" s="19"/>
      <c r="CX397" s="19"/>
      <c r="CY397" s="19"/>
      <c r="CZ397" s="19"/>
      <c r="DA397" s="19"/>
      <c r="DB397" s="19"/>
      <c r="DC397" s="19"/>
      <c r="DD397" s="19"/>
      <c r="DE397" s="19"/>
      <c r="DF397" s="19"/>
      <c r="DG397" s="19"/>
      <c r="DH397" s="19"/>
      <c r="DI397" s="19"/>
      <c r="DJ397" s="19"/>
      <c r="DK397" s="19"/>
      <c r="DL397" s="19"/>
      <c r="DM397" s="19"/>
      <c r="DN397" s="19"/>
      <c r="DO397" s="19"/>
      <c r="DP397" s="19"/>
      <c r="DQ397" s="19"/>
      <c r="DR397" s="19"/>
      <c r="DS397" s="19"/>
      <c r="DT397" s="19"/>
      <c r="DU397" s="19"/>
      <c r="DV397" s="19"/>
      <c r="DW397" s="19"/>
      <c r="DX397" s="19"/>
      <c r="DY397" s="19"/>
      <c r="DZ397" s="19"/>
      <c r="EA397" s="19"/>
      <c r="EB397" s="19"/>
      <c r="EC397" s="19"/>
      <c r="ED397" s="19"/>
      <c r="EE397" s="19"/>
      <c r="EF397" s="19"/>
      <c r="EG397" s="19"/>
      <c r="EH397" s="19"/>
      <c r="EI397" s="19"/>
      <c r="EJ397" s="19"/>
      <c r="EK397" s="19"/>
      <c r="EL397" s="19"/>
      <c r="EM397" s="19"/>
      <c r="EN397" s="19"/>
      <c r="EO397" s="19"/>
      <c r="EP397" s="17"/>
      <c r="EQ397" s="23"/>
      <c r="ER397" s="23" t="str">
        <f t="shared" si="7"/>
        <v/>
      </c>
      <c r="ES397" s="19"/>
      <c r="ET397" s="19" t="str">
        <f t="shared" si="8"/>
        <v/>
      </c>
      <c r="EU397" s="19"/>
      <c r="EV397" s="19"/>
      <c r="EW397" s="19"/>
      <c r="EX397" s="19"/>
      <c r="EY397" s="19"/>
      <c r="EZ397" s="19"/>
      <c r="FA397" s="19"/>
      <c r="FB397" s="19"/>
    </row>
    <row r="398" ht="15.75" customHeight="1">
      <c r="A398" s="19"/>
      <c r="F398" s="19"/>
      <c r="AH398" s="23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  <c r="CD398" s="19"/>
      <c r="CE398" s="19"/>
      <c r="CF398" s="19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19"/>
      <c r="CW398" s="19"/>
      <c r="CX398" s="19"/>
      <c r="CY398" s="19"/>
      <c r="CZ398" s="19"/>
      <c r="DA398" s="19"/>
      <c r="DB398" s="19"/>
      <c r="DC398" s="19"/>
      <c r="DD398" s="19"/>
      <c r="DE398" s="19"/>
      <c r="DF398" s="19"/>
      <c r="DG398" s="19"/>
      <c r="DH398" s="19"/>
      <c r="DI398" s="19"/>
      <c r="DJ398" s="19"/>
      <c r="DK398" s="19"/>
      <c r="DL398" s="19"/>
      <c r="DM398" s="19"/>
      <c r="DN398" s="19"/>
      <c r="DO398" s="19"/>
      <c r="DP398" s="19"/>
      <c r="DQ398" s="19"/>
      <c r="DR398" s="19"/>
      <c r="DS398" s="19"/>
      <c r="DT398" s="19"/>
      <c r="DU398" s="19"/>
      <c r="DV398" s="19"/>
      <c r="DW398" s="19"/>
      <c r="DX398" s="19"/>
      <c r="DY398" s="19"/>
      <c r="DZ398" s="19"/>
      <c r="EA398" s="19"/>
      <c r="EB398" s="19"/>
      <c r="EC398" s="19"/>
      <c r="ED398" s="19"/>
      <c r="EE398" s="19"/>
      <c r="EF398" s="19"/>
      <c r="EG398" s="19"/>
      <c r="EH398" s="19"/>
      <c r="EI398" s="19"/>
      <c r="EJ398" s="19"/>
      <c r="EK398" s="19"/>
      <c r="EL398" s="19"/>
      <c r="EM398" s="19"/>
      <c r="EN398" s="19"/>
      <c r="EO398" s="19"/>
      <c r="EP398" s="17"/>
      <c r="EQ398" s="23"/>
      <c r="ER398" s="23" t="str">
        <f t="shared" si="7"/>
        <v/>
      </c>
      <c r="ES398" s="19"/>
      <c r="ET398" s="19" t="str">
        <f t="shared" si="8"/>
        <v/>
      </c>
      <c r="EU398" s="19"/>
      <c r="EV398" s="19"/>
      <c r="EW398" s="19"/>
      <c r="EX398" s="19"/>
      <c r="EY398" s="19"/>
      <c r="EZ398" s="19"/>
      <c r="FA398" s="19"/>
      <c r="FB398" s="19"/>
    </row>
    <row r="399" ht="15.75" customHeight="1">
      <c r="A399" s="19"/>
      <c r="F399" s="19"/>
      <c r="AH399" s="23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  <c r="CD399" s="19"/>
      <c r="CE399" s="19"/>
      <c r="CF399" s="19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19"/>
      <c r="CW399" s="19"/>
      <c r="CX399" s="19"/>
      <c r="CY399" s="19"/>
      <c r="CZ399" s="19"/>
      <c r="DA399" s="19"/>
      <c r="DB399" s="19"/>
      <c r="DC399" s="19"/>
      <c r="DD399" s="19"/>
      <c r="DE399" s="19"/>
      <c r="DF399" s="19"/>
      <c r="DG399" s="19"/>
      <c r="DH399" s="19"/>
      <c r="DI399" s="19"/>
      <c r="DJ399" s="19"/>
      <c r="DK399" s="19"/>
      <c r="DL399" s="19"/>
      <c r="DM399" s="19"/>
      <c r="DN399" s="19"/>
      <c r="DO399" s="19"/>
      <c r="DP399" s="19"/>
      <c r="DQ399" s="19"/>
      <c r="DR399" s="19"/>
      <c r="DS399" s="19"/>
      <c r="DT399" s="19"/>
      <c r="DU399" s="19"/>
      <c r="DV399" s="19"/>
      <c r="DW399" s="19"/>
      <c r="DX399" s="19"/>
      <c r="DY399" s="19"/>
      <c r="DZ399" s="19"/>
      <c r="EA399" s="19"/>
      <c r="EB399" s="19"/>
      <c r="EC399" s="19"/>
      <c r="ED399" s="19"/>
      <c r="EE399" s="19"/>
      <c r="EF399" s="19"/>
      <c r="EG399" s="19"/>
      <c r="EH399" s="19"/>
      <c r="EI399" s="19"/>
      <c r="EJ399" s="19"/>
      <c r="EK399" s="19"/>
      <c r="EL399" s="19"/>
      <c r="EM399" s="19"/>
      <c r="EN399" s="19"/>
      <c r="EO399" s="19"/>
      <c r="EP399" s="17"/>
      <c r="EQ399" s="23"/>
      <c r="ER399" s="23" t="str">
        <f t="shared" si="7"/>
        <v/>
      </c>
      <c r="ES399" s="19"/>
      <c r="ET399" s="19" t="str">
        <f t="shared" si="8"/>
        <v/>
      </c>
      <c r="EU399" s="19"/>
      <c r="EV399" s="19"/>
      <c r="EW399" s="19"/>
      <c r="EX399" s="19"/>
      <c r="EY399" s="19"/>
      <c r="EZ399" s="19"/>
      <c r="FA399" s="19"/>
      <c r="FB399" s="19"/>
    </row>
    <row r="400" ht="15.75" customHeight="1">
      <c r="A400" s="19"/>
      <c r="F400" s="19"/>
      <c r="AH400" s="23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  <c r="CD400" s="19"/>
      <c r="CE400" s="19"/>
      <c r="CF400" s="19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19"/>
      <c r="CW400" s="19"/>
      <c r="CX400" s="19"/>
      <c r="CY400" s="19"/>
      <c r="CZ400" s="19"/>
      <c r="DA400" s="19"/>
      <c r="DB400" s="19"/>
      <c r="DC400" s="19"/>
      <c r="DD400" s="19"/>
      <c r="DE400" s="19"/>
      <c r="DF400" s="19"/>
      <c r="DG400" s="19"/>
      <c r="DH400" s="19"/>
      <c r="DI400" s="19"/>
      <c r="DJ400" s="19"/>
      <c r="DK400" s="19"/>
      <c r="DL400" s="19"/>
      <c r="DM400" s="19"/>
      <c r="DN400" s="19"/>
      <c r="DO400" s="19"/>
      <c r="DP400" s="19"/>
      <c r="DQ400" s="19"/>
      <c r="DR400" s="19"/>
      <c r="DS400" s="19"/>
      <c r="DT400" s="19"/>
      <c r="DU400" s="19"/>
      <c r="DV400" s="19"/>
      <c r="DW400" s="19"/>
      <c r="DX400" s="19"/>
      <c r="DY400" s="19"/>
      <c r="DZ400" s="19"/>
      <c r="EA400" s="19"/>
      <c r="EB400" s="19"/>
      <c r="EC400" s="19"/>
      <c r="ED400" s="19"/>
      <c r="EE400" s="19"/>
      <c r="EF400" s="19"/>
      <c r="EG400" s="19"/>
      <c r="EH400" s="19"/>
      <c r="EI400" s="19"/>
      <c r="EJ400" s="19"/>
      <c r="EK400" s="19"/>
      <c r="EL400" s="19"/>
      <c r="EM400" s="19"/>
      <c r="EN400" s="19"/>
      <c r="EO400" s="19"/>
      <c r="EP400" s="17"/>
      <c r="EQ400" s="23"/>
      <c r="ER400" s="23" t="str">
        <f t="shared" si="7"/>
        <v/>
      </c>
      <c r="ES400" s="19"/>
      <c r="ET400" s="19" t="str">
        <f t="shared" si="8"/>
        <v/>
      </c>
      <c r="EU400" s="19"/>
      <c r="EV400" s="19"/>
      <c r="EW400" s="19"/>
      <c r="EX400" s="19"/>
      <c r="EY400" s="19"/>
      <c r="EZ400" s="19"/>
      <c r="FA400" s="19"/>
      <c r="FB400" s="19"/>
    </row>
    <row r="401" ht="15.75" customHeight="1">
      <c r="A401" s="19"/>
      <c r="F401" s="19"/>
      <c r="AH401" s="23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  <c r="CD401" s="19"/>
      <c r="CE401" s="19"/>
      <c r="CF401" s="19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19"/>
      <c r="CW401" s="19"/>
      <c r="CX401" s="19"/>
      <c r="CY401" s="19"/>
      <c r="CZ401" s="19"/>
      <c r="DA401" s="19"/>
      <c r="DB401" s="19"/>
      <c r="DC401" s="19"/>
      <c r="DD401" s="19"/>
      <c r="DE401" s="19"/>
      <c r="DF401" s="19"/>
      <c r="DG401" s="19"/>
      <c r="DH401" s="19"/>
      <c r="DI401" s="19"/>
      <c r="DJ401" s="19"/>
      <c r="DK401" s="19"/>
      <c r="DL401" s="19"/>
      <c r="DM401" s="19"/>
      <c r="DN401" s="19"/>
      <c r="DO401" s="19"/>
      <c r="DP401" s="19"/>
      <c r="DQ401" s="19"/>
      <c r="DR401" s="19"/>
      <c r="DS401" s="19"/>
      <c r="DT401" s="19"/>
      <c r="DU401" s="19"/>
      <c r="DV401" s="19"/>
      <c r="DW401" s="19"/>
      <c r="DX401" s="19"/>
      <c r="DY401" s="19"/>
      <c r="DZ401" s="19"/>
      <c r="EA401" s="19"/>
      <c r="EB401" s="19"/>
      <c r="EC401" s="19"/>
      <c r="ED401" s="19"/>
      <c r="EE401" s="19"/>
      <c r="EF401" s="19"/>
      <c r="EG401" s="19"/>
      <c r="EH401" s="19"/>
      <c r="EI401" s="19"/>
      <c r="EJ401" s="19"/>
      <c r="EK401" s="19"/>
      <c r="EL401" s="19"/>
      <c r="EM401" s="19"/>
      <c r="EN401" s="19"/>
      <c r="EO401" s="19"/>
      <c r="EP401" s="17"/>
      <c r="EQ401" s="23"/>
      <c r="ER401" s="23" t="str">
        <f t="shared" si="7"/>
        <v/>
      </c>
      <c r="ES401" s="19"/>
      <c r="ET401" s="19" t="str">
        <f t="shared" si="8"/>
        <v/>
      </c>
      <c r="EU401" s="19"/>
      <c r="EV401" s="19"/>
      <c r="EW401" s="19"/>
      <c r="EX401" s="19"/>
      <c r="EY401" s="19"/>
      <c r="EZ401" s="19"/>
      <c r="FA401" s="19"/>
      <c r="FB401" s="19"/>
    </row>
    <row r="402" ht="15.75" customHeight="1">
      <c r="A402" s="19"/>
      <c r="F402" s="19"/>
      <c r="AH402" s="23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7"/>
      <c r="EQ402" s="23"/>
      <c r="ER402" s="23" t="str">
        <f t="shared" si="7"/>
        <v/>
      </c>
      <c r="ES402" s="19"/>
      <c r="ET402" s="19" t="str">
        <f t="shared" si="8"/>
        <v/>
      </c>
      <c r="EU402" s="19"/>
      <c r="EV402" s="19"/>
      <c r="EW402" s="19"/>
      <c r="EX402" s="19"/>
      <c r="EY402" s="19"/>
      <c r="EZ402" s="19"/>
      <c r="FA402" s="19"/>
      <c r="FB402" s="19"/>
    </row>
    <row r="403" ht="15.75" customHeight="1">
      <c r="A403" s="19"/>
      <c r="F403" s="19"/>
      <c r="AH403" s="23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  <c r="CD403" s="19"/>
      <c r="CE403" s="19"/>
      <c r="CF403" s="19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19"/>
      <c r="CW403" s="19"/>
      <c r="CX403" s="19"/>
      <c r="CY403" s="19"/>
      <c r="CZ403" s="19"/>
      <c r="DA403" s="19"/>
      <c r="DB403" s="19"/>
      <c r="DC403" s="19"/>
      <c r="DD403" s="19"/>
      <c r="DE403" s="19"/>
      <c r="DF403" s="19"/>
      <c r="DG403" s="19"/>
      <c r="DH403" s="19"/>
      <c r="DI403" s="19"/>
      <c r="DJ403" s="19"/>
      <c r="DK403" s="19"/>
      <c r="DL403" s="19"/>
      <c r="DM403" s="19"/>
      <c r="DN403" s="19"/>
      <c r="DO403" s="19"/>
      <c r="DP403" s="19"/>
      <c r="DQ403" s="19"/>
      <c r="DR403" s="19"/>
      <c r="DS403" s="19"/>
      <c r="DT403" s="19"/>
      <c r="DU403" s="19"/>
      <c r="DV403" s="19"/>
      <c r="DW403" s="19"/>
      <c r="DX403" s="19"/>
      <c r="DY403" s="19"/>
      <c r="DZ403" s="19"/>
      <c r="EA403" s="19"/>
      <c r="EB403" s="19"/>
      <c r="EC403" s="19"/>
      <c r="ED403" s="19"/>
      <c r="EE403" s="19"/>
      <c r="EF403" s="19"/>
      <c r="EG403" s="19"/>
      <c r="EH403" s="19"/>
      <c r="EI403" s="19"/>
      <c r="EJ403" s="19"/>
      <c r="EK403" s="19"/>
      <c r="EL403" s="19"/>
      <c r="EM403" s="19"/>
      <c r="EN403" s="19"/>
      <c r="EO403" s="19"/>
      <c r="EP403" s="17"/>
      <c r="EQ403" s="23"/>
      <c r="ER403" s="23" t="str">
        <f t="shared" si="7"/>
        <v/>
      </c>
      <c r="ES403" s="19"/>
      <c r="ET403" s="19" t="str">
        <f t="shared" si="8"/>
        <v/>
      </c>
      <c r="EU403" s="19"/>
      <c r="EV403" s="19"/>
      <c r="EW403" s="19"/>
      <c r="EX403" s="19"/>
      <c r="EY403" s="19"/>
      <c r="EZ403" s="19"/>
      <c r="FA403" s="19"/>
      <c r="FB403" s="19"/>
    </row>
    <row r="404" ht="15.75" customHeight="1">
      <c r="A404" s="19"/>
      <c r="F404" s="19"/>
      <c r="AH404" s="23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  <c r="CD404" s="19"/>
      <c r="CE404" s="19"/>
      <c r="CF404" s="19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19"/>
      <c r="CW404" s="19"/>
      <c r="CX404" s="19"/>
      <c r="CY404" s="19"/>
      <c r="CZ404" s="19"/>
      <c r="DA404" s="19"/>
      <c r="DB404" s="19"/>
      <c r="DC404" s="19"/>
      <c r="DD404" s="19"/>
      <c r="DE404" s="19"/>
      <c r="DF404" s="19"/>
      <c r="DG404" s="19"/>
      <c r="DH404" s="19"/>
      <c r="DI404" s="19"/>
      <c r="DJ404" s="19"/>
      <c r="DK404" s="19"/>
      <c r="DL404" s="19"/>
      <c r="DM404" s="19"/>
      <c r="DN404" s="19"/>
      <c r="DO404" s="19"/>
      <c r="DP404" s="19"/>
      <c r="DQ404" s="19"/>
      <c r="DR404" s="19"/>
      <c r="DS404" s="19"/>
      <c r="DT404" s="19"/>
      <c r="DU404" s="19"/>
      <c r="DV404" s="19"/>
      <c r="DW404" s="19"/>
      <c r="DX404" s="19"/>
      <c r="DY404" s="19"/>
      <c r="DZ404" s="19"/>
      <c r="EA404" s="19"/>
      <c r="EB404" s="19"/>
      <c r="EC404" s="19"/>
      <c r="ED404" s="19"/>
      <c r="EE404" s="19"/>
      <c r="EF404" s="19"/>
      <c r="EG404" s="19"/>
      <c r="EH404" s="19"/>
      <c r="EI404" s="19"/>
      <c r="EJ404" s="19"/>
      <c r="EK404" s="19"/>
      <c r="EL404" s="19"/>
      <c r="EM404" s="19"/>
      <c r="EN404" s="19"/>
      <c r="EO404" s="19"/>
      <c r="EP404" s="17"/>
      <c r="EQ404" s="23"/>
      <c r="ER404" s="23" t="str">
        <f t="shared" si="7"/>
        <v/>
      </c>
      <c r="ES404" s="19"/>
      <c r="ET404" s="19" t="str">
        <f t="shared" si="8"/>
        <v/>
      </c>
      <c r="EU404" s="19"/>
      <c r="EV404" s="19"/>
      <c r="EW404" s="19"/>
      <c r="EX404" s="19"/>
      <c r="EY404" s="19"/>
      <c r="EZ404" s="19"/>
      <c r="FA404" s="19"/>
      <c r="FB404" s="19"/>
    </row>
    <row r="405" ht="15.75" customHeight="1">
      <c r="A405" s="19"/>
      <c r="F405" s="19"/>
      <c r="AH405" s="23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  <c r="CD405" s="19"/>
      <c r="CE405" s="19"/>
      <c r="CF405" s="19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19"/>
      <c r="CW405" s="19"/>
      <c r="CX405" s="19"/>
      <c r="CY405" s="19"/>
      <c r="CZ405" s="19"/>
      <c r="DA405" s="19"/>
      <c r="DB405" s="19"/>
      <c r="DC405" s="19"/>
      <c r="DD405" s="19"/>
      <c r="DE405" s="19"/>
      <c r="DF405" s="19"/>
      <c r="DG405" s="19"/>
      <c r="DH405" s="19"/>
      <c r="DI405" s="19"/>
      <c r="DJ405" s="19"/>
      <c r="DK405" s="19"/>
      <c r="DL405" s="19"/>
      <c r="DM405" s="19"/>
      <c r="DN405" s="19"/>
      <c r="DO405" s="19"/>
      <c r="DP405" s="19"/>
      <c r="DQ405" s="19"/>
      <c r="DR405" s="19"/>
      <c r="DS405" s="19"/>
      <c r="DT405" s="19"/>
      <c r="DU405" s="19"/>
      <c r="DV405" s="19"/>
      <c r="DW405" s="19"/>
      <c r="DX405" s="19"/>
      <c r="DY405" s="19"/>
      <c r="DZ405" s="19"/>
      <c r="EA405" s="19"/>
      <c r="EB405" s="19"/>
      <c r="EC405" s="19"/>
      <c r="ED405" s="19"/>
      <c r="EE405" s="19"/>
      <c r="EF405" s="19"/>
      <c r="EG405" s="19"/>
      <c r="EH405" s="19"/>
      <c r="EI405" s="19"/>
      <c r="EJ405" s="19"/>
      <c r="EK405" s="19"/>
      <c r="EL405" s="19"/>
      <c r="EM405" s="19"/>
      <c r="EN405" s="19"/>
      <c r="EO405" s="19"/>
      <c r="EP405" s="17"/>
      <c r="EQ405" s="23"/>
      <c r="ER405" s="23" t="str">
        <f t="shared" si="7"/>
        <v/>
      </c>
      <c r="ES405" s="19"/>
      <c r="ET405" s="19" t="str">
        <f t="shared" si="8"/>
        <v/>
      </c>
      <c r="EU405" s="19"/>
      <c r="EV405" s="19"/>
      <c r="EW405" s="19"/>
      <c r="EX405" s="19"/>
      <c r="EY405" s="19"/>
      <c r="EZ405" s="19"/>
      <c r="FA405" s="19"/>
      <c r="FB405" s="19"/>
    </row>
    <row r="406" ht="15.75" customHeight="1">
      <c r="A406" s="19"/>
      <c r="F406" s="19"/>
      <c r="AH406" s="23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  <c r="CD406" s="19"/>
      <c r="CE406" s="19"/>
      <c r="CF406" s="19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19"/>
      <c r="CW406" s="19"/>
      <c r="CX406" s="19"/>
      <c r="CY406" s="19"/>
      <c r="CZ406" s="19"/>
      <c r="DA406" s="19"/>
      <c r="DB406" s="19"/>
      <c r="DC406" s="19"/>
      <c r="DD406" s="19"/>
      <c r="DE406" s="19"/>
      <c r="DF406" s="19"/>
      <c r="DG406" s="19"/>
      <c r="DH406" s="19"/>
      <c r="DI406" s="19"/>
      <c r="DJ406" s="19"/>
      <c r="DK406" s="19"/>
      <c r="DL406" s="19"/>
      <c r="DM406" s="19"/>
      <c r="DN406" s="19"/>
      <c r="DO406" s="19"/>
      <c r="DP406" s="19"/>
      <c r="DQ406" s="19"/>
      <c r="DR406" s="19"/>
      <c r="DS406" s="19"/>
      <c r="DT406" s="19"/>
      <c r="DU406" s="19"/>
      <c r="DV406" s="19"/>
      <c r="DW406" s="19"/>
      <c r="DX406" s="19"/>
      <c r="DY406" s="19"/>
      <c r="DZ406" s="19"/>
      <c r="EA406" s="19"/>
      <c r="EB406" s="19"/>
      <c r="EC406" s="19"/>
      <c r="ED406" s="19"/>
      <c r="EE406" s="19"/>
      <c r="EF406" s="19"/>
      <c r="EG406" s="19"/>
      <c r="EH406" s="19"/>
      <c r="EI406" s="19"/>
      <c r="EJ406" s="19"/>
      <c r="EK406" s="19"/>
      <c r="EL406" s="19"/>
      <c r="EM406" s="19"/>
      <c r="EN406" s="19"/>
      <c r="EO406" s="19"/>
      <c r="EP406" s="17"/>
      <c r="EQ406" s="23"/>
      <c r="ER406" s="23" t="str">
        <f t="shared" si="7"/>
        <v/>
      </c>
      <c r="ES406" s="19"/>
      <c r="ET406" s="19" t="str">
        <f t="shared" si="8"/>
        <v/>
      </c>
      <c r="EU406" s="19"/>
      <c r="EV406" s="19"/>
      <c r="EW406" s="19"/>
      <c r="EX406" s="19"/>
      <c r="EY406" s="19"/>
      <c r="EZ406" s="19"/>
      <c r="FA406" s="19"/>
      <c r="FB406" s="19"/>
    </row>
    <row r="407" ht="15.75" customHeight="1">
      <c r="A407" s="19"/>
      <c r="F407" s="19"/>
      <c r="AH407" s="23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  <c r="CD407" s="19"/>
      <c r="CE407" s="19"/>
      <c r="CF407" s="19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19"/>
      <c r="CW407" s="19"/>
      <c r="CX407" s="19"/>
      <c r="CY407" s="19"/>
      <c r="CZ407" s="19"/>
      <c r="DA407" s="19"/>
      <c r="DB407" s="19"/>
      <c r="DC407" s="19"/>
      <c r="DD407" s="19"/>
      <c r="DE407" s="19"/>
      <c r="DF407" s="19"/>
      <c r="DG407" s="19"/>
      <c r="DH407" s="19"/>
      <c r="DI407" s="19"/>
      <c r="DJ407" s="19"/>
      <c r="DK407" s="19"/>
      <c r="DL407" s="19"/>
      <c r="DM407" s="19"/>
      <c r="DN407" s="19"/>
      <c r="DO407" s="19"/>
      <c r="DP407" s="19"/>
      <c r="DQ407" s="19"/>
      <c r="DR407" s="19"/>
      <c r="DS407" s="19"/>
      <c r="DT407" s="19"/>
      <c r="DU407" s="19"/>
      <c r="DV407" s="19"/>
      <c r="DW407" s="19"/>
      <c r="DX407" s="19"/>
      <c r="DY407" s="19"/>
      <c r="DZ407" s="19"/>
      <c r="EA407" s="19"/>
      <c r="EB407" s="19"/>
      <c r="EC407" s="19"/>
      <c r="ED407" s="19"/>
      <c r="EE407" s="19"/>
      <c r="EF407" s="19"/>
      <c r="EG407" s="19"/>
      <c r="EH407" s="19"/>
      <c r="EI407" s="19"/>
      <c r="EJ407" s="19"/>
      <c r="EK407" s="19"/>
      <c r="EL407" s="19"/>
      <c r="EM407" s="19"/>
      <c r="EN407" s="19"/>
      <c r="EO407" s="19"/>
      <c r="EP407" s="17"/>
      <c r="EQ407" s="23"/>
      <c r="ER407" s="23" t="str">
        <f t="shared" si="7"/>
        <v/>
      </c>
      <c r="ES407" s="19"/>
      <c r="ET407" s="19" t="str">
        <f t="shared" si="8"/>
        <v/>
      </c>
      <c r="EU407" s="19"/>
      <c r="EV407" s="19"/>
      <c r="EW407" s="19"/>
      <c r="EX407" s="19"/>
      <c r="EY407" s="19"/>
      <c r="EZ407" s="19"/>
      <c r="FA407" s="19"/>
      <c r="FB407" s="19"/>
    </row>
    <row r="408" ht="15.75" customHeight="1">
      <c r="A408" s="19"/>
      <c r="F408" s="19"/>
      <c r="AH408" s="23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  <c r="CD408" s="19"/>
      <c r="CE408" s="19"/>
      <c r="CF408" s="19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19"/>
      <c r="CW408" s="19"/>
      <c r="CX408" s="19"/>
      <c r="CY408" s="19"/>
      <c r="CZ408" s="19"/>
      <c r="DA408" s="19"/>
      <c r="DB408" s="19"/>
      <c r="DC408" s="19"/>
      <c r="DD408" s="19"/>
      <c r="DE408" s="19"/>
      <c r="DF408" s="19"/>
      <c r="DG408" s="19"/>
      <c r="DH408" s="19"/>
      <c r="DI408" s="19"/>
      <c r="DJ408" s="19"/>
      <c r="DK408" s="19"/>
      <c r="DL408" s="19"/>
      <c r="DM408" s="19"/>
      <c r="DN408" s="19"/>
      <c r="DO408" s="19"/>
      <c r="DP408" s="19"/>
      <c r="DQ408" s="19"/>
      <c r="DR408" s="19"/>
      <c r="DS408" s="19"/>
      <c r="DT408" s="19"/>
      <c r="DU408" s="19"/>
      <c r="DV408" s="19"/>
      <c r="DW408" s="19"/>
      <c r="DX408" s="19"/>
      <c r="DY408" s="19"/>
      <c r="DZ408" s="19"/>
      <c r="EA408" s="19"/>
      <c r="EB408" s="19"/>
      <c r="EC408" s="19"/>
      <c r="ED408" s="19"/>
      <c r="EE408" s="19"/>
      <c r="EF408" s="19"/>
      <c r="EG408" s="19"/>
      <c r="EH408" s="19"/>
      <c r="EI408" s="19"/>
      <c r="EJ408" s="19"/>
      <c r="EK408" s="19"/>
      <c r="EL408" s="19"/>
      <c r="EM408" s="19"/>
      <c r="EN408" s="19"/>
      <c r="EO408" s="19"/>
      <c r="EP408" s="17"/>
      <c r="EQ408" s="23"/>
      <c r="ER408" s="23" t="str">
        <f t="shared" si="7"/>
        <v/>
      </c>
      <c r="ES408" s="19"/>
      <c r="ET408" s="19" t="str">
        <f t="shared" si="8"/>
        <v/>
      </c>
      <c r="EU408" s="19"/>
      <c r="EV408" s="19"/>
      <c r="EW408" s="19"/>
      <c r="EX408" s="19"/>
      <c r="EY408" s="19"/>
      <c r="EZ408" s="19"/>
      <c r="FA408" s="19"/>
      <c r="FB408" s="19"/>
    </row>
    <row r="409" ht="15.75" customHeight="1">
      <c r="A409" s="19"/>
      <c r="F409" s="19"/>
      <c r="AH409" s="23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  <c r="CD409" s="19"/>
      <c r="CE409" s="19"/>
      <c r="CF409" s="19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19"/>
      <c r="CW409" s="19"/>
      <c r="CX409" s="19"/>
      <c r="CY409" s="19"/>
      <c r="CZ409" s="19"/>
      <c r="DA409" s="19"/>
      <c r="DB409" s="19"/>
      <c r="DC409" s="19"/>
      <c r="DD409" s="19"/>
      <c r="DE409" s="19"/>
      <c r="DF409" s="19"/>
      <c r="DG409" s="19"/>
      <c r="DH409" s="19"/>
      <c r="DI409" s="19"/>
      <c r="DJ409" s="19"/>
      <c r="DK409" s="19"/>
      <c r="DL409" s="19"/>
      <c r="DM409" s="19"/>
      <c r="DN409" s="19"/>
      <c r="DO409" s="19"/>
      <c r="DP409" s="19"/>
      <c r="DQ409" s="19"/>
      <c r="DR409" s="19"/>
      <c r="DS409" s="19"/>
      <c r="DT409" s="19"/>
      <c r="DU409" s="19"/>
      <c r="DV409" s="19"/>
      <c r="DW409" s="19"/>
      <c r="DX409" s="19"/>
      <c r="DY409" s="19"/>
      <c r="DZ409" s="19"/>
      <c r="EA409" s="19"/>
      <c r="EB409" s="19"/>
      <c r="EC409" s="19"/>
      <c r="ED409" s="19"/>
      <c r="EE409" s="19"/>
      <c r="EF409" s="19"/>
      <c r="EG409" s="19"/>
      <c r="EH409" s="19"/>
      <c r="EI409" s="19"/>
      <c r="EJ409" s="19"/>
      <c r="EK409" s="19"/>
      <c r="EL409" s="19"/>
      <c r="EM409" s="19"/>
      <c r="EN409" s="19"/>
      <c r="EO409" s="19"/>
      <c r="EP409" s="17"/>
      <c r="EQ409" s="23"/>
      <c r="ER409" s="23" t="str">
        <f t="shared" si="7"/>
        <v/>
      </c>
      <c r="ES409" s="19"/>
      <c r="ET409" s="19" t="str">
        <f t="shared" si="8"/>
        <v/>
      </c>
      <c r="EU409" s="19"/>
      <c r="EV409" s="19"/>
      <c r="EW409" s="19"/>
      <c r="EX409" s="19"/>
      <c r="EY409" s="19"/>
      <c r="EZ409" s="19"/>
      <c r="FA409" s="19"/>
      <c r="FB409" s="19"/>
    </row>
    <row r="410" ht="15.75" customHeight="1">
      <c r="A410" s="19"/>
      <c r="F410" s="19"/>
      <c r="AH410" s="23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  <c r="CD410" s="19"/>
      <c r="CE410" s="19"/>
      <c r="CF410" s="19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19"/>
      <c r="CW410" s="19"/>
      <c r="CX410" s="19"/>
      <c r="CY410" s="19"/>
      <c r="CZ410" s="19"/>
      <c r="DA410" s="19"/>
      <c r="DB410" s="19"/>
      <c r="DC410" s="19"/>
      <c r="DD410" s="19"/>
      <c r="DE410" s="19"/>
      <c r="DF410" s="19"/>
      <c r="DG410" s="19"/>
      <c r="DH410" s="19"/>
      <c r="DI410" s="19"/>
      <c r="DJ410" s="19"/>
      <c r="DK410" s="19"/>
      <c r="DL410" s="19"/>
      <c r="DM410" s="19"/>
      <c r="DN410" s="19"/>
      <c r="DO410" s="19"/>
      <c r="DP410" s="19"/>
      <c r="DQ410" s="19"/>
      <c r="DR410" s="19"/>
      <c r="DS410" s="19"/>
      <c r="DT410" s="19"/>
      <c r="DU410" s="19"/>
      <c r="DV410" s="19"/>
      <c r="DW410" s="19"/>
      <c r="DX410" s="19"/>
      <c r="DY410" s="19"/>
      <c r="DZ410" s="19"/>
      <c r="EA410" s="19"/>
      <c r="EB410" s="19"/>
      <c r="EC410" s="19"/>
      <c r="ED410" s="19"/>
      <c r="EE410" s="19"/>
      <c r="EF410" s="19"/>
      <c r="EG410" s="19"/>
      <c r="EH410" s="19"/>
      <c r="EI410" s="19"/>
      <c r="EJ410" s="19"/>
      <c r="EK410" s="19"/>
      <c r="EL410" s="19"/>
      <c r="EM410" s="19"/>
      <c r="EN410" s="19"/>
      <c r="EO410" s="19"/>
      <c r="EP410" s="17"/>
      <c r="EQ410" s="23"/>
      <c r="ER410" s="23" t="str">
        <f t="shared" si="7"/>
        <v/>
      </c>
      <c r="ES410" s="19"/>
      <c r="ET410" s="19" t="str">
        <f t="shared" si="8"/>
        <v/>
      </c>
      <c r="EU410" s="19"/>
      <c r="EV410" s="19"/>
      <c r="EW410" s="19"/>
      <c r="EX410" s="19"/>
      <c r="EY410" s="19"/>
      <c r="EZ410" s="19"/>
      <c r="FA410" s="19"/>
      <c r="FB410" s="19"/>
    </row>
    <row r="411" ht="15.75" customHeight="1">
      <c r="A411" s="19"/>
      <c r="F411" s="19"/>
      <c r="AH411" s="23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  <c r="CD411" s="19"/>
      <c r="CE411" s="19"/>
      <c r="CF411" s="19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19"/>
      <c r="CW411" s="19"/>
      <c r="CX411" s="19"/>
      <c r="CY411" s="19"/>
      <c r="CZ411" s="19"/>
      <c r="DA411" s="19"/>
      <c r="DB411" s="19"/>
      <c r="DC411" s="19"/>
      <c r="DD411" s="19"/>
      <c r="DE411" s="19"/>
      <c r="DF411" s="19"/>
      <c r="DG411" s="19"/>
      <c r="DH411" s="19"/>
      <c r="DI411" s="19"/>
      <c r="DJ411" s="19"/>
      <c r="DK411" s="19"/>
      <c r="DL411" s="19"/>
      <c r="DM411" s="19"/>
      <c r="DN411" s="19"/>
      <c r="DO411" s="19"/>
      <c r="DP411" s="19"/>
      <c r="DQ411" s="19"/>
      <c r="DR411" s="19"/>
      <c r="DS411" s="19"/>
      <c r="DT411" s="19"/>
      <c r="DU411" s="19"/>
      <c r="DV411" s="19"/>
      <c r="DW411" s="19"/>
      <c r="DX411" s="19"/>
      <c r="DY411" s="19"/>
      <c r="DZ411" s="19"/>
      <c r="EA411" s="19"/>
      <c r="EB411" s="19"/>
      <c r="EC411" s="19"/>
      <c r="ED411" s="19"/>
      <c r="EE411" s="19"/>
      <c r="EF411" s="19"/>
      <c r="EG411" s="19"/>
      <c r="EH411" s="19"/>
      <c r="EI411" s="19"/>
      <c r="EJ411" s="19"/>
      <c r="EK411" s="19"/>
      <c r="EL411" s="19"/>
      <c r="EM411" s="19"/>
      <c r="EN411" s="19"/>
      <c r="EO411" s="19"/>
      <c r="EP411" s="17"/>
      <c r="EQ411" s="23"/>
      <c r="ER411" s="23" t="str">
        <f t="shared" si="7"/>
        <v/>
      </c>
      <c r="ES411" s="19"/>
      <c r="ET411" s="19" t="str">
        <f t="shared" si="8"/>
        <v/>
      </c>
      <c r="EU411" s="19"/>
      <c r="EV411" s="19"/>
      <c r="EW411" s="19"/>
      <c r="EX411" s="19"/>
      <c r="EY411" s="19"/>
      <c r="EZ411" s="19"/>
      <c r="FA411" s="19"/>
      <c r="FB411" s="19"/>
    </row>
    <row r="412" ht="15.75" customHeight="1">
      <c r="A412" s="19"/>
      <c r="F412" s="19"/>
      <c r="AH412" s="23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  <c r="CD412" s="19"/>
      <c r="CE412" s="19"/>
      <c r="CF412" s="19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19"/>
      <c r="CW412" s="19"/>
      <c r="CX412" s="19"/>
      <c r="CY412" s="19"/>
      <c r="CZ412" s="19"/>
      <c r="DA412" s="19"/>
      <c r="DB412" s="19"/>
      <c r="DC412" s="19"/>
      <c r="DD412" s="19"/>
      <c r="DE412" s="19"/>
      <c r="DF412" s="19"/>
      <c r="DG412" s="19"/>
      <c r="DH412" s="19"/>
      <c r="DI412" s="19"/>
      <c r="DJ412" s="19"/>
      <c r="DK412" s="19"/>
      <c r="DL412" s="19"/>
      <c r="DM412" s="19"/>
      <c r="DN412" s="19"/>
      <c r="DO412" s="19"/>
      <c r="DP412" s="19"/>
      <c r="DQ412" s="19"/>
      <c r="DR412" s="19"/>
      <c r="DS412" s="19"/>
      <c r="DT412" s="19"/>
      <c r="DU412" s="19"/>
      <c r="DV412" s="19"/>
      <c r="DW412" s="19"/>
      <c r="DX412" s="19"/>
      <c r="DY412" s="19"/>
      <c r="DZ412" s="19"/>
      <c r="EA412" s="19"/>
      <c r="EB412" s="19"/>
      <c r="EC412" s="19"/>
      <c r="ED412" s="19"/>
      <c r="EE412" s="19"/>
      <c r="EF412" s="19"/>
      <c r="EG412" s="19"/>
      <c r="EH412" s="19"/>
      <c r="EI412" s="19"/>
      <c r="EJ412" s="19"/>
      <c r="EK412" s="19"/>
      <c r="EL412" s="19"/>
      <c r="EM412" s="19"/>
      <c r="EN412" s="19"/>
      <c r="EO412" s="19"/>
      <c r="EP412" s="17"/>
      <c r="EQ412" s="23"/>
      <c r="ER412" s="23" t="str">
        <f t="shared" si="7"/>
        <v/>
      </c>
      <c r="ES412" s="19"/>
      <c r="ET412" s="19" t="str">
        <f t="shared" si="8"/>
        <v/>
      </c>
      <c r="EU412" s="19"/>
      <c r="EV412" s="19"/>
      <c r="EW412" s="19"/>
      <c r="EX412" s="19"/>
      <c r="EY412" s="19"/>
      <c r="EZ412" s="19"/>
      <c r="FA412" s="19"/>
      <c r="FB412" s="19"/>
    </row>
    <row r="413" ht="15.75" customHeight="1">
      <c r="A413" s="19"/>
      <c r="F413" s="19"/>
      <c r="AH413" s="23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7"/>
      <c r="EQ413" s="23"/>
      <c r="ER413" s="23" t="str">
        <f t="shared" si="7"/>
        <v/>
      </c>
      <c r="ES413" s="19"/>
      <c r="ET413" s="19" t="str">
        <f t="shared" si="8"/>
        <v/>
      </c>
      <c r="EU413" s="19"/>
      <c r="EV413" s="19"/>
      <c r="EW413" s="19"/>
      <c r="EX413" s="19"/>
      <c r="EY413" s="19"/>
      <c r="EZ413" s="19"/>
      <c r="FA413" s="19"/>
      <c r="FB413" s="19"/>
    </row>
    <row r="414" ht="15.75" customHeight="1">
      <c r="A414" s="19"/>
      <c r="F414" s="19"/>
      <c r="AH414" s="23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  <c r="CD414" s="19"/>
      <c r="CE414" s="19"/>
      <c r="CF414" s="19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19"/>
      <c r="CW414" s="19"/>
      <c r="CX414" s="19"/>
      <c r="CY414" s="19"/>
      <c r="CZ414" s="19"/>
      <c r="DA414" s="19"/>
      <c r="DB414" s="19"/>
      <c r="DC414" s="19"/>
      <c r="DD414" s="19"/>
      <c r="DE414" s="19"/>
      <c r="DF414" s="19"/>
      <c r="DG414" s="19"/>
      <c r="DH414" s="19"/>
      <c r="DI414" s="19"/>
      <c r="DJ414" s="19"/>
      <c r="DK414" s="19"/>
      <c r="DL414" s="19"/>
      <c r="DM414" s="19"/>
      <c r="DN414" s="19"/>
      <c r="DO414" s="19"/>
      <c r="DP414" s="19"/>
      <c r="DQ414" s="19"/>
      <c r="DR414" s="19"/>
      <c r="DS414" s="19"/>
      <c r="DT414" s="19"/>
      <c r="DU414" s="19"/>
      <c r="DV414" s="19"/>
      <c r="DW414" s="19"/>
      <c r="DX414" s="19"/>
      <c r="DY414" s="19"/>
      <c r="DZ414" s="19"/>
      <c r="EA414" s="19"/>
      <c r="EB414" s="19"/>
      <c r="EC414" s="19"/>
      <c r="ED414" s="19"/>
      <c r="EE414" s="19"/>
      <c r="EF414" s="19"/>
      <c r="EG414" s="19"/>
      <c r="EH414" s="19"/>
      <c r="EI414" s="19"/>
      <c r="EJ414" s="19"/>
      <c r="EK414" s="19"/>
      <c r="EL414" s="19"/>
      <c r="EM414" s="19"/>
      <c r="EN414" s="19"/>
      <c r="EO414" s="19"/>
      <c r="EP414" s="17"/>
      <c r="EQ414" s="23"/>
      <c r="ER414" s="23" t="str">
        <f t="shared" si="7"/>
        <v/>
      </c>
      <c r="ES414" s="19"/>
      <c r="ET414" s="19" t="str">
        <f t="shared" si="8"/>
        <v/>
      </c>
      <c r="EU414" s="19"/>
      <c r="EV414" s="19"/>
      <c r="EW414" s="19"/>
      <c r="EX414" s="19"/>
      <c r="EY414" s="19"/>
      <c r="EZ414" s="19"/>
      <c r="FA414" s="19"/>
      <c r="FB414" s="19"/>
    </row>
    <row r="415" ht="15.75" customHeight="1">
      <c r="A415" s="19"/>
      <c r="F415" s="19"/>
      <c r="AH415" s="23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  <c r="CD415" s="19"/>
      <c r="CE415" s="19"/>
      <c r="CF415" s="19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19"/>
      <c r="CW415" s="19"/>
      <c r="CX415" s="19"/>
      <c r="CY415" s="19"/>
      <c r="CZ415" s="19"/>
      <c r="DA415" s="19"/>
      <c r="DB415" s="19"/>
      <c r="DC415" s="19"/>
      <c r="DD415" s="19"/>
      <c r="DE415" s="19"/>
      <c r="DF415" s="19"/>
      <c r="DG415" s="19"/>
      <c r="DH415" s="19"/>
      <c r="DI415" s="19"/>
      <c r="DJ415" s="19"/>
      <c r="DK415" s="19"/>
      <c r="DL415" s="19"/>
      <c r="DM415" s="19"/>
      <c r="DN415" s="19"/>
      <c r="DO415" s="19"/>
      <c r="DP415" s="19"/>
      <c r="DQ415" s="19"/>
      <c r="DR415" s="19"/>
      <c r="DS415" s="19"/>
      <c r="DT415" s="19"/>
      <c r="DU415" s="19"/>
      <c r="DV415" s="19"/>
      <c r="DW415" s="19"/>
      <c r="DX415" s="19"/>
      <c r="DY415" s="19"/>
      <c r="DZ415" s="19"/>
      <c r="EA415" s="19"/>
      <c r="EB415" s="19"/>
      <c r="EC415" s="19"/>
      <c r="ED415" s="19"/>
      <c r="EE415" s="19"/>
      <c r="EF415" s="19"/>
      <c r="EG415" s="19"/>
      <c r="EH415" s="19"/>
      <c r="EI415" s="19"/>
      <c r="EJ415" s="19"/>
      <c r="EK415" s="19"/>
      <c r="EL415" s="19"/>
      <c r="EM415" s="19"/>
      <c r="EN415" s="19"/>
      <c r="EO415" s="19"/>
      <c r="EP415" s="17"/>
      <c r="EQ415" s="23"/>
      <c r="ER415" s="23" t="str">
        <f t="shared" si="7"/>
        <v/>
      </c>
      <c r="ES415" s="19"/>
      <c r="ET415" s="19" t="str">
        <f t="shared" si="8"/>
        <v/>
      </c>
      <c r="EU415" s="19"/>
      <c r="EV415" s="19"/>
      <c r="EW415" s="19"/>
      <c r="EX415" s="19"/>
      <c r="EY415" s="19"/>
      <c r="EZ415" s="19"/>
      <c r="FA415" s="19"/>
      <c r="FB415" s="19"/>
    </row>
    <row r="416" ht="15.75" customHeight="1">
      <c r="A416" s="19"/>
      <c r="F416" s="19"/>
      <c r="AH416" s="23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  <c r="CD416" s="19"/>
      <c r="CE416" s="19"/>
      <c r="CF416" s="19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19"/>
      <c r="CW416" s="19"/>
      <c r="CX416" s="19"/>
      <c r="CY416" s="19"/>
      <c r="CZ416" s="19"/>
      <c r="DA416" s="19"/>
      <c r="DB416" s="19"/>
      <c r="DC416" s="19"/>
      <c r="DD416" s="19"/>
      <c r="DE416" s="19"/>
      <c r="DF416" s="19"/>
      <c r="DG416" s="19"/>
      <c r="DH416" s="19"/>
      <c r="DI416" s="19"/>
      <c r="DJ416" s="19"/>
      <c r="DK416" s="19"/>
      <c r="DL416" s="19"/>
      <c r="DM416" s="19"/>
      <c r="DN416" s="19"/>
      <c r="DO416" s="19"/>
      <c r="DP416" s="19"/>
      <c r="DQ416" s="19"/>
      <c r="DR416" s="19"/>
      <c r="DS416" s="19"/>
      <c r="DT416" s="19"/>
      <c r="DU416" s="19"/>
      <c r="DV416" s="19"/>
      <c r="DW416" s="19"/>
      <c r="DX416" s="19"/>
      <c r="DY416" s="19"/>
      <c r="DZ416" s="19"/>
      <c r="EA416" s="19"/>
      <c r="EB416" s="19"/>
      <c r="EC416" s="19"/>
      <c r="ED416" s="19"/>
      <c r="EE416" s="19"/>
      <c r="EF416" s="19"/>
      <c r="EG416" s="19"/>
      <c r="EH416" s="19"/>
      <c r="EI416" s="19"/>
      <c r="EJ416" s="19"/>
      <c r="EK416" s="19"/>
      <c r="EL416" s="19"/>
      <c r="EM416" s="19"/>
      <c r="EN416" s="19"/>
      <c r="EO416" s="19"/>
      <c r="EP416" s="17"/>
      <c r="EQ416" s="23"/>
      <c r="ER416" s="23" t="str">
        <f t="shared" si="7"/>
        <v/>
      </c>
      <c r="ES416" s="19"/>
      <c r="ET416" s="19" t="str">
        <f t="shared" si="8"/>
        <v/>
      </c>
      <c r="EU416" s="19"/>
      <c r="EV416" s="19"/>
      <c r="EW416" s="19"/>
      <c r="EX416" s="19"/>
      <c r="EY416" s="19"/>
      <c r="EZ416" s="19"/>
      <c r="FA416" s="19"/>
      <c r="FB416" s="19"/>
    </row>
    <row r="417" ht="15.75" customHeight="1">
      <c r="A417" s="19"/>
      <c r="F417" s="19"/>
      <c r="AH417" s="23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  <c r="CD417" s="19"/>
      <c r="CE417" s="19"/>
      <c r="CF417" s="19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19"/>
      <c r="CW417" s="19"/>
      <c r="CX417" s="19"/>
      <c r="CY417" s="19"/>
      <c r="CZ417" s="19"/>
      <c r="DA417" s="19"/>
      <c r="DB417" s="19"/>
      <c r="DC417" s="19"/>
      <c r="DD417" s="19"/>
      <c r="DE417" s="19"/>
      <c r="DF417" s="19"/>
      <c r="DG417" s="19"/>
      <c r="DH417" s="19"/>
      <c r="DI417" s="19"/>
      <c r="DJ417" s="19"/>
      <c r="DK417" s="19"/>
      <c r="DL417" s="19"/>
      <c r="DM417" s="19"/>
      <c r="DN417" s="19"/>
      <c r="DO417" s="19"/>
      <c r="DP417" s="19"/>
      <c r="DQ417" s="19"/>
      <c r="DR417" s="19"/>
      <c r="DS417" s="19"/>
      <c r="DT417" s="19"/>
      <c r="DU417" s="19"/>
      <c r="DV417" s="19"/>
      <c r="DW417" s="19"/>
      <c r="DX417" s="19"/>
      <c r="DY417" s="19"/>
      <c r="DZ417" s="19"/>
      <c r="EA417" s="19"/>
      <c r="EB417" s="19"/>
      <c r="EC417" s="19"/>
      <c r="ED417" s="19"/>
      <c r="EE417" s="19"/>
      <c r="EF417" s="19"/>
      <c r="EG417" s="19"/>
      <c r="EH417" s="19"/>
      <c r="EI417" s="19"/>
      <c r="EJ417" s="19"/>
      <c r="EK417" s="19"/>
      <c r="EL417" s="19"/>
      <c r="EM417" s="19"/>
      <c r="EN417" s="19"/>
      <c r="EO417" s="19"/>
      <c r="EP417" s="17"/>
      <c r="EQ417" s="23"/>
      <c r="ER417" s="23" t="str">
        <f t="shared" si="7"/>
        <v/>
      </c>
      <c r="ES417" s="19"/>
      <c r="ET417" s="19" t="str">
        <f t="shared" si="8"/>
        <v/>
      </c>
      <c r="EU417" s="19"/>
      <c r="EV417" s="19"/>
      <c r="EW417" s="19"/>
      <c r="EX417" s="19"/>
      <c r="EY417" s="19"/>
      <c r="EZ417" s="19"/>
      <c r="FA417" s="19"/>
      <c r="FB417" s="19"/>
    </row>
    <row r="418" ht="15.75" customHeight="1">
      <c r="A418" s="19"/>
      <c r="F418" s="19"/>
      <c r="AH418" s="23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  <c r="CD418" s="19"/>
      <c r="CE418" s="19"/>
      <c r="CF418" s="19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19"/>
      <c r="CW418" s="19"/>
      <c r="CX418" s="19"/>
      <c r="CY418" s="19"/>
      <c r="CZ418" s="19"/>
      <c r="DA418" s="19"/>
      <c r="DB418" s="19"/>
      <c r="DC418" s="19"/>
      <c r="DD418" s="19"/>
      <c r="DE418" s="19"/>
      <c r="DF418" s="19"/>
      <c r="DG418" s="19"/>
      <c r="DH418" s="19"/>
      <c r="DI418" s="19"/>
      <c r="DJ418" s="19"/>
      <c r="DK418" s="19"/>
      <c r="DL418" s="19"/>
      <c r="DM418" s="19"/>
      <c r="DN418" s="19"/>
      <c r="DO418" s="19"/>
      <c r="DP418" s="19"/>
      <c r="DQ418" s="19"/>
      <c r="DR418" s="19"/>
      <c r="DS418" s="19"/>
      <c r="DT418" s="19"/>
      <c r="DU418" s="19"/>
      <c r="DV418" s="19"/>
      <c r="DW418" s="19"/>
      <c r="DX418" s="19"/>
      <c r="DY418" s="19"/>
      <c r="DZ418" s="19"/>
      <c r="EA418" s="19"/>
      <c r="EB418" s="19"/>
      <c r="EC418" s="19"/>
      <c r="ED418" s="19"/>
      <c r="EE418" s="19"/>
      <c r="EF418" s="19"/>
      <c r="EG418" s="19"/>
      <c r="EH418" s="19"/>
      <c r="EI418" s="19"/>
      <c r="EJ418" s="19"/>
      <c r="EK418" s="19"/>
      <c r="EL418" s="19"/>
      <c r="EM418" s="19"/>
      <c r="EN418" s="19"/>
      <c r="EO418" s="19"/>
      <c r="EP418" s="17"/>
      <c r="EQ418" s="23"/>
      <c r="ER418" s="23" t="str">
        <f t="shared" si="7"/>
        <v/>
      </c>
      <c r="ES418" s="19"/>
      <c r="ET418" s="19" t="str">
        <f t="shared" si="8"/>
        <v/>
      </c>
      <c r="EU418" s="19"/>
      <c r="EV418" s="19"/>
      <c r="EW418" s="19"/>
      <c r="EX418" s="19"/>
      <c r="EY418" s="19"/>
      <c r="EZ418" s="19"/>
      <c r="FA418" s="19"/>
      <c r="FB418" s="19"/>
    </row>
    <row r="419" ht="15.75" customHeight="1">
      <c r="A419" s="19"/>
      <c r="F419" s="19"/>
      <c r="AH419" s="23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  <c r="CD419" s="19"/>
      <c r="CE419" s="19"/>
      <c r="CF419" s="19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19"/>
      <c r="CW419" s="19"/>
      <c r="CX419" s="19"/>
      <c r="CY419" s="19"/>
      <c r="CZ419" s="19"/>
      <c r="DA419" s="19"/>
      <c r="DB419" s="19"/>
      <c r="DC419" s="19"/>
      <c r="DD419" s="19"/>
      <c r="DE419" s="19"/>
      <c r="DF419" s="19"/>
      <c r="DG419" s="19"/>
      <c r="DH419" s="19"/>
      <c r="DI419" s="19"/>
      <c r="DJ419" s="19"/>
      <c r="DK419" s="19"/>
      <c r="DL419" s="19"/>
      <c r="DM419" s="19"/>
      <c r="DN419" s="19"/>
      <c r="DO419" s="19"/>
      <c r="DP419" s="19"/>
      <c r="DQ419" s="19"/>
      <c r="DR419" s="19"/>
      <c r="DS419" s="19"/>
      <c r="DT419" s="19"/>
      <c r="DU419" s="19"/>
      <c r="DV419" s="19"/>
      <c r="DW419" s="19"/>
      <c r="DX419" s="19"/>
      <c r="DY419" s="19"/>
      <c r="DZ419" s="19"/>
      <c r="EA419" s="19"/>
      <c r="EB419" s="19"/>
      <c r="EC419" s="19"/>
      <c r="ED419" s="19"/>
      <c r="EE419" s="19"/>
      <c r="EF419" s="19"/>
      <c r="EG419" s="19"/>
      <c r="EH419" s="19"/>
      <c r="EI419" s="19"/>
      <c r="EJ419" s="19"/>
      <c r="EK419" s="19"/>
      <c r="EL419" s="19"/>
      <c r="EM419" s="19"/>
      <c r="EN419" s="19"/>
      <c r="EO419" s="19"/>
      <c r="EP419" s="17"/>
      <c r="EQ419" s="23"/>
      <c r="ER419" s="23" t="str">
        <f t="shared" si="7"/>
        <v/>
      </c>
      <c r="ES419" s="19"/>
      <c r="ET419" s="19" t="str">
        <f t="shared" si="8"/>
        <v/>
      </c>
      <c r="EU419" s="19"/>
      <c r="EV419" s="19"/>
      <c r="EW419" s="19"/>
      <c r="EX419" s="19"/>
      <c r="EY419" s="19"/>
      <c r="EZ419" s="19"/>
      <c r="FA419" s="19"/>
      <c r="FB419" s="19"/>
    </row>
    <row r="420" ht="15.75" customHeight="1">
      <c r="A420" s="19"/>
      <c r="F420" s="19"/>
      <c r="AH420" s="23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  <c r="CD420" s="19"/>
      <c r="CE420" s="19"/>
      <c r="CF420" s="19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19"/>
      <c r="CW420" s="19"/>
      <c r="CX420" s="19"/>
      <c r="CY420" s="19"/>
      <c r="CZ420" s="19"/>
      <c r="DA420" s="19"/>
      <c r="DB420" s="19"/>
      <c r="DC420" s="19"/>
      <c r="DD420" s="19"/>
      <c r="DE420" s="19"/>
      <c r="DF420" s="19"/>
      <c r="DG420" s="19"/>
      <c r="DH420" s="19"/>
      <c r="DI420" s="19"/>
      <c r="DJ420" s="19"/>
      <c r="DK420" s="19"/>
      <c r="DL420" s="19"/>
      <c r="DM420" s="19"/>
      <c r="DN420" s="19"/>
      <c r="DO420" s="19"/>
      <c r="DP420" s="19"/>
      <c r="DQ420" s="19"/>
      <c r="DR420" s="19"/>
      <c r="DS420" s="19"/>
      <c r="DT420" s="19"/>
      <c r="DU420" s="19"/>
      <c r="DV420" s="19"/>
      <c r="DW420" s="19"/>
      <c r="DX420" s="19"/>
      <c r="DY420" s="19"/>
      <c r="DZ420" s="19"/>
      <c r="EA420" s="19"/>
      <c r="EB420" s="19"/>
      <c r="EC420" s="19"/>
      <c r="ED420" s="19"/>
      <c r="EE420" s="19"/>
      <c r="EF420" s="19"/>
      <c r="EG420" s="19"/>
      <c r="EH420" s="19"/>
      <c r="EI420" s="19"/>
      <c r="EJ420" s="19"/>
      <c r="EK420" s="19"/>
      <c r="EL420" s="19"/>
      <c r="EM420" s="19"/>
      <c r="EN420" s="19"/>
      <c r="EO420" s="19"/>
      <c r="EP420" s="17"/>
      <c r="EQ420" s="23"/>
      <c r="ER420" s="23" t="str">
        <f t="shared" si="7"/>
        <v/>
      </c>
      <c r="ES420" s="19"/>
      <c r="ET420" s="19" t="str">
        <f t="shared" si="8"/>
        <v/>
      </c>
      <c r="EU420" s="19"/>
      <c r="EV420" s="19"/>
      <c r="EW420" s="19"/>
      <c r="EX420" s="19"/>
      <c r="EY420" s="19"/>
      <c r="EZ420" s="19"/>
      <c r="FA420" s="19"/>
      <c r="FB420" s="19"/>
    </row>
    <row r="421" ht="15.75" customHeight="1">
      <c r="A421" s="19"/>
      <c r="F421" s="19"/>
      <c r="AH421" s="23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  <c r="CD421" s="19"/>
      <c r="CE421" s="19"/>
      <c r="CF421" s="19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19"/>
      <c r="CW421" s="19"/>
      <c r="CX421" s="19"/>
      <c r="CY421" s="19"/>
      <c r="CZ421" s="19"/>
      <c r="DA421" s="19"/>
      <c r="DB421" s="19"/>
      <c r="DC421" s="19"/>
      <c r="DD421" s="19"/>
      <c r="DE421" s="19"/>
      <c r="DF421" s="19"/>
      <c r="DG421" s="19"/>
      <c r="DH421" s="19"/>
      <c r="DI421" s="19"/>
      <c r="DJ421" s="19"/>
      <c r="DK421" s="19"/>
      <c r="DL421" s="19"/>
      <c r="DM421" s="19"/>
      <c r="DN421" s="19"/>
      <c r="DO421" s="19"/>
      <c r="DP421" s="19"/>
      <c r="DQ421" s="19"/>
      <c r="DR421" s="19"/>
      <c r="DS421" s="19"/>
      <c r="DT421" s="19"/>
      <c r="DU421" s="19"/>
      <c r="DV421" s="19"/>
      <c r="DW421" s="19"/>
      <c r="DX421" s="19"/>
      <c r="DY421" s="19"/>
      <c r="DZ421" s="19"/>
      <c r="EA421" s="19"/>
      <c r="EB421" s="19"/>
      <c r="EC421" s="19"/>
      <c r="ED421" s="19"/>
      <c r="EE421" s="19"/>
      <c r="EF421" s="19"/>
      <c r="EG421" s="19"/>
      <c r="EH421" s="19"/>
      <c r="EI421" s="19"/>
      <c r="EJ421" s="19"/>
      <c r="EK421" s="19"/>
      <c r="EL421" s="19"/>
      <c r="EM421" s="19"/>
      <c r="EN421" s="19"/>
      <c r="EO421" s="19"/>
      <c r="EP421" s="17"/>
      <c r="EQ421" s="23"/>
      <c r="ER421" s="23" t="str">
        <f t="shared" si="7"/>
        <v/>
      </c>
      <c r="ES421" s="19"/>
      <c r="ET421" s="19" t="str">
        <f t="shared" si="8"/>
        <v/>
      </c>
      <c r="EU421" s="19"/>
      <c r="EV421" s="19"/>
      <c r="EW421" s="19"/>
      <c r="EX421" s="19"/>
      <c r="EY421" s="19"/>
      <c r="EZ421" s="19"/>
      <c r="FA421" s="19"/>
      <c r="FB421" s="19"/>
    </row>
    <row r="422" ht="15.75" customHeight="1">
      <c r="A422" s="19"/>
      <c r="F422" s="19"/>
      <c r="AH422" s="23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  <c r="CD422" s="19"/>
      <c r="CE422" s="19"/>
      <c r="CF422" s="19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19"/>
      <c r="CW422" s="19"/>
      <c r="CX422" s="19"/>
      <c r="CY422" s="19"/>
      <c r="CZ422" s="19"/>
      <c r="DA422" s="19"/>
      <c r="DB422" s="19"/>
      <c r="DC422" s="19"/>
      <c r="DD422" s="19"/>
      <c r="DE422" s="19"/>
      <c r="DF422" s="19"/>
      <c r="DG422" s="19"/>
      <c r="DH422" s="19"/>
      <c r="DI422" s="19"/>
      <c r="DJ422" s="19"/>
      <c r="DK422" s="19"/>
      <c r="DL422" s="19"/>
      <c r="DM422" s="19"/>
      <c r="DN422" s="19"/>
      <c r="DO422" s="19"/>
      <c r="DP422" s="19"/>
      <c r="DQ422" s="19"/>
      <c r="DR422" s="19"/>
      <c r="DS422" s="19"/>
      <c r="DT422" s="19"/>
      <c r="DU422" s="19"/>
      <c r="DV422" s="19"/>
      <c r="DW422" s="19"/>
      <c r="DX422" s="19"/>
      <c r="DY422" s="19"/>
      <c r="DZ422" s="19"/>
      <c r="EA422" s="19"/>
      <c r="EB422" s="19"/>
      <c r="EC422" s="19"/>
      <c r="ED422" s="19"/>
      <c r="EE422" s="19"/>
      <c r="EF422" s="19"/>
      <c r="EG422" s="19"/>
      <c r="EH422" s="19"/>
      <c r="EI422" s="19"/>
      <c r="EJ422" s="19"/>
      <c r="EK422" s="19"/>
      <c r="EL422" s="19"/>
      <c r="EM422" s="19"/>
      <c r="EN422" s="19"/>
      <c r="EO422" s="19"/>
      <c r="EP422" s="17"/>
      <c r="EQ422" s="23"/>
      <c r="ER422" s="23" t="str">
        <f t="shared" si="7"/>
        <v/>
      </c>
      <c r="ES422" s="19"/>
      <c r="ET422" s="19" t="str">
        <f t="shared" si="8"/>
        <v/>
      </c>
      <c r="EU422" s="19"/>
      <c r="EV422" s="19"/>
      <c r="EW422" s="19"/>
      <c r="EX422" s="19"/>
      <c r="EY422" s="19"/>
      <c r="EZ422" s="19"/>
      <c r="FA422" s="19"/>
      <c r="FB422" s="19"/>
    </row>
    <row r="423" ht="15.75" customHeight="1">
      <c r="A423" s="19"/>
      <c r="F423" s="19"/>
      <c r="AH423" s="23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  <c r="CD423" s="19"/>
      <c r="CE423" s="19"/>
      <c r="CF423" s="19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19"/>
      <c r="CW423" s="19"/>
      <c r="CX423" s="19"/>
      <c r="CY423" s="19"/>
      <c r="CZ423" s="19"/>
      <c r="DA423" s="19"/>
      <c r="DB423" s="19"/>
      <c r="DC423" s="19"/>
      <c r="DD423" s="19"/>
      <c r="DE423" s="19"/>
      <c r="DF423" s="19"/>
      <c r="DG423" s="19"/>
      <c r="DH423" s="19"/>
      <c r="DI423" s="19"/>
      <c r="DJ423" s="19"/>
      <c r="DK423" s="19"/>
      <c r="DL423" s="19"/>
      <c r="DM423" s="19"/>
      <c r="DN423" s="19"/>
      <c r="DO423" s="19"/>
      <c r="DP423" s="19"/>
      <c r="DQ423" s="19"/>
      <c r="DR423" s="19"/>
      <c r="DS423" s="19"/>
      <c r="DT423" s="19"/>
      <c r="DU423" s="19"/>
      <c r="DV423" s="19"/>
      <c r="DW423" s="19"/>
      <c r="DX423" s="19"/>
      <c r="DY423" s="19"/>
      <c r="DZ423" s="19"/>
      <c r="EA423" s="19"/>
      <c r="EB423" s="19"/>
      <c r="EC423" s="19"/>
      <c r="ED423" s="19"/>
      <c r="EE423" s="19"/>
      <c r="EF423" s="19"/>
      <c r="EG423" s="19"/>
      <c r="EH423" s="19"/>
      <c r="EI423" s="19"/>
      <c r="EJ423" s="19"/>
      <c r="EK423" s="19"/>
      <c r="EL423" s="19"/>
      <c r="EM423" s="19"/>
      <c r="EN423" s="19"/>
      <c r="EO423" s="19"/>
      <c r="EP423" s="17"/>
      <c r="EQ423" s="23"/>
      <c r="ER423" s="23" t="str">
        <f t="shared" si="7"/>
        <v/>
      </c>
      <c r="ES423" s="19"/>
      <c r="ET423" s="19" t="str">
        <f t="shared" si="8"/>
        <v/>
      </c>
      <c r="EU423" s="19"/>
      <c r="EV423" s="19"/>
      <c r="EW423" s="19"/>
      <c r="EX423" s="19"/>
      <c r="EY423" s="19"/>
      <c r="EZ423" s="19"/>
      <c r="FA423" s="19"/>
      <c r="FB423" s="19"/>
    </row>
    <row r="424" ht="15.75" customHeight="1">
      <c r="A424" s="19"/>
      <c r="F424" s="19"/>
      <c r="AH424" s="23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7"/>
      <c r="EQ424" s="23"/>
      <c r="ER424" s="23" t="str">
        <f t="shared" si="7"/>
        <v/>
      </c>
      <c r="ES424" s="19"/>
      <c r="ET424" s="19" t="str">
        <f t="shared" si="8"/>
        <v/>
      </c>
      <c r="EU424" s="19"/>
      <c r="EV424" s="19"/>
      <c r="EW424" s="19"/>
      <c r="EX424" s="19"/>
      <c r="EY424" s="19"/>
      <c r="EZ424" s="19"/>
      <c r="FA424" s="19"/>
      <c r="FB424" s="19"/>
    </row>
    <row r="425" ht="15.75" customHeight="1">
      <c r="A425" s="19"/>
      <c r="F425" s="19"/>
      <c r="AH425" s="23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  <c r="CD425" s="19"/>
      <c r="CE425" s="19"/>
      <c r="CF425" s="19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19"/>
      <c r="CW425" s="19"/>
      <c r="CX425" s="19"/>
      <c r="CY425" s="19"/>
      <c r="CZ425" s="19"/>
      <c r="DA425" s="19"/>
      <c r="DB425" s="19"/>
      <c r="DC425" s="19"/>
      <c r="DD425" s="19"/>
      <c r="DE425" s="19"/>
      <c r="DF425" s="19"/>
      <c r="DG425" s="19"/>
      <c r="DH425" s="19"/>
      <c r="DI425" s="19"/>
      <c r="DJ425" s="19"/>
      <c r="DK425" s="19"/>
      <c r="DL425" s="19"/>
      <c r="DM425" s="19"/>
      <c r="DN425" s="19"/>
      <c r="DO425" s="19"/>
      <c r="DP425" s="19"/>
      <c r="DQ425" s="19"/>
      <c r="DR425" s="19"/>
      <c r="DS425" s="19"/>
      <c r="DT425" s="19"/>
      <c r="DU425" s="19"/>
      <c r="DV425" s="19"/>
      <c r="DW425" s="19"/>
      <c r="DX425" s="19"/>
      <c r="DY425" s="19"/>
      <c r="DZ425" s="19"/>
      <c r="EA425" s="19"/>
      <c r="EB425" s="19"/>
      <c r="EC425" s="19"/>
      <c r="ED425" s="19"/>
      <c r="EE425" s="19"/>
      <c r="EF425" s="19"/>
      <c r="EG425" s="19"/>
      <c r="EH425" s="19"/>
      <c r="EI425" s="19"/>
      <c r="EJ425" s="19"/>
      <c r="EK425" s="19"/>
      <c r="EL425" s="19"/>
      <c r="EM425" s="19"/>
      <c r="EN425" s="19"/>
      <c r="EO425" s="19"/>
      <c r="EP425" s="17"/>
      <c r="EQ425" s="23"/>
      <c r="ER425" s="23" t="str">
        <f t="shared" si="7"/>
        <v/>
      </c>
      <c r="ES425" s="19"/>
      <c r="ET425" s="19" t="str">
        <f t="shared" si="8"/>
        <v/>
      </c>
      <c r="EU425" s="19"/>
      <c r="EV425" s="19"/>
      <c r="EW425" s="19"/>
      <c r="EX425" s="19"/>
      <c r="EY425" s="19"/>
      <c r="EZ425" s="19"/>
      <c r="FA425" s="19"/>
      <c r="FB425" s="19"/>
    </row>
    <row r="426" ht="15.75" customHeight="1">
      <c r="A426" s="19"/>
      <c r="F426" s="19"/>
      <c r="AH426" s="23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  <c r="CD426" s="19"/>
      <c r="CE426" s="19"/>
      <c r="CF426" s="19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19"/>
      <c r="CW426" s="19"/>
      <c r="CX426" s="19"/>
      <c r="CY426" s="19"/>
      <c r="CZ426" s="19"/>
      <c r="DA426" s="19"/>
      <c r="DB426" s="19"/>
      <c r="DC426" s="19"/>
      <c r="DD426" s="19"/>
      <c r="DE426" s="19"/>
      <c r="DF426" s="19"/>
      <c r="DG426" s="19"/>
      <c r="DH426" s="19"/>
      <c r="DI426" s="19"/>
      <c r="DJ426" s="19"/>
      <c r="DK426" s="19"/>
      <c r="DL426" s="19"/>
      <c r="DM426" s="19"/>
      <c r="DN426" s="19"/>
      <c r="DO426" s="19"/>
      <c r="DP426" s="19"/>
      <c r="DQ426" s="19"/>
      <c r="DR426" s="19"/>
      <c r="DS426" s="19"/>
      <c r="DT426" s="19"/>
      <c r="DU426" s="19"/>
      <c r="DV426" s="19"/>
      <c r="DW426" s="19"/>
      <c r="DX426" s="19"/>
      <c r="DY426" s="19"/>
      <c r="DZ426" s="19"/>
      <c r="EA426" s="19"/>
      <c r="EB426" s="19"/>
      <c r="EC426" s="19"/>
      <c r="ED426" s="19"/>
      <c r="EE426" s="19"/>
      <c r="EF426" s="19"/>
      <c r="EG426" s="19"/>
      <c r="EH426" s="19"/>
      <c r="EI426" s="19"/>
      <c r="EJ426" s="19"/>
      <c r="EK426" s="19"/>
      <c r="EL426" s="19"/>
      <c r="EM426" s="19"/>
      <c r="EN426" s="19"/>
      <c r="EO426" s="19"/>
      <c r="EP426" s="17"/>
      <c r="EQ426" s="23"/>
      <c r="ER426" s="23" t="str">
        <f t="shared" si="7"/>
        <v/>
      </c>
      <c r="ES426" s="19"/>
      <c r="ET426" s="19" t="str">
        <f t="shared" si="8"/>
        <v/>
      </c>
      <c r="EU426" s="19"/>
      <c r="EV426" s="19"/>
      <c r="EW426" s="19"/>
      <c r="EX426" s="19"/>
      <c r="EY426" s="19"/>
      <c r="EZ426" s="19"/>
      <c r="FA426" s="19"/>
      <c r="FB426" s="19"/>
    </row>
    <row r="427" ht="15.75" customHeight="1">
      <c r="A427" s="19"/>
      <c r="F427" s="19"/>
      <c r="AH427" s="23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  <c r="CD427" s="19"/>
      <c r="CE427" s="19"/>
      <c r="CF427" s="19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19"/>
      <c r="CW427" s="19"/>
      <c r="CX427" s="19"/>
      <c r="CY427" s="19"/>
      <c r="CZ427" s="19"/>
      <c r="DA427" s="19"/>
      <c r="DB427" s="19"/>
      <c r="DC427" s="19"/>
      <c r="DD427" s="19"/>
      <c r="DE427" s="19"/>
      <c r="DF427" s="19"/>
      <c r="DG427" s="19"/>
      <c r="DH427" s="19"/>
      <c r="DI427" s="19"/>
      <c r="DJ427" s="19"/>
      <c r="DK427" s="19"/>
      <c r="DL427" s="19"/>
      <c r="DM427" s="19"/>
      <c r="DN427" s="19"/>
      <c r="DO427" s="19"/>
      <c r="DP427" s="19"/>
      <c r="DQ427" s="19"/>
      <c r="DR427" s="19"/>
      <c r="DS427" s="19"/>
      <c r="DT427" s="19"/>
      <c r="DU427" s="19"/>
      <c r="DV427" s="19"/>
      <c r="DW427" s="19"/>
      <c r="DX427" s="19"/>
      <c r="DY427" s="19"/>
      <c r="DZ427" s="19"/>
      <c r="EA427" s="19"/>
      <c r="EB427" s="19"/>
      <c r="EC427" s="19"/>
      <c r="ED427" s="19"/>
      <c r="EE427" s="19"/>
      <c r="EF427" s="19"/>
      <c r="EG427" s="19"/>
      <c r="EH427" s="19"/>
      <c r="EI427" s="19"/>
      <c r="EJ427" s="19"/>
      <c r="EK427" s="19"/>
      <c r="EL427" s="19"/>
      <c r="EM427" s="19"/>
      <c r="EN427" s="19"/>
      <c r="EO427" s="19"/>
      <c r="EP427" s="17"/>
      <c r="EQ427" s="23"/>
      <c r="ER427" s="23" t="str">
        <f t="shared" si="7"/>
        <v/>
      </c>
      <c r="ES427" s="19"/>
      <c r="ET427" s="19" t="str">
        <f t="shared" si="8"/>
        <v/>
      </c>
      <c r="EU427" s="19"/>
      <c r="EV427" s="19"/>
      <c r="EW427" s="19"/>
      <c r="EX427" s="19"/>
      <c r="EY427" s="19"/>
      <c r="EZ427" s="19"/>
      <c r="FA427" s="19"/>
      <c r="FB427" s="19"/>
    </row>
    <row r="428" ht="15.75" customHeight="1">
      <c r="A428" s="19"/>
      <c r="F428" s="19"/>
      <c r="AH428" s="23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  <c r="CD428" s="19"/>
      <c r="CE428" s="19"/>
      <c r="CF428" s="19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19"/>
      <c r="CW428" s="19"/>
      <c r="CX428" s="19"/>
      <c r="CY428" s="19"/>
      <c r="CZ428" s="19"/>
      <c r="DA428" s="19"/>
      <c r="DB428" s="19"/>
      <c r="DC428" s="19"/>
      <c r="DD428" s="19"/>
      <c r="DE428" s="19"/>
      <c r="DF428" s="19"/>
      <c r="DG428" s="19"/>
      <c r="DH428" s="19"/>
      <c r="DI428" s="19"/>
      <c r="DJ428" s="19"/>
      <c r="DK428" s="19"/>
      <c r="DL428" s="19"/>
      <c r="DM428" s="19"/>
      <c r="DN428" s="19"/>
      <c r="DO428" s="19"/>
      <c r="DP428" s="19"/>
      <c r="DQ428" s="19"/>
      <c r="DR428" s="19"/>
      <c r="DS428" s="19"/>
      <c r="DT428" s="19"/>
      <c r="DU428" s="19"/>
      <c r="DV428" s="19"/>
      <c r="DW428" s="19"/>
      <c r="DX428" s="19"/>
      <c r="DY428" s="19"/>
      <c r="DZ428" s="19"/>
      <c r="EA428" s="19"/>
      <c r="EB428" s="19"/>
      <c r="EC428" s="19"/>
      <c r="ED428" s="19"/>
      <c r="EE428" s="19"/>
      <c r="EF428" s="19"/>
      <c r="EG428" s="19"/>
      <c r="EH428" s="19"/>
      <c r="EI428" s="19"/>
      <c r="EJ428" s="19"/>
      <c r="EK428" s="19"/>
      <c r="EL428" s="19"/>
      <c r="EM428" s="19"/>
      <c r="EN428" s="19"/>
      <c r="EO428" s="19"/>
      <c r="EP428" s="17"/>
      <c r="EQ428" s="23"/>
      <c r="ER428" s="23" t="str">
        <f t="shared" si="7"/>
        <v/>
      </c>
      <c r="ES428" s="19"/>
      <c r="ET428" s="19" t="str">
        <f t="shared" si="8"/>
        <v/>
      </c>
      <c r="EU428" s="19"/>
      <c r="EV428" s="19"/>
      <c r="EW428" s="19"/>
      <c r="EX428" s="19"/>
      <c r="EY428" s="19"/>
      <c r="EZ428" s="19"/>
      <c r="FA428" s="19"/>
      <c r="FB428" s="19"/>
    </row>
    <row r="429" ht="15.75" customHeight="1">
      <c r="A429" s="19"/>
      <c r="F429" s="19"/>
      <c r="AH429" s="23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  <c r="CD429" s="19"/>
      <c r="CE429" s="19"/>
      <c r="CF429" s="19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19"/>
      <c r="CW429" s="19"/>
      <c r="CX429" s="19"/>
      <c r="CY429" s="19"/>
      <c r="CZ429" s="19"/>
      <c r="DA429" s="19"/>
      <c r="DB429" s="19"/>
      <c r="DC429" s="19"/>
      <c r="DD429" s="19"/>
      <c r="DE429" s="19"/>
      <c r="DF429" s="19"/>
      <c r="DG429" s="19"/>
      <c r="DH429" s="19"/>
      <c r="DI429" s="19"/>
      <c r="DJ429" s="19"/>
      <c r="DK429" s="19"/>
      <c r="DL429" s="19"/>
      <c r="DM429" s="19"/>
      <c r="DN429" s="19"/>
      <c r="DO429" s="19"/>
      <c r="DP429" s="19"/>
      <c r="DQ429" s="19"/>
      <c r="DR429" s="19"/>
      <c r="DS429" s="19"/>
      <c r="DT429" s="19"/>
      <c r="DU429" s="19"/>
      <c r="DV429" s="19"/>
      <c r="DW429" s="19"/>
      <c r="DX429" s="19"/>
      <c r="DY429" s="19"/>
      <c r="DZ429" s="19"/>
      <c r="EA429" s="19"/>
      <c r="EB429" s="19"/>
      <c r="EC429" s="19"/>
      <c r="ED429" s="19"/>
      <c r="EE429" s="19"/>
      <c r="EF429" s="19"/>
      <c r="EG429" s="19"/>
      <c r="EH429" s="19"/>
      <c r="EI429" s="19"/>
      <c r="EJ429" s="19"/>
      <c r="EK429" s="19"/>
      <c r="EL429" s="19"/>
      <c r="EM429" s="19"/>
      <c r="EN429" s="19"/>
      <c r="EO429" s="19"/>
      <c r="EP429" s="17"/>
      <c r="EQ429" s="23"/>
      <c r="ER429" s="23" t="str">
        <f t="shared" si="7"/>
        <v/>
      </c>
      <c r="ES429" s="19"/>
      <c r="ET429" s="19" t="str">
        <f t="shared" si="8"/>
        <v/>
      </c>
      <c r="EU429" s="19"/>
      <c r="EV429" s="19"/>
      <c r="EW429" s="19"/>
      <c r="EX429" s="19"/>
      <c r="EY429" s="19"/>
      <c r="EZ429" s="19"/>
      <c r="FA429" s="19"/>
      <c r="FB429" s="19"/>
    </row>
    <row r="430" ht="15.75" customHeight="1">
      <c r="A430" s="19"/>
      <c r="F430" s="19"/>
      <c r="AH430" s="23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  <c r="CD430" s="19"/>
      <c r="CE430" s="19"/>
      <c r="CF430" s="19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19"/>
      <c r="CW430" s="19"/>
      <c r="CX430" s="19"/>
      <c r="CY430" s="19"/>
      <c r="CZ430" s="19"/>
      <c r="DA430" s="19"/>
      <c r="DB430" s="19"/>
      <c r="DC430" s="19"/>
      <c r="DD430" s="19"/>
      <c r="DE430" s="19"/>
      <c r="DF430" s="19"/>
      <c r="DG430" s="19"/>
      <c r="DH430" s="19"/>
      <c r="DI430" s="19"/>
      <c r="DJ430" s="19"/>
      <c r="DK430" s="19"/>
      <c r="DL430" s="19"/>
      <c r="DM430" s="19"/>
      <c r="DN430" s="19"/>
      <c r="DO430" s="19"/>
      <c r="DP430" s="19"/>
      <c r="DQ430" s="19"/>
      <c r="DR430" s="19"/>
      <c r="DS430" s="19"/>
      <c r="DT430" s="19"/>
      <c r="DU430" s="19"/>
      <c r="DV430" s="19"/>
      <c r="DW430" s="19"/>
      <c r="DX430" s="19"/>
      <c r="DY430" s="19"/>
      <c r="DZ430" s="19"/>
      <c r="EA430" s="19"/>
      <c r="EB430" s="19"/>
      <c r="EC430" s="19"/>
      <c r="ED430" s="19"/>
      <c r="EE430" s="19"/>
      <c r="EF430" s="19"/>
      <c r="EG430" s="19"/>
      <c r="EH430" s="19"/>
      <c r="EI430" s="19"/>
      <c r="EJ430" s="19"/>
      <c r="EK430" s="19"/>
      <c r="EL430" s="19"/>
      <c r="EM430" s="19"/>
      <c r="EN430" s="19"/>
      <c r="EO430" s="19"/>
      <c r="EP430" s="17"/>
      <c r="EQ430" s="23"/>
      <c r="ER430" s="23" t="str">
        <f t="shared" si="7"/>
        <v/>
      </c>
      <c r="ES430" s="19"/>
      <c r="ET430" s="19" t="str">
        <f t="shared" si="8"/>
        <v/>
      </c>
      <c r="EU430" s="19"/>
      <c r="EV430" s="19"/>
      <c r="EW430" s="19"/>
      <c r="EX430" s="19"/>
      <c r="EY430" s="19"/>
      <c r="EZ430" s="19"/>
      <c r="FA430" s="19"/>
      <c r="FB430" s="19"/>
    </row>
    <row r="431" ht="15.75" customHeight="1">
      <c r="A431" s="19"/>
      <c r="F431" s="19"/>
      <c r="AH431" s="23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  <c r="CD431" s="19"/>
      <c r="CE431" s="19"/>
      <c r="CF431" s="19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19"/>
      <c r="CW431" s="19"/>
      <c r="CX431" s="19"/>
      <c r="CY431" s="19"/>
      <c r="CZ431" s="19"/>
      <c r="DA431" s="19"/>
      <c r="DB431" s="19"/>
      <c r="DC431" s="19"/>
      <c r="DD431" s="19"/>
      <c r="DE431" s="19"/>
      <c r="DF431" s="19"/>
      <c r="DG431" s="19"/>
      <c r="DH431" s="19"/>
      <c r="DI431" s="19"/>
      <c r="DJ431" s="19"/>
      <c r="DK431" s="19"/>
      <c r="DL431" s="19"/>
      <c r="DM431" s="19"/>
      <c r="DN431" s="19"/>
      <c r="DO431" s="19"/>
      <c r="DP431" s="19"/>
      <c r="DQ431" s="19"/>
      <c r="DR431" s="19"/>
      <c r="DS431" s="19"/>
      <c r="DT431" s="19"/>
      <c r="DU431" s="19"/>
      <c r="DV431" s="19"/>
      <c r="DW431" s="19"/>
      <c r="DX431" s="19"/>
      <c r="DY431" s="19"/>
      <c r="DZ431" s="19"/>
      <c r="EA431" s="19"/>
      <c r="EB431" s="19"/>
      <c r="EC431" s="19"/>
      <c r="ED431" s="19"/>
      <c r="EE431" s="19"/>
      <c r="EF431" s="19"/>
      <c r="EG431" s="19"/>
      <c r="EH431" s="19"/>
      <c r="EI431" s="19"/>
      <c r="EJ431" s="19"/>
      <c r="EK431" s="19"/>
      <c r="EL431" s="19"/>
      <c r="EM431" s="19"/>
      <c r="EN431" s="19"/>
      <c r="EO431" s="19"/>
      <c r="EP431" s="17"/>
      <c r="EQ431" s="23"/>
      <c r="ER431" s="23" t="str">
        <f t="shared" si="7"/>
        <v/>
      </c>
      <c r="ES431" s="19"/>
      <c r="ET431" s="19" t="str">
        <f t="shared" si="8"/>
        <v/>
      </c>
      <c r="EU431" s="19"/>
      <c r="EV431" s="19"/>
      <c r="EW431" s="19"/>
      <c r="EX431" s="19"/>
      <c r="EY431" s="19"/>
      <c r="EZ431" s="19"/>
      <c r="FA431" s="19"/>
      <c r="FB431" s="19"/>
    </row>
    <row r="432" ht="15.75" customHeight="1">
      <c r="A432" s="19"/>
      <c r="F432" s="19"/>
      <c r="AH432" s="23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  <c r="CD432" s="19"/>
      <c r="CE432" s="19"/>
      <c r="CF432" s="19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19"/>
      <c r="CW432" s="19"/>
      <c r="CX432" s="19"/>
      <c r="CY432" s="19"/>
      <c r="CZ432" s="19"/>
      <c r="DA432" s="19"/>
      <c r="DB432" s="19"/>
      <c r="DC432" s="19"/>
      <c r="DD432" s="19"/>
      <c r="DE432" s="19"/>
      <c r="DF432" s="19"/>
      <c r="DG432" s="19"/>
      <c r="DH432" s="19"/>
      <c r="DI432" s="19"/>
      <c r="DJ432" s="19"/>
      <c r="DK432" s="19"/>
      <c r="DL432" s="19"/>
      <c r="DM432" s="19"/>
      <c r="DN432" s="19"/>
      <c r="DO432" s="19"/>
      <c r="DP432" s="19"/>
      <c r="DQ432" s="19"/>
      <c r="DR432" s="19"/>
      <c r="DS432" s="19"/>
      <c r="DT432" s="19"/>
      <c r="DU432" s="19"/>
      <c r="DV432" s="19"/>
      <c r="DW432" s="19"/>
      <c r="DX432" s="19"/>
      <c r="DY432" s="19"/>
      <c r="DZ432" s="19"/>
      <c r="EA432" s="19"/>
      <c r="EB432" s="19"/>
      <c r="EC432" s="19"/>
      <c r="ED432" s="19"/>
      <c r="EE432" s="19"/>
      <c r="EF432" s="19"/>
      <c r="EG432" s="19"/>
      <c r="EH432" s="19"/>
      <c r="EI432" s="19"/>
      <c r="EJ432" s="19"/>
      <c r="EK432" s="19"/>
      <c r="EL432" s="19"/>
      <c r="EM432" s="19"/>
      <c r="EN432" s="19"/>
      <c r="EO432" s="19"/>
      <c r="EP432" s="17"/>
      <c r="EQ432" s="23"/>
      <c r="ER432" s="23" t="str">
        <f t="shared" si="7"/>
        <v/>
      </c>
      <c r="ES432" s="19"/>
      <c r="ET432" s="19" t="str">
        <f t="shared" si="8"/>
        <v/>
      </c>
      <c r="EU432" s="19"/>
      <c r="EV432" s="19"/>
      <c r="EW432" s="19"/>
      <c r="EX432" s="19"/>
      <c r="EY432" s="19"/>
      <c r="EZ432" s="19"/>
      <c r="FA432" s="19"/>
      <c r="FB432" s="19"/>
    </row>
    <row r="433" ht="15.75" customHeight="1">
      <c r="A433" s="19"/>
      <c r="F433" s="19"/>
      <c r="AH433" s="23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  <c r="CD433" s="19"/>
      <c r="CE433" s="19"/>
      <c r="CF433" s="19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19"/>
      <c r="CW433" s="19"/>
      <c r="CX433" s="19"/>
      <c r="CY433" s="19"/>
      <c r="CZ433" s="19"/>
      <c r="DA433" s="19"/>
      <c r="DB433" s="19"/>
      <c r="DC433" s="19"/>
      <c r="DD433" s="19"/>
      <c r="DE433" s="19"/>
      <c r="DF433" s="19"/>
      <c r="DG433" s="19"/>
      <c r="DH433" s="19"/>
      <c r="DI433" s="19"/>
      <c r="DJ433" s="19"/>
      <c r="DK433" s="19"/>
      <c r="DL433" s="19"/>
      <c r="DM433" s="19"/>
      <c r="DN433" s="19"/>
      <c r="DO433" s="19"/>
      <c r="DP433" s="19"/>
      <c r="DQ433" s="19"/>
      <c r="DR433" s="19"/>
      <c r="DS433" s="19"/>
      <c r="DT433" s="19"/>
      <c r="DU433" s="19"/>
      <c r="DV433" s="19"/>
      <c r="DW433" s="19"/>
      <c r="DX433" s="19"/>
      <c r="DY433" s="19"/>
      <c r="DZ433" s="19"/>
      <c r="EA433" s="19"/>
      <c r="EB433" s="19"/>
      <c r="EC433" s="19"/>
      <c r="ED433" s="19"/>
      <c r="EE433" s="19"/>
      <c r="EF433" s="19"/>
      <c r="EG433" s="19"/>
      <c r="EH433" s="19"/>
      <c r="EI433" s="19"/>
      <c r="EJ433" s="19"/>
      <c r="EK433" s="19"/>
      <c r="EL433" s="19"/>
      <c r="EM433" s="19"/>
      <c r="EN433" s="19"/>
      <c r="EO433" s="19"/>
      <c r="EP433" s="17"/>
      <c r="EQ433" s="23"/>
      <c r="ER433" s="23" t="str">
        <f t="shared" si="7"/>
        <v/>
      </c>
      <c r="ES433" s="19"/>
      <c r="ET433" s="19" t="str">
        <f t="shared" si="8"/>
        <v/>
      </c>
      <c r="EU433" s="19"/>
      <c r="EV433" s="19"/>
      <c r="EW433" s="19"/>
      <c r="EX433" s="19"/>
      <c r="EY433" s="19"/>
      <c r="EZ433" s="19"/>
      <c r="FA433" s="19"/>
      <c r="FB433" s="19"/>
    </row>
    <row r="434" ht="15.75" customHeight="1">
      <c r="A434" s="19"/>
      <c r="F434" s="19"/>
      <c r="AH434" s="23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  <c r="CD434" s="19"/>
      <c r="CE434" s="19"/>
      <c r="CF434" s="19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19"/>
      <c r="CW434" s="19"/>
      <c r="CX434" s="19"/>
      <c r="CY434" s="19"/>
      <c r="CZ434" s="19"/>
      <c r="DA434" s="19"/>
      <c r="DB434" s="19"/>
      <c r="DC434" s="19"/>
      <c r="DD434" s="19"/>
      <c r="DE434" s="19"/>
      <c r="DF434" s="19"/>
      <c r="DG434" s="19"/>
      <c r="DH434" s="19"/>
      <c r="DI434" s="19"/>
      <c r="DJ434" s="19"/>
      <c r="DK434" s="19"/>
      <c r="DL434" s="19"/>
      <c r="DM434" s="19"/>
      <c r="DN434" s="19"/>
      <c r="DO434" s="19"/>
      <c r="DP434" s="19"/>
      <c r="DQ434" s="19"/>
      <c r="DR434" s="19"/>
      <c r="DS434" s="19"/>
      <c r="DT434" s="19"/>
      <c r="DU434" s="19"/>
      <c r="DV434" s="19"/>
      <c r="DW434" s="19"/>
      <c r="DX434" s="19"/>
      <c r="DY434" s="19"/>
      <c r="DZ434" s="19"/>
      <c r="EA434" s="19"/>
      <c r="EB434" s="19"/>
      <c r="EC434" s="19"/>
      <c r="ED434" s="19"/>
      <c r="EE434" s="19"/>
      <c r="EF434" s="19"/>
      <c r="EG434" s="19"/>
      <c r="EH434" s="19"/>
      <c r="EI434" s="19"/>
      <c r="EJ434" s="19"/>
      <c r="EK434" s="19"/>
      <c r="EL434" s="19"/>
      <c r="EM434" s="19"/>
      <c r="EN434" s="19"/>
      <c r="EO434" s="19"/>
      <c r="EP434" s="17"/>
      <c r="EQ434" s="23"/>
      <c r="ER434" s="23" t="str">
        <f t="shared" si="7"/>
        <v/>
      </c>
      <c r="ES434" s="19"/>
      <c r="ET434" s="19" t="str">
        <f t="shared" si="8"/>
        <v/>
      </c>
      <c r="EU434" s="19"/>
      <c r="EV434" s="19"/>
      <c r="EW434" s="19"/>
      <c r="EX434" s="19"/>
      <c r="EY434" s="19"/>
      <c r="EZ434" s="19"/>
      <c r="FA434" s="19"/>
      <c r="FB434" s="19"/>
    </row>
    <row r="435" ht="15.75" customHeight="1">
      <c r="A435" s="19"/>
      <c r="F435" s="19"/>
      <c r="AH435" s="23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7"/>
      <c r="EQ435" s="23"/>
      <c r="ER435" s="23" t="str">
        <f t="shared" si="7"/>
        <v/>
      </c>
      <c r="ES435" s="19"/>
      <c r="ET435" s="19" t="str">
        <f t="shared" si="8"/>
        <v/>
      </c>
      <c r="EU435" s="19"/>
      <c r="EV435" s="19"/>
      <c r="EW435" s="19"/>
      <c r="EX435" s="19"/>
      <c r="EY435" s="19"/>
      <c r="EZ435" s="19"/>
      <c r="FA435" s="19"/>
      <c r="FB435" s="19"/>
    </row>
    <row r="436" ht="15.75" customHeight="1">
      <c r="A436" s="19"/>
      <c r="F436" s="19"/>
      <c r="AH436" s="23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  <c r="CD436" s="19"/>
      <c r="CE436" s="19"/>
      <c r="CF436" s="19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19"/>
      <c r="CW436" s="19"/>
      <c r="CX436" s="19"/>
      <c r="CY436" s="19"/>
      <c r="CZ436" s="19"/>
      <c r="DA436" s="19"/>
      <c r="DB436" s="19"/>
      <c r="DC436" s="19"/>
      <c r="DD436" s="19"/>
      <c r="DE436" s="19"/>
      <c r="DF436" s="19"/>
      <c r="DG436" s="19"/>
      <c r="DH436" s="19"/>
      <c r="DI436" s="19"/>
      <c r="DJ436" s="19"/>
      <c r="DK436" s="19"/>
      <c r="DL436" s="19"/>
      <c r="DM436" s="19"/>
      <c r="DN436" s="19"/>
      <c r="DO436" s="19"/>
      <c r="DP436" s="19"/>
      <c r="DQ436" s="19"/>
      <c r="DR436" s="19"/>
      <c r="DS436" s="19"/>
      <c r="DT436" s="19"/>
      <c r="DU436" s="19"/>
      <c r="DV436" s="19"/>
      <c r="DW436" s="19"/>
      <c r="DX436" s="19"/>
      <c r="DY436" s="19"/>
      <c r="DZ436" s="19"/>
      <c r="EA436" s="19"/>
      <c r="EB436" s="19"/>
      <c r="EC436" s="19"/>
      <c r="ED436" s="19"/>
      <c r="EE436" s="19"/>
      <c r="EF436" s="19"/>
      <c r="EG436" s="19"/>
      <c r="EH436" s="19"/>
      <c r="EI436" s="19"/>
      <c r="EJ436" s="19"/>
      <c r="EK436" s="19"/>
      <c r="EL436" s="19"/>
      <c r="EM436" s="19"/>
      <c r="EN436" s="19"/>
      <c r="EO436" s="19"/>
      <c r="EP436" s="17"/>
      <c r="EQ436" s="23"/>
      <c r="ER436" s="23" t="str">
        <f t="shared" si="7"/>
        <v/>
      </c>
      <c r="ES436" s="19"/>
      <c r="ET436" s="19" t="str">
        <f t="shared" si="8"/>
        <v/>
      </c>
      <c r="EU436" s="19"/>
      <c r="EV436" s="19"/>
      <c r="EW436" s="19"/>
      <c r="EX436" s="19"/>
      <c r="EY436" s="19"/>
      <c r="EZ436" s="19"/>
      <c r="FA436" s="19"/>
      <c r="FB436" s="19"/>
    </row>
    <row r="437" ht="15.75" customHeight="1">
      <c r="A437" s="19"/>
      <c r="F437" s="19"/>
      <c r="AH437" s="23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  <c r="CD437" s="19"/>
      <c r="CE437" s="19"/>
      <c r="CF437" s="19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19"/>
      <c r="CW437" s="19"/>
      <c r="CX437" s="19"/>
      <c r="CY437" s="19"/>
      <c r="CZ437" s="19"/>
      <c r="DA437" s="19"/>
      <c r="DB437" s="19"/>
      <c r="DC437" s="19"/>
      <c r="DD437" s="19"/>
      <c r="DE437" s="19"/>
      <c r="DF437" s="19"/>
      <c r="DG437" s="19"/>
      <c r="DH437" s="19"/>
      <c r="DI437" s="19"/>
      <c r="DJ437" s="19"/>
      <c r="DK437" s="19"/>
      <c r="DL437" s="19"/>
      <c r="DM437" s="19"/>
      <c r="DN437" s="19"/>
      <c r="DO437" s="19"/>
      <c r="DP437" s="19"/>
      <c r="DQ437" s="19"/>
      <c r="DR437" s="19"/>
      <c r="DS437" s="19"/>
      <c r="DT437" s="19"/>
      <c r="DU437" s="19"/>
      <c r="DV437" s="19"/>
      <c r="DW437" s="19"/>
      <c r="DX437" s="19"/>
      <c r="DY437" s="19"/>
      <c r="DZ437" s="19"/>
      <c r="EA437" s="19"/>
      <c r="EB437" s="19"/>
      <c r="EC437" s="19"/>
      <c r="ED437" s="19"/>
      <c r="EE437" s="19"/>
      <c r="EF437" s="19"/>
      <c r="EG437" s="19"/>
      <c r="EH437" s="19"/>
      <c r="EI437" s="19"/>
      <c r="EJ437" s="19"/>
      <c r="EK437" s="19"/>
      <c r="EL437" s="19"/>
      <c r="EM437" s="19"/>
      <c r="EN437" s="19"/>
      <c r="EO437" s="19"/>
      <c r="EP437" s="17"/>
      <c r="EQ437" s="23"/>
      <c r="ER437" s="23" t="str">
        <f t="shared" si="7"/>
        <v/>
      </c>
      <c r="ES437" s="19"/>
      <c r="ET437" s="19" t="str">
        <f t="shared" si="8"/>
        <v/>
      </c>
      <c r="EU437" s="19"/>
      <c r="EV437" s="19"/>
      <c r="EW437" s="19"/>
      <c r="EX437" s="19"/>
      <c r="EY437" s="19"/>
      <c r="EZ437" s="19"/>
      <c r="FA437" s="19"/>
      <c r="FB437" s="19"/>
    </row>
    <row r="438" ht="15.75" customHeight="1">
      <c r="A438" s="19"/>
      <c r="F438" s="19"/>
      <c r="AH438" s="23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  <c r="CD438" s="19"/>
      <c r="CE438" s="19"/>
      <c r="CF438" s="19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19"/>
      <c r="CW438" s="19"/>
      <c r="CX438" s="19"/>
      <c r="CY438" s="19"/>
      <c r="CZ438" s="19"/>
      <c r="DA438" s="19"/>
      <c r="DB438" s="19"/>
      <c r="DC438" s="19"/>
      <c r="DD438" s="19"/>
      <c r="DE438" s="19"/>
      <c r="DF438" s="19"/>
      <c r="DG438" s="19"/>
      <c r="DH438" s="19"/>
      <c r="DI438" s="19"/>
      <c r="DJ438" s="19"/>
      <c r="DK438" s="19"/>
      <c r="DL438" s="19"/>
      <c r="DM438" s="19"/>
      <c r="DN438" s="19"/>
      <c r="DO438" s="19"/>
      <c r="DP438" s="19"/>
      <c r="DQ438" s="19"/>
      <c r="DR438" s="19"/>
      <c r="DS438" s="19"/>
      <c r="DT438" s="19"/>
      <c r="DU438" s="19"/>
      <c r="DV438" s="19"/>
      <c r="DW438" s="19"/>
      <c r="DX438" s="19"/>
      <c r="DY438" s="19"/>
      <c r="DZ438" s="19"/>
      <c r="EA438" s="19"/>
      <c r="EB438" s="19"/>
      <c r="EC438" s="19"/>
      <c r="ED438" s="19"/>
      <c r="EE438" s="19"/>
      <c r="EF438" s="19"/>
      <c r="EG438" s="19"/>
      <c r="EH438" s="19"/>
      <c r="EI438" s="19"/>
      <c r="EJ438" s="19"/>
      <c r="EK438" s="19"/>
      <c r="EL438" s="19"/>
      <c r="EM438" s="19"/>
      <c r="EN438" s="19"/>
      <c r="EO438" s="19"/>
      <c r="EP438" s="17"/>
      <c r="EQ438" s="23"/>
      <c r="ER438" s="23" t="str">
        <f t="shared" si="7"/>
        <v/>
      </c>
      <c r="ES438" s="19"/>
      <c r="ET438" s="19" t="str">
        <f t="shared" si="8"/>
        <v/>
      </c>
      <c r="EU438" s="19"/>
      <c r="EV438" s="19"/>
      <c r="EW438" s="19"/>
      <c r="EX438" s="19"/>
      <c r="EY438" s="19"/>
      <c r="EZ438" s="19"/>
      <c r="FA438" s="19"/>
      <c r="FB438" s="19"/>
    </row>
    <row r="439" ht="15.75" customHeight="1">
      <c r="A439" s="19"/>
      <c r="F439" s="19"/>
      <c r="AH439" s="23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  <c r="CD439" s="19"/>
      <c r="CE439" s="19"/>
      <c r="CF439" s="19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19"/>
      <c r="CW439" s="19"/>
      <c r="CX439" s="19"/>
      <c r="CY439" s="19"/>
      <c r="CZ439" s="19"/>
      <c r="DA439" s="19"/>
      <c r="DB439" s="19"/>
      <c r="DC439" s="19"/>
      <c r="DD439" s="19"/>
      <c r="DE439" s="19"/>
      <c r="DF439" s="19"/>
      <c r="DG439" s="19"/>
      <c r="DH439" s="19"/>
      <c r="DI439" s="19"/>
      <c r="DJ439" s="19"/>
      <c r="DK439" s="19"/>
      <c r="DL439" s="19"/>
      <c r="DM439" s="19"/>
      <c r="DN439" s="19"/>
      <c r="DO439" s="19"/>
      <c r="DP439" s="19"/>
      <c r="DQ439" s="19"/>
      <c r="DR439" s="19"/>
      <c r="DS439" s="19"/>
      <c r="DT439" s="19"/>
      <c r="DU439" s="19"/>
      <c r="DV439" s="19"/>
      <c r="DW439" s="19"/>
      <c r="DX439" s="19"/>
      <c r="DY439" s="19"/>
      <c r="DZ439" s="19"/>
      <c r="EA439" s="19"/>
      <c r="EB439" s="19"/>
      <c r="EC439" s="19"/>
      <c r="ED439" s="19"/>
      <c r="EE439" s="19"/>
      <c r="EF439" s="19"/>
      <c r="EG439" s="19"/>
      <c r="EH439" s="19"/>
      <c r="EI439" s="19"/>
      <c r="EJ439" s="19"/>
      <c r="EK439" s="19"/>
      <c r="EL439" s="19"/>
      <c r="EM439" s="19"/>
      <c r="EN439" s="19"/>
      <c r="EO439" s="19"/>
      <c r="EP439" s="17"/>
      <c r="EQ439" s="23"/>
      <c r="ER439" s="23" t="str">
        <f t="shared" si="7"/>
        <v/>
      </c>
      <c r="ES439" s="19"/>
      <c r="ET439" s="19" t="str">
        <f t="shared" si="8"/>
        <v/>
      </c>
      <c r="EU439" s="19"/>
      <c r="EV439" s="19"/>
      <c r="EW439" s="19"/>
      <c r="EX439" s="19"/>
      <c r="EY439" s="19"/>
      <c r="EZ439" s="19"/>
      <c r="FA439" s="19"/>
      <c r="FB439" s="19"/>
    </row>
    <row r="440" ht="15.75" customHeight="1">
      <c r="A440" s="19"/>
      <c r="F440" s="19"/>
      <c r="AH440" s="23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  <c r="CD440" s="19"/>
      <c r="CE440" s="19"/>
      <c r="CF440" s="19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19"/>
      <c r="CW440" s="19"/>
      <c r="CX440" s="19"/>
      <c r="CY440" s="19"/>
      <c r="CZ440" s="19"/>
      <c r="DA440" s="19"/>
      <c r="DB440" s="19"/>
      <c r="DC440" s="19"/>
      <c r="DD440" s="19"/>
      <c r="DE440" s="19"/>
      <c r="DF440" s="19"/>
      <c r="DG440" s="19"/>
      <c r="DH440" s="19"/>
      <c r="DI440" s="19"/>
      <c r="DJ440" s="19"/>
      <c r="DK440" s="19"/>
      <c r="DL440" s="19"/>
      <c r="DM440" s="19"/>
      <c r="DN440" s="19"/>
      <c r="DO440" s="19"/>
      <c r="DP440" s="19"/>
      <c r="DQ440" s="19"/>
      <c r="DR440" s="19"/>
      <c r="DS440" s="19"/>
      <c r="DT440" s="19"/>
      <c r="DU440" s="19"/>
      <c r="DV440" s="19"/>
      <c r="DW440" s="19"/>
      <c r="DX440" s="19"/>
      <c r="DY440" s="19"/>
      <c r="DZ440" s="19"/>
      <c r="EA440" s="19"/>
      <c r="EB440" s="19"/>
      <c r="EC440" s="19"/>
      <c r="ED440" s="19"/>
      <c r="EE440" s="19"/>
      <c r="EF440" s="19"/>
      <c r="EG440" s="19"/>
      <c r="EH440" s="19"/>
      <c r="EI440" s="19"/>
      <c r="EJ440" s="19"/>
      <c r="EK440" s="19"/>
      <c r="EL440" s="19"/>
      <c r="EM440" s="19"/>
      <c r="EN440" s="19"/>
      <c r="EO440" s="19"/>
      <c r="EP440" s="17"/>
      <c r="EQ440" s="23"/>
      <c r="ER440" s="23" t="str">
        <f t="shared" si="7"/>
        <v/>
      </c>
      <c r="ES440" s="19"/>
      <c r="ET440" s="19" t="str">
        <f t="shared" si="8"/>
        <v/>
      </c>
      <c r="EU440" s="19"/>
      <c r="EV440" s="19"/>
      <c r="EW440" s="19"/>
      <c r="EX440" s="19"/>
      <c r="EY440" s="19"/>
      <c r="EZ440" s="19"/>
      <c r="FA440" s="19"/>
      <c r="FB440" s="19"/>
    </row>
    <row r="441" ht="15.75" customHeight="1">
      <c r="A441" s="19"/>
      <c r="F441" s="19"/>
      <c r="AH441" s="23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  <c r="CD441" s="19"/>
      <c r="CE441" s="19"/>
      <c r="CF441" s="19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19"/>
      <c r="CW441" s="19"/>
      <c r="CX441" s="19"/>
      <c r="CY441" s="19"/>
      <c r="CZ441" s="19"/>
      <c r="DA441" s="19"/>
      <c r="DB441" s="19"/>
      <c r="DC441" s="19"/>
      <c r="DD441" s="19"/>
      <c r="DE441" s="19"/>
      <c r="DF441" s="19"/>
      <c r="DG441" s="19"/>
      <c r="DH441" s="19"/>
      <c r="DI441" s="19"/>
      <c r="DJ441" s="19"/>
      <c r="DK441" s="19"/>
      <c r="DL441" s="19"/>
      <c r="DM441" s="19"/>
      <c r="DN441" s="19"/>
      <c r="DO441" s="19"/>
      <c r="DP441" s="19"/>
      <c r="DQ441" s="19"/>
      <c r="DR441" s="19"/>
      <c r="DS441" s="19"/>
      <c r="DT441" s="19"/>
      <c r="DU441" s="19"/>
      <c r="DV441" s="19"/>
      <c r="DW441" s="19"/>
      <c r="DX441" s="19"/>
      <c r="DY441" s="19"/>
      <c r="DZ441" s="19"/>
      <c r="EA441" s="19"/>
      <c r="EB441" s="19"/>
      <c r="EC441" s="19"/>
      <c r="ED441" s="19"/>
      <c r="EE441" s="19"/>
      <c r="EF441" s="19"/>
      <c r="EG441" s="19"/>
      <c r="EH441" s="19"/>
      <c r="EI441" s="19"/>
      <c r="EJ441" s="19"/>
      <c r="EK441" s="19"/>
      <c r="EL441" s="19"/>
      <c r="EM441" s="19"/>
      <c r="EN441" s="19"/>
      <c r="EO441" s="19"/>
      <c r="EP441" s="17"/>
      <c r="EQ441" s="23"/>
      <c r="ER441" s="23" t="str">
        <f t="shared" si="7"/>
        <v/>
      </c>
      <c r="ES441" s="19"/>
      <c r="ET441" s="19" t="str">
        <f t="shared" si="8"/>
        <v/>
      </c>
      <c r="EU441" s="19"/>
      <c r="EV441" s="19"/>
      <c r="EW441" s="19"/>
      <c r="EX441" s="19"/>
      <c r="EY441" s="19"/>
      <c r="EZ441" s="19"/>
      <c r="FA441" s="19"/>
      <c r="FB441" s="19"/>
    </row>
    <row r="442" ht="15.75" customHeight="1">
      <c r="A442" s="19"/>
      <c r="F442" s="19"/>
      <c r="AH442" s="23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  <c r="CD442" s="19"/>
      <c r="CE442" s="19"/>
      <c r="CF442" s="19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19"/>
      <c r="CW442" s="19"/>
      <c r="CX442" s="19"/>
      <c r="CY442" s="19"/>
      <c r="CZ442" s="19"/>
      <c r="DA442" s="19"/>
      <c r="DB442" s="19"/>
      <c r="DC442" s="19"/>
      <c r="DD442" s="19"/>
      <c r="DE442" s="19"/>
      <c r="DF442" s="19"/>
      <c r="DG442" s="19"/>
      <c r="DH442" s="19"/>
      <c r="DI442" s="19"/>
      <c r="DJ442" s="19"/>
      <c r="DK442" s="19"/>
      <c r="DL442" s="19"/>
      <c r="DM442" s="19"/>
      <c r="DN442" s="19"/>
      <c r="DO442" s="19"/>
      <c r="DP442" s="19"/>
      <c r="DQ442" s="19"/>
      <c r="DR442" s="19"/>
      <c r="DS442" s="19"/>
      <c r="DT442" s="19"/>
      <c r="DU442" s="19"/>
      <c r="DV442" s="19"/>
      <c r="DW442" s="19"/>
      <c r="DX442" s="19"/>
      <c r="DY442" s="19"/>
      <c r="DZ442" s="19"/>
      <c r="EA442" s="19"/>
      <c r="EB442" s="19"/>
      <c r="EC442" s="19"/>
      <c r="ED442" s="19"/>
      <c r="EE442" s="19"/>
      <c r="EF442" s="19"/>
      <c r="EG442" s="19"/>
      <c r="EH442" s="19"/>
      <c r="EI442" s="19"/>
      <c r="EJ442" s="19"/>
      <c r="EK442" s="19"/>
      <c r="EL442" s="19"/>
      <c r="EM442" s="19"/>
      <c r="EN442" s="19"/>
      <c r="EO442" s="19"/>
      <c r="EP442" s="17"/>
      <c r="EQ442" s="23"/>
      <c r="ER442" s="23" t="str">
        <f t="shared" si="7"/>
        <v/>
      </c>
      <c r="ES442" s="19"/>
      <c r="ET442" s="19" t="str">
        <f t="shared" si="8"/>
        <v/>
      </c>
      <c r="EU442" s="19"/>
      <c r="EV442" s="19"/>
      <c r="EW442" s="19"/>
      <c r="EX442" s="19"/>
      <c r="EY442" s="19"/>
      <c r="EZ442" s="19"/>
      <c r="FA442" s="19"/>
      <c r="FB442" s="19"/>
    </row>
    <row r="443" ht="15.75" customHeight="1">
      <c r="A443" s="19"/>
      <c r="F443" s="19"/>
      <c r="AH443" s="23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  <c r="CD443" s="19"/>
      <c r="CE443" s="19"/>
      <c r="CF443" s="19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19"/>
      <c r="CW443" s="19"/>
      <c r="CX443" s="19"/>
      <c r="CY443" s="19"/>
      <c r="CZ443" s="19"/>
      <c r="DA443" s="19"/>
      <c r="DB443" s="19"/>
      <c r="DC443" s="19"/>
      <c r="DD443" s="19"/>
      <c r="DE443" s="19"/>
      <c r="DF443" s="19"/>
      <c r="DG443" s="19"/>
      <c r="DH443" s="19"/>
      <c r="DI443" s="19"/>
      <c r="DJ443" s="19"/>
      <c r="DK443" s="19"/>
      <c r="DL443" s="19"/>
      <c r="DM443" s="19"/>
      <c r="DN443" s="19"/>
      <c r="DO443" s="19"/>
      <c r="DP443" s="19"/>
      <c r="DQ443" s="19"/>
      <c r="DR443" s="19"/>
      <c r="DS443" s="19"/>
      <c r="DT443" s="19"/>
      <c r="DU443" s="19"/>
      <c r="DV443" s="19"/>
      <c r="DW443" s="19"/>
      <c r="DX443" s="19"/>
      <c r="DY443" s="19"/>
      <c r="DZ443" s="19"/>
      <c r="EA443" s="19"/>
      <c r="EB443" s="19"/>
      <c r="EC443" s="19"/>
      <c r="ED443" s="19"/>
      <c r="EE443" s="19"/>
      <c r="EF443" s="19"/>
      <c r="EG443" s="19"/>
      <c r="EH443" s="19"/>
      <c r="EI443" s="19"/>
      <c r="EJ443" s="19"/>
      <c r="EK443" s="19"/>
      <c r="EL443" s="19"/>
      <c r="EM443" s="19"/>
      <c r="EN443" s="19"/>
      <c r="EO443" s="19"/>
      <c r="EP443" s="17"/>
      <c r="EQ443" s="23"/>
      <c r="ER443" s="23" t="str">
        <f t="shared" si="7"/>
        <v/>
      </c>
      <c r="ES443" s="19"/>
      <c r="ET443" s="19" t="str">
        <f t="shared" si="8"/>
        <v/>
      </c>
      <c r="EU443" s="19"/>
      <c r="EV443" s="19"/>
      <c r="EW443" s="19"/>
      <c r="EX443" s="19"/>
      <c r="EY443" s="19"/>
      <c r="EZ443" s="19"/>
      <c r="FA443" s="19"/>
      <c r="FB443" s="19"/>
    </row>
    <row r="444" ht="15.75" customHeight="1">
      <c r="A444" s="19"/>
      <c r="F444" s="19"/>
      <c r="AH444" s="23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  <c r="CD444" s="19"/>
      <c r="CE444" s="19"/>
      <c r="CF444" s="19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19"/>
      <c r="CW444" s="19"/>
      <c r="CX444" s="19"/>
      <c r="CY444" s="19"/>
      <c r="CZ444" s="19"/>
      <c r="DA444" s="19"/>
      <c r="DB444" s="19"/>
      <c r="DC444" s="19"/>
      <c r="DD444" s="19"/>
      <c r="DE444" s="19"/>
      <c r="DF444" s="19"/>
      <c r="DG444" s="19"/>
      <c r="DH444" s="19"/>
      <c r="DI444" s="19"/>
      <c r="DJ444" s="19"/>
      <c r="DK444" s="19"/>
      <c r="DL444" s="19"/>
      <c r="DM444" s="19"/>
      <c r="DN444" s="19"/>
      <c r="DO444" s="19"/>
      <c r="DP444" s="19"/>
      <c r="DQ444" s="19"/>
      <c r="DR444" s="19"/>
      <c r="DS444" s="19"/>
      <c r="DT444" s="19"/>
      <c r="DU444" s="19"/>
      <c r="DV444" s="19"/>
      <c r="DW444" s="19"/>
      <c r="DX444" s="19"/>
      <c r="DY444" s="19"/>
      <c r="DZ444" s="19"/>
      <c r="EA444" s="19"/>
      <c r="EB444" s="19"/>
      <c r="EC444" s="19"/>
      <c r="ED444" s="19"/>
      <c r="EE444" s="19"/>
      <c r="EF444" s="19"/>
      <c r="EG444" s="19"/>
      <c r="EH444" s="19"/>
      <c r="EI444" s="19"/>
      <c r="EJ444" s="19"/>
      <c r="EK444" s="19"/>
      <c r="EL444" s="19"/>
      <c r="EM444" s="19"/>
      <c r="EN444" s="19"/>
      <c r="EO444" s="19"/>
      <c r="EP444" s="17"/>
      <c r="EQ444" s="23"/>
      <c r="ER444" s="23" t="str">
        <f t="shared" si="7"/>
        <v/>
      </c>
      <c r="ES444" s="19"/>
      <c r="ET444" s="19" t="str">
        <f t="shared" si="8"/>
        <v/>
      </c>
      <c r="EU444" s="19"/>
      <c r="EV444" s="19"/>
      <c r="EW444" s="19"/>
      <c r="EX444" s="19"/>
      <c r="EY444" s="19"/>
      <c r="EZ444" s="19"/>
      <c r="FA444" s="19"/>
      <c r="FB444" s="19"/>
    </row>
    <row r="445" ht="15.75" customHeight="1">
      <c r="A445" s="19"/>
      <c r="F445" s="19"/>
      <c r="AH445" s="23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  <c r="CD445" s="19"/>
      <c r="CE445" s="19"/>
      <c r="CF445" s="19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19"/>
      <c r="CW445" s="19"/>
      <c r="CX445" s="19"/>
      <c r="CY445" s="19"/>
      <c r="CZ445" s="19"/>
      <c r="DA445" s="19"/>
      <c r="DB445" s="19"/>
      <c r="DC445" s="19"/>
      <c r="DD445" s="19"/>
      <c r="DE445" s="19"/>
      <c r="DF445" s="19"/>
      <c r="DG445" s="19"/>
      <c r="DH445" s="19"/>
      <c r="DI445" s="19"/>
      <c r="DJ445" s="19"/>
      <c r="DK445" s="19"/>
      <c r="DL445" s="19"/>
      <c r="DM445" s="19"/>
      <c r="DN445" s="19"/>
      <c r="DO445" s="19"/>
      <c r="DP445" s="19"/>
      <c r="DQ445" s="19"/>
      <c r="DR445" s="19"/>
      <c r="DS445" s="19"/>
      <c r="DT445" s="19"/>
      <c r="DU445" s="19"/>
      <c r="DV445" s="19"/>
      <c r="DW445" s="19"/>
      <c r="DX445" s="19"/>
      <c r="DY445" s="19"/>
      <c r="DZ445" s="19"/>
      <c r="EA445" s="19"/>
      <c r="EB445" s="19"/>
      <c r="EC445" s="19"/>
      <c r="ED445" s="19"/>
      <c r="EE445" s="19"/>
      <c r="EF445" s="19"/>
      <c r="EG445" s="19"/>
      <c r="EH445" s="19"/>
      <c r="EI445" s="19"/>
      <c r="EJ445" s="19"/>
      <c r="EK445" s="19"/>
      <c r="EL445" s="19"/>
      <c r="EM445" s="19"/>
      <c r="EN445" s="19"/>
      <c r="EO445" s="19"/>
      <c r="EP445" s="17"/>
      <c r="EQ445" s="23"/>
      <c r="ER445" s="23" t="str">
        <f t="shared" si="7"/>
        <v/>
      </c>
      <c r="ES445" s="19"/>
      <c r="ET445" s="19" t="str">
        <f t="shared" si="8"/>
        <v/>
      </c>
      <c r="EU445" s="19"/>
      <c r="EV445" s="19"/>
      <c r="EW445" s="19"/>
      <c r="EX445" s="19"/>
      <c r="EY445" s="19"/>
      <c r="EZ445" s="19"/>
      <c r="FA445" s="19"/>
      <c r="FB445" s="19"/>
    </row>
    <row r="446" ht="15.75" customHeight="1">
      <c r="A446" s="19"/>
      <c r="F446" s="19"/>
      <c r="AH446" s="23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7"/>
      <c r="EQ446" s="23"/>
      <c r="ER446" s="23" t="str">
        <f t="shared" si="7"/>
        <v/>
      </c>
      <c r="ES446" s="19"/>
      <c r="ET446" s="19" t="str">
        <f t="shared" si="8"/>
        <v/>
      </c>
      <c r="EU446" s="19"/>
      <c r="EV446" s="19"/>
      <c r="EW446" s="19"/>
      <c r="EX446" s="19"/>
      <c r="EY446" s="19"/>
      <c r="EZ446" s="19"/>
      <c r="FA446" s="19"/>
      <c r="FB446" s="19"/>
    </row>
    <row r="447" ht="15.75" customHeight="1">
      <c r="A447" s="19"/>
      <c r="F447" s="19"/>
      <c r="AH447" s="23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  <c r="CD447" s="19"/>
      <c r="CE447" s="19"/>
      <c r="CF447" s="19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19"/>
      <c r="CW447" s="19"/>
      <c r="CX447" s="19"/>
      <c r="CY447" s="19"/>
      <c r="CZ447" s="19"/>
      <c r="DA447" s="19"/>
      <c r="DB447" s="19"/>
      <c r="DC447" s="19"/>
      <c r="DD447" s="19"/>
      <c r="DE447" s="19"/>
      <c r="DF447" s="19"/>
      <c r="DG447" s="19"/>
      <c r="DH447" s="19"/>
      <c r="DI447" s="19"/>
      <c r="DJ447" s="19"/>
      <c r="DK447" s="19"/>
      <c r="DL447" s="19"/>
      <c r="DM447" s="19"/>
      <c r="DN447" s="19"/>
      <c r="DO447" s="19"/>
      <c r="DP447" s="19"/>
      <c r="DQ447" s="19"/>
      <c r="DR447" s="19"/>
      <c r="DS447" s="19"/>
      <c r="DT447" s="19"/>
      <c r="DU447" s="19"/>
      <c r="DV447" s="19"/>
      <c r="DW447" s="19"/>
      <c r="DX447" s="19"/>
      <c r="DY447" s="19"/>
      <c r="DZ447" s="19"/>
      <c r="EA447" s="19"/>
      <c r="EB447" s="19"/>
      <c r="EC447" s="19"/>
      <c r="ED447" s="19"/>
      <c r="EE447" s="19"/>
      <c r="EF447" s="19"/>
      <c r="EG447" s="19"/>
      <c r="EH447" s="19"/>
      <c r="EI447" s="19"/>
      <c r="EJ447" s="19"/>
      <c r="EK447" s="19"/>
      <c r="EL447" s="19"/>
      <c r="EM447" s="19"/>
      <c r="EN447" s="19"/>
      <c r="EO447" s="19"/>
      <c r="EP447" s="17"/>
      <c r="EQ447" s="23"/>
      <c r="ER447" s="23" t="str">
        <f t="shared" si="7"/>
        <v/>
      </c>
      <c r="ES447" s="19"/>
      <c r="ET447" s="19" t="str">
        <f t="shared" si="8"/>
        <v/>
      </c>
      <c r="EU447" s="19"/>
      <c r="EV447" s="19"/>
      <c r="EW447" s="19"/>
      <c r="EX447" s="19"/>
      <c r="EY447" s="19"/>
      <c r="EZ447" s="19"/>
      <c r="FA447" s="19"/>
      <c r="FB447" s="19"/>
    </row>
    <row r="448" ht="15.75" customHeight="1">
      <c r="A448" s="19"/>
      <c r="F448" s="19"/>
      <c r="AH448" s="23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  <c r="CD448" s="19"/>
      <c r="CE448" s="19"/>
      <c r="CF448" s="19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19"/>
      <c r="CW448" s="19"/>
      <c r="CX448" s="19"/>
      <c r="CY448" s="19"/>
      <c r="CZ448" s="19"/>
      <c r="DA448" s="19"/>
      <c r="DB448" s="19"/>
      <c r="DC448" s="19"/>
      <c r="DD448" s="19"/>
      <c r="DE448" s="19"/>
      <c r="DF448" s="19"/>
      <c r="DG448" s="19"/>
      <c r="DH448" s="19"/>
      <c r="DI448" s="19"/>
      <c r="DJ448" s="19"/>
      <c r="DK448" s="19"/>
      <c r="DL448" s="19"/>
      <c r="DM448" s="19"/>
      <c r="DN448" s="19"/>
      <c r="DO448" s="19"/>
      <c r="DP448" s="19"/>
      <c r="DQ448" s="19"/>
      <c r="DR448" s="19"/>
      <c r="DS448" s="19"/>
      <c r="DT448" s="19"/>
      <c r="DU448" s="19"/>
      <c r="DV448" s="19"/>
      <c r="DW448" s="19"/>
      <c r="DX448" s="19"/>
      <c r="DY448" s="19"/>
      <c r="DZ448" s="19"/>
      <c r="EA448" s="19"/>
      <c r="EB448" s="19"/>
      <c r="EC448" s="19"/>
      <c r="ED448" s="19"/>
      <c r="EE448" s="19"/>
      <c r="EF448" s="19"/>
      <c r="EG448" s="19"/>
      <c r="EH448" s="19"/>
      <c r="EI448" s="19"/>
      <c r="EJ448" s="19"/>
      <c r="EK448" s="19"/>
      <c r="EL448" s="19"/>
      <c r="EM448" s="19"/>
      <c r="EN448" s="19"/>
      <c r="EO448" s="19"/>
      <c r="EP448" s="17"/>
      <c r="EQ448" s="23"/>
      <c r="ER448" s="23" t="str">
        <f t="shared" si="7"/>
        <v/>
      </c>
      <c r="ES448" s="19"/>
      <c r="ET448" s="19" t="str">
        <f t="shared" si="8"/>
        <v/>
      </c>
      <c r="EU448" s="19"/>
      <c r="EV448" s="19"/>
      <c r="EW448" s="19"/>
      <c r="EX448" s="19"/>
      <c r="EY448" s="19"/>
      <c r="EZ448" s="19"/>
      <c r="FA448" s="19"/>
      <c r="FB448" s="19"/>
    </row>
    <row r="449" ht="15.75" customHeight="1">
      <c r="A449" s="19"/>
      <c r="F449" s="19"/>
      <c r="AH449" s="23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  <c r="CD449" s="19"/>
      <c r="CE449" s="19"/>
      <c r="CF449" s="19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19"/>
      <c r="CW449" s="19"/>
      <c r="CX449" s="19"/>
      <c r="CY449" s="19"/>
      <c r="CZ449" s="19"/>
      <c r="DA449" s="19"/>
      <c r="DB449" s="19"/>
      <c r="DC449" s="19"/>
      <c r="DD449" s="19"/>
      <c r="DE449" s="19"/>
      <c r="DF449" s="19"/>
      <c r="DG449" s="19"/>
      <c r="DH449" s="19"/>
      <c r="DI449" s="19"/>
      <c r="DJ449" s="19"/>
      <c r="DK449" s="19"/>
      <c r="DL449" s="19"/>
      <c r="DM449" s="19"/>
      <c r="DN449" s="19"/>
      <c r="DO449" s="19"/>
      <c r="DP449" s="19"/>
      <c r="DQ449" s="19"/>
      <c r="DR449" s="19"/>
      <c r="DS449" s="19"/>
      <c r="DT449" s="19"/>
      <c r="DU449" s="19"/>
      <c r="DV449" s="19"/>
      <c r="DW449" s="19"/>
      <c r="DX449" s="19"/>
      <c r="DY449" s="19"/>
      <c r="DZ449" s="19"/>
      <c r="EA449" s="19"/>
      <c r="EB449" s="19"/>
      <c r="EC449" s="19"/>
      <c r="ED449" s="19"/>
      <c r="EE449" s="19"/>
      <c r="EF449" s="19"/>
      <c r="EG449" s="19"/>
      <c r="EH449" s="19"/>
      <c r="EI449" s="19"/>
      <c r="EJ449" s="19"/>
      <c r="EK449" s="19"/>
      <c r="EL449" s="19"/>
      <c r="EM449" s="19"/>
      <c r="EN449" s="19"/>
      <c r="EO449" s="19"/>
      <c r="EP449" s="17"/>
      <c r="EQ449" s="23"/>
      <c r="ER449" s="23" t="str">
        <f t="shared" si="7"/>
        <v/>
      </c>
      <c r="ES449" s="19"/>
      <c r="ET449" s="19" t="str">
        <f t="shared" si="8"/>
        <v/>
      </c>
      <c r="EU449" s="19"/>
      <c r="EV449" s="19"/>
      <c r="EW449" s="19"/>
      <c r="EX449" s="19"/>
      <c r="EY449" s="19"/>
      <c r="EZ449" s="19"/>
      <c r="FA449" s="19"/>
      <c r="FB449" s="19"/>
    </row>
    <row r="450" ht="15.75" customHeight="1">
      <c r="A450" s="19"/>
      <c r="F450" s="19"/>
      <c r="AH450" s="23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  <c r="CD450" s="19"/>
      <c r="CE450" s="19"/>
      <c r="CF450" s="19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19"/>
      <c r="CW450" s="19"/>
      <c r="CX450" s="19"/>
      <c r="CY450" s="19"/>
      <c r="CZ450" s="19"/>
      <c r="DA450" s="19"/>
      <c r="DB450" s="19"/>
      <c r="DC450" s="19"/>
      <c r="DD450" s="19"/>
      <c r="DE450" s="19"/>
      <c r="DF450" s="19"/>
      <c r="DG450" s="19"/>
      <c r="DH450" s="19"/>
      <c r="DI450" s="19"/>
      <c r="DJ450" s="19"/>
      <c r="DK450" s="19"/>
      <c r="DL450" s="19"/>
      <c r="DM450" s="19"/>
      <c r="DN450" s="19"/>
      <c r="DO450" s="19"/>
      <c r="DP450" s="19"/>
      <c r="DQ450" s="19"/>
      <c r="DR450" s="19"/>
      <c r="DS450" s="19"/>
      <c r="DT450" s="19"/>
      <c r="DU450" s="19"/>
      <c r="DV450" s="19"/>
      <c r="DW450" s="19"/>
      <c r="DX450" s="19"/>
      <c r="DY450" s="19"/>
      <c r="DZ450" s="19"/>
      <c r="EA450" s="19"/>
      <c r="EB450" s="19"/>
      <c r="EC450" s="19"/>
      <c r="ED450" s="19"/>
      <c r="EE450" s="19"/>
      <c r="EF450" s="19"/>
      <c r="EG450" s="19"/>
      <c r="EH450" s="19"/>
      <c r="EI450" s="19"/>
      <c r="EJ450" s="19"/>
      <c r="EK450" s="19"/>
      <c r="EL450" s="19"/>
      <c r="EM450" s="19"/>
      <c r="EN450" s="19"/>
      <c r="EO450" s="19"/>
      <c r="EP450" s="17"/>
      <c r="EQ450" s="23"/>
      <c r="ER450" s="23" t="str">
        <f t="shared" si="7"/>
        <v/>
      </c>
      <c r="ES450" s="19"/>
      <c r="ET450" s="19" t="str">
        <f t="shared" si="8"/>
        <v/>
      </c>
      <c r="EU450" s="19"/>
      <c r="EV450" s="19"/>
      <c r="EW450" s="19"/>
      <c r="EX450" s="19"/>
      <c r="EY450" s="19"/>
      <c r="EZ450" s="19"/>
      <c r="FA450" s="19"/>
      <c r="FB450" s="19"/>
    </row>
    <row r="451" ht="15.75" customHeight="1">
      <c r="A451" s="19"/>
      <c r="F451" s="19"/>
      <c r="AH451" s="23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  <c r="CD451" s="19"/>
      <c r="CE451" s="19"/>
      <c r="CF451" s="19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19"/>
      <c r="CW451" s="19"/>
      <c r="CX451" s="19"/>
      <c r="CY451" s="19"/>
      <c r="CZ451" s="19"/>
      <c r="DA451" s="19"/>
      <c r="DB451" s="19"/>
      <c r="DC451" s="19"/>
      <c r="DD451" s="19"/>
      <c r="DE451" s="19"/>
      <c r="DF451" s="19"/>
      <c r="DG451" s="19"/>
      <c r="DH451" s="19"/>
      <c r="DI451" s="19"/>
      <c r="DJ451" s="19"/>
      <c r="DK451" s="19"/>
      <c r="DL451" s="19"/>
      <c r="DM451" s="19"/>
      <c r="DN451" s="19"/>
      <c r="DO451" s="19"/>
      <c r="DP451" s="19"/>
      <c r="DQ451" s="19"/>
      <c r="DR451" s="19"/>
      <c r="DS451" s="19"/>
      <c r="DT451" s="19"/>
      <c r="DU451" s="19"/>
      <c r="DV451" s="19"/>
      <c r="DW451" s="19"/>
      <c r="DX451" s="19"/>
      <c r="DY451" s="19"/>
      <c r="DZ451" s="19"/>
      <c r="EA451" s="19"/>
      <c r="EB451" s="19"/>
      <c r="EC451" s="19"/>
      <c r="ED451" s="19"/>
      <c r="EE451" s="19"/>
      <c r="EF451" s="19"/>
      <c r="EG451" s="19"/>
      <c r="EH451" s="19"/>
      <c r="EI451" s="19"/>
      <c r="EJ451" s="19"/>
      <c r="EK451" s="19"/>
      <c r="EL451" s="19"/>
      <c r="EM451" s="19"/>
      <c r="EN451" s="19"/>
      <c r="EO451" s="19"/>
      <c r="EP451" s="17"/>
      <c r="EQ451" s="23"/>
      <c r="ER451" s="23" t="str">
        <f t="shared" si="7"/>
        <v/>
      </c>
      <c r="ES451" s="19"/>
      <c r="ET451" s="19" t="str">
        <f t="shared" si="8"/>
        <v/>
      </c>
      <c r="EU451" s="19"/>
      <c r="EV451" s="19"/>
      <c r="EW451" s="19"/>
      <c r="EX451" s="19"/>
      <c r="EY451" s="19"/>
      <c r="EZ451" s="19"/>
      <c r="FA451" s="19"/>
      <c r="FB451" s="19"/>
    </row>
    <row r="452" ht="15.75" customHeight="1">
      <c r="A452" s="19"/>
      <c r="F452" s="19"/>
      <c r="AH452" s="23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  <c r="CD452" s="19"/>
      <c r="CE452" s="19"/>
      <c r="CF452" s="19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19"/>
      <c r="CW452" s="19"/>
      <c r="CX452" s="19"/>
      <c r="CY452" s="19"/>
      <c r="CZ452" s="19"/>
      <c r="DA452" s="19"/>
      <c r="DB452" s="19"/>
      <c r="DC452" s="19"/>
      <c r="DD452" s="19"/>
      <c r="DE452" s="19"/>
      <c r="DF452" s="19"/>
      <c r="DG452" s="19"/>
      <c r="DH452" s="19"/>
      <c r="DI452" s="19"/>
      <c r="DJ452" s="19"/>
      <c r="DK452" s="19"/>
      <c r="DL452" s="19"/>
      <c r="DM452" s="19"/>
      <c r="DN452" s="19"/>
      <c r="DO452" s="19"/>
      <c r="DP452" s="19"/>
      <c r="DQ452" s="19"/>
      <c r="DR452" s="19"/>
      <c r="DS452" s="19"/>
      <c r="DT452" s="19"/>
      <c r="DU452" s="19"/>
      <c r="DV452" s="19"/>
      <c r="DW452" s="19"/>
      <c r="DX452" s="19"/>
      <c r="DY452" s="19"/>
      <c r="DZ452" s="19"/>
      <c r="EA452" s="19"/>
      <c r="EB452" s="19"/>
      <c r="EC452" s="19"/>
      <c r="ED452" s="19"/>
      <c r="EE452" s="19"/>
      <c r="EF452" s="19"/>
      <c r="EG452" s="19"/>
      <c r="EH452" s="19"/>
      <c r="EI452" s="19"/>
      <c r="EJ452" s="19"/>
      <c r="EK452" s="19"/>
      <c r="EL452" s="19"/>
      <c r="EM452" s="19"/>
      <c r="EN452" s="19"/>
      <c r="EO452" s="19"/>
      <c r="EP452" s="17"/>
      <c r="EQ452" s="23"/>
      <c r="ER452" s="23" t="str">
        <f t="shared" si="7"/>
        <v/>
      </c>
      <c r="ES452" s="19"/>
      <c r="ET452" s="19" t="str">
        <f t="shared" si="8"/>
        <v/>
      </c>
      <c r="EU452" s="19"/>
      <c r="EV452" s="19"/>
      <c r="EW452" s="19"/>
      <c r="EX452" s="19"/>
      <c r="EY452" s="19"/>
      <c r="EZ452" s="19"/>
      <c r="FA452" s="19"/>
      <c r="FB452" s="19"/>
    </row>
    <row r="453" ht="15.75" customHeight="1">
      <c r="A453" s="19"/>
      <c r="F453" s="19"/>
      <c r="AH453" s="23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  <c r="CD453" s="19"/>
      <c r="CE453" s="19"/>
      <c r="CF453" s="19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19"/>
      <c r="CW453" s="19"/>
      <c r="CX453" s="19"/>
      <c r="CY453" s="19"/>
      <c r="CZ453" s="19"/>
      <c r="DA453" s="19"/>
      <c r="DB453" s="19"/>
      <c r="DC453" s="19"/>
      <c r="DD453" s="19"/>
      <c r="DE453" s="19"/>
      <c r="DF453" s="19"/>
      <c r="DG453" s="19"/>
      <c r="DH453" s="19"/>
      <c r="DI453" s="19"/>
      <c r="DJ453" s="19"/>
      <c r="DK453" s="19"/>
      <c r="DL453" s="19"/>
      <c r="DM453" s="19"/>
      <c r="DN453" s="19"/>
      <c r="DO453" s="19"/>
      <c r="DP453" s="19"/>
      <c r="DQ453" s="19"/>
      <c r="DR453" s="19"/>
      <c r="DS453" s="19"/>
      <c r="DT453" s="19"/>
      <c r="DU453" s="19"/>
      <c r="DV453" s="19"/>
      <c r="DW453" s="19"/>
      <c r="DX453" s="19"/>
      <c r="DY453" s="19"/>
      <c r="DZ453" s="19"/>
      <c r="EA453" s="19"/>
      <c r="EB453" s="19"/>
      <c r="EC453" s="19"/>
      <c r="ED453" s="19"/>
      <c r="EE453" s="19"/>
      <c r="EF453" s="19"/>
      <c r="EG453" s="19"/>
      <c r="EH453" s="19"/>
      <c r="EI453" s="19"/>
      <c r="EJ453" s="19"/>
      <c r="EK453" s="19"/>
      <c r="EL453" s="19"/>
      <c r="EM453" s="19"/>
      <c r="EN453" s="19"/>
      <c r="EO453" s="19"/>
      <c r="EP453" s="17"/>
      <c r="EQ453" s="23"/>
      <c r="ER453" s="23" t="str">
        <f t="shared" si="7"/>
        <v/>
      </c>
      <c r="ES453" s="19"/>
      <c r="ET453" s="19" t="str">
        <f t="shared" si="8"/>
        <v/>
      </c>
      <c r="EU453" s="19"/>
      <c r="EV453" s="19"/>
      <c r="EW453" s="19"/>
      <c r="EX453" s="19"/>
      <c r="EY453" s="19"/>
      <c r="EZ453" s="19"/>
      <c r="FA453" s="19"/>
      <c r="FB453" s="19"/>
    </row>
    <row r="454" ht="15.75" customHeight="1">
      <c r="A454" s="19"/>
      <c r="F454" s="19"/>
      <c r="AH454" s="23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  <c r="CD454" s="19"/>
      <c r="CE454" s="19"/>
      <c r="CF454" s="19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19"/>
      <c r="CW454" s="19"/>
      <c r="CX454" s="19"/>
      <c r="CY454" s="19"/>
      <c r="CZ454" s="19"/>
      <c r="DA454" s="19"/>
      <c r="DB454" s="19"/>
      <c r="DC454" s="19"/>
      <c r="DD454" s="19"/>
      <c r="DE454" s="19"/>
      <c r="DF454" s="19"/>
      <c r="DG454" s="19"/>
      <c r="DH454" s="19"/>
      <c r="DI454" s="19"/>
      <c r="DJ454" s="19"/>
      <c r="DK454" s="19"/>
      <c r="DL454" s="19"/>
      <c r="DM454" s="19"/>
      <c r="DN454" s="19"/>
      <c r="DO454" s="19"/>
      <c r="DP454" s="19"/>
      <c r="DQ454" s="19"/>
      <c r="DR454" s="19"/>
      <c r="DS454" s="19"/>
      <c r="DT454" s="19"/>
      <c r="DU454" s="19"/>
      <c r="DV454" s="19"/>
      <c r="DW454" s="19"/>
      <c r="DX454" s="19"/>
      <c r="DY454" s="19"/>
      <c r="DZ454" s="19"/>
      <c r="EA454" s="19"/>
      <c r="EB454" s="19"/>
      <c r="EC454" s="19"/>
      <c r="ED454" s="19"/>
      <c r="EE454" s="19"/>
      <c r="EF454" s="19"/>
      <c r="EG454" s="19"/>
      <c r="EH454" s="19"/>
      <c r="EI454" s="19"/>
      <c r="EJ454" s="19"/>
      <c r="EK454" s="19"/>
      <c r="EL454" s="19"/>
      <c r="EM454" s="19"/>
      <c r="EN454" s="19"/>
      <c r="EO454" s="19"/>
      <c r="EP454" s="17"/>
      <c r="EQ454" s="23"/>
      <c r="ER454" s="23" t="str">
        <f t="shared" si="7"/>
        <v/>
      </c>
      <c r="ES454" s="19"/>
      <c r="ET454" s="19" t="str">
        <f t="shared" si="8"/>
        <v/>
      </c>
      <c r="EU454" s="19"/>
      <c r="EV454" s="19"/>
      <c r="EW454" s="19"/>
      <c r="EX454" s="19"/>
      <c r="EY454" s="19"/>
      <c r="EZ454" s="19"/>
      <c r="FA454" s="19"/>
      <c r="FB454" s="19"/>
    </row>
    <row r="455" ht="15.75" customHeight="1">
      <c r="A455" s="19"/>
      <c r="F455" s="19"/>
      <c r="AH455" s="23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  <c r="CD455" s="19"/>
      <c r="CE455" s="19"/>
      <c r="CF455" s="19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19"/>
      <c r="CW455" s="19"/>
      <c r="CX455" s="19"/>
      <c r="CY455" s="19"/>
      <c r="CZ455" s="19"/>
      <c r="DA455" s="19"/>
      <c r="DB455" s="19"/>
      <c r="DC455" s="19"/>
      <c r="DD455" s="19"/>
      <c r="DE455" s="19"/>
      <c r="DF455" s="19"/>
      <c r="DG455" s="19"/>
      <c r="DH455" s="19"/>
      <c r="DI455" s="19"/>
      <c r="DJ455" s="19"/>
      <c r="DK455" s="19"/>
      <c r="DL455" s="19"/>
      <c r="DM455" s="19"/>
      <c r="DN455" s="19"/>
      <c r="DO455" s="19"/>
      <c r="DP455" s="19"/>
      <c r="DQ455" s="19"/>
      <c r="DR455" s="19"/>
      <c r="DS455" s="19"/>
      <c r="DT455" s="19"/>
      <c r="DU455" s="19"/>
      <c r="DV455" s="19"/>
      <c r="DW455" s="19"/>
      <c r="DX455" s="19"/>
      <c r="DY455" s="19"/>
      <c r="DZ455" s="19"/>
      <c r="EA455" s="19"/>
      <c r="EB455" s="19"/>
      <c r="EC455" s="19"/>
      <c r="ED455" s="19"/>
      <c r="EE455" s="19"/>
      <c r="EF455" s="19"/>
      <c r="EG455" s="19"/>
      <c r="EH455" s="19"/>
      <c r="EI455" s="19"/>
      <c r="EJ455" s="19"/>
      <c r="EK455" s="19"/>
      <c r="EL455" s="19"/>
      <c r="EM455" s="19"/>
      <c r="EN455" s="19"/>
      <c r="EO455" s="19"/>
      <c r="EP455" s="17"/>
      <c r="EQ455" s="23"/>
      <c r="ER455" s="23" t="str">
        <f t="shared" si="7"/>
        <v/>
      </c>
      <c r="ES455" s="19"/>
      <c r="ET455" s="19" t="str">
        <f t="shared" si="8"/>
        <v/>
      </c>
      <c r="EU455" s="19"/>
      <c r="EV455" s="19"/>
      <c r="EW455" s="19"/>
      <c r="EX455" s="19"/>
      <c r="EY455" s="19"/>
      <c r="EZ455" s="19"/>
      <c r="FA455" s="19"/>
      <c r="FB455" s="19"/>
    </row>
    <row r="456" ht="15.75" customHeight="1">
      <c r="A456" s="19"/>
      <c r="F456" s="19"/>
      <c r="AH456" s="23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  <c r="CD456" s="19"/>
      <c r="CE456" s="19"/>
      <c r="CF456" s="19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19"/>
      <c r="CW456" s="19"/>
      <c r="CX456" s="19"/>
      <c r="CY456" s="19"/>
      <c r="CZ456" s="19"/>
      <c r="DA456" s="19"/>
      <c r="DB456" s="19"/>
      <c r="DC456" s="19"/>
      <c r="DD456" s="19"/>
      <c r="DE456" s="19"/>
      <c r="DF456" s="19"/>
      <c r="DG456" s="19"/>
      <c r="DH456" s="19"/>
      <c r="DI456" s="19"/>
      <c r="DJ456" s="19"/>
      <c r="DK456" s="19"/>
      <c r="DL456" s="19"/>
      <c r="DM456" s="19"/>
      <c r="DN456" s="19"/>
      <c r="DO456" s="19"/>
      <c r="DP456" s="19"/>
      <c r="DQ456" s="19"/>
      <c r="DR456" s="19"/>
      <c r="DS456" s="19"/>
      <c r="DT456" s="19"/>
      <c r="DU456" s="19"/>
      <c r="DV456" s="19"/>
      <c r="DW456" s="19"/>
      <c r="DX456" s="19"/>
      <c r="DY456" s="19"/>
      <c r="DZ456" s="19"/>
      <c r="EA456" s="19"/>
      <c r="EB456" s="19"/>
      <c r="EC456" s="19"/>
      <c r="ED456" s="19"/>
      <c r="EE456" s="19"/>
      <c r="EF456" s="19"/>
      <c r="EG456" s="19"/>
      <c r="EH456" s="19"/>
      <c r="EI456" s="19"/>
      <c r="EJ456" s="19"/>
      <c r="EK456" s="19"/>
      <c r="EL456" s="19"/>
      <c r="EM456" s="19"/>
      <c r="EN456" s="19"/>
      <c r="EO456" s="19"/>
      <c r="EP456" s="17"/>
      <c r="EQ456" s="23"/>
      <c r="ER456" s="23" t="str">
        <f t="shared" si="7"/>
        <v/>
      </c>
      <c r="ES456" s="19"/>
      <c r="ET456" s="19" t="str">
        <f t="shared" si="8"/>
        <v/>
      </c>
      <c r="EU456" s="19"/>
      <c r="EV456" s="19"/>
      <c r="EW456" s="19"/>
      <c r="EX456" s="19"/>
      <c r="EY456" s="19"/>
      <c r="EZ456" s="19"/>
      <c r="FA456" s="19"/>
      <c r="FB456" s="19"/>
    </row>
    <row r="457" ht="15.75" customHeight="1">
      <c r="A457" s="19"/>
      <c r="F457" s="19"/>
      <c r="AH457" s="23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7"/>
      <c r="EQ457" s="23"/>
      <c r="ER457" s="23" t="str">
        <f t="shared" si="7"/>
        <v/>
      </c>
      <c r="ES457" s="19"/>
      <c r="ET457" s="19" t="str">
        <f t="shared" si="8"/>
        <v/>
      </c>
      <c r="EU457" s="19"/>
      <c r="EV457" s="19"/>
      <c r="EW457" s="19"/>
      <c r="EX457" s="19"/>
      <c r="EY457" s="19"/>
      <c r="EZ457" s="19"/>
      <c r="FA457" s="19"/>
      <c r="FB457" s="19"/>
    </row>
    <row r="458" ht="15.75" customHeight="1">
      <c r="A458" s="19"/>
      <c r="F458" s="19"/>
      <c r="AH458" s="23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  <c r="CD458" s="19"/>
      <c r="CE458" s="19"/>
      <c r="CF458" s="19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19"/>
      <c r="CW458" s="19"/>
      <c r="CX458" s="19"/>
      <c r="CY458" s="19"/>
      <c r="CZ458" s="19"/>
      <c r="DA458" s="19"/>
      <c r="DB458" s="19"/>
      <c r="DC458" s="19"/>
      <c r="DD458" s="19"/>
      <c r="DE458" s="19"/>
      <c r="DF458" s="19"/>
      <c r="DG458" s="19"/>
      <c r="DH458" s="19"/>
      <c r="DI458" s="19"/>
      <c r="DJ458" s="19"/>
      <c r="DK458" s="19"/>
      <c r="DL458" s="19"/>
      <c r="DM458" s="19"/>
      <c r="DN458" s="19"/>
      <c r="DO458" s="19"/>
      <c r="DP458" s="19"/>
      <c r="DQ458" s="19"/>
      <c r="DR458" s="19"/>
      <c r="DS458" s="19"/>
      <c r="DT458" s="19"/>
      <c r="DU458" s="19"/>
      <c r="DV458" s="19"/>
      <c r="DW458" s="19"/>
      <c r="DX458" s="19"/>
      <c r="DY458" s="19"/>
      <c r="DZ458" s="19"/>
      <c r="EA458" s="19"/>
      <c r="EB458" s="19"/>
      <c r="EC458" s="19"/>
      <c r="ED458" s="19"/>
      <c r="EE458" s="19"/>
      <c r="EF458" s="19"/>
      <c r="EG458" s="19"/>
      <c r="EH458" s="19"/>
      <c r="EI458" s="19"/>
      <c r="EJ458" s="19"/>
      <c r="EK458" s="19"/>
      <c r="EL458" s="19"/>
      <c r="EM458" s="19"/>
      <c r="EN458" s="19"/>
      <c r="EO458" s="19"/>
      <c r="EP458" s="17"/>
      <c r="EQ458" s="23"/>
      <c r="ER458" s="23" t="str">
        <f t="shared" si="7"/>
        <v/>
      </c>
      <c r="ES458" s="19"/>
      <c r="ET458" s="19" t="str">
        <f t="shared" si="8"/>
        <v/>
      </c>
      <c r="EU458" s="19"/>
      <c r="EV458" s="19"/>
      <c r="EW458" s="19"/>
      <c r="EX458" s="19"/>
      <c r="EY458" s="19"/>
      <c r="EZ458" s="19"/>
      <c r="FA458" s="19"/>
      <c r="FB458" s="19"/>
    </row>
    <row r="459" ht="15.75" customHeight="1">
      <c r="A459" s="19"/>
      <c r="F459" s="19"/>
      <c r="AH459" s="23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  <c r="CD459" s="19"/>
      <c r="CE459" s="19"/>
      <c r="CF459" s="19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19"/>
      <c r="CW459" s="19"/>
      <c r="CX459" s="19"/>
      <c r="CY459" s="19"/>
      <c r="CZ459" s="19"/>
      <c r="DA459" s="19"/>
      <c r="DB459" s="19"/>
      <c r="DC459" s="19"/>
      <c r="DD459" s="19"/>
      <c r="DE459" s="19"/>
      <c r="DF459" s="19"/>
      <c r="DG459" s="19"/>
      <c r="DH459" s="19"/>
      <c r="DI459" s="19"/>
      <c r="DJ459" s="19"/>
      <c r="DK459" s="19"/>
      <c r="DL459" s="19"/>
      <c r="DM459" s="19"/>
      <c r="DN459" s="19"/>
      <c r="DO459" s="19"/>
      <c r="DP459" s="19"/>
      <c r="DQ459" s="19"/>
      <c r="DR459" s="19"/>
      <c r="DS459" s="19"/>
      <c r="DT459" s="19"/>
      <c r="DU459" s="19"/>
      <c r="DV459" s="19"/>
      <c r="DW459" s="19"/>
      <c r="DX459" s="19"/>
      <c r="DY459" s="19"/>
      <c r="DZ459" s="19"/>
      <c r="EA459" s="19"/>
      <c r="EB459" s="19"/>
      <c r="EC459" s="19"/>
      <c r="ED459" s="19"/>
      <c r="EE459" s="19"/>
      <c r="EF459" s="19"/>
      <c r="EG459" s="19"/>
      <c r="EH459" s="19"/>
      <c r="EI459" s="19"/>
      <c r="EJ459" s="19"/>
      <c r="EK459" s="19"/>
      <c r="EL459" s="19"/>
      <c r="EM459" s="19"/>
      <c r="EN459" s="19"/>
      <c r="EO459" s="19"/>
      <c r="EP459" s="17"/>
      <c r="EQ459" s="23"/>
      <c r="ER459" s="23" t="str">
        <f t="shared" si="7"/>
        <v/>
      </c>
      <c r="ES459" s="19"/>
      <c r="ET459" s="19" t="str">
        <f t="shared" si="8"/>
        <v/>
      </c>
      <c r="EU459" s="19"/>
      <c r="EV459" s="19"/>
      <c r="EW459" s="19"/>
      <c r="EX459" s="19"/>
      <c r="EY459" s="19"/>
      <c r="EZ459" s="19"/>
      <c r="FA459" s="19"/>
      <c r="FB459" s="19"/>
    </row>
    <row r="460" ht="15.75" customHeight="1">
      <c r="A460" s="19"/>
      <c r="F460" s="19"/>
      <c r="AH460" s="23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  <c r="CD460" s="19"/>
      <c r="CE460" s="19"/>
      <c r="CF460" s="19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19"/>
      <c r="CW460" s="19"/>
      <c r="CX460" s="19"/>
      <c r="CY460" s="19"/>
      <c r="CZ460" s="19"/>
      <c r="DA460" s="19"/>
      <c r="DB460" s="19"/>
      <c r="DC460" s="19"/>
      <c r="DD460" s="19"/>
      <c r="DE460" s="19"/>
      <c r="DF460" s="19"/>
      <c r="DG460" s="19"/>
      <c r="DH460" s="19"/>
      <c r="DI460" s="19"/>
      <c r="DJ460" s="19"/>
      <c r="DK460" s="19"/>
      <c r="DL460" s="19"/>
      <c r="DM460" s="19"/>
      <c r="DN460" s="19"/>
      <c r="DO460" s="19"/>
      <c r="DP460" s="19"/>
      <c r="DQ460" s="19"/>
      <c r="DR460" s="19"/>
      <c r="DS460" s="19"/>
      <c r="DT460" s="19"/>
      <c r="DU460" s="19"/>
      <c r="DV460" s="19"/>
      <c r="DW460" s="19"/>
      <c r="DX460" s="19"/>
      <c r="DY460" s="19"/>
      <c r="DZ460" s="19"/>
      <c r="EA460" s="19"/>
      <c r="EB460" s="19"/>
      <c r="EC460" s="19"/>
      <c r="ED460" s="19"/>
      <c r="EE460" s="19"/>
      <c r="EF460" s="19"/>
      <c r="EG460" s="19"/>
      <c r="EH460" s="19"/>
      <c r="EI460" s="19"/>
      <c r="EJ460" s="19"/>
      <c r="EK460" s="19"/>
      <c r="EL460" s="19"/>
      <c r="EM460" s="19"/>
      <c r="EN460" s="19"/>
      <c r="EO460" s="19"/>
      <c r="EP460" s="17"/>
      <c r="EQ460" s="23"/>
      <c r="ER460" s="23" t="str">
        <f t="shared" si="7"/>
        <v/>
      </c>
      <c r="ES460" s="19"/>
      <c r="ET460" s="19" t="str">
        <f t="shared" si="8"/>
        <v/>
      </c>
      <c r="EU460" s="19"/>
      <c r="EV460" s="19"/>
      <c r="EW460" s="19"/>
      <c r="EX460" s="19"/>
      <c r="EY460" s="19"/>
      <c r="EZ460" s="19"/>
      <c r="FA460" s="19"/>
      <c r="FB460" s="19"/>
    </row>
    <row r="461" ht="15.75" customHeight="1">
      <c r="A461" s="19"/>
      <c r="F461" s="19"/>
      <c r="AH461" s="23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  <c r="CD461" s="19"/>
      <c r="CE461" s="19"/>
      <c r="CF461" s="19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19"/>
      <c r="CW461" s="19"/>
      <c r="CX461" s="19"/>
      <c r="CY461" s="19"/>
      <c r="CZ461" s="19"/>
      <c r="DA461" s="19"/>
      <c r="DB461" s="19"/>
      <c r="DC461" s="19"/>
      <c r="DD461" s="19"/>
      <c r="DE461" s="19"/>
      <c r="DF461" s="19"/>
      <c r="DG461" s="19"/>
      <c r="DH461" s="19"/>
      <c r="DI461" s="19"/>
      <c r="DJ461" s="19"/>
      <c r="DK461" s="19"/>
      <c r="DL461" s="19"/>
      <c r="DM461" s="19"/>
      <c r="DN461" s="19"/>
      <c r="DO461" s="19"/>
      <c r="DP461" s="19"/>
      <c r="DQ461" s="19"/>
      <c r="DR461" s="19"/>
      <c r="DS461" s="19"/>
      <c r="DT461" s="19"/>
      <c r="DU461" s="19"/>
      <c r="DV461" s="19"/>
      <c r="DW461" s="19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7"/>
      <c r="EQ461" s="23"/>
      <c r="ER461" s="23" t="str">
        <f t="shared" si="7"/>
        <v/>
      </c>
      <c r="ES461" s="19"/>
      <c r="ET461" s="19" t="str">
        <f t="shared" si="8"/>
        <v/>
      </c>
      <c r="EU461" s="19"/>
      <c r="EV461" s="19"/>
      <c r="EW461" s="19"/>
      <c r="EX461" s="19"/>
      <c r="EY461" s="19"/>
      <c r="EZ461" s="19"/>
      <c r="FA461" s="19"/>
      <c r="FB461" s="19"/>
    </row>
    <row r="462" ht="15.75" customHeight="1">
      <c r="A462" s="19"/>
      <c r="F462" s="19"/>
      <c r="AH462" s="23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  <c r="CD462" s="19"/>
      <c r="CE462" s="19"/>
      <c r="CF462" s="19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19"/>
      <c r="CW462" s="19"/>
      <c r="CX462" s="19"/>
      <c r="CY462" s="19"/>
      <c r="CZ462" s="19"/>
      <c r="DA462" s="19"/>
      <c r="DB462" s="19"/>
      <c r="DC462" s="19"/>
      <c r="DD462" s="19"/>
      <c r="DE462" s="19"/>
      <c r="DF462" s="19"/>
      <c r="DG462" s="19"/>
      <c r="DH462" s="19"/>
      <c r="DI462" s="19"/>
      <c r="DJ462" s="19"/>
      <c r="DK462" s="19"/>
      <c r="DL462" s="19"/>
      <c r="DM462" s="19"/>
      <c r="DN462" s="19"/>
      <c r="DO462" s="19"/>
      <c r="DP462" s="19"/>
      <c r="DQ462" s="19"/>
      <c r="DR462" s="19"/>
      <c r="DS462" s="19"/>
      <c r="DT462" s="19"/>
      <c r="DU462" s="19"/>
      <c r="DV462" s="19"/>
      <c r="DW462" s="19"/>
      <c r="DX462" s="19"/>
      <c r="DY462" s="19"/>
      <c r="DZ462" s="19"/>
      <c r="EA462" s="19"/>
      <c r="EB462" s="19"/>
      <c r="EC462" s="19"/>
      <c r="ED462" s="19"/>
      <c r="EE462" s="19"/>
      <c r="EF462" s="19"/>
      <c r="EG462" s="19"/>
      <c r="EH462" s="19"/>
      <c r="EI462" s="19"/>
      <c r="EJ462" s="19"/>
      <c r="EK462" s="19"/>
      <c r="EL462" s="19"/>
      <c r="EM462" s="19"/>
      <c r="EN462" s="19"/>
      <c r="EO462" s="19"/>
      <c r="EP462" s="17"/>
      <c r="EQ462" s="23"/>
      <c r="ER462" s="23" t="str">
        <f t="shared" si="7"/>
        <v/>
      </c>
      <c r="ES462" s="19"/>
      <c r="ET462" s="19" t="str">
        <f t="shared" si="8"/>
        <v/>
      </c>
      <c r="EU462" s="19"/>
      <c r="EV462" s="19"/>
      <c r="EW462" s="19"/>
      <c r="EX462" s="19"/>
      <c r="EY462" s="19"/>
      <c r="EZ462" s="19"/>
      <c r="FA462" s="19"/>
      <c r="FB462" s="19"/>
    </row>
    <row r="463" ht="15.75" customHeight="1">
      <c r="A463" s="19"/>
      <c r="F463" s="19"/>
      <c r="AH463" s="23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  <c r="CD463" s="19"/>
      <c r="CE463" s="19"/>
      <c r="CF463" s="19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19"/>
      <c r="CW463" s="19"/>
      <c r="CX463" s="19"/>
      <c r="CY463" s="19"/>
      <c r="CZ463" s="19"/>
      <c r="DA463" s="19"/>
      <c r="DB463" s="19"/>
      <c r="DC463" s="19"/>
      <c r="DD463" s="19"/>
      <c r="DE463" s="19"/>
      <c r="DF463" s="19"/>
      <c r="DG463" s="19"/>
      <c r="DH463" s="19"/>
      <c r="DI463" s="19"/>
      <c r="DJ463" s="19"/>
      <c r="DK463" s="19"/>
      <c r="DL463" s="19"/>
      <c r="DM463" s="19"/>
      <c r="DN463" s="19"/>
      <c r="DO463" s="19"/>
      <c r="DP463" s="19"/>
      <c r="DQ463" s="19"/>
      <c r="DR463" s="19"/>
      <c r="DS463" s="19"/>
      <c r="DT463" s="19"/>
      <c r="DU463" s="19"/>
      <c r="DV463" s="19"/>
      <c r="DW463" s="19"/>
      <c r="DX463" s="19"/>
      <c r="DY463" s="19"/>
      <c r="DZ463" s="19"/>
      <c r="EA463" s="19"/>
      <c r="EB463" s="19"/>
      <c r="EC463" s="19"/>
      <c r="ED463" s="19"/>
      <c r="EE463" s="19"/>
      <c r="EF463" s="19"/>
      <c r="EG463" s="19"/>
      <c r="EH463" s="19"/>
      <c r="EI463" s="19"/>
      <c r="EJ463" s="19"/>
      <c r="EK463" s="19"/>
      <c r="EL463" s="19"/>
      <c r="EM463" s="19"/>
      <c r="EN463" s="19"/>
      <c r="EO463" s="19"/>
      <c r="EP463" s="17"/>
      <c r="EQ463" s="23"/>
      <c r="ER463" s="23" t="str">
        <f t="shared" si="7"/>
        <v/>
      </c>
      <c r="ES463" s="19"/>
      <c r="ET463" s="19" t="str">
        <f t="shared" si="8"/>
        <v/>
      </c>
      <c r="EU463" s="19"/>
      <c r="EV463" s="19"/>
      <c r="EW463" s="19"/>
      <c r="EX463" s="19"/>
      <c r="EY463" s="19"/>
      <c r="EZ463" s="19"/>
      <c r="FA463" s="19"/>
      <c r="FB463" s="19"/>
    </row>
    <row r="464" ht="15.75" customHeight="1">
      <c r="A464" s="19"/>
      <c r="F464" s="19"/>
      <c r="AH464" s="23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  <c r="CD464" s="19"/>
      <c r="CE464" s="19"/>
      <c r="CF464" s="19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19"/>
      <c r="CW464" s="19"/>
      <c r="CX464" s="19"/>
      <c r="CY464" s="19"/>
      <c r="CZ464" s="19"/>
      <c r="DA464" s="19"/>
      <c r="DB464" s="19"/>
      <c r="DC464" s="19"/>
      <c r="DD464" s="19"/>
      <c r="DE464" s="19"/>
      <c r="DF464" s="19"/>
      <c r="DG464" s="19"/>
      <c r="DH464" s="19"/>
      <c r="DI464" s="19"/>
      <c r="DJ464" s="19"/>
      <c r="DK464" s="19"/>
      <c r="DL464" s="19"/>
      <c r="DM464" s="19"/>
      <c r="DN464" s="19"/>
      <c r="DO464" s="19"/>
      <c r="DP464" s="19"/>
      <c r="DQ464" s="19"/>
      <c r="DR464" s="19"/>
      <c r="DS464" s="19"/>
      <c r="DT464" s="19"/>
      <c r="DU464" s="19"/>
      <c r="DV464" s="19"/>
      <c r="DW464" s="19"/>
      <c r="DX464" s="19"/>
      <c r="DY464" s="19"/>
      <c r="DZ464" s="19"/>
      <c r="EA464" s="19"/>
      <c r="EB464" s="19"/>
      <c r="EC464" s="19"/>
      <c r="ED464" s="19"/>
      <c r="EE464" s="19"/>
      <c r="EF464" s="19"/>
      <c r="EG464" s="19"/>
      <c r="EH464" s="19"/>
      <c r="EI464" s="19"/>
      <c r="EJ464" s="19"/>
      <c r="EK464" s="19"/>
      <c r="EL464" s="19"/>
      <c r="EM464" s="19"/>
      <c r="EN464" s="19"/>
      <c r="EO464" s="19"/>
      <c r="EP464" s="17"/>
      <c r="EQ464" s="23"/>
      <c r="ER464" s="23" t="str">
        <f t="shared" si="7"/>
        <v/>
      </c>
      <c r="ES464" s="19"/>
      <c r="ET464" s="19" t="str">
        <f t="shared" si="8"/>
        <v/>
      </c>
      <c r="EU464" s="19"/>
      <c r="EV464" s="19"/>
      <c r="EW464" s="19"/>
      <c r="EX464" s="19"/>
      <c r="EY464" s="19"/>
      <c r="EZ464" s="19"/>
      <c r="FA464" s="19"/>
      <c r="FB464" s="19"/>
    </row>
    <row r="465" ht="15.75" customHeight="1">
      <c r="A465" s="19"/>
      <c r="F465" s="19"/>
      <c r="AH465" s="23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  <c r="CD465" s="19"/>
      <c r="CE465" s="19"/>
      <c r="CF465" s="19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19"/>
      <c r="CW465" s="19"/>
      <c r="CX465" s="19"/>
      <c r="CY465" s="19"/>
      <c r="CZ465" s="19"/>
      <c r="DA465" s="19"/>
      <c r="DB465" s="19"/>
      <c r="DC465" s="19"/>
      <c r="DD465" s="19"/>
      <c r="DE465" s="19"/>
      <c r="DF465" s="19"/>
      <c r="DG465" s="19"/>
      <c r="DH465" s="19"/>
      <c r="DI465" s="19"/>
      <c r="DJ465" s="19"/>
      <c r="DK465" s="19"/>
      <c r="DL465" s="19"/>
      <c r="DM465" s="19"/>
      <c r="DN465" s="19"/>
      <c r="DO465" s="19"/>
      <c r="DP465" s="19"/>
      <c r="DQ465" s="19"/>
      <c r="DR465" s="19"/>
      <c r="DS465" s="19"/>
      <c r="DT465" s="19"/>
      <c r="DU465" s="19"/>
      <c r="DV465" s="19"/>
      <c r="DW465" s="19"/>
      <c r="DX465" s="19"/>
      <c r="DY465" s="19"/>
      <c r="DZ465" s="19"/>
      <c r="EA465" s="19"/>
      <c r="EB465" s="19"/>
      <c r="EC465" s="19"/>
      <c r="ED465" s="19"/>
      <c r="EE465" s="19"/>
      <c r="EF465" s="19"/>
      <c r="EG465" s="19"/>
      <c r="EH465" s="19"/>
      <c r="EI465" s="19"/>
      <c r="EJ465" s="19"/>
      <c r="EK465" s="19"/>
      <c r="EL465" s="19"/>
      <c r="EM465" s="19"/>
      <c r="EN465" s="19"/>
      <c r="EO465" s="19"/>
      <c r="EP465" s="17"/>
      <c r="EQ465" s="23"/>
      <c r="ER465" s="23" t="str">
        <f t="shared" si="7"/>
        <v/>
      </c>
      <c r="ES465" s="19"/>
      <c r="ET465" s="19" t="str">
        <f t="shared" si="8"/>
        <v/>
      </c>
      <c r="EU465" s="19"/>
      <c r="EV465" s="19"/>
      <c r="EW465" s="19"/>
      <c r="EX465" s="19"/>
      <c r="EY465" s="19"/>
      <c r="EZ465" s="19"/>
      <c r="FA465" s="19"/>
      <c r="FB465" s="19"/>
    </row>
    <row r="466" ht="15.75" customHeight="1">
      <c r="A466" s="19"/>
      <c r="F466" s="19"/>
      <c r="AH466" s="23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  <c r="CD466" s="19"/>
      <c r="CE466" s="19"/>
      <c r="CF466" s="19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19"/>
      <c r="CW466" s="19"/>
      <c r="CX466" s="19"/>
      <c r="CY466" s="19"/>
      <c r="CZ466" s="19"/>
      <c r="DA466" s="19"/>
      <c r="DB466" s="19"/>
      <c r="DC466" s="19"/>
      <c r="DD466" s="19"/>
      <c r="DE466" s="19"/>
      <c r="DF466" s="19"/>
      <c r="DG466" s="19"/>
      <c r="DH466" s="19"/>
      <c r="DI466" s="19"/>
      <c r="DJ466" s="19"/>
      <c r="DK466" s="19"/>
      <c r="DL466" s="19"/>
      <c r="DM466" s="19"/>
      <c r="DN466" s="19"/>
      <c r="DO466" s="19"/>
      <c r="DP466" s="19"/>
      <c r="DQ466" s="19"/>
      <c r="DR466" s="19"/>
      <c r="DS466" s="19"/>
      <c r="DT466" s="19"/>
      <c r="DU466" s="19"/>
      <c r="DV466" s="19"/>
      <c r="DW466" s="19"/>
      <c r="DX466" s="19"/>
      <c r="DY466" s="19"/>
      <c r="DZ466" s="19"/>
      <c r="EA466" s="19"/>
      <c r="EB466" s="19"/>
      <c r="EC466" s="19"/>
      <c r="ED466" s="19"/>
      <c r="EE466" s="19"/>
      <c r="EF466" s="19"/>
      <c r="EG466" s="19"/>
      <c r="EH466" s="19"/>
      <c r="EI466" s="19"/>
      <c r="EJ466" s="19"/>
      <c r="EK466" s="19"/>
      <c r="EL466" s="19"/>
      <c r="EM466" s="19"/>
      <c r="EN466" s="19"/>
      <c r="EO466" s="19"/>
      <c r="EP466" s="17"/>
      <c r="EQ466" s="23"/>
      <c r="ER466" s="23" t="str">
        <f t="shared" si="7"/>
        <v/>
      </c>
      <c r="ES466" s="19"/>
      <c r="ET466" s="19" t="str">
        <f t="shared" si="8"/>
        <v/>
      </c>
      <c r="EU466" s="19"/>
      <c r="EV466" s="19"/>
      <c r="EW466" s="19"/>
      <c r="EX466" s="19"/>
      <c r="EY466" s="19"/>
      <c r="EZ466" s="19"/>
      <c r="FA466" s="19"/>
      <c r="FB466" s="19"/>
    </row>
    <row r="467" ht="15.75" customHeight="1">
      <c r="A467" s="19"/>
      <c r="F467" s="19"/>
      <c r="AH467" s="23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  <c r="CD467" s="19"/>
      <c r="CE467" s="19"/>
      <c r="CF467" s="19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19"/>
      <c r="CW467" s="19"/>
      <c r="CX467" s="19"/>
      <c r="CY467" s="19"/>
      <c r="CZ467" s="19"/>
      <c r="DA467" s="19"/>
      <c r="DB467" s="19"/>
      <c r="DC467" s="19"/>
      <c r="DD467" s="19"/>
      <c r="DE467" s="19"/>
      <c r="DF467" s="19"/>
      <c r="DG467" s="19"/>
      <c r="DH467" s="19"/>
      <c r="DI467" s="19"/>
      <c r="DJ467" s="19"/>
      <c r="DK467" s="19"/>
      <c r="DL467" s="19"/>
      <c r="DM467" s="19"/>
      <c r="DN467" s="19"/>
      <c r="DO467" s="19"/>
      <c r="DP467" s="19"/>
      <c r="DQ467" s="19"/>
      <c r="DR467" s="19"/>
      <c r="DS467" s="19"/>
      <c r="DT467" s="19"/>
      <c r="DU467" s="19"/>
      <c r="DV467" s="19"/>
      <c r="DW467" s="19"/>
      <c r="DX467" s="19"/>
      <c r="DY467" s="19"/>
      <c r="DZ467" s="19"/>
      <c r="EA467" s="19"/>
      <c r="EB467" s="19"/>
      <c r="EC467" s="19"/>
      <c r="ED467" s="19"/>
      <c r="EE467" s="19"/>
      <c r="EF467" s="19"/>
      <c r="EG467" s="19"/>
      <c r="EH467" s="19"/>
      <c r="EI467" s="19"/>
      <c r="EJ467" s="19"/>
      <c r="EK467" s="19"/>
      <c r="EL467" s="19"/>
      <c r="EM467" s="19"/>
      <c r="EN467" s="19"/>
      <c r="EO467" s="19"/>
      <c r="EP467" s="17"/>
      <c r="EQ467" s="23"/>
      <c r="ER467" s="23" t="str">
        <f t="shared" si="7"/>
        <v/>
      </c>
      <c r="ES467" s="19"/>
      <c r="ET467" s="19" t="str">
        <f t="shared" si="8"/>
        <v/>
      </c>
      <c r="EU467" s="19"/>
      <c r="EV467" s="19"/>
      <c r="EW467" s="19"/>
      <c r="EX467" s="19"/>
      <c r="EY467" s="19"/>
      <c r="EZ467" s="19"/>
      <c r="FA467" s="19"/>
      <c r="FB467" s="19"/>
    </row>
    <row r="468" ht="15.75" customHeight="1">
      <c r="A468" s="19"/>
      <c r="F468" s="19"/>
      <c r="AH468" s="23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7"/>
      <c r="EQ468" s="23"/>
      <c r="ER468" s="23" t="str">
        <f t="shared" si="7"/>
        <v/>
      </c>
      <c r="ES468" s="19"/>
      <c r="ET468" s="19" t="str">
        <f t="shared" si="8"/>
        <v/>
      </c>
      <c r="EU468" s="19"/>
      <c r="EV468" s="19"/>
      <c r="EW468" s="19"/>
      <c r="EX468" s="19"/>
      <c r="EY468" s="19"/>
      <c r="EZ468" s="19"/>
      <c r="FA468" s="19"/>
      <c r="FB468" s="19"/>
    </row>
    <row r="469" ht="15.75" customHeight="1">
      <c r="A469" s="19"/>
      <c r="F469" s="19"/>
      <c r="AH469" s="23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  <c r="CD469" s="19"/>
      <c r="CE469" s="19"/>
      <c r="CF469" s="19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19"/>
      <c r="CW469" s="19"/>
      <c r="CX469" s="19"/>
      <c r="CY469" s="19"/>
      <c r="CZ469" s="19"/>
      <c r="DA469" s="19"/>
      <c r="DB469" s="19"/>
      <c r="DC469" s="19"/>
      <c r="DD469" s="19"/>
      <c r="DE469" s="19"/>
      <c r="DF469" s="19"/>
      <c r="DG469" s="19"/>
      <c r="DH469" s="19"/>
      <c r="DI469" s="19"/>
      <c r="DJ469" s="19"/>
      <c r="DK469" s="19"/>
      <c r="DL469" s="19"/>
      <c r="DM469" s="19"/>
      <c r="DN469" s="19"/>
      <c r="DO469" s="19"/>
      <c r="DP469" s="19"/>
      <c r="DQ469" s="19"/>
      <c r="DR469" s="19"/>
      <c r="DS469" s="19"/>
      <c r="DT469" s="19"/>
      <c r="DU469" s="19"/>
      <c r="DV469" s="19"/>
      <c r="DW469" s="19"/>
      <c r="DX469" s="19"/>
      <c r="DY469" s="19"/>
      <c r="DZ469" s="19"/>
      <c r="EA469" s="19"/>
      <c r="EB469" s="19"/>
      <c r="EC469" s="19"/>
      <c r="ED469" s="19"/>
      <c r="EE469" s="19"/>
      <c r="EF469" s="19"/>
      <c r="EG469" s="19"/>
      <c r="EH469" s="19"/>
      <c r="EI469" s="19"/>
      <c r="EJ469" s="19"/>
      <c r="EK469" s="19"/>
      <c r="EL469" s="19"/>
      <c r="EM469" s="19"/>
      <c r="EN469" s="19"/>
      <c r="EO469" s="19"/>
      <c r="EP469" s="17"/>
      <c r="EQ469" s="23"/>
      <c r="ER469" s="23" t="str">
        <f t="shared" si="7"/>
        <v/>
      </c>
      <c r="ES469" s="19"/>
      <c r="ET469" s="19" t="str">
        <f t="shared" si="8"/>
        <v/>
      </c>
      <c r="EU469" s="19"/>
      <c r="EV469" s="19"/>
      <c r="EW469" s="19"/>
      <c r="EX469" s="19"/>
      <c r="EY469" s="19"/>
      <c r="EZ469" s="19"/>
      <c r="FA469" s="19"/>
      <c r="FB469" s="19"/>
    </row>
    <row r="470" ht="15.75" customHeight="1">
      <c r="A470" s="19"/>
      <c r="F470" s="19"/>
      <c r="AH470" s="23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  <c r="CD470" s="19"/>
      <c r="CE470" s="19"/>
      <c r="CF470" s="19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19"/>
      <c r="CW470" s="19"/>
      <c r="CX470" s="19"/>
      <c r="CY470" s="19"/>
      <c r="CZ470" s="19"/>
      <c r="DA470" s="19"/>
      <c r="DB470" s="19"/>
      <c r="DC470" s="19"/>
      <c r="DD470" s="19"/>
      <c r="DE470" s="19"/>
      <c r="DF470" s="19"/>
      <c r="DG470" s="19"/>
      <c r="DH470" s="19"/>
      <c r="DI470" s="19"/>
      <c r="DJ470" s="19"/>
      <c r="DK470" s="19"/>
      <c r="DL470" s="19"/>
      <c r="DM470" s="19"/>
      <c r="DN470" s="19"/>
      <c r="DO470" s="19"/>
      <c r="DP470" s="19"/>
      <c r="DQ470" s="19"/>
      <c r="DR470" s="19"/>
      <c r="DS470" s="19"/>
      <c r="DT470" s="19"/>
      <c r="DU470" s="19"/>
      <c r="DV470" s="19"/>
      <c r="DW470" s="19"/>
      <c r="DX470" s="19"/>
      <c r="DY470" s="19"/>
      <c r="DZ470" s="19"/>
      <c r="EA470" s="19"/>
      <c r="EB470" s="19"/>
      <c r="EC470" s="19"/>
      <c r="ED470" s="19"/>
      <c r="EE470" s="19"/>
      <c r="EF470" s="19"/>
      <c r="EG470" s="19"/>
      <c r="EH470" s="19"/>
      <c r="EI470" s="19"/>
      <c r="EJ470" s="19"/>
      <c r="EK470" s="19"/>
      <c r="EL470" s="19"/>
      <c r="EM470" s="19"/>
      <c r="EN470" s="19"/>
      <c r="EO470" s="19"/>
      <c r="EP470" s="17"/>
      <c r="EQ470" s="23"/>
      <c r="ER470" s="23" t="str">
        <f t="shared" si="7"/>
        <v/>
      </c>
      <c r="ES470" s="19"/>
      <c r="ET470" s="19" t="str">
        <f t="shared" si="8"/>
        <v/>
      </c>
      <c r="EU470" s="19"/>
      <c r="EV470" s="19"/>
      <c r="EW470" s="19"/>
      <c r="EX470" s="19"/>
      <c r="EY470" s="19"/>
      <c r="EZ470" s="19"/>
      <c r="FA470" s="19"/>
      <c r="FB470" s="19"/>
    </row>
    <row r="471" ht="15.75" customHeight="1">
      <c r="A471" s="19"/>
      <c r="F471" s="19"/>
      <c r="AH471" s="23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  <c r="CD471" s="19"/>
      <c r="CE471" s="19"/>
      <c r="CF471" s="19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19"/>
      <c r="CW471" s="19"/>
      <c r="CX471" s="19"/>
      <c r="CY471" s="19"/>
      <c r="CZ471" s="19"/>
      <c r="DA471" s="19"/>
      <c r="DB471" s="19"/>
      <c r="DC471" s="19"/>
      <c r="DD471" s="19"/>
      <c r="DE471" s="19"/>
      <c r="DF471" s="19"/>
      <c r="DG471" s="19"/>
      <c r="DH471" s="19"/>
      <c r="DI471" s="19"/>
      <c r="DJ471" s="19"/>
      <c r="DK471" s="19"/>
      <c r="DL471" s="19"/>
      <c r="DM471" s="19"/>
      <c r="DN471" s="19"/>
      <c r="DO471" s="19"/>
      <c r="DP471" s="19"/>
      <c r="DQ471" s="19"/>
      <c r="DR471" s="19"/>
      <c r="DS471" s="19"/>
      <c r="DT471" s="19"/>
      <c r="DU471" s="19"/>
      <c r="DV471" s="19"/>
      <c r="DW471" s="19"/>
      <c r="DX471" s="19"/>
      <c r="DY471" s="19"/>
      <c r="DZ471" s="19"/>
      <c r="EA471" s="19"/>
      <c r="EB471" s="19"/>
      <c r="EC471" s="19"/>
      <c r="ED471" s="19"/>
      <c r="EE471" s="19"/>
      <c r="EF471" s="19"/>
      <c r="EG471" s="19"/>
      <c r="EH471" s="19"/>
      <c r="EI471" s="19"/>
      <c r="EJ471" s="19"/>
      <c r="EK471" s="19"/>
      <c r="EL471" s="19"/>
      <c r="EM471" s="19"/>
      <c r="EN471" s="19"/>
      <c r="EO471" s="19"/>
      <c r="EP471" s="17"/>
      <c r="EQ471" s="23"/>
      <c r="ER471" s="23" t="str">
        <f t="shared" si="7"/>
        <v/>
      </c>
      <c r="ES471" s="19"/>
      <c r="ET471" s="19" t="str">
        <f t="shared" si="8"/>
        <v/>
      </c>
      <c r="EU471" s="19"/>
      <c r="EV471" s="19"/>
      <c r="EW471" s="19"/>
      <c r="EX471" s="19"/>
      <c r="EY471" s="19"/>
      <c r="EZ471" s="19"/>
      <c r="FA471" s="19"/>
      <c r="FB471" s="19"/>
    </row>
    <row r="472" ht="15.75" customHeight="1">
      <c r="A472" s="19"/>
      <c r="F472" s="19"/>
      <c r="AH472" s="23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  <c r="CD472" s="19"/>
      <c r="CE472" s="19"/>
      <c r="CF472" s="19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19"/>
      <c r="CW472" s="19"/>
      <c r="CX472" s="19"/>
      <c r="CY472" s="19"/>
      <c r="CZ472" s="19"/>
      <c r="DA472" s="19"/>
      <c r="DB472" s="19"/>
      <c r="DC472" s="19"/>
      <c r="DD472" s="19"/>
      <c r="DE472" s="19"/>
      <c r="DF472" s="19"/>
      <c r="DG472" s="19"/>
      <c r="DH472" s="19"/>
      <c r="DI472" s="19"/>
      <c r="DJ472" s="19"/>
      <c r="DK472" s="19"/>
      <c r="DL472" s="19"/>
      <c r="DM472" s="19"/>
      <c r="DN472" s="19"/>
      <c r="DO472" s="19"/>
      <c r="DP472" s="19"/>
      <c r="DQ472" s="19"/>
      <c r="DR472" s="19"/>
      <c r="DS472" s="19"/>
      <c r="DT472" s="19"/>
      <c r="DU472" s="19"/>
      <c r="DV472" s="19"/>
      <c r="DW472" s="19"/>
      <c r="DX472" s="19"/>
      <c r="DY472" s="19"/>
      <c r="DZ472" s="19"/>
      <c r="EA472" s="19"/>
      <c r="EB472" s="19"/>
      <c r="EC472" s="19"/>
      <c r="ED472" s="19"/>
      <c r="EE472" s="19"/>
      <c r="EF472" s="19"/>
      <c r="EG472" s="19"/>
      <c r="EH472" s="19"/>
      <c r="EI472" s="19"/>
      <c r="EJ472" s="19"/>
      <c r="EK472" s="19"/>
      <c r="EL472" s="19"/>
      <c r="EM472" s="19"/>
      <c r="EN472" s="19"/>
      <c r="EO472" s="19"/>
      <c r="EP472" s="17"/>
      <c r="EQ472" s="23"/>
      <c r="ER472" s="23" t="str">
        <f t="shared" si="7"/>
        <v/>
      </c>
      <c r="ES472" s="19"/>
      <c r="ET472" s="19" t="str">
        <f t="shared" si="8"/>
        <v/>
      </c>
      <c r="EU472" s="19"/>
      <c r="EV472" s="19"/>
      <c r="EW472" s="19"/>
      <c r="EX472" s="19"/>
      <c r="EY472" s="19"/>
      <c r="EZ472" s="19"/>
      <c r="FA472" s="19"/>
      <c r="FB472" s="19"/>
    </row>
    <row r="473" ht="15.75" customHeight="1">
      <c r="A473" s="19"/>
      <c r="F473" s="19"/>
      <c r="AH473" s="23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  <c r="CD473" s="19"/>
      <c r="CE473" s="19"/>
      <c r="CF473" s="19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19"/>
      <c r="CW473" s="19"/>
      <c r="CX473" s="19"/>
      <c r="CY473" s="19"/>
      <c r="CZ473" s="19"/>
      <c r="DA473" s="19"/>
      <c r="DB473" s="19"/>
      <c r="DC473" s="19"/>
      <c r="DD473" s="19"/>
      <c r="DE473" s="19"/>
      <c r="DF473" s="19"/>
      <c r="DG473" s="19"/>
      <c r="DH473" s="19"/>
      <c r="DI473" s="19"/>
      <c r="DJ473" s="19"/>
      <c r="DK473" s="19"/>
      <c r="DL473" s="19"/>
      <c r="DM473" s="19"/>
      <c r="DN473" s="19"/>
      <c r="DO473" s="19"/>
      <c r="DP473" s="19"/>
      <c r="DQ473" s="19"/>
      <c r="DR473" s="19"/>
      <c r="DS473" s="19"/>
      <c r="DT473" s="19"/>
      <c r="DU473" s="19"/>
      <c r="DV473" s="19"/>
      <c r="DW473" s="19"/>
      <c r="DX473" s="19"/>
      <c r="DY473" s="19"/>
      <c r="DZ473" s="19"/>
      <c r="EA473" s="19"/>
      <c r="EB473" s="19"/>
      <c r="EC473" s="19"/>
      <c r="ED473" s="19"/>
      <c r="EE473" s="19"/>
      <c r="EF473" s="19"/>
      <c r="EG473" s="19"/>
      <c r="EH473" s="19"/>
      <c r="EI473" s="19"/>
      <c r="EJ473" s="19"/>
      <c r="EK473" s="19"/>
      <c r="EL473" s="19"/>
      <c r="EM473" s="19"/>
      <c r="EN473" s="19"/>
      <c r="EO473" s="19"/>
      <c r="EP473" s="17"/>
      <c r="EQ473" s="23"/>
      <c r="ER473" s="23" t="str">
        <f t="shared" si="7"/>
        <v/>
      </c>
      <c r="ES473" s="19"/>
      <c r="ET473" s="19" t="str">
        <f t="shared" si="8"/>
        <v/>
      </c>
      <c r="EU473" s="19"/>
      <c r="EV473" s="19"/>
      <c r="EW473" s="19"/>
      <c r="EX473" s="19"/>
      <c r="EY473" s="19"/>
      <c r="EZ473" s="19"/>
      <c r="FA473" s="19"/>
      <c r="FB473" s="19"/>
    </row>
    <row r="474" ht="15.75" customHeight="1">
      <c r="A474" s="19"/>
      <c r="F474" s="19"/>
      <c r="AH474" s="23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  <c r="CD474" s="19"/>
      <c r="CE474" s="19"/>
      <c r="CF474" s="19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19"/>
      <c r="CW474" s="19"/>
      <c r="CX474" s="19"/>
      <c r="CY474" s="19"/>
      <c r="CZ474" s="19"/>
      <c r="DA474" s="19"/>
      <c r="DB474" s="19"/>
      <c r="DC474" s="19"/>
      <c r="DD474" s="19"/>
      <c r="DE474" s="19"/>
      <c r="DF474" s="19"/>
      <c r="DG474" s="19"/>
      <c r="DH474" s="19"/>
      <c r="DI474" s="19"/>
      <c r="DJ474" s="19"/>
      <c r="DK474" s="19"/>
      <c r="DL474" s="19"/>
      <c r="DM474" s="19"/>
      <c r="DN474" s="19"/>
      <c r="DO474" s="19"/>
      <c r="DP474" s="19"/>
      <c r="DQ474" s="19"/>
      <c r="DR474" s="19"/>
      <c r="DS474" s="19"/>
      <c r="DT474" s="19"/>
      <c r="DU474" s="19"/>
      <c r="DV474" s="19"/>
      <c r="DW474" s="19"/>
      <c r="DX474" s="19"/>
      <c r="DY474" s="19"/>
      <c r="DZ474" s="19"/>
      <c r="EA474" s="19"/>
      <c r="EB474" s="19"/>
      <c r="EC474" s="19"/>
      <c r="ED474" s="19"/>
      <c r="EE474" s="19"/>
      <c r="EF474" s="19"/>
      <c r="EG474" s="19"/>
      <c r="EH474" s="19"/>
      <c r="EI474" s="19"/>
      <c r="EJ474" s="19"/>
      <c r="EK474" s="19"/>
      <c r="EL474" s="19"/>
      <c r="EM474" s="19"/>
      <c r="EN474" s="19"/>
      <c r="EO474" s="19"/>
      <c r="EP474" s="17"/>
      <c r="EQ474" s="23"/>
      <c r="ER474" s="23" t="str">
        <f t="shared" si="7"/>
        <v/>
      </c>
      <c r="ES474" s="19"/>
      <c r="ET474" s="19" t="str">
        <f t="shared" si="8"/>
        <v/>
      </c>
      <c r="EU474" s="19"/>
      <c r="EV474" s="19"/>
      <c r="EW474" s="19"/>
      <c r="EX474" s="19"/>
      <c r="EY474" s="19"/>
      <c r="EZ474" s="19"/>
      <c r="FA474" s="19"/>
      <c r="FB474" s="19"/>
    </row>
    <row r="475" ht="15.75" customHeight="1">
      <c r="A475" s="19"/>
      <c r="F475" s="19"/>
      <c r="AH475" s="23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  <c r="CD475" s="19"/>
      <c r="CE475" s="19"/>
      <c r="CF475" s="19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19"/>
      <c r="CW475" s="19"/>
      <c r="CX475" s="19"/>
      <c r="CY475" s="19"/>
      <c r="CZ475" s="19"/>
      <c r="DA475" s="19"/>
      <c r="DB475" s="19"/>
      <c r="DC475" s="19"/>
      <c r="DD475" s="19"/>
      <c r="DE475" s="19"/>
      <c r="DF475" s="19"/>
      <c r="DG475" s="19"/>
      <c r="DH475" s="19"/>
      <c r="DI475" s="19"/>
      <c r="DJ475" s="19"/>
      <c r="DK475" s="19"/>
      <c r="DL475" s="19"/>
      <c r="DM475" s="19"/>
      <c r="DN475" s="19"/>
      <c r="DO475" s="19"/>
      <c r="DP475" s="19"/>
      <c r="DQ475" s="19"/>
      <c r="DR475" s="19"/>
      <c r="DS475" s="19"/>
      <c r="DT475" s="19"/>
      <c r="DU475" s="19"/>
      <c r="DV475" s="19"/>
      <c r="DW475" s="19"/>
      <c r="DX475" s="19"/>
      <c r="DY475" s="19"/>
      <c r="DZ475" s="19"/>
      <c r="EA475" s="19"/>
      <c r="EB475" s="19"/>
      <c r="EC475" s="19"/>
      <c r="ED475" s="19"/>
      <c r="EE475" s="19"/>
      <c r="EF475" s="19"/>
      <c r="EG475" s="19"/>
      <c r="EH475" s="19"/>
      <c r="EI475" s="19"/>
      <c r="EJ475" s="19"/>
      <c r="EK475" s="19"/>
      <c r="EL475" s="19"/>
      <c r="EM475" s="19"/>
      <c r="EN475" s="19"/>
      <c r="EO475" s="19"/>
      <c r="EP475" s="17"/>
      <c r="EQ475" s="23"/>
      <c r="ER475" s="23" t="str">
        <f t="shared" si="7"/>
        <v/>
      </c>
      <c r="ES475" s="19"/>
      <c r="ET475" s="19" t="str">
        <f t="shared" si="8"/>
        <v/>
      </c>
      <c r="EU475" s="19"/>
      <c r="EV475" s="19"/>
      <c r="EW475" s="19"/>
      <c r="EX475" s="19"/>
      <c r="EY475" s="19"/>
      <c r="EZ475" s="19"/>
      <c r="FA475" s="19"/>
      <c r="FB475" s="19"/>
    </row>
    <row r="476" ht="15.75" customHeight="1">
      <c r="A476" s="19"/>
      <c r="F476" s="19"/>
      <c r="AH476" s="23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  <c r="CD476" s="19"/>
      <c r="CE476" s="19"/>
      <c r="CF476" s="19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19"/>
      <c r="CW476" s="19"/>
      <c r="CX476" s="19"/>
      <c r="CY476" s="19"/>
      <c r="CZ476" s="19"/>
      <c r="DA476" s="19"/>
      <c r="DB476" s="19"/>
      <c r="DC476" s="19"/>
      <c r="DD476" s="19"/>
      <c r="DE476" s="19"/>
      <c r="DF476" s="19"/>
      <c r="DG476" s="19"/>
      <c r="DH476" s="19"/>
      <c r="DI476" s="19"/>
      <c r="DJ476" s="19"/>
      <c r="DK476" s="19"/>
      <c r="DL476" s="19"/>
      <c r="DM476" s="19"/>
      <c r="DN476" s="19"/>
      <c r="DO476" s="19"/>
      <c r="DP476" s="19"/>
      <c r="DQ476" s="19"/>
      <c r="DR476" s="19"/>
      <c r="DS476" s="19"/>
      <c r="DT476" s="19"/>
      <c r="DU476" s="19"/>
      <c r="DV476" s="19"/>
      <c r="DW476" s="19"/>
      <c r="DX476" s="19"/>
      <c r="DY476" s="19"/>
      <c r="DZ476" s="19"/>
      <c r="EA476" s="19"/>
      <c r="EB476" s="19"/>
      <c r="EC476" s="19"/>
      <c r="ED476" s="19"/>
      <c r="EE476" s="19"/>
      <c r="EF476" s="19"/>
      <c r="EG476" s="19"/>
      <c r="EH476" s="19"/>
      <c r="EI476" s="19"/>
      <c r="EJ476" s="19"/>
      <c r="EK476" s="19"/>
      <c r="EL476" s="19"/>
      <c r="EM476" s="19"/>
      <c r="EN476" s="19"/>
      <c r="EO476" s="19"/>
      <c r="EP476" s="17"/>
      <c r="EQ476" s="23"/>
      <c r="ER476" s="23" t="str">
        <f t="shared" si="7"/>
        <v/>
      </c>
      <c r="ES476" s="19"/>
      <c r="ET476" s="19" t="str">
        <f t="shared" si="8"/>
        <v/>
      </c>
      <c r="EU476" s="19"/>
      <c r="EV476" s="19"/>
      <c r="EW476" s="19"/>
      <c r="EX476" s="19"/>
      <c r="EY476" s="19"/>
      <c r="EZ476" s="19"/>
      <c r="FA476" s="19"/>
      <c r="FB476" s="19"/>
    </row>
    <row r="477" ht="15.75" customHeight="1">
      <c r="A477" s="19"/>
      <c r="F477" s="19"/>
      <c r="AH477" s="23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  <c r="CD477" s="19"/>
      <c r="CE477" s="19"/>
      <c r="CF477" s="19"/>
      <c r="CG477" s="19"/>
      <c r="CH477" s="19"/>
      <c r="CI477" s="19"/>
      <c r="CJ477" s="19"/>
      <c r="CK477" s="19"/>
      <c r="CL477" s="19"/>
      <c r="CM477" s="19"/>
      <c r="CN477" s="19"/>
      <c r="CO477" s="19"/>
      <c r="CP477" s="19"/>
      <c r="CQ477" s="19"/>
      <c r="CR477" s="19"/>
      <c r="CS477" s="19"/>
      <c r="CT477" s="19"/>
      <c r="CU477" s="19"/>
      <c r="CV477" s="19"/>
      <c r="CW477" s="19"/>
      <c r="CX477" s="19"/>
      <c r="CY477" s="19"/>
      <c r="CZ477" s="19"/>
      <c r="DA477" s="19"/>
      <c r="DB477" s="19"/>
      <c r="DC477" s="19"/>
      <c r="DD477" s="19"/>
      <c r="DE477" s="19"/>
      <c r="DF477" s="19"/>
      <c r="DG477" s="19"/>
      <c r="DH477" s="19"/>
      <c r="DI477" s="19"/>
      <c r="DJ477" s="19"/>
      <c r="DK477" s="19"/>
      <c r="DL477" s="19"/>
      <c r="DM477" s="19"/>
      <c r="DN477" s="19"/>
      <c r="DO477" s="19"/>
      <c r="DP477" s="19"/>
      <c r="DQ477" s="19"/>
      <c r="DR477" s="19"/>
      <c r="DS477" s="19"/>
      <c r="DT477" s="19"/>
      <c r="DU477" s="19"/>
      <c r="DV477" s="19"/>
      <c r="DW477" s="19"/>
      <c r="DX477" s="19"/>
      <c r="DY477" s="19"/>
      <c r="DZ477" s="19"/>
      <c r="EA477" s="19"/>
      <c r="EB477" s="19"/>
      <c r="EC477" s="19"/>
      <c r="ED477" s="19"/>
      <c r="EE477" s="19"/>
      <c r="EF477" s="19"/>
      <c r="EG477" s="19"/>
      <c r="EH477" s="19"/>
      <c r="EI477" s="19"/>
      <c r="EJ477" s="19"/>
      <c r="EK477" s="19"/>
      <c r="EL477" s="19"/>
      <c r="EM477" s="19"/>
      <c r="EN477" s="19"/>
      <c r="EO477" s="19"/>
      <c r="EP477" s="17"/>
      <c r="EQ477" s="23"/>
      <c r="ER477" s="23" t="str">
        <f t="shared" si="7"/>
        <v/>
      </c>
      <c r="ES477" s="19"/>
      <c r="ET477" s="19" t="str">
        <f t="shared" si="8"/>
        <v/>
      </c>
      <c r="EU477" s="19"/>
      <c r="EV477" s="19"/>
      <c r="EW477" s="19"/>
      <c r="EX477" s="19"/>
      <c r="EY477" s="19"/>
      <c r="EZ477" s="19"/>
      <c r="FA477" s="19"/>
      <c r="FB477" s="19"/>
    </row>
    <row r="478" ht="15.75" customHeight="1">
      <c r="A478" s="19"/>
      <c r="F478" s="19"/>
      <c r="AH478" s="23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  <c r="CD478" s="19"/>
      <c r="CE478" s="19"/>
      <c r="CF478" s="19"/>
      <c r="CG478" s="19"/>
      <c r="CH478" s="19"/>
      <c r="CI478" s="19"/>
      <c r="CJ478" s="19"/>
      <c r="CK478" s="19"/>
      <c r="CL478" s="19"/>
      <c r="CM478" s="19"/>
      <c r="CN478" s="19"/>
      <c r="CO478" s="19"/>
      <c r="CP478" s="19"/>
      <c r="CQ478" s="19"/>
      <c r="CR478" s="19"/>
      <c r="CS478" s="19"/>
      <c r="CT478" s="19"/>
      <c r="CU478" s="19"/>
      <c r="CV478" s="19"/>
      <c r="CW478" s="19"/>
      <c r="CX478" s="19"/>
      <c r="CY478" s="19"/>
      <c r="CZ478" s="19"/>
      <c r="DA478" s="19"/>
      <c r="DB478" s="19"/>
      <c r="DC478" s="19"/>
      <c r="DD478" s="19"/>
      <c r="DE478" s="19"/>
      <c r="DF478" s="19"/>
      <c r="DG478" s="19"/>
      <c r="DH478" s="19"/>
      <c r="DI478" s="19"/>
      <c r="DJ478" s="19"/>
      <c r="DK478" s="19"/>
      <c r="DL478" s="19"/>
      <c r="DM478" s="19"/>
      <c r="DN478" s="19"/>
      <c r="DO478" s="19"/>
      <c r="DP478" s="19"/>
      <c r="DQ478" s="19"/>
      <c r="DR478" s="19"/>
      <c r="DS478" s="19"/>
      <c r="DT478" s="19"/>
      <c r="DU478" s="19"/>
      <c r="DV478" s="19"/>
      <c r="DW478" s="19"/>
      <c r="DX478" s="19"/>
      <c r="DY478" s="19"/>
      <c r="DZ478" s="19"/>
      <c r="EA478" s="19"/>
      <c r="EB478" s="19"/>
      <c r="EC478" s="19"/>
      <c r="ED478" s="19"/>
      <c r="EE478" s="19"/>
      <c r="EF478" s="19"/>
      <c r="EG478" s="19"/>
      <c r="EH478" s="19"/>
      <c r="EI478" s="19"/>
      <c r="EJ478" s="19"/>
      <c r="EK478" s="19"/>
      <c r="EL478" s="19"/>
      <c r="EM478" s="19"/>
      <c r="EN478" s="19"/>
      <c r="EO478" s="19"/>
      <c r="EP478" s="17"/>
      <c r="EQ478" s="23"/>
      <c r="ER478" s="23" t="str">
        <f t="shared" si="7"/>
        <v/>
      </c>
      <c r="ES478" s="19"/>
      <c r="ET478" s="19" t="str">
        <f t="shared" si="8"/>
        <v/>
      </c>
      <c r="EU478" s="19"/>
      <c r="EV478" s="19"/>
      <c r="EW478" s="19"/>
      <c r="EX478" s="19"/>
      <c r="EY478" s="19"/>
      <c r="EZ478" s="19"/>
      <c r="FA478" s="19"/>
      <c r="FB478" s="19"/>
    </row>
    <row r="479" ht="15.75" customHeight="1">
      <c r="A479" s="19"/>
      <c r="F479" s="19"/>
      <c r="AH479" s="23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7"/>
      <c r="EQ479" s="23"/>
      <c r="ER479" s="23" t="str">
        <f t="shared" si="7"/>
        <v/>
      </c>
      <c r="ES479" s="19"/>
      <c r="ET479" s="19" t="str">
        <f t="shared" si="8"/>
        <v/>
      </c>
      <c r="EU479" s="19"/>
      <c r="EV479" s="19"/>
      <c r="EW479" s="19"/>
      <c r="EX479" s="19"/>
      <c r="EY479" s="19"/>
      <c r="EZ479" s="19"/>
      <c r="FA479" s="19"/>
      <c r="FB479" s="19"/>
    </row>
    <row r="480" ht="15.75" customHeight="1">
      <c r="A480" s="19"/>
      <c r="F480" s="19"/>
      <c r="AH480" s="23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  <c r="CD480" s="19"/>
      <c r="CE480" s="19"/>
      <c r="CF480" s="19"/>
      <c r="CG480" s="19"/>
      <c r="CH480" s="19"/>
      <c r="CI480" s="19"/>
      <c r="CJ480" s="19"/>
      <c r="CK480" s="19"/>
      <c r="CL480" s="19"/>
      <c r="CM480" s="19"/>
      <c r="CN480" s="19"/>
      <c r="CO480" s="19"/>
      <c r="CP480" s="19"/>
      <c r="CQ480" s="19"/>
      <c r="CR480" s="19"/>
      <c r="CS480" s="19"/>
      <c r="CT480" s="19"/>
      <c r="CU480" s="19"/>
      <c r="CV480" s="19"/>
      <c r="CW480" s="19"/>
      <c r="CX480" s="19"/>
      <c r="CY480" s="19"/>
      <c r="CZ480" s="19"/>
      <c r="DA480" s="19"/>
      <c r="DB480" s="19"/>
      <c r="DC480" s="19"/>
      <c r="DD480" s="19"/>
      <c r="DE480" s="19"/>
      <c r="DF480" s="19"/>
      <c r="DG480" s="19"/>
      <c r="DH480" s="19"/>
      <c r="DI480" s="19"/>
      <c r="DJ480" s="19"/>
      <c r="DK480" s="19"/>
      <c r="DL480" s="19"/>
      <c r="DM480" s="19"/>
      <c r="DN480" s="19"/>
      <c r="DO480" s="19"/>
      <c r="DP480" s="19"/>
      <c r="DQ480" s="19"/>
      <c r="DR480" s="19"/>
      <c r="DS480" s="19"/>
      <c r="DT480" s="19"/>
      <c r="DU480" s="19"/>
      <c r="DV480" s="19"/>
      <c r="DW480" s="19"/>
      <c r="DX480" s="19"/>
      <c r="DY480" s="19"/>
      <c r="DZ480" s="19"/>
      <c r="EA480" s="19"/>
      <c r="EB480" s="19"/>
      <c r="EC480" s="19"/>
      <c r="ED480" s="19"/>
      <c r="EE480" s="19"/>
      <c r="EF480" s="19"/>
      <c r="EG480" s="19"/>
      <c r="EH480" s="19"/>
      <c r="EI480" s="19"/>
      <c r="EJ480" s="19"/>
      <c r="EK480" s="19"/>
      <c r="EL480" s="19"/>
      <c r="EM480" s="19"/>
      <c r="EN480" s="19"/>
      <c r="EO480" s="19"/>
      <c r="EP480" s="17"/>
      <c r="EQ480" s="23"/>
      <c r="ER480" s="23" t="str">
        <f t="shared" si="7"/>
        <v/>
      </c>
      <c r="ES480" s="19"/>
      <c r="ET480" s="19" t="str">
        <f t="shared" si="8"/>
        <v/>
      </c>
      <c r="EU480" s="19"/>
      <c r="EV480" s="19"/>
      <c r="EW480" s="19"/>
      <c r="EX480" s="19"/>
      <c r="EY480" s="19"/>
      <c r="EZ480" s="19"/>
      <c r="FA480" s="19"/>
      <c r="FB480" s="19"/>
    </row>
    <row r="481" ht="15.75" customHeight="1">
      <c r="A481" s="19"/>
      <c r="F481" s="19"/>
      <c r="AH481" s="23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  <c r="CD481" s="19"/>
      <c r="CE481" s="19"/>
      <c r="CF481" s="19"/>
      <c r="CG481" s="19"/>
      <c r="CH481" s="19"/>
      <c r="CI481" s="19"/>
      <c r="CJ481" s="19"/>
      <c r="CK481" s="19"/>
      <c r="CL481" s="19"/>
      <c r="CM481" s="19"/>
      <c r="CN481" s="19"/>
      <c r="CO481" s="19"/>
      <c r="CP481" s="19"/>
      <c r="CQ481" s="19"/>
      <c r="CR481" s="19"/>
      <c r="CS481" s="19"/>
      <c r="CT481" s="19"/>
      <c r="CU481" s="19"/>
      <c r="CV481" s="19"/>
      <c r="CW481" s="19"/>
      <c r="CX481" s="19"/>
      <c r="CY481" s="19"/>
      <c r="CZ481" s="19"/>
      <c r="DA481" s="19"/>
      <c r="DB481" s="19"/>
      <c r="DC481" s="19"/>
      <c r="DD481" s="19"/>
      <c r="DE481" s="19"/>
      <c r="DF481" s="19"/>
      <c r="DG481" s="19"/>
      <c r="DH481" s="19"/>
      <c r="DI481" s="19"/>
      <c r="DJ481" s="19"/>
      <c r="DK481" s="19"/>
      <c r="DL481" s="19"/>
      <c r="DM481" s="19"/>
      <c r="DN481" s="19"/>
      <c r="DO481" s="19"/>
      <c r="DP481" s="19"/>
      <c r="DQ481" s="19"/>
      <c r="DR481" s="19"/>
      <c r="DS481" s="19"/>
      <c r="DT481" s="19"/>
      <c r="DU481" s="19"/>
      <c r="DV481" s="19"/>
      <c r="DW481" s="19"/>
      <c r="DX481" s="19"/>
      <c r="DY481" s="19"/>
      <c r="DZ481" s="19"/>
      <c r="EA481" s="19"/>
      <c r="EB481" s="19"/>
      <c r="EC481" s="19"/>
      <c r="ED481" s="19"/>
      <c r="EE481" s="19"/>
      <c r="EF481" s="19"/>
      <c r="EG481" s="19"/>
      <c r="EH481" s="19"/>
      <c r="EI481" s="19"/>
      <c r="EJ481" s="19"/>
      <c r="EK481" s="19"/>
      <c r="EL481" s="19"/>
      <c r="EM481" s="19"/>
      <c r="EN481" s="19"/>
      <c r="EO481" s="19"/>
      <c r="EP481" s="17"/>
      <c r="EQ481" s="23"/>
      <c r="ER481" s="23" t="str">
        <f t="shared" si="7"/>
        <v/>
      </c>
      <c r="ES481" s="19"/>
      <c r="ET481" s="19" t="str">
        <f t="shared" si="8"/>
        <v/>
      </c>
      <c r="EU481" s="19"/>
      <c r="EV481" s="19"/>
      <c r="EW481" s="19"/>
      <c r="EX481" s="19"/>
      <c r="EY481" s="19"/>
      <c r="EZ481" s="19"/>
      <c r="FA481" s="19"/>
      <c r="FB481" s="19"/>
    </row>
    <row r="482" ht="15.75" customHeight="1">
      <c r="A482" s="19"/>
      <c r="F482" s="19"/>
      <c r="AH482" s="23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  <c r="CD482" s="19"/>
      <c r="CE482" s="19"/>
      <c r="CF482" s="19"/>
      <c r="CG482" s="19"/>
      <c r="CH482" s="19"/>
      <c r="CI482" s="19"/>
      <c r="CJ482" s="19"/>
      <c r="CK482" s="19"/>
      <c r="CL482" s="19"/>
      <c r="CM482" s="19"/>
      <c r="CN482" s="19"/>
      <c r="CO482" s="19"/>
      <c r="CP482" s="19"/>
      <c r="CQ482" s="19"/>
      <c r="CR482" s="19"/>
      <c r="CS482" s="19"/>
      <c r="CT482" s="19"/>
      <c r="CU482" s="19"/>
      <c r="CV482" s="19"/>
      <c r="CW482" s="19"/>
      <c r="CX482" s="19"/>
      <c r="CY482" s="19"/>
      <c r="CZ482" s="19"/>
      <c r="DA482" s="19"/>
      <c r="DB482" s="19"/>
      <c r="DC482" s="19"/>
      <c r="DD482" s="19"/>
      <c r="DE482" s="19"/>
      <c r="DF482" s="19"/>
      <c r="DG482" s="19"/>
      <c r="DH482" s="19"/>
      <c r="DI482" s="19"/>
      <c r="DJ482" s="19"/>
      <c r="DK482" s="19"/>
      <c r="DL482" s="19"/>
      <c r="DM482" s="19"/>
      <c r="DN482" s="19"/>
      <c r="DO482" s="19"/>
      <c r="DP482" s="19"/>
      <c r="DQ482" s="19"/>
      <c r="DR482" s="19"/>
      <c r="DS482" s="19"/>
      <c r="DT482" s="19"/>
      <c r="DU482" s="19"/>
      <c r="DV482" s="19"/>
      <c r="DW482" s="19"/>
      <c r="DX482" s="19"/>
      <c r="DY482" s="19"/>
      <c r="DZ482" s="19"/>
      <c r="EA482" s="19"/>
      <c r="EB482" s="19"/>
      <c r="EC482" s="19"/>
      <c r="ED482" s="19"/>
      <c r="EE482" s="19"/>
      <c r="EF482" s="19"/>
      <c r="EG482" s="19"/>
      <c r="EH482" s="19"/>
      <c r="EI482" s="19"/>
      <c r="EJ482" s="19"/>
      <c r="EK482" s="19"/>
      <c r="EL482" s="19"/>
      <c r="EM482" s="19"/>
      <c r="EN482" s="19"/>
      <c r="EO482" s="19"/>
      <c r="EP482" s="17"/>
      <c r="EQ482" s="23"/>
      <c r="ER482" s="23" t="str">
        <f t="shared" si="7"/>
        <v/>
      </c>
      <c r="ES482" s="19"/>
      <c r="ET482" s="19" t="str">
        <f t="shared" si="8"/>
        <v/>
      </c>
      <c r="EU482" s="19"/>
      <c r="EV482" s="19"/>
      <c r="EW482" s="19"/>
      <c r="EX482" s="19"/>
      <c r="EY482" s="19"/>
      <c r="EZ482" s="19"/>
      <c r="FA482" s="19"/>
      <c r="FB482" s="19"/>
    </row>
    <row r="483" ht="15.75" customHeight="1">
      <c r="A483" s="19"/>
      <c r="F483" s="19"/>
      <c r="AH483" s="23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  <c r="CD483" s="19"/>
      <c r="CE483" s="19"/>
      <c r="CF483" s="19"/>
      <c r="CG483" s="19"/>
      <c r="CH483" s="19"/>
      <c r="CI483" s="19"/>
      <c r="CJ483" s="19"/>
      <c r="CK483" s="19"/>
      <c r="CL483" s="19"/>
      <c r="CM483" s="19"/>
      <c r="CN483" s="19"/>
      <c r="CO483" s="19"/>
      <c r="CP483" s="19"/>
      <c r="CQ483" s="19"/>
      <c r="CR483" s="19"/>
      <c r="CS483" s="19"/>
      <c r="CT483" s="19"/>
      <c r="CU483" s="19"/>
      <c r="CV483" s="19"/>
      <c r="CW483" s="19"/>
      <c r="CX483" s="19"/>
      <c r="CY483" s="19"/>
      <c r="CZ483" s="19"/>
      <c r="DA483" s="19"/>
      <c r="DB483" s="19"/>
      <c r="DC483" s="19"/>
      <c r="DD483" s="19"/>
      <c r="DE483" s="19"/>
      <c r="DF483" s="19"/>
      <c r="DG483" s="19"/>
      <c r="DH483" s="19"/>
      <c r="DI483" s="19"/>
      <c r="DJ483" s="19"/>
      <c r="DK483" s="19"/>
      <c r="DL483" s="19"/>
      <c r="DM483" s="19"/>
      <c r="DN483" s="19"/>
      <c r="DO483" s="19"/>
      <c r="DP483" s="19"/>
      <c r="DQ483" s="19"/>
      <c r="DR483" s="19"/>
      <c r="DS483" s="19"/>
      <c r="DT483" s="19"/>
      <c r="DU483" s="19"/>
      <c r="DV483" s="19"/>
      <c r="DW483" s="19"/>
      <c r="DX483" s="19"/>
      <c r="DY483" s="19"/>
      <c r="DZ483" s="19"/>
      <c r="EA483" s="19"/>
      <c r="EB483" s="19"/>
      <c r="EC483" s="19"/>
      <c r="ED483" s="19"/>
      <c r="EE483" s="19"/>
      <c r="EF483" s="19"/>
      <c r="EG483" s="19"/>
      <c r="EH483" s="19"/>
      <c r="EI483" s="19"/>
      <c r="EJ483" s="19"/>
      <c r="EK483" s="19"/>
      <c r="EL483" s="19"/>
      <c r="EM483" s="19"/>
      <c r="EN483" s="19"/>
      <c r="EO483" s="19"/>
      <c r="EP483" s="17"/>
      <c r="EQ483" s="23"/>
      <c r="ER483" s="23" t="str">
        <f t="shared" si="7"/>
        <v/>
      </c>
      <c r="ES483" s="19"/>
      <c r="ET483" s="19" t="str">
        <f t="shared" si="8"/>
        <v/>
      </c>
      <c r="EU483" s="19"/>
      <c r="EV483" s="19"/>
      <c r="EW483" s="19"/>
      <c r="EX483" s="19"/>
      <c r="EY483" s="19"/>
      <c r="EZ483" s="19"/>
      <c r="FA483" s="19"/>
      <c r="FB483" s="19"/>
    </row>
    <row r="484" ht="15.75" customHeight="1">
      <c r="A484" s="19"/>
      <c r="F484" s="19"/>
      <c r="AH484" s="23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  <c r="CD484" s="19"/>
      <c r="CE484" s="19"/>
      <c r="CF484" s="19"/>
      <c r="CG484" s="19"/>
      <c r="CH484" s="19"/>
      <c r="CI484" s="19"/>
      <c r="CJ484" s="19"/>
      <c r="CK484" s="19"/>
      <c r="CL484" s="19"/>
      <c r="CM484" s="19"/>
      <c r="CN484" s="19"/>
      <c r="CO484" s="19"/>
      <c r="CP484" s="19"/>
      <c r="CQ484" s="19"/>
      <c r="CR484" s="19"/>
      <c r="CS484" s="19"/>
      <c r="CT484" s="19"/>
      <c r="CU484" s="19"/>
      <c r="CV484" s="19"/>
      <c r="CW484" s="19"/>
      <c r="CX484" s="19"/>
      <c r="CY484" s="19"/>
      <c r="CZ484" s="19"/>
      <c r="DA484" s="19"/>
      <c r="DB484" s="19"/>
      <c r="DC484" s="19"/>
      <c r="DD484" s="19"/>
      <c r="DE484" s="19"/>
      <c r="DF484" s="19"/>
      <c r="DG484" s="19"/>
      <c r="DH484" s="19"/>
      <c r="DI484" s="19"/>
      <c r="DJ484" s="19"/>
      <c r="DK484" s="19"/>
      <c r="DL484" s="19"/>
      <c r="DM484" s="19"/>
      <c r="DN484" s="19"/>
      <c r="DO484" s="19"/>
      <c r="DP484" s="19"/>
      <c r="DQ484" s="19"/>
      <c r="DR484" s="19"/>
      <c r="DS484" s="19"/>
      <c r="DT484" s="19"/>
      <c r="DU484" s="19"/>
      <c r="DV484" s="19"/>
      <c r="DW484" s="19"/>
      <c r="DX484" s="19"/>
      <c r="DY484" s="19"/>
      <c r="DZ484" s="19"/>
      <c r="EA484" s="19"/>
      <c r="EB484" s="19"/>
      <c r="EC484" s="19"/>
      <c r="ED484" s="19"/>
      <c r="EE484" s="19"/>
      <c r="EF484" s="19"/>
      <c r="EG484" s="19"/>
      <c r="EH484" s="19"/>
      <c r="EI484" s="19"/>
      <c r="EJ484" s="19"/>
      <c r="EK484" s="19"/>
      <c r="EL484" s="19"/>
      <c r="EM484" s="19"/>
      <c r="EN484" s="19"/>
      <c r="EO484" s="19"/>
      <c r="EP484" s="17"/>
      <c r="EQ484" s="23"/>
      <c r="ER484" s="23" t="str">
        <f t="shared" si="7"/>
        <v/>
      </c>
      <c r="ES484" s="19"/>
      <c r="ET484" s="19" t="str">
        <f t="shared" si="8"/>
        <v/>
      </c>
      <c r="EU484" s="19"/>
      <c r="EV484" s="19"/>
      <c r="EW484" s="19"/>
      <c r="EX484" s="19"/>
      <c r="EY484" s="19"/>
      <c r="EZ484" s="19"/>
      <c r="FA484" s="19"/>
      <c r="FB484" s="19"/>
    </row>
    <row r="485" ht="15.75" customHeight="1">
      <c r="A485" s="19"/>
      <c r="F485" s="19"/>
      <c r="AH485" s="23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  <c r="CD485" s="19"/>
      <c r="CE485" s="19"/>
      <c r="CF485" s="19"/>
      <c r="CG485" s="19"/>
      <c r="CH485" s="19"/>
      <c r="CI485" s="19"/>
      <c r="CJ485" s="19"/>
      <c r="CK485" s="19"/>
      <c r="CL485" s="19"/>
      <c r="CM485" s="19"/>
      <c r="CN485" s="19"/>
      <c r="CO485" s="19"/>
      <c r="CP485" s="19"/>
      <c r="CQ485" s="19"/>
      <c r="CR485" s="19"/>
      <c r="CS485" s="19"/>
      <c r="CT485" s="19"/>
      <c r="CU485" s="19"/>
      <c r="CV485" s="19"/>
      <c r="CW485" s="19"/>
      <c r="CX485" s="19"/>
      <c r="CY485" s="19"/>
      <c r="CZ485" s="19"/>
      <c r="DA485" s="19"/>
      <c r="DB485" s="19"/>
      <c r="DC485" s="19"/>
      <c r="DD485" s="19"/>
      <c r="DE485" s="19"/>
      <c r="DF485" s="19"/>
      <c r="DG485" s="19"/>
      <c r="DH485" s="19"/>
      <c r="DI485" s="19"/>
      <c r="DJ485" s="19"/>
      <c r="DK485" s="19"/>
      <c r="DL485" s="19"/>
      <c r="DM485" s="19"/>
      <c r="DN485" s="19"/>
      <c r="DO485" s="19"/>
      <c r="DP485" s="19"/>
      <c r="DQ485" s="19"/>
      <c r="DR485" s="19"/>
      <c r="DS485" s="19"/>
      <c r="DT485" s="19"/>
      <c r="DU485" s="19"/>
      <c r="DV485" s="19"/>
      <c r="DW485" s="19"/>
      <c r="DX485" s="19"/>
      <c r="DY485" s="19"/>
      <c r="DZ485" s="19"/>
      <c r="EA485" s="19"/>
      <c r="EB485" s="19"/>
      <c r="EC485" s="19"/>
      <c r="ED485" s="19"/>
      <c r="EE485" s="19"/>
      <c r="EF485" s="19"/>
      <c r="EG485" s="19"/>
      <c r="EH485" s="19"/>
      <c r="EI485" s="19"/>
      <c r="EJ485" s="19"/>
      <c r="EK485" s="19"/>
      <c r="EL485" s="19"/>
      <c r="EM485" s="19"/>
      <c r="EN485" s="19"/>
      <c r="EO485" s="19"/>
      <c r="EP485" s="17"/>
      <c r="EQ485" s="23"/>
      <c r="ER485" s="23" t="str">
        <f t="shared" si="7"/>
        <v/>
      </c>
      <c r="ES485" s="19"/>
      <c r="ET485" s="19" t="str">
        <f t="shared" si="8"/>
        <v/>
      </c>
      <c r="EU485" s="19"/>
      <c r="EV485" s="19"/>
      <c r="EW485" s="19"/>
      <c r="EX485" s="19"/>
      <c r="EY485" s="19"/>
      <c r="EZ485" s="19"/>
      <c r="FA485" s="19"/>
      <c r="FB485" s="19"/>
    </row>
    <row r="486" ht="15.75" customHeight="1">
      <c r="A486" s="19"/>
      <c r="F486" s="19"/>
      <c r="AH486" s="23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  <c r="CD486" s="19"/>
      <c r="CE486" s="19"/>
      <c r="CF486" s="19"/>
      <c r="CG486" s="19"/>
      <c r="CH486" s="19"/>
      <c r="CI486" s="19"/>
      <c r="CJ486" s="19"/>
      <c r="CK486" s="19"/>
      <c r="CL486" s="19"/>
      <c r="CM486" s="19"/>
      <c r="CN486" s="19"/>
      <c r="CO486" s="19"/>
      <c r="CP486" s="19"/>
      <c r="CQ486" s="19"/>
      <c r="CR486" s="19"/>
      <c r="CS486" s="19"/>
      <c r="CT486" s="19"/>
      <c r="CU486" s="19"/>
      <c r="CV486" s="19"/>
      <c r="CW486" s="19"/>
      <c r="CX486" s="19"/>
      <c r="CY486" s="19"/>
      <c r="CZ486" s="19"/>
      <c r="DA486" s="19"/>
      <c r="DB486" s="19"/>
      <c r="DC486" s="19"/>
      <c r="DD486" s="19"/>
      <c r="DE486" s="19"/>
      <c r="DF486" s="19"/>
      <c r="DG486" s="19"/>
      <c r="DH486" s="19"/>
      <c r="DI486" s="19"/>
      <c r="DJ486" s="19"/>
      <c r="DK486" s="19"/>
      <c r="DL486" s="19"/>
      <c r="DM486" s="19"/>
      <c r="DN486" s="19"/>
      <c r="DO486" s="19"/>
      <c r="DP486" s="19"/>
      <c r="DQ486" s="19"/>
      <c r="DR486" s="19"/>
      <c r="DS486" s="19"/>
      <c r="DT486" s="19"/>
      <c r="DU486" s="19"/>
      <c r="DV486" s="19"/>
      <c r="DW486" s="19"/>
      <c r="DX486" s="19"/>
      <c r="DY486" s="19"/>
      <c r="DZ486" s="19"/>
      <c r="EA486" s="19"/>
      <c r="EB486" s="19"/>
      <c r="EC486" s="19"/>
      <c r="ED486" s="19"/>
      <c r="EE486" s="19"/>
      <c r="EF486" s="19"/>
      <c r="EG486" s="19"/>
      <c r="EH486" s="19"/>
      <c r="EI486" s="19"/>
      <c r="EJ486" s="19"/>
      <c r="EK486" s="19"/>
      <c r="EL486" s="19"/>
      <c r="EM486" s="19"/>
      <c r="EN486" s="19"/>
      <c r="EO486" s="19"/>
      <c r="EP486" s="17"/>
      <c r="EQ486" s="23"/>
      <c r="ER486" s="23" t="str">
        <f t="shared" si="7"/>
        <v/>
      </c>
      <c r="ES486" s="19"/>
      <c r="ET486" s="19" t="str">
        <f t="shared" si="8"/>
        <v/>
      </c>
      <c r="EU486" s="19"/>
      <c r="EV486" s="19"/>
      <c r="EW486" s="19"/>
      <c r="EX486" s="19"/>
      <c r="EY486" s="19"/>
      <c r="EZ486" s="19"/>
      <c r="FA486" s="19"/>
      <c r="FB486" s="19"/>
    </row>
    <row r="487" ht="15.75" customHeight="1">
      <c r="A487" s="19"/>
      <c r="F487" s="19"/>
      <c r="AH487" s="23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  <c r="CD487" s="19"/>
      <c r="CE487" s="19"/>
      <c r="CF487" s="19"/>
      <c r="CG487" s="19"/>
      <c r="CH487" s="19"/>
      <c r="CI487" s="19"/>
      <c r="CJ487" s="19"/>
      <c r="CK487" s="19"/>
      <c r="CL487" s="19"/>
      <c r="CM487" s="19"/>
      <c r="CN487" s="19"/>
      <c r="CO487" s="19"/>
      <c r="CP487" s="19"/>
      <c r="CQ487" s="19"/>
      <c r="CR487" s="19"/>
      <c r="CS487" s="19"/>
      <c r="CT487" s="19"/>
      <c r="CU487" s="19"/>
      <c r="CV487" s="19"/>
      <c r="CW487" s="19"/>
      <c r="CX487" s="19"/>
      <c r="CY487" s="19"/>
      <c r="CZ487" s="19"/>
      <c r="DA487" s="19"/>
      <c r="DB487" s="19"/>
      <c r="DC487" s="19"/>
      <c r="DD487" s="19"/>
      <c r="DE487" s="19"/>
      <c r="DF487" s="19"/>
      <c r="DG487" s="19"/>
      <c r="DH487" s="19"/>
      <c r="DI487" s="19"/>
      <c r="DJ487" s="19"/>
      <c r="DK487" s="19"/>
      <c r="DL487" s="19"/>
      <c r="DM487" s="19"/>
      <c r="DN487" s="19"/>
      <c r="DO487" s="19"/>
      <c r="DP487" s="19"/>
      <c r="DQ487" s="19"/>
      <c r="DR487" s="19"/>
      <c r="DS487" s="19"/>
      <c r="DT487" s="19"/>
      <c r="DU487" s="19"/>
      <c r="DV487" s="19"/>
      <c r="DW487" s="19"/>
      <c r="DX487" s="19"/>
      <c r="DY487" s="19"/>
      <c r="DZ487" s="19"/>
      <c r="EA487" s="19"/>
      <c r="EB487" s="19"/>
      <c r="EC487" s="19"/>
      <c r="ED487" s="19"/>
      <c r="EE487" s="19"/>
      <c r="EF487" s="19"/>
      <c r="EG487" s="19"/>
      <c r="EH487" s="19"/>
      <c r="EI487" s="19"/>
      <c r="EJ487" s="19"/>
      <c r="EK487" s="19"/>
      <c r="EL487" s="19"/>
      <c r="EM487" s="19"/>
      <c r="EN487" s="19"/>
      <c r="EO487" s="19"/>
      <c r="EP487" s="17"/>
      <c r="EQ487" s="23"/>
      <c r="ER487" s="23" t="str">
        <f t="shared" si="7"/>
        <v/>
      </c>
      <c r="ES487" s="19"/>
      <c r="ET487" s="19" t="str">
        <f t="shared" si="8"/>
        <v/>
      </c>
      <c r="EU487" s="19"/>
      <c r="EV487" s="19"/>
      <c r="EW487" s="19"/>
      <c r="EX487" s="19"/>
      <c r="EY487" s="19"/>
      <c r="EZ487" s="19"/>
      <c r="FA487" s="19"/>
      <c r="FB487" s="19"/>
    </row>
    <row r="488" ht="15.75" customHeight="1">
      <c r="A488" s="19"/>
      <c r="F488" s="19"/>
      <c r="AH488" s="23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  <c r="CD488" s="19"/>
      <c r="CE488" s="19"/>
      <c r="CF488" s="19"/>
      <c r="CG488" s="19"/>
      <c r="CH488" s="19"/>
      <c r="CI488" s="19"/>
      <c r="CJ488" s="19"/>
      <c r="CK488" s="19"/>
      <c r="CL488" s="19"/>
      <c r="CM488" s="19"/>
      <c r="CN488" s="19"/>
      <c r="CO488" s="19"/>
      <c r="CP488" s="19"/>
      <c r="CQ488" s="19"/>
      <c r="CR488" s="19"/>
      <c r="CS488" s="19"/>
      <c r="CT488" s="19"/>
      <c r="CU488" s="19"/>
      <c r="CV488" s="19"/>
      <c r="CW488" s="19"/>
      <c r="CX488" s="19"/>
      <c r="CY488" s="19"/>
      <c r="CZ488" s="19"/>
      <c r="DA488" s="19"/>
      <c r="DB488" s="19"/>
      <c r="DC488" s="19"/>
      <c r="DD488" s="19"/>
      <c r="DE488" s="19"/>
      <c r="DF488" s="19"/>
      <c r="DG488" s="19"/>
      <c r="DH488" s="19"/>
      <c r="DI488" s="19"/>
      <c r="DJ488" s="19"/>
      <c r="DK488" s="19"/>
      <c r="DL488" s="19"/>
      <c r="DM488" s="19"/>
      <c r="DN488" s="19"/>
      <c r="DO488" s="19"/>
      <c r="DP488" s="19"/>
      <c r="DQ488" s="19"/>
      <c r="DR488" s="19"/>
      <c r="DS488" s="19"/>
      <c r="DT488" s="19"/>
      <c r="DU488" s="19"/>
      <c r="DV488" s="19"/>
      <c r="DW488" s="19"/>
      <c r="DX488" s="19"/>
      <c r="DY488" s="19"/>
      <c r="DZ488" s="19"/>
      <c r="EA488" s="19"/>
      <c r="EB488" s="19"/>
      <c r="EC488" s="19"/>
      <c r="ED488" s="19"/>
      <c r="EE488" s="19"/>
      <c r="EF488" s="19"/>
      <c r="EG488" s="19"/>
      <c r="EH488" s="19"/>
      <c r="EI488" s="19"/>
      <c r="EJ488" s="19"/>
      <c r="EK488" s="19"/>
      <c r="EL488" s="19"/>
      <c r="EM488" s="19"/>
      <c r="EN488" s="19"/>
      <c r="EO488" s="19"/>
      <c r="EP488" s="17"/>
      <c r="EQ488" s="23"/>
      <c r="ER488" s="23" t="str">
        <f t="shared" si="7"/>
        <v/>
      </c>
      <c r="ES488" s="19"/>
      <c r="ET488" s="19" t="str">
        <f t="shared" si="8"/>
        <v/>
      </c>
      <c r="EU488" s="19"/>
      <c r="EV488" s="19"/>
      <c r="EW488" s="19"/>
      <c r="EX488" s="19"/>
      <c r="EY488" s="19"/>
      <c r="EZ488" s="19"/>
      <c r="FA488" s="19"/>
      <c r="FB488" s="19"/>
    </row>
    <row r="489" ht="15.75" customHeight="1">
      <c r="A489" s="19"/>
      <c r="F489" s="19"/>
      <c r="AH489" s="23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  <c r="DA489" s="19"/>
      <c r="DB489" s="19"/>
      <c r="DC489" s="19"/>
      <c r="DD489" s="19"/>
      <c r="DE489" s="19"/>
      <c r="DF489" s="19"/>
      <c r="DG489" s="19"/>
      <c r="DH489" s="19"/>
      <c r="DI489" s="19"/>
      <c r="DJ489" s="19"/>
      <c r="DK489" s="19"/>
      <c r="DL489" s="19"/>
      <c r="DM489" s="19"/>
      <c r="DN489" s="19"/>
      <c r="DO489" s="19"/>
      <c r="DP489" s="19"/>
      <c r="DQ489" s="19"/>
      <c r="DR489" s="19"/>
      <c r="DS489" s="19"/>
      <c r="DT489" s="19"/>
      <c r="DU489" s="19"/>
      <c r="DV489" s="19"/>
      <c r="DW489" s="19"/>
      <c r="DX489" s="19"/>
      <c r="DY489" s="19"/>
      <c r="DZ489" s="19"/>
      <c r="EA489" s="19"/>
      <c r="EB489" s="19"/>
      <c r="EC489" s="19"/>
      <c r="ED489" s="19"/>
      <c r="EE489" s="19"/>
      <c r="EF489" s="19"/>
      <c r="EG489" s="19"/>
      <c r="EH489" s="19"/>
      <c r="EI489" s="19"/>
      <c r="EJ489" s="19"/>
      <c r="EK489" s="19"/>
      <c r="EL489" s="19"/>
      <c r="EM489" s="19"/>
      <c r="EN489" s="19"/>
      <c r="EO489" s="19"/>
      <c r="EP489" s="17"/>
      <c r="EQ489" s="23"/>
      <c r="ER489" s="23" t="str">
        <f t="shared" si="7"/>
        <v/>
      </c>
      <c r="ES489" s="19"/>
      <c r="ET489" s="19" t="str">
        <f t="shared" si="8"/>
        <v/>
      </c>
      <c r="EU489" s="19"/>
      <c r="EV489" s="19"/>
      <c r="EW489" s="19"/>
      <c r="EX489" s="19"/>
      <c r="EY489" s="19"/>
      <c r="EZ489" s="19"/>
      <c r="FA489" s="19"/>
      <c r="FB489" s="19"/>
    </row>
    <row r="490" ht="15.75" customHeight="1">
      <c r="A490" s="19"/>
      <c r="F490" s="19"/>
      <c r="AH490" s="23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7"/>
      <c r="EQ490" s="23"/>
      <c r="ER490" s="23" t="str">
        <f t="shared" si="7"/>
        <v/>
      </c>
      <c r="ES490" s="19"/>
      <c r="ET490" s="19" t="str">
        <f t="shared" si="8"/>
        <v/>
      </c>
      <c r="EU490" s="19"/>
      <c r="EV490" s="19"/>
      <c r="EW490" s="19"/>
      <c r="EX490" s="19"/>
      <c r="EY490" s="19"/>
      <c r="EZ490" s="19"/>
      <c r="FA490" s="19"/>
      <c r="FB490" s="19"/>
    </row>
    <row r="491" ht="15.75" customHeight="1">
      <c r="A491" s="19"/>
      <c r="F491" s="19"/>
      <c r="AH491" s="23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  <c r="EE491" s="19"/>
      <c r="EF491" s="19"/>
      <c r="EG491" s="19"/>
      <c r="EH491" s="19"/>
      <c r="EI491" s="19"/>
      <c r="EJ491" s="19"/>
      <c r="EK491" s="19"/>
      <c r="EL491" s="19"/>
      <c r="EM491" s="19"/>
      <c r="EN491" s="19"/>
      <c r="EO491" s="19"/>
      <c r="EP491" s="17"/>
      <c r="EQ491" s="23"/>
      <c r="ER491" s="23" t="str">
        <f t="shared" si="7"/>
        <v/>
      </c>
      <c r="ES491" s="19"/>
      <c r="ET491" s="19" t="str">
        <f t="shared" si="8"/>
        <v/>
      </c>
      <c r="EU491" s="19"/>
      <c r="EV491" s="19"/>
      <c r="EW491" s="19"/>
      <c r="EX491" s="19"/>
      <c r="EY491" s="19"/>
      <c r="EZ491" s="19"/>
      <c r="FA491" s="19"/>
      <c r="FB491" s="19"/>
    </row>
    <row r="492" ht="15.75" customHeight="1">
      <c r="A492" s="19"/>
      <c r="F492" s="19"/>
      <c r="AH492" s="23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  <c r="CD492" s="19"/>
      <c r="CE492" s="19"/>
      <c r="CF492" s="19"/>
      <c r="CG492" s="19"/>
      <c r="CH492" s="19"/>
      <c r="CI492" s="19"/>
      <c r="CJ492" s="19"/>
      <c r="CK492" s="19"/>
      <c r="CL492" s="19"/>
      <c r="CM492" s="19"/>
      <c r="CN492" s="19"/>
      <c r="CO492" s="19"/>
      <c r="CP492" s="19"/>
      <c r="CQ492" s="19"/>
      <c r="CR492" s="19"/>
      <c r="CS492" s="19"/>
      <c r="CT492" s="19"/>
      <c r="CU492" s="19"/>
      <c r="CV492" s="19"/>
      <c r="CW492" s="19"/>
      <c r="CX492" s="19"/>
      <c r="CY492" s="19"/>
      <c r="CZ492" s="19"/>
      <c r="DA492" s="19"/>
      <c r="DB492" s="19"/>
      <c r="DC492" s="19"/>
      <c r="DD492" s="19"/>
      <c r="DE492" s="19"/>
      <c r="DF492" s="19"/>
      <c r="DG492" s="19"/>
      <c r="DH492" s="19"/>
      <c r="DI492" s="19"/>
      <c r="DJ492" s="19"/>
      <c r="DK492" s="19"/>
      <c r="DL492" s="19"/>
      <c r="DM492" s="19"/>
      <c r="DN492" s="19"/>
      <c r="DO492" s="19"/>
      <c r="DP492" s="19"/>
      <c r="DQ492" s="19"/>
      <c r="DR492" s="19"/>
      <c r="DS492" s="19"/>
      <c r="DT492" s="19"/>
      <c r="DU492" s="19"/>
      <c r="DV492" s="19"/>
      <c r="DW492" s="19"/>
      <c r="DX492" s="19"/>
      <c r="DY492" s="19"/>
      <c r="DZ492" s="19"/>
      <c r="EA492" s="19"/>
      <c r="EB492" s="19"/>
      <c r="EC492" s="19"/>
      <c r="ED492" s="19"/>
      <c r="EE492" s="19"/>
      <c r="EF492" s="19"/>
      <c r="EG492" s="19"/>
      <c r="EH492" s="19"/>
      <c r="EI492" s="19"/>
      <c r="EJ492" s="19"/>
      <c r="EK492" s="19"/>
      <c r="EL492" s="19"/>
      <c r="EM492" s="19"/>
      <c r="EN492" s="19"/>
      <c r="EO492" s="19"/>
      <c r="EP492" s="17"/>
      <c r="EQ492" s="23"/>
      <c r="ER492" s="23" t="str">
        <f t="shared" si="7"/>
        <v/>
      </c>
      <c r="ES492" s="19"/>
      <c r="ET492" s="19" t="str">
        <f t="shared" si="8"/>
        <v/>
      </c>
      <c r="EU492" s="19"/>
      <c r="EV492" s="19"/>
      <c r="EW492" s="19"/>
      <c r="EX492" s="19"/>
      <c r="EY492" s="19"/>
      <c r="EZ492" s="19"/>
      <c r="FA492" s="19"/>
      <c r="FB492" s="19"/>
    </row>
    <row r="493" ht="15.75" customHeight="1">
      <c r="A493" s="19"/>
      <c r="F493" s="19"/>
      <c r="AH493" s="23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  <c r="DA493" s="19"/>
      <c r="DB493" s="19"/>
      <c r="DC493" s="19"/>
      <c r="DD493" s="19"/>
      <c r="DE493" s="19"/>
      <c r="DF493" s="19"/>
      <c r="DG493" s="19"/>
      <c r="DH493" s="19"/>
      <c r="DI493" s="19"/>
      <c r="DJ493" s="19"/>
      <c r="DK493" s="19"/>
      <c r="DL493" s="19"/>
      <c r="DM493" s="19"/>
      <c r="DN493" s="19"/>
      <c r="DO493" s="19"/>
      <c r="DP493" s="19"/>
      <c r="DQ493" s="19"/>
      <c r="DR493" s="19"/>
      <c r="DS493" s="19"/>
      <c r="DT493" s="19"/>
      <c r="DU493" s="19"/>
      <c r="DV493" s="19"/>
      <c r="DW493" s="19"/>
      <c r="DX493" s="19"/>
      <c r="DY493" s="19"/>
      <c r="DZ493" s="19"/>
      <c r="EA493" s="19"/>
      <c r="EB493" s="19"/>
      <c r="EC493" s="19"/>
      <c r="ED493" s="19"/>
      <c r="EE493" s="19"/>
      <c r="EF493" s="19"/>
      <c r="EG493" s="19"/>
      <c r="EH493" s="19"/>
      <c r="EI493" s="19"/>
      <c r="EJ493" s="19"/>
      <c r="EK493" s="19"/>
      <c r="EL493" s="19"/>
      <c r="EM493" s="19"/>
      <c r="EN493" s="19"/>
      <c r="EO493" s="19"/>
      <c r="EP493" s="17"/>
      <c r="EQ493" s="23"/>
      <c r="ER493" s="23" t="str">
        <f t="shared" si="7"/>
        <v/>
      </c>
      <c r="ES493" s="19"/>
      <c r="ET493" s="19" t="str">
        <f t="shared" si="8"/>
        <v/>
      </c>
      <c r="EU493" s="19"/>
      <c r="EV493" s="19"/>
      <c r="EW493" s="19"/>
      <c r="EX493" s="19"/>
      <c r="EY493" s="19"/>
      <c r="EZ493" s="19"/>
      <c r="FA493" s="19"/>
      <c r="FB493" s="19"/>
    </row>
    <row r="494" ht="15.75" customHeight="1">
      <c r="A494" s="19"/>
      <c r="F494" s="19"/>
      <c r="AH494" s="23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  <c r="CD494" s="19"/>
      <c r="CE494" s="19"/>
      <c r="CF494" s="19"/>
      <c r="CG494" s="19"/>
      <c r="CH494" s="19"/>
      <c r="CI494" s="19"/>
      <c r="CJ494" s="19"/>
      <c r="CK494" s="19"/>
      <c r="CL494" s="19"/>
      <c r="CM494" s="19"/>
      <c r="CN494" s="19"/>
      <c r="CO494" s="19"/>
      <c r="CP494" s="19"/>
      <c r="CQ494" s="19"/>
      <c r="CR494" s="19"/>
      <c r="CS494" s="19"/>
      <c r="CT494" s="19"/>
      <c r="CU494" s="19"/>
      <c r="CV494" s="19"/>
      <c r="CW494" s="19"/>
      <c r="CX494" s="19"/>
      <c r="CY494" s="19"/>
      <c r="CZ494" s="19"/>
      <c r="DA494" s="19"/>
      <c r="DB494" s="19"/>
      <c r="DC494" s="19"/>
      <c r="DD494" s="19"/>
      <c r="DE494" s="19"/>
      <c r="DF494" s="19"/>
      <c r="DG494" s="19"/>
      <c r="DH494" s="19"/>
      <c r="DI494" s="19"/>
      <c r="DJ494" s="19"/>
      <c r="DK494" s="19"/>
      <c r="DL494" s="19"/>
      <c r="DM494" s="19"/>
      <c r="DN494" s="19"/>
      <c r="DO494" s="19"/>
      <c r="DP494" s="19"/>
      <c r="DQ494" s="19"/>
      <c r="DR494" s="19"/>
      <c r="DS494" s="19"/>
      <c r="DT494" s="19"/>
      <c r="DU494" s="19"/>
      <c r="DV494" s="19"/>
      <c r="DW494" s="19"/>
      <c r="DX494" s="19"/>
      <c r="DY494" s="19"/>
      <c r="DZ494" s="19"/>
      <c r="EA494" s="19"/>
      <c r="EB494" s="19"/>
      <c r="EC494" s="19"/>
      <c r="ED494" s="19"/>
      <c r="EE494" s="19"/>
      <c r="EF494" s="19"/>
      <c r="EG494" s="19"/>
      <c r="EH494" s="19"/>
      <c r="EI494" s="19"/>
      <c r="EJ494" s="19"/>
      <c r="EK494" s="19"/>
      <c r="EL494" s="19"/>
      <c r="EM494" s="19"/>
      <c r="EN494" s="19"/>
      <c r="EO494" s="19"/>
      <c r="EP494" s="17"/>
      <c r="EQ494" s="23"/>
      <c r="ER494" s="23" t="str">
        <f t="shared" si="7"/>
        <v/>
      </c>
      <c r="ES494" s="19"/>
      <c r="ET494" s="19" t="str">
        <f t="shared" si="8"/>
        <v/>
      </c>
      <c r="EU494" s="19"/>
      <c r="EV494" s="19"/>
      <c r="EW494" s="19"/>
      <c r="EX494" s="19"/>
      <c r="EY494" s="19"/>
      <c r="EZ494" s="19"/>
      <c r="FA494" s="19"/>
      <c r="FB494" s="19"/>
    </row>
    <row r="495" ht="15.75" customHeight="1">
      <c r="A495" s="19"/>
      <c r="F495" s="19"/>
      <c r="AH495" s="23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  <c r="CD495" s="19"/>
      <c r="CE495" s="19"/>
      <c r="CF495" s="19"/>
      <c r="CG495" s="19"/>
      <c r="CH495" s="19"/>
      <c r="CI495" s="19"/>
      <c r="CJ495" s="19"/>
      <c r="CK495" s="19"/>
      <c r="CL495" s="19"/>
      <c r="CM495" s="19"/>
      <c r="CN495" s="19"/>
      <c r="CO495" s="19"/>
      <c r="CP495" s="19"/>
      <c r="CQ495" s="19"/>
      <c r="CR495" s="19"/>
      <c r="CS495" s="19"/>
      <c r="CT495" s="19"/>
      <c r="CU495" s="19"/>
      <c r="CV495" s="19"/>
      <c r="CW495" s="19"/>
      <c r="CX495" s="19"/>
      <c r="CY495" s="19"/>
      <c r="CZ495" s="19"/>
      <c r="DA495" s="19"/>
      <c r="DB495" s="19"/>
      <c r="DC495" s="19"/>
      <c r="DD495" s="19"/>
      <c r="DE495" s="19"/>
      <c r="DF495" s="19"/>
      <c r="DG495" s="19"/>
      <c r="DH495" s="19"/>
      <c r="DI495" s="19"/>
      <c r="DJ495" s="19"/>
      <c r="DK495" s="19"/>
      <c r="DL495" s="19"/>
      <c r="DM495" s="19"/>
      <c r="DN495" s="19"/>
      <c r="DO495" s="19"/>
      <c r="DP495" s="19"/>
      <c r="DQ495" s="19"/>
      <c r="DR495" s="19"/>
      <c r="DS495" s="19"/>
      <c r="DT495" s="19"/>
      <c r="DU495" s="19"/>
      <c r="DV495" s="19"/>
      <c r="DW495" s="19"/>
      <c r="DX495" s="19"/>
      <c r="DY495" s="19"/>
      <c r="DZ495" s="19"/>
      <c r="EA495" s="19"/>
      <c r="EB495" s="19"/>
      <c r="EC495" s="19"/>
      <c r="ED495" s="19"/>
      <c r="EE495" s="19"/>
      <c r="EF495" s="19"/>
      <c r="EG495" s="19"/>
      <c r="EH495" s="19"/>
      <c r="EI495" s="19"/>
      <c r="EJ495" s="19"/>
      <c r="EK495" s="19"/>
      <c r="EL495" s="19"/>
      <c r="EM495" s="19"/>
      <c r="EN495" s="19"/>
      <c r="EO495" s="19"/>
      <c r="EP495" s="17"/>
      <c r="EQ495" s="23"/>
      <c r="ER495" s="23" t="str">
        <f t="shared" si="7"/>
        <v/>
      </c>
      <c r="ES495" s="19"/>
      <c r="ET495" s="19" t="str">
        <f t="shared" si="8"/>
        <v/>
      </c>
      <c r="EU495" s="19"/>
      <c r="EV495" s="19"/>
      <c r="EW495" s="19"/>
      <c r="EX495" s="19"/>
      <c r="EY495" s="19"/>
      <c r="EZ495" s="19"/>
      <c r="FA495" s="19"/>
      <c r="FB495" s="19"/>
    </row>
    <row r="496" ht="15.75" customHeight="1">
      <c r="A496" s="19"/>
      <c r="F496" s="19"/>
      <c r="AH496" s="23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  <c r="CD496" s="19"/>
      <c r="CE496" s="19"/>
      <c r="CF496" s="19"/>
      <c r="CG496" s="19"/>
      <c r="CH496" s="19"/>
      <c r="CI496" s="19"/>
      <c r="CJ496" s="19"/>
      <c r="CK496" s="19"/>
      <c r="CL496" s="19"/>
      <c r="CM496" s="19"/>
      <c r="CN496" s="19"/>
      <c r="CO496" s="19"/>
      <c r="CP496" s="19"/>
      <c r="CQ496" s="19"/>
      <c r="CR496" s="19"/>
      <c r="CS496" s="19"/>
      <c r="CT496" s="19"/>
      <c r="CU496" s="19"/>
      <c r="CV496" s="19"/>
      <c r="CW496" s="19"/>
      <c r="CX496" s="19"/>
      <c r="CY496" s="19"/>
      <c r="CZ496" s="19"/>
      <c r="DA496" s="19"/>
      <c r="DB496" s="19"/>
      <c r="DC496" s="19"/>
      <c r="DD496" s="19"/>
      <c r="DE496" s="19"/>
      <c r="DF496" s="19"/>
      <c r="DG496" s="19"/>
      <c r="DH496" s="19"/>
      <c r="DI496" s="19"/>
      <c r="DJ496" s="19"/>
      <c r="DK496" s="19"/>
      <c r="DL496" s="19"/>
      <c r="DM496" s="19"/>
      <c r="DN496" s="19"/>
      <c r="DO496" s="19"/>
      <c r="DP496" s="19"/>
      <c r="DQ496" s="19"/>
      <c r="DR496" s="19"/>
      <c r="DS496" s="19"/>
      <c r="DT496" s="19"/>
      <c r="DU496" s="19"/>
      <c r="DV496" s="19"/>
      <c r="DW496" s="19"/>
      <c r="DX496" s="19"/>
      <c r="DY496" s="19"/>
      <c r="DZ496" s="19"/>
      <c r="EA496" s="19"/>
      <c r="EB496" s="19"/>
      <c r="EC496" s="19"/>
      <c r="ED496" s="19"/>
      <c r="EE496" s="19"/>
      <c r="EF496" s="19"/>
      <c r="EG496" s="19"/>
      <c r="EH496" s="19"/>
      <c r="EI496" s="19"/>
      <c r="EJ496" s="19"/>
      <c r="EK496" s="19"/>
      <c r="EL496" s="19"/>
      <c r="EM496" s="19"/>
      <c r="EN496" s="19"/>
      <c r="EO496" s="19"/>
      <c r="EP496" s="17"/>
      <c r="EQ496" s="23"/>
      <c r="ER496" s="23" t="str">
        <f t="shared" si="7"/>
        <v/>
      </c>
      <c r="ES496" s="19"/>
      <c r="ET496" s="19" t="str">
        <f t="shared" si="8"/>
        <v/>
      </c>
      <c r="EU496" s="19"/>
      <c r="EV496" s="19"/>
      <c r="EW496" s="19"/>
      <c r="EX496" s="19"/>
      <c r="EY496" s="19"/>
      <c r="EZ496" s="19"/>
      <c r="FA496" s="19"/>
      <c r="FB496" s="19"/>
    </row>
    <row r="497" ht="15.75" customHeight="1">
      <c r="A497" s="19"/>
      <c r="F497" s="19"/>
      <c r="AH497" s="23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  <c r="CD497" s="19"/>
      <c r="CE497" s="19"/>
      <c r="CF497" s="19"/>
      <c r="CG497" s="19"/>
      <c r="CH497" s="19"/>
      <c r="CI497" s="19"/>
      <c r="CJ497" s="19"/>
      <c r="CK497" s="19"/>
      <c r="CL497" s="19"/>
      <c r="CM497" s="19"/>
      <c r="CN497" s="19"/>
      <c r="CO497" s="19"/>
      <c r="CP497" s="19"/>
      <c r="CQ497" s="19"/>
      <c r="CR497" s="19"/>
      <c r="CS497" s="19"/>
      <c r="CT497" s="19"/>
      <c r="CU497" s="19"/>
      <c r="CV497" s="19"/>
      <c r="CW497" s="19"/>
      <c r="CX497" s="19"/>
      <c r="CY497" s="19"/>
      <c r="CZ497" s="19"/>
      <c r="DA497" s="19"/>
      <c r="DB497" s="19"/>
      <c r="DC497" s="19"/>
      <c r="DD497" s="19"/>
      <c r="DE497" s="19"/>
      <c r="DF497" s="19"/>
      <c r="DG497" s="19"/>
      <c r="DH497" s="19"/>
      <c r="DI497" s="19"/>
      <c r="DJ497" s="19"/>
      <c r="DK497" s="19"/>
      <c r="DL497" s="19"/>
      <c r="DM497" s="19"/>
      <c r="DN497" s="19"/>
      <c r="DO497" s="19"/>
      <c r="DP497" s="19"/>
      <c r="DQ497" s="19"/>
      <c r="DR497" s="19"/>
      <c r="DS497" s="19"/>
      <c r="DT497" s="19"/>
      <c r="DU497" s="19"/>
      <c r="DV497" s="19"/>
      <c r="DW497" s="19"/>
      <c r="DX497" s="19"/>
      <c r="DY497" s="19"/>
      <c r="DZ497" s="19"/>
      <c r="EA497" s="19"/>
      <c r="EB497" s="19"/>
      <c r="EC497" s="19"/>
      <c r="ED497" s="19"/>
      <c r="EE497" s="19"/>
      <c r="EF497" s="19"/>
      <c r="EG497" s="19"/>
      <c r="EH497" s="19"/>
      <c r="EI497" s="19"/>
      <c r="EJ497" s="19"/>
      <c r="EK497" s="19"/>
      <c r="EL497" s="19"/>
      <c r="EM497" s="19"/>
      <c r="EN497" s="19"/>
      <c r="EO497" s="19"/>
      <c r="EP497" s="17"/>
      <c r="EQ497" s="23"/>
      <c r="ER497" s="23" t="str">
        <f t="shared" si="7"/>
        <v/>
      </c>
      <c r="ES497" s="19"/>
      <c r="ET497" s="19" t="str">
        <f t="shared" si="8"/>
        <v/>
      </c>
      <c r="EU497" s="19"/>
      <c r="EV497" s="19"/>
      <c r="EW497" s="19"/>
      <c r="EX497" s="19"/>
      <c r="EY497" s="19"/>
      <c r="EZ497" s="19"/>
      <c r="FA497" s="19"/>
      <c r="FB497" s="19"/>
    </row>
    <row r="498" ht="15.75" customHeight="1">
      <c r="A498" s="19"/>
      <c r="F498" s="19"/>
      <c r="AH498" s="23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  <c r="CD498" s="19"/>
      <c r="CE498" s="19"/>
      <c r="CF498" s="19"/>
      <c r="CG498" s="19"/>
      <c r="CH498" s="19"/>
      <c r="CI498" s="19"/>
      <c r="CJ498" s="19"/>
      <c r="CK498" s="19"/>
      <c r="CL498" s="19"/>
      <c r="CM498" s="19"/>
      <c r="CN498" s="19"/>
      <c r="CO498" s="19"/>
      <c r="CP498" s="19"/>
      <c r="CQ498" s="19"/>
      <c r="CR498" s="19"/>
      <c r="CS498" s="19"/>
      <c r="CT498" s="19"/>
      <c r="CU498" s="19"/>
      <c r="CV498" s="19"/>
      <c r="CW498" s="19"/>
      <c r="CX498" s="19"/>
      <c r="CY498" s="19"/>
      <c r="CZ498" s="19"/>
      <c r="DA498" s="19"/>
      <c r="DB498" s="19"/>
      <c r="DC498" s="19"/>
      <c r="DD498" s="19"/>
      <c r="DE498" s="19"/>
      <c r="DF498" s="19"/>
      <c r="DG498" s="19"/>
      <c r="DH498" s="19"/>
      <c r="DI498" s="19"/>
      <c r="DJ498" s="19"/>
      <c r="DK498" s="19"/>
      <c r="DL498" s="19"/>
      <c r="DM498" s="19"/>
      <c r="DN498" s="19"/>
      <c r="DO498" s="19"/>
      <c r="DP498" s="19"/>
      <c r="DQ498" s="19"/>
      <c r="DR498" s="19"/>
      <c r="DS498" s="19"/>
      <c r="DT498" s="19"/>
      <c r="DU498" s="19"/>
      <c r="DV498" s="19"/>
      <c r="DW498" s="19"/>
      <c r="DX498" s="19"/>
      <c r="DY498" s="19"/>
      <c r="DZ498" s="19"/>
      <c r="EA498" s="19"/>
      <c r="EB498" s="19"/>
      <c r="EC498" s="19"/>
      <c r="ED498" s="19"/>
      <c r="EE498" s="19"/>
      <c r="EF498" s="19"/>
      <c r="EG498" s="19"/>
      <c r="EH498" s="19"/>
      <c r="EI498" s="19"/>
      <c r="EJ498" s="19"/>
      <c r="EK498" s="19"/>
      <c r="EL498" s="19"/>
      <c r="EM498" s="19"/>
      <c r="EN498" s="19"/>
      <c r="EO498" s="19"/>
      <c r="EP498" s="17"/>
      <c r="EQ498" s="23"/>
      <c r="ER498" s="23" t="str">
        <f t="shared" si="7"/>
        <v/>
      </c>
      <c r="ES498" s="19"/>
      <c r="ET498" s="19" t="str">
        <f t="shared" si="8"/>
        <v/>
      </c>
      <c r="EU498" s="19"/>
      <c r="EV498" s="19"/>
      <c r="EW498" s="19"/>
      <c r="EX498" s="19"/>
      <c r="EY498" s="19"/>
      <c r="EZ498" s="19"/>
      <c r="FA498" s="19"/>
      <c r="FB498" s="19"/>
    </row>
    <row r="499" ht="15.75" customHeight="1">
      <c r="A499" s="19"/>
      <c r="F499" s="19"/>
      <c r="AH499" s="23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  <c r="CD499" s="19"/>
      <c r="CE499" s="19"/>
      <c r="CF499" s="19"/>
      <c r="CG499" s="19"/>
      <c r="CH499" s="19"/>
      <c r="CI499" s="19"/>
      <c r="CJ499" s="19"/>
      <c r="CK499" s="19"/>
      <c r="CL499" s="19"/>
      <c r="CM499" s="19"/>
      <c r="CN499" s="19"/>
      <c r="CO499" s="19"/>
      <c r="CP499" s="19"/>
      <c r="CQ499" s="19"/>
      <c r="CR499" s="19"/>
      <c r="CS499" s="19"/>
      <c r="CT499" s="19"/>
      <c r="CU499" s="19"/>
      <c r="CV499" s="19"/>
      <c r="CW499" s="19"/>
      <c r="CX499" s="19"/>
      <c r="CY499" s="19"/>
      <c r="CZ499" s="19"/>
      <c r="DA499" s="19"/>
      <c r="DB499" s="19"/>
      <c r="DC499" s="19"/>
      <c r="DD499" s="19"/>
      <c r="DE499" s="19"/>
      <c r="DF499" s="19"/>
      <c r="DG499" s="19"/>
      <c r="DH499" s="19"/>
      <c r="DI499" s="19"/>
      <c r="DJ499" s="19"/>
      <c r="DK499" s="19"/>
      <c r="DL499" s="19"/>
      <c r="DM499" s="19"/>
      <c r="DN499" s="19"/>
      <c r="DO499" s="19"/>
      <c r="DP499" s="19"/>
      <c r="DQ499" s="19"/>
      <c r="DR499" s="19"/>
      <c r="DS499" s="19"/>
      <c r="DT499" s="19"/>
      <c r="DU499" s="19"/>
      <c r="DV499" s="19"/>
      <c r="DW499" s="19"/>
      <c r="DX499" s="19"/>
      <c r="DY499" s="19"/>
      <c r="DZ499" s="19"/>
      <c r="EA499" s="19"/>
      <c r="EB499" s="19"/>
      <c r="EC499" s="19"/>
      <c r="ED499" s="19"/>
      <c r="EE499" s="19"/>
      <c r="EF499" s="19"/>
      <c r="EG499" s="19"/>
      <c r="EH499" s="19"/>
      <c r="EI499" s="19"/>
      <c r="EJ499" s="19"/>
      <c r="EK499" s="19"/>
      <c r="EL499" s="19"/>
      <c r="EM499" s="19"/>
      <c r="EN499" s="19"/>
      <c r="EO499" s="19"/>
      <c r="EP499" s="17"/>
      <c r="EQ499" s="23"/>
      <c r="ER499" s="23" t="str">
        <f t="shared" si="7"/>
        <v/>
      </c>
      <c r="ES499" s="19"/>
      <c r="ET499" s="19" t="str">
        <f t="shared" si="8"/>
        <v/>
      </c>
      <c r="EU499" s="19"/>
      <c r="EV499" s="19"/>
      <c r="EW499" s="19"/>
      <c r="EX499" s="19"/>
      <c r="EY499" s="19"/>
      <c r="EZ499" s="19"/>
      <c r="FA499" s="19"/>
      <c r="FB499" s="19"/>
    </row>
    <row r="500" ht="15.75" customHeight="1">
      <c r="A500" s="19"/>
      <c r="F500" s="19"/>
      <c r="AH500" s="23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  <c r="CD500" s="19"/>
      <c r="CE500" s="19"/>
      <c r="CF500" s="19"/>
      <c r="CG500" s="19"/>
      <c r="CH500" s="19"/>
      <c r="CI500" s="19"/>
      <c r="CJ500" s="19"/>
      <c r="CK500" s="19"/>
      <c r="CL500" s="19"/>
      <c r="CM500" s="19"/>
      <c r="CN500" s="19"/>
      <c r="CO500" s="19"/>
      <c r="CP500" s="19"/>
      <c r="CQ500" s="19"/>
      <c r="CR500" s="19"/>
      <c r="CS500" s="19"/>
      <c r="CT500" s="19"/>
      <c r="CU500" s="19"/>
      <c r="CV500" s="19"/>
      <c r="CW500" s="19"/>
      <c r="CX500" s="19"/>
      <c r="CY500" s="19"/>
      <c r="CZ500" s="19"/>
      <c r="DA500" s="19"/>
      <c r="DB500" s="19"/>
      <c r="DC500" s="19"/>
      <c r="DD500" s="19"/>
      <c r="DE500" s="19"/>
      <c r="DF500" s="19"/>
      <c r="DG500" s="19"/>
      <c r="DH500" s="19"/>
      <c r="DI500" s="19"/>
      <c r="DJ500" s="19"/>
      <c r="DK500" s="19"/>
      <c r="DL500" s="19"/>
      <c r="DM500" s="19"/>
      <c r="DN500" s="19"/>
      <c r="DO500" s="19"/>
      <c r="DP500" s="19"/>
      <c r="DQ500" s="19"/>
      <c r="DR500" s="19"/>
      <c r="DS500" s="19"/>
      <c r="DT500" s="19"/>
      <c r="DU500" s="19"/>
      <c r="DV500" s="19"/>
      <c r="DW500" s="19"/>
      <c r="DX500" s="19"/>
      <c r="DY500" s="19"/>
      <c r="DZ500" s="19"/>
      <c r="EA500" s="19"/>
      <c r="EB500" s="19"/>
      <c r="EC500" s="19"/>
      <c r="ED500" s="19"/>
      <c r="EE500" s="19"/>
      <c r="EF500" s="19"/>
      <c r="EG500" s="19"/>
      <c r="EH500" s="19"/>
      <c r="EI500" s="19"/>
      <c r="EJ500" s="19"/>
      <c r="EK500" s="19"/>
      <c r="EL500" s="19"/>
      <c r="EM500" s="19"/>
      <c r="EN500" s="19"/>
      <c r="EO500" s="19"/>
      <c r="EP500" s="17"/>
      <c r="EQ500" s="23"/>
      <c r="ER500" s="23" t="str">
        <f t="shared" si="7"/>
        <v/>
      </c>
      <c r="ES500" s="19"/>
      <c r="ET500" s="19" t="str">
        <f t="shared" si="8"/>
        <v/>
      </c>
      <c r="EU500" s="19"/>
      <c r="EV500" s="19"/>
      <c r="EW500" s="19"/>
      <c r="EX500" s="19"/>
      <c r="EY500" s="19"/>
      <c r="EZ500" s="19"/>
      <c r="FA500" s="19"/>
      <c r="FB500" s="19"/>
    </row>
    <row r="501" ht="15.75" customHeight="1">
      <c r="A501" s="19"/>
      <c r="F501" s="19"/>
      <c r="AH501" s="23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7"/>
      <c r="EQ501" s="23"/>
      <c r="ER501" s="23" t="str">
        <f t="shared" si="7"/>
        <v/>
      </c>
      <c r="ES501" s="19"/>
      <c r="ET501" s="19" t="str">
        <f t="shared" si="8"/>
        <v/>
      </c>
      <c r="EU501" s="19"/>
      <c r="EV501" s="19"/>
      <c r="EW501" s="19"/>
      <c r="EX501" s="19"/>
      <c r="EY501" s="19"/>
      <c r="EZ501" s="19"/>
      <c r="FA501" s="19"/>
      <c r="FB501" s="19"/>
    </row>
    <row r="502" ht="15.75" customHeight="1">
      <c r="A502" s="19"/>
      <c r="F502" s="19"/>
      <c r="AH502" s="23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  <c r="CD502" s="19"/>
      <c r="CE502" s="19"/>
      <c r="CF502" s="19"/>
      <c r="CG502" s="19"/>
      <c r="CH502" s="19"/>
      <c r="CI502" s="19"/>
      <c r="CJ502" s="19"/>
      <c r="CK502" s="19"/>
      <c r="CL502" s="19"/>
      <c r="CM502" s="19"/>
      <c r="CN502" s="19"/>
      <c r="CO502" s="19"/>
      <c r="CP502" s="19"/>
      <c r="CQ502" s="19"/>
      <c r="CR502" s="19"/>
      <c r="CS502" s="19"/>
      <c r="CT502" s="19"/>
      <c r="CU502" s="19"/>
      <c r="CV502" s="19"/>
      <c r="CW502" s="19"/>
      <c r="CX502" s="19"/>
      <c r="CY502" s="19"/>
      <c r="CZ502" s="19"/>
      <c r="DA502" s="19"/>
      <c r="DB502" s="19"/>
      <c r="DC502" s="19"/>
      <c r="DD502" s="19"/>
      <c r="DE502" s="19"/>
      <c r="DF502" s="19"/>
      <c r="DG502" s="19"/>
      <c r="DH502" s="19"/>
      <c r="DI502" s="19"/>
      <c r="DJ502" s="19"/>
      <c r="DK502" s="19"/>
      <c r="DL502" s="19"/>
      <c r="DM502" s="19"/>
      <c r="DN502" s="19"/>
      <c r="DO502" s="19"/>
      <c r="DP502" s="19"/>
      <c r="DQ502" s="19"/>
      <c r="DR502" s="19"/>
      <c r="DS502" s="19"/>
      <c r="DT502" s="19"/>
      <c r="DU502" s="19"/>
      <c r="DV502" s="19"/>
      <c r="DW502" s="19"/>
      <c r="DX502" s="19"/>
      <c r="DY502" s="19"/>
      <c r="DZ502" s="19"/>
      <c r="EA502" s="19"/>
      <c r="EB502" s="19"/>
      <c r="EC502" s="19"/>
      <c r="ED502" s="19"/>
      <c r="EE502" s="19"/>
      <c r="EF502" s="19"/>
      <c r="EG502" s="19"/>
      <c r="EH502" s="19"/>
      <c r="EI502" s="19"/>
      <c r="EJ502" s="19"/>
      <c r="EK502" s="19"/>
      <c r="EL502" s="19"/>
      <c r="EM502" s="19"/>
      <c r="EN502" s="19"/>
      <c r="EO502" s="19"/>
      <c r="EP502" s="17"/>
      <c r="EQ502" s="23"/>
      <c r="ER502" s="23" t="str">
        <f t="shared" si="7"/>
        <v/>
      </c>
      <c r="ES502" s="19"/>
      <c r="ET502" s="19" t="str">
        <f t="shared" si="8"/>
        <v/>
      </c>
      <c r="EU502" s="19"/>
      <c r="EV502" s="19"/>
      <c r="EW502" s="19"/>
      <c r="EX502" s="19"/>
      <c r="EY502" s="19"/>
      <c r="EZ502" s="19"/>
      <c r="FA502" s="19"/>
      <c r="FB502" s="19"/>
    </row>
    <row r="503" ht="15.75" customHeight="1">
      <c r="A503" s="19"/>
      <c r="F503" s="19"/>
      <c r="AH503" s="23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  <c r="CD503" s="19"/>
      <c r="CE503" s="19"/>
      <c r="CF503" s="19"/>
      <c r="CG503" s="19"/>
      <c r="CH503" s="19"/>
      <c r="CI503" s="19"/>
      <c r="CJ503" s="19"/>
      <c r="CK503" s="19"/>
      <c r="CL503" s="19"/>
      <c r="CM503" s="19"/>
      <c r="CN503" s="19"/>
      <c r="CO503" s="19"/>
      <c r="CP503" s="19"/>
      <c r="CQ503" s="19"/>
      <c r="CR503" s="19"/>
      <c r="CS503" s="19"/>
      <c r="CT503" s="19"/>
      <c r="CU503" s="19"/>
      <c r="CV503" s="19"/>
      <c r="CW503" s="19"/>
      <c r="CX503" s="19"/>
      <c r="CY503" s="19"/>
      <c r="CZ503" s="19"/>
      <c r="DA503" s="19"/>
      <c r="DB503" s="19"/>
      <c r="DC503" s="19"/>
      <c r="DD503" s="19"/>
      <c r="DE503" s="19"/>
      <c r="DF503" s="19"/>
      <c r="DG503" s="19"/>
      <c r="DH503" s="19"/>
      <c r="DI503" s="19"/>
      <c r="DJ503" s="19"/>
      <c r="DK503" s="19"/>
      <c r="DL503" s="19"/>
      <c r="DM503" s="19"/>
      <c r="DN503" s="19"/>
      <c r="DO503" s="19"/>
      <c r="DP503" s="19"/>
      <c r="DQ503" s="19"/>
      <c r="DR503" s="19"/>
      <c r="DS503" s="19"/>
      <c r="DT503" s="19"/>
      <c r="DU503" s="19"/>
      <c r="DV503" s="19"/>
      <c r="DW503" s="19"/>
      <c r="DX503" s="19"/>
      <c r="DY503" s="19"/>
      <c r="DZ503" s="19"/>
      <c r="EA503" s="19"/>
      <c r="EB503" s="19"/>
      <c r="EC503" s="19"/>
      <c r="ED503" s="19"/>
      <c r="EE503" s="19"/>
      <c r="EF503" s="19"/>
      <c r="EG503" s="19"/>
      <c r="EH503" s="19"/>
      <c r="EI503" s="19"/>
      <c r="EJ503" s="19"/>
      <c r="EK503" s="19"/>
      <c r="EL503" s="19"/>
      <c r="EM503" s="19"/>
      <c r="EN503" s="19"/>
      <c r="EO503" s="19"/>
      <c r="EP503" s="17"/>
      <c r="EQ503" s="23"/>
      <c r="ER503" s="23" t="str">
        <f t="shared" si="7"/>
        <v/>
      </c>
      <c r="ES503" s="19"/>
      <c r="ET503" s="19" t="str">
        <f t="shared" si="8"/>
        <v/>
      </c>
      <c r="EU503" s="19"/>
      <c r="EV503" s="19"/>
      <c r="EW503" s="19"/>
      <c r="EX503" s="19"/>
      <c r="EY503" s="19"/>
      <c r="EZ503" s="19"/>
      <c r="FA503" s="19"/>
      <c r="FB503" s="19"/>
    </row>
    <row r="504" ht="15.75" customHeight="1">
      <c r="A504" s="19"/>
      <c r="F504" s="19"/>
      <c r="AH504" s="23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  <c r="CD504" s="19"/>
      <c r="CE504" s="19"/>
      <c r="CF504" s="19"/>
      <c r="CG504" s="19"/>
      <c r="CH504" s="19"/>
      <c r="CI504" s="19"/>
      <c r="CJ504" s="19"/>
      <c r="CK504" s="19"/>
      <c r="CL504" s="19"/>
      <c r="CM504" s="19"/>
      <c r="CN504" s="19"/>
      <c r="CO504" s="19"/>
      <c r="CP504" s="19"/>
      <c r="CQ504" s="19"/>
      <c r="CR504" s="19"/>
      <c r="CS504" s="19"/>
      <c r="CT504" s="19"/>
      <c r="CU504" s="19"/>
      <c r="CV504" s="19"/>
      <c r="CW504" s="19"/>
      <c r="CX504" s="19"/>
      <c r="CY504" s="19"/>
      <c r="CZ504" s="19"/>
      <c r="DA504" s="19"/>
      <c r="DB504" s="19"/>
      <c r="DC504" s="19"/>
      <c r="DD504" s="19"/>
      <c r="DE504" s="19"/>
      <c r="DF504" s="19"/>
      <c r="DG504" s="19"/>
      <c r="DH504" s="19"/>
      <c r="DI504" s="19"/>
      <c r="DJ504" s="19"/>
      <c r="DK504" s="19"/>
      <c r="DL504" s="19"/>
      <c r="DM504" s="19"/>
      <c r="DN504" s="19"/>
      <c r="DO504" s="19"/>
      <c r="DP504" s="19"/>
      <c r="DQ504" s="19"/>
      <c r="DR504" s="19"/>
      <c r="DS504" s="19"/>
      <c r="DT504" s="19"/>
      <c r="DU504" s="19"/>
      <c r="DV504" s="19"/>
      <c r="DW504" s="19"/>
      <c r="DX504" s="19"/>
      <c r="DY504" s="19"/>
      <c r="DZ504" s="19"/>
      <c r="EA504" s="19"/>
      <c r="EB504" s="19"/>
      <c r="EC504" s="19"/>
      <c r="ED504" s="19"/>
      <c r="EE504" s="19"/>
      <c r="EF504" s="19"/>
      <c r="EG504" s="19"/>
      <c r="EH504" s="19"/>
      <c r="EI504" s="19"/>
      <c r="EJ504" s="19"/>
      <c r="EK504" s="19"/>
      <c r="EL504" s="19"/>
      <c r="EM504" s="19"/>
      <c r="EN504" s="19"/>
      <c r="EO504" s="19"/>
      <c r="EP504" s="17"/>
      <c r="EQ504" s="23"/>
      <c r="ER504" s="23" t="str">
        <f t="shared" si="7"/>
        <v/>
      </c>
      <c r="ES504" s="19"/>
      <c r="ET504" s="19" t="str">
        <f t="shared" si="8"/>
        <v/>
      </c>
      <c r="EU504" s="19"/>
      <c r="EV504" s="19"/>
      <c r="EW504" s="19"/>
      <c r="EX504" s="19"/>
      <c r="EY504" s="19"/>
      <c r="EZ504" s="19"/>
      <c r="FA504" s="19"/>
      <c r="FB504" s="19"/>
    </row>
    <row r="505" ht="15.75" customHeight="1">
      <c r="A505" s="19"/>
      <c r="F505" s="19"/>
      <c r="AH505" s="23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  <c r="CD505" s="19"/>
      <c r="CE505" s="19"/>
      <c r="CF505" s="19"/>
      <c r="CG505" s="19"/>
      <c r="CH505" s="19"/>
      <c r="CI505" s="19"/>
      <c r="CJ505" s="19"/>
      <c r="CK505" s="19"/>
      <c r="CL505" s="19"/>
      <c r="CM505" s="19"/>
      <c r="CN505" s="19"/>
      <c r="CO505" s="19"/>
      <c r="CP505" s="19"/>
      <c r="CQ505" s="19"/>
      <c r="CR505" s="19"/>
      <c r="CS505" s="19"/>
      <c r="CT505" s="19"/>
      <c r="CU505" s="19"/>
      <c r="CV505" s="19"/>
      <c r="CW505" s="19"/>
      <c r="CX505" s="19"/>
      <c r="CY505" s="19"/>
      <c r="CZ505" s="19"/>
      <c r="DA505" s="19"/>
      <c r="DB505" s="19"/>
      <c r="DC505" s="19"/>
      <c r="DD505" s="19"/>
      <c r="DE505" s="19"/>
      <c r="DF505" s="19"/>
      <c r="DG505" s="19"/>
      <c r="DH505" s="19"/>
      <c r="DI505" s="19"/>
      <c r="DJ505" s="19"/>
      <c r="DK505" s="19"/>
      <c r="DL505" s="19"/>
      <c r="DM505" s="19"/>
      <c r="DN505" s="19"/>
      <c r="DO505" s="19"/>
      <c r="DP505" s="19"/>
      <c r="DQ505" s="19"/>
      <c r="DR505" s="19"/>
      <c r="DS505" s="19"/>
      <c r="DT505" s="19"/>
      <c r="DU505" s="19"/>
      <c r="DV505" s="19"/>
      <c r="DW505" s="19"/>
      <c r="DX505" s="19"/>
      <c r="DY505" s="19"/>
      <c r="DZ505" s="19"/>
      <c r="EA505" s="19"/>
      <c r="EB505" s="19"/>
      <c r="EC505" s="19"/>
      <c r="ED505" s="19"/>
      <c r="EE505" s="19"/>
      <c r="EF505" s="19"/>
      <c r="EG505" s="19"/>
      <c r="EH505" s="19"/>
      <c r="EI505" s="19"/>
      <c r="EJ505" s="19"/>
      <c r="EK505" s="19"/>
      <c r="EL505" s="19"/>
      <c r="EM505" s="19"/>
      <c r="EN505" s="19"/>
      <c r="EO505" s="19"/>
      <c r="EP505" s="17"/>
      <c r="EQ505" s="23"/>
      <c r="ER505" s="23" t="str">
        <f t="shared" si="7"/>
        <v/>
      </c>
      <c r="ES505" s="19"/>
      <c r="ET505" s="19" t="str">
        <f t="shared" si="8"/>
        <v/>
      </c>
      <c r="EU505" s="19"/>
      <c r="EV505" s="19"/>
      <c r="EW505" s="19"/>
      <c r="EX505" s="19"/>
      <c r="EY505" s="19"/>
      <c r="EZ505" s="19"/>
      <c r="FA505" s="19"/>
      <c r="FB505" s="19"/>
    </row>
    <row r="506" ht="15.75" customHeight="1">
      <c r="A506" s="19"/>
      <c r="F506" s="19"/>
      <c r="AH506" s="23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  <c r="CD506" s="19"/>
      <c r="CE506" s="19"/>
      <c r="CF506" s="19"/>
      <c r="CG506" s="19"/>
      <c r="CH506" s="19"/>
      <c r="CI506" s="19"/>
      <c r="CJ506" s="19"/>
      <c r="CK506" s="19"/>
      <c r="CL506" s="19"/>
      <c r="CM506" s="19"/>
      <c r="CN506" s="19"/>
      <c r="CO506" s="19"/>
      <c r="CP506" s="19"/>
      <c r="CQ506" s="19"/>
      <c r="CR506" s="19"/>
      <c r="CS506" s="19"/>
      <c r="CT506" s="19"/>
      <c r="CU506" s="19"/>
      <c r="CV506" s="19"/>
      <c r="CW506" s="19"/>
      <c r="CX506" s="19"/>
      <c r="CY506" s="19"/>
      <c r="CZ506" s="19"/>
      <c r="DA506" s="19"/>
      <c r="DB506" s="19"/>
      <c r="DC506" s="19"/>
      <c r="DD506" s="19"/>
      <c r="DE506" s="19"/>
      <c r="DF506" s="19"/>
      <c r="DG506" s="19"/>
      <c r="DH506" s="19"/>
      <c r="DI506" s="19"/>
      <c r="DJ506" s="19"/>
      <c r="DK506" s="19"/>
      <c r="DL506" s="19"/>
      <c r="DM506" s="19"/>
      <c r="DN506" s="19"/>
      <c r="DO506" s="19"/>
      <c r="DP506" s="19"/>
      <c r="DQ506" s="19"/>
      <c r="DR506" s="19"/>
      <c r="DS506" s="19"/>
      <c r="DT506" s="19"/>
      <c r="DU506" s="19"/>
      <c r="DV506" s="19"/>
      <c r="DW506" s="19"/>
      <c r="DX506" s="19"/>
      <c r="DY506" s="19"/>
      <c r="DZ506" s="19"/>
      <c r="EA506" s="19"/>
      <c r="EB506" s="19"/>
      <c r="EC506" s="19"/>
      <c r="ED506" s="19"/>
      <c r="EE506" s="19"/>
      <c r="EF506" s="19"/>
      <c r="EG506" s="19"/>
      <c r="EH506" s="19"/>
      <c r="EI506" s="19"/>
      <c r="EJ506" s="19"/>
      <c r="EK506" s="19"/>
      <c r="EL506" s="19"/>
      <c r="EM506" s="19"/>
      <c r="EN506" s="19"/>
      <c r="EO506" s="19"/>
      <c r="EP506" s="17"/>
      <c r="EQ506" s="23"/>
      <c r="ER506" s="23" t="str">
        <f t="shared" si="7"/>
        <v/>
      </c>
      <c r="ES506" s="19"/>
      <c r="ET506" s="19" t="str">
        <f t="shared" si="8"/>
        <v/>
      </c>
      <c r="EU506" s="19"/>
      <c r="EV506" s="19"/>
      <c r="EW506" s="19"/>
      <c r="EX506" s="19"/>
      <c r="EY506" s="19"/>
      <c r="EZ506" s="19"/>
      <c r="FA506" s="19"/>
      <c r="FB506" s="19"/>
    </row>
    <row r="507" ht="15.75" customHeight="1">
      <c r="A507" s="19"/>
      <c r="F507" s="19"/>
      <c r="AH507" s="23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  <c r="CD507" s="19"/>
      <c r="CE507" s="19"/>
      <c r="CF507" s="19"/>
      <c r="CG507" s="19"/>
      <c r="CH507" s="19"/>
      <c r="CI507" s="19"/>
      <c r="CJ507" s="19"/>
      <c r="CK507" s="19"/>
      <c r="CL507" s="19"/>
      <c r="CM507" s="19"/>
      <c r="CN507" s="19"/>
      <c r="CO507" s="19"/>
      <c r="CP507" s="19"/>
      <c r="CQ507" s="19"/>
      <c r="CR507" s="19"/>
      <c r="CS507" s="19"/>
      <c r="CT507" s="19"/>
      <c r="CU507" s="19"/>
      <c r="CV507" s="19"/>
      <c r="CW507" s="19"/>
      <c r="CX507" s="19"/>
      <c r="CY507" s="19"/>
      <c r="CZ507" s="19"/>
      <c r="DA507" s="19"/>
      <c r="DB507" s="19"/>
      <c r="DC507" s="19"/>
      <c r="DD507" s="19"/>
      <c r="DE507" s="19"/>
      <c r="DF507" s="19"/>
      <c r="DG507" s="19"/>
      <c r="DH507" s="19"/>
      <c r="DI507" s="19"/>
      <c r="DJ507" s="19"/>
      <c r="DK507" s="19"/>
      <c r="DL507" s="19"/>
      <c r="DM507" s="19"/>
      <c r="DN507" s="19"/>
      <c r="DO507" s="19"/>
      <c r="DP507" s="19"/>
      <c r="DQ507" s="19"/>
      <c r="DR507" s="19"/>
      <c r="DS507" s="19"/>
      <c r="DT507" s="19"/>
      <c r="DU507" s="19"/>
      <c r="DV507" s="19"/>
      <c r="DW507" s="19"/>
      <c r="DX507" s="19"/>
      <c r="DY507" s="19"/>
      <c r="DZ507" s="19"/>
      <c r="EA507" s="19"/>
      <c r="EB507" s="19"/>
      <c r="EC507" s="19"/>
      <c r="ED507" s="19"/>
      <c r="EE507" s="19"/>
      <c r="EF507" s="19"/>
      <c r="EG507" s="19"/>
      <c r="EH507" s="19"/>
      <c r="EI507" s="19"/>
      <c r="EJ507" s="19"/>
      <c r="EK507" s="19"/>
      <c r="EL507" s="19"/>
      <c r="EM507" s="19"/>
      <c r="EN507" s="19"/>
      <c r="EO507" s="19"/>
      <c r="EP507" s="17"/>
      <c r="EQ507" s="23"/>
      <c r="ER507" s="23" t="str">
        <f t="shared" si="7"/>
        <v/>
      </c>
      <c r="ES507" s="19"/>
      <c r="ET507" s="19" t="str">
        <f t="shared" si="8"/>
        <v/>
      </c>
      <c r="EU507" s="19"/>
      <c r="EV507" s="19"/>
      <c r="EW507" s="19"/>
      <c r="EX507" s="19"/>
      <c r="EY507" s="19"/>
      <c r="EZ507" s="19"/>
      <c r="FA507" s="19"/>
      <c r="FB507" s="19"/>
    </row>
    <row r="508" ht="15.75" customHeight="1">
      <c r="A508" s="19"/>
      <c r="F508" s="19"/>
      <c r="AH508" s="23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  <c r="CD508" s="19"/>
      <c r="CE508" s="19"/>
      <c r="CF508" s="19"/>
      <c r="CG508" s="19"/>
      <c r="CH508" s="19"/>
      <c r="CI508" s="19"/>
      <c r="CJ508" s="19"/>
      <c r="CK508" s="19"/>
      <c r="CL508" s="19"/>
      <c r="CM508" s="19"/>
      <c r="CN508" s="19"/>
      <c r="CO508" s="19"/>
      <c r="CP508" s="19"/>
      <c r="CQ508" s="19"/>
      <c r="CR508" s="19"/>
      <c r="CS508" s="19"/>
      <c r="CT508" s="19"/>
      <c r="CU508" s="19"/>
      <c r="CV508" s="19"/>
      <c r="CW508" s="19"/>
      <c r="CX508" s="19"/>
      <c r="CY508" s="19"/>
      <c r="CZ508" s="19"/>
      <c r="DA508" s="19"/>
      <c r="DB508" s="19"/>
      <c r="DC508" s="19"/>
      <c r="DD508" s="19"/>
      <c r="DE508" s="19"/>
      <c r="DF508" s="19"/>
      <c r="DG508" s="19"/>
      <c r="DH508" s="19"/>
      <c r="DI508" s="19"/>
      <c r="DJ508" s="19"/>
      <c r="DK508" s="19"/>
      <c r="DL508" s="19"/>
      <c r="DM508" s="19"/>
      <c r="DN508" s="19"/>
      <c r="DO508" s="19"/>
      <c r="DP508" s="19"/>
      <c r="DQ508" s="19"/>
      <c r="DR508" s="19"/>
      <c r="DS508" s="19"/>
      <c r="DT508" s="19"/>
      <c r="DU508" s="19"/>
      <c r="DV508" s="19"/>
      <c r="DW508" s="19"/>
      <c r="DX508" s="19"/>
      <c r="DY508" s="19"/>
      <c r="DZ508" s="19"/>
      <c r="EA508" s="19"/>
      <c r="EB508" s="19"/>
      <c r="EC508" s="19"/>
      <c r="ED508" s="19"/>
      <c r="EE508" s="19"/>
      <c r="EF508" s="19"/>
      <c r="EG508" s="19"/>
      <c r="EH508" s="19"/>
      <c r="EI508" s="19"/>
      <c r="EJ508" s="19"/>
      <c r="EK508" s="19"/>
      <c r="EL508" s="19"/>
      <c r="EM508" s="19"/>
      <c r="EN508" s="19"/>
      <c r="EO508" s="19"/>
      <c r="EP508" s="17"/>
      <c r="EQ508" s="23"/>
      <c r="ER508" s="23" t="str">
        <f t="shared" si="7"/>
        <v/>
      </c>
      <c r="ES508" s="19"/>
      <c r="ET508" s="19" t="str">
        <f t="shared" si="8"/>
        <v/>
      </c>
      <c r="EU508" s="19"/>
      <c r="EV508" s="19"/>
      <c r="EW508" s="19"/>
      <c r="EX508" s="19"/>
      <c r="EY508" s="19"/>
      <c r="EZ508" s="19"/>
      <c r="FA508" s="19"/>
      <c r="FB508" s="19"/>
    </row>
    <row r="509" ht="15.75" customHeight="1">
      <c r="A509" s="19"/>
      <c r="F509" s="19"/>
      <c r="AH509" s="23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  <c r="CD509" s="19"/>
      <c r="CE509" s="19"/>
      <c r="CF509" s="19"/>
      <c r="CG509" s="19"/>
      <c r="CH509" s="19"/>
      <c r="CI509" s="19"/>
      <c r="CJ509" s="19"/>
      <c r="CK509" s="19"/>
      <c r="CL509" s="19"/>
      <c r="CM509" s="19"/>
      <c r="CN509" s="19"/>
      <c r="CO509" s="19"/>
      <c r="CP509" s="19"/>
      <c r="CQ509" s="19"/>
      <c r="CR509" s="19"/>
      <c r="CS509" s="19"/>
      <c r="CT509" s="19"/>
      <c r="CU509" s="19"/>
      <c r="CV509" s="19"/>
      <c r="CW509" s="19"/>
      <c r="CX509" s="19"/>
      <c r="CY509" s="19"/>
      <c r="CZ509" s="19"/>
      <c r="DA509" s="19"/>
      <c r="DB509" s="19"/>
      <c r="DC509" s="19"/>
      <c r="DD509" s="19"/>
      <c r="DE509" s="19"/>
      <c r="DF509" s="19"/>
      <c r="DG509" s="19"/>
      <c r="DH509" s="19"/>
      <c r="DI509" s="19"/>
      <c r="DJ509" s="19"/>
      <c r="DK509" s="19"/>
      <c r="DL509" s="19"/>
      <c r="DM509" s="19"/>
      <c r="DN509" s="19"/>
      <c r="DO509" s="19"/>
      <c r="DP509" s="19"/>
      <c r="DQ509" s="19"/>
      <c r="DR509" s="19"/>
      <c r="DS509" s="19"/>
      <c r="DT509" s="19"/>
      <c r="DU509" s="19"/>
      <c r="DV509" s="19"/>
      <c r="DW509" s="19"/>
      <c r="DX509" s="19"/>
      <c r="DY509" s="19"/>
      <c r="DZ509" s="19"/>
      <c r="EA509" s="19"/>
      <c r="EB509" s="19"/>
      <c r="EC509" s="19"/>
      <c r="ED509" s="19"/>
      <c r="EE509" s="19"/>
      <c r="EF509" s="19"/>
      <c r="EG509" s="19"/>
      <c r="EH509" s="19"/>
      <c r="EI509" s="19"/>
      <c r="EJ509" s="19"/>
      <c r="EK509" s="19"/>
      <c r="EL509" s="19"/>
      <c r="EM509" s="19"/>
      <c r="EN509" s="19"/>
      <c r="EO509" s="19"/>
      <c r="EP509" s="17"/>
      <c r="EQ509" s="23"/>
      <c r="ER509" s="23" t="str">
        <f t="shared" si="7"/>
        <v/>
      </c>
      <c r="ES509" s="19"/>
      <c r="ET509" s="19" t="str">
        <f t="shared" si="8"/>
        <v/>
      </c>
      <c r="EU509" s="19"/>
      <c r="EV509" s="19"/>
      <c r="EW509" s="19"/>
      <c r="EX509" s="19"/>
      <c r="EY509" s="19"/>
      <c r="EZ509" s="19"/>
      <c r="FA509" s="19"/>
      <c r="FB509" s="19"/>
    </row>
    <row r="510" ht="15.75" customHeight="1">
      <c r="A510" s="19"/>
      <c r="F510" s="19"/>
      <c r="AH510" s="23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  <c r="CD510" s="19"/>
      <c r="CE510" s="19"/>
      <c r="CF510" s="19"/>
      <c r="CG510" s="19"/>
      <c r="CH510" s="19"/>
      <c r="CI510" s="19"/>
      <c r="CJ510" s="19"/>
      <c r="CK510" s="19"/>
      <c r="CL510" s="19"/>
      <c r="CM510" s="19"/>
      <c r="CN510" s="19"/>
      <c r="CO510" s="19"/>
      <c r="CP510" s="19"/>
      <c r="CQ510" s="19"/>
      <c r="CR510" s="19"/>
      <c r="CS510" s="19"/>
      <c r="CT510" s="19"/>
      <c r="CU510" s="19"/>
      <c r="CV510" s="19"/>
      <c r="CW510" s="19"/>
      <c r="CX510" s="19"/>
      <c r="CY510" s="19"/>
      <c r="CZ510" s="19"/>
      <c r="DA510" s="19"/>
      <c r="DB510" s="19"/>
      <c r="DC510" s="19"/>
      <c r="DD510" s="19"/>
      <c r="DE510" s="19"/>
      <c r="DF510" s="19"/>
      <c r="DG510" s="19"/>
      <c r="DH510" s="19"/>
      <c r="DI510" s="19"/>
      <c r="DJ510" s="19"/>
      <c r="DK510" s="19"/>
      <c r="DL510" s="19"/>
      <c r="DM510" s="19"/>
      <c r="DN510" s="19"/>
      <c r="DO510" s="19"/>
      <c r="DP510" s="19"/>
      <c r="DQ510" s="19"/>
      <c r="DR510" s="19"/>
      <c r="DS510" s="19"/>
      <c r="DT510" s="19"/>
      <c r="DU510" s="19"/>
      <c r="DV510" s="19"/>
      <c r="DW510" s="19"/>
      <c r="DX510" s="19"/>
      <c r="DY510" s="19"/>
      <c r="DZ510" s="19"/>
      <c r="EA510" s="19"/>
      <c r="EB510" s="19"/>
      <c r="EC510" s="19"/>
      <c r="ED510" s="19"/>
      <c r="EE510" s="19"/>
      <c r="EF510" s="19"/>
      <c r="EG510" s="19"/>
      <c r="EH510" s="19"/>
      <c r="EI510" s="19"/>
      <c r="EJ510" s="19"/>
      <c r="EK510" s="19"/>
      <c r="EL510" s="19"/>
      <c r="EM510" s="19"/>
      <c r="EN510" s="19"/>
      <c r="EO510" s="19"/>
      <c r="EP510" s="17"/>
      <c r="EQ510" s="23"/>
      <c r="ER510" s="23" t="str">
        <f t="shared" si="7"/>
        <v/>
      </c>
      <c r="ES510" s="19"/>
      <c r="ET510" s="19" t="str">
        <f t="shared" si="8"/>
        <v/>
      </c>
      <c r="EU510" s="19"/>
      <c r="EV510" s="19"/>
      <c r="EW510" s="19"/>
      <c r="EX510" s="19"/>
      <c r="EY510" s="19"/>
      <c r="EZ510" s="19"/>
      <c r="FA510" s="19"/>
      <c r="FB510" s="19"/>
    </row>
    <row r="511" ht="15.75" customHeight="1">
      <c r="A511" s="19"/>
      <c r="F511" s="19"/>
      <c r="AH511" s="23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  <c r="EE511" s="19"/>
      <c r="EF511" s="19"/>
      <c r="EG511" s="19"/>
      <c r="EH511" s="19"/>
      <c r="EI511" s="19"/>
      <c r="EJ511" s="19"/>
      <c r="EK511" s="19"/>
      <c r="EL511" s="19"/>
      <c r="EM511" s="19"/>
      <c r="EN511" s="19"/>
      <c r="EO511" s="19"/>
      <c r="EP511" s="17"/>
      <c r="EQ511" s="23"/>
      <c r="ER511" s="23" t="str">
        <f t="shared" si="7"/>
        <v/>
      </c>
      <c r="ES511" s="19"/>
      <c r="ET511" s="19" t="str">
        <f t="shared" si="8"/>
        <v/>
      </c>
      <c r="EU511" s="19"/>
      <c r="EV511" s="19"/>
      <c r="EW511" s="19"/>
      <c r="EX511" s="19"/>
      <c r="EY511" s="19"/>
      <c r="EZ511" s="19"/>
      <c r="FA511" s="19"/>
      <c r="FB511" s="19"/>
    </row>
    <row r="512" ht="15.75" customHeight="1">
      <c r="A512" s="19"/>
      <c r="F512" s="19"/>
      <c r="AH512" s="23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7"/>
      <c r="EQ512" s="23"/>
      <c r="ER512" s="23" t="str">
        <f t="shared" si="7"/>
        <v/>
      </c>
      <c r="ES512" s="19"/>
      <c r="ET512" s="19" t="str">
        <f t="shared" si="8"/>
        <v/>
      </c>
      <c r="EU512" s="19"/>
      <c r="EV512" s="19"/>
      <c r="EW512" s="19"/>
      <c r="EX512" s="19"/>
      <c r="EY512" s="19"/>
      <c r="EZ512" s="19"/>
      <c r="FA512" s="19"/>
      <c r="FB512" s="19"/>
    </row>
    <row r="513" ht="15.75" customHeight="1">
      <c r="A513" s="19"/>
      <c r="F513" s="19"/>
      <c r="AH513" s="23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  <c r="CD513" s="19"/>
      <c r="CE513" s="19"/>
      <c r="CF513" s="19"/>
      <c r="CG513" s="19"/>
      <c r="CH513" s="19"/>
      <c r="CI513" s="19"/>
      <c r="CJ513" s="19"/>
      <c r="CK513" s="19"/>
      <c r="CL513" s="19"/>
      <c r="CM513" s="19"/>
      <c r="CN513" s="19"/>
      <c r="CO513" s="19"/>
      <c r="CP513" s="19"/>
      <c r="CQ513" s="19"/>
      <c r="CR513" s="19"/>
      <c r="CS513" s="19"/>
      <c r="CT513" s="19"/>
      <c r="CU513" s="19"/>
      <c r="CV513" s="19"/>
      <c r="CW513" s="19"/>
      <c r="CX513" s="19"/>
      <c r="CY513" s="19"/>
      <c r="CZ513" s="19"/>
      <c r="DA513" s="19"/>
      <c r="DB513" s="19"/>
      <c r="DC513" s="19"/>
      <c r="DD513" s="19"/>
      <c r="DE513" s="19"/>
      <c r="DF513" s="19"/>
      <c r="DG513" s="19"/>
      <c r="DH513" s="19"/>
      <c r="DI513" s="19"/>
      <c r="DJ513" s="19"/>
      <c r="DK513" s="19"/>
      <c r="DL513" s="19"/>
      <c r="DM513" s="19"/>
      <c r="DN513" s="19"/>
      <c r="DO513" s="19"/>
      <c r="DP513" s="19"/>
      <c r="DQ513" s="19"/>
      <c r="DR513" s="19"/>
      <c r="DS513" s="19"/>
      <c r="DT513" s="19"/>
      <c r="DU513" s="19"/>
      <c r="DV513" s="19"/>
      <c r="DW513" s="19"/>
      <c r="DX513" s="19"/>
      <c r="DY513" s="19"/>
      <c r="DZ513" s="19"/>
      <c r="EA513" s="19"/>
      <c r="EB513" s="19"/>
      <c r="EC513" s="19"/>
      <c r="ED513" s="19"/>
      <c r="EE513" s="19"/>
      <c r="EF513" s="19"/>
      <c r="EG513" s="19"/>
      <c r="EH513" s="19"/>
      <c r="EI513" s="19"/>
      <c r="EJ513" s="19"/>
      <c r="EK513" s="19"/>
      <c r="EL513" s="19"/>
      <c r="EM513" s="19"/>
      <c r="EN513" s="19"/>
      <c r="EO513" s="19"/>
      <c r="EP513" s="17"/>
      <c r="EQ513" s="23"/>
      <c r="ER513" s="23" t="str">
        <f t="shared" si="7"/>
        <v/>
      </c>
      <c r="ES513" s="19"/>
      <c r="ET513" s="19" t="str">
        <f t="shared" si="8"/>
        <v/>
      </c>
      <c r="EU513" s="19"/>
      <c r="EV513" s="19"/>
      <c r="EW513" s="19"/>
      <c r="EX513" s="19"/>
      <c r="EY513" s="19"/>
      <c r="EZ513" s="19"/>
      <c r="FA513" s="19"/>
      <c r="FB513" s="19"/>
    </row>
    <row r="514" ht="15.75" customHeight="1">
      <c r="A514" s="19"/>
      <c r="F514" s="19"/>
      <c r="AH514" s="23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19"/>
      <c r="CS514" s="19"/>
      <c r="CT514" s="19"/>
      <c r="CU514" s="19"/>
      <c r="CV514" s="19"/>
      <c r="CW514" s="19"/>
      <c r="CX514" s="19"/>
      <c r="CY514" s="19"/>
      <c r="CZ514" s="19"/>
      <c r="DA514" s="19"/>
      <c r="DB514" s="19"/>
      <c r="DC514" s="19"/>
      <c r="DD514" s="19"/>
      <c r="DE514" s="19"/>
      <c r="DF514" s="19"/>
      <c r="DG514" s="19"/>
      <c r="DH514" s="19"/>
      <c r="DI514" s="19"/>
      <c r="DJ514" s="19"/>
      <c r="DK514" s="19"/>
      <c r="DL514" s="19"/>
      <c r="DM514" s="19"/>
      <c r="DN514" s="19"/>
      <c r="DO514" s="19"/>
      <c r="DP514" s="19"/>
      <c r="DQ514" s="19"/>
      <c r="DR514" s="19"/>
      <c r="DS514" s="19"/>
      <c r="DT514" s="19"/>
      <c r="DU514" s="19"/>
      <c r="DV514" s="19"/>
      <c r="DW514" s="19"/>
      <c r="DX514" s="19"/>
      <c r="DY514" s="19"/>
      <c r="DZ514" s="19"/>
      <c r="EA514" s="19"/>
      <c r="EB514" s="19"/>
      <c r="EC514" s="19"/>
      <c r="ED514" s="19"/>
      <c r="EE514" s="19"/>
      <c r="EF514" s="19"/>
      <c r="EG514" s="19"/>
      <c r="EH514" s="19"/>
      <c r="EI514" s="19"/>
      <c r="EJ514" s="19"/>
      <c r="EK514" s="19"/>
      <c r="EL514" s="19"/>
      <c r="EM514" s="19"/>
      <c r="EN514" s="19"/>
      <c r="EO514" s="19"/>
      <c r="EP514" s="17"/>
      <c r="EQ514" s="23"/>
      <c r="ER514" s="23" t="str">
        <f t="shared" si="7"/>
        <v/>
      </c>
      <c r="ES514" s="19"/>
      <c r="ET514" s="19" t="str">
        <f t="shared" si="8"/>
        <v/>
      </c>
      <c r="EU514" s="19"/>
      <c r="EV514" s="19"/>
      <c r="EW514" s="19"/>
      <c r="EX514" s="19"/>
      <c r="EY514" s="19"/>
      <c r="EZ514" s="19"/>
      <c r="FA514" s="19"/>
      <c r="FB514" s="19"/>
    </row>
    <row r="515" ht="15.75" customHeight="1">
      <c r="A515" s="19"/>
      <c r="F515" s="19"/>
      <c r="AH515" s="23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  <c r="CD515" s="19"/>
      <c r="CE515" s="19"/>
      <c r="CF515" s="19"/>
      <c r="CG515" s="19"/>
      <c r="CH515" s="19"/>
      <c r="CI515" s="19"/>
      <c r="CJ515" s="19"/>
      <c r="CK515" s="19"/>
      <c r="CL515" s="19"/>
      <c r="CM515" s="19"/>
      <c r="CN515" s="19"/>
      <c r="CO515" s="19"/>
      <c r="CP515" s="19"/>
      <c r="CQ515" s="19"/>
      <c r="CR515" s="19"/>
      <c r="CS515" s="19"/>
      <c r="CT515" s="19"/>
      <c r="CU515" s="19"/>
      <c r="CV515" s="19"/>
      <c r="CW515" s="19"/>
      <c r="CX515" s="19"/>
      <c r="CY515" s="19"/>
      <c r="CZ515" s="19"/>
      <c r="DA515" s="19"/>
      <c r="DB515" s="19"/>
      <c r="DC515" s="19"/>
      <c r="DD515" s="19"/>
      <c r="DE515" s="19"/>
      <c r="DF515" s="19"/>
      <c r="DG515" s="19"/>
      <c r="DH515" s="19"/>
      <c r="DI515" s="19"/>
      <c r="DJ515" s="19"/>
      <c r="DK515" s="19"/>
      <c r="DL515" s="19"/>
      <c r="DM515" s="19"/>
      <c r="DN515" s="19"/>
      <c r="DO515" s="19"/>
      <c r="DP515" s="19"/>
      <c r="DQ515" s="19"/>
      <c r="DR515" s="19"/>
      <c r="DS515" s="19"/>
      <c r="DT515" s="19"/>
      <c r="DU515" s="19"/>
      <c r="DV515" s="19"/>
      <c r="DW515" s="19"/>
      <c r="DX515" s="19"/>
      <c r="DY515" s="19"/>
      <c r="DZ515" s="19"/>
      <c r="EA515" s="19"/>
      <c r="EB515" s="19"/>
      <c r="EC515" s="19"/>
      <c r="ED515" s="19"/>
      <c r="EE515" s="19"/>
      <c r="EF515" s="19"/>
      <c r="EG515" s="19"/>
      <c r="EH515" s="19"/>
      <c r="EI515" s="19"/>
      <c r="EJ515" s="19"/>
      <c r="EK515" s="19"/>
      <c r="EL515" s="19"/>
      <c r="EM515" s="19"/>
      <c r="EN515" s="19"/>
      <c r="EO515" s="19"/>
      <c r="EP515" s="17"/>
      <c r="EQ515" s="23"/>
      <c r="ER515" s="23" t="str">
        <f t="shared" si="7"/>
        <v/>
      </c>
      <c r="ES515" s="19"/>
      <c r="ET515" s="19" t="str">
        <f t="shared" si="8"/>
        <v/>
      </c>
      <c r="EU515" s="19"/>
      <c r="EV515" s="19"/>
      <c r="EW515" s="19"/>
      <c r="EX515" s="19"/>
      <c r="EY515" s="19"/>
      <c r="EZ515" s="19"/>
      <c r="FA515" s="19"/>
      <c r="FB515" s="19"/>
    </row>
    <row r="516" ht="15.75" customHeight="1">
      <c r="A516" s="19"/>
      <c r="F516" s="19"/>
      <c r="AH516" s="23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19"/>
      <c r="CS516" s="19"/>
      <c r="CT516" s="19"/>
      <c r="CU516" s="19"/>
      <c r="CV516" s="19"/>
      <c r="CW516" s="19"/>
      <c r="CX516" s="19"/>
      <c r="CY516" s="19"/>
      <c r="CZ516" s="19"/>
      <c r="DA516" s="19"/>
      <c r="DB516" s="19"/>
      <c r="DC516" s="19"/>
      <c r="DD516" s="19"/>
      <c r="DE516" s="19"/>
      <c r="DF516" s="19"/>
      <c r="DG516" s="19"/>
      <c r="DH516" s="19"/>
      <c r="DI516" s="19"/>
      <c r="DJ516" s="19"/>
      <c r="DK516" s="19"/>
      <c r="DL516" s="19"/>
      <c r="DM516" s="19"/>
      <c r="DN516" s="19"/>
      <c r="DO516" s="19"/>
      <c r="DP516" s="19"/>
      <c r="DQ516" s="19"/>
      <c r="DR516" s="19"/>
      <c r="DS516" s="19"/>
      <c r="DT516" s="19"/>
      <c r="DU516" s="19"/>
      <c r="DV516" s="19"/>
      <c r="DW516" s="19"/>
      <c r="DX516" s="19"/>
      <c r="DY516" s="19"/>
      <c r="DZ516" s="19"/>
      <c r="EA516" s="19"/>
      <c r="EB516" s="19"/>
      <c r="EC516" s="19"/>
      <c r="ED516" s="19"/>
      <c r="EE516" s="19"/>
      <c r="EF516" s="19"/>
      <c r="EG516" s="19"/>
      <c r="EH516" s="19"/>
      <c r="EI516" s="19"/>
      <c r="EJ516" s="19"/>
      <c r="EK516" s="19"/>
      <c r="EL516" s="19"/>
      <c r="EM516" s="19"/>
      <c r="EN516" s="19"/>
      <c r="EO516" s="19"/>
      <c r="EP516" s="17"/>
      <c r="EQ516" s="23"/>
      <c r="ER516" s="23" t="str">
        <f t="shared" si="7"/>
        <v/>
      </c>
      <c r="ES516" s="19"/>
      <c r="ET516" s="19" t="str">
        <f t="shared" si="8"/>
        <v/>
      </c>
      <c r="EU516" s="19"/>
      <c r="EV516" s="19"/>
      <c r="EW516" s="19"/>
      <c r="EX516" s="19"/>
      <c r="EY516" s="19"/>
      <c r="EZ516" s="19"/>
      <c r="FA516" s="19"/>
      <c r="FB516" s="19"/>
    </row>
    <row r="517" ht="15.75" customHeight="1">
      <c r="A517" s="19"/>
      <c r="F517" s="19"/>
      <c r="AH517" s="23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  <c r="CD517" s="19"/>
      <c r="CE517" s="19"/>
      <c r="CF517" s="19"/>
      <c r="CG517" s="19"/>
      <c r="CH517" s="19"/>
      <c r="CI517" s="19"/>
      <c r="CJ517" s="19"/>
      <c r="CK517" s="19"/>
      <c r="CL517" s="19"/>
      <c r="CM517" s="19"/>
      <c r="CN517" s="19"/>
      <c r="CO517" s="19"/>
      <c r="CP517" s="19"/>
      <c r="CQ517" s="19"/>
      <c r="CR517" s="19"/>
      <c r="CS517" s="19"/>
      <c r="CT517" s="19"/>
      <c r="CU517" s="19"/>
      <c r="CV517" s="19"/>
      <c r="CW517" s="19"/>
      <c r="CX517" s="19"/>
      <c r="CY517" s="19"/>
      <c r="CZ517" s="19"/>
      <c r="DA517" s="19"/>
      <c r="DB517" s="19"/>
      <c r="DC517" s="19"/>
      <c r="DD517" s="19"/>
      <c r="DE517" s="19"/>
      <c r="DF517" s="19"/>
      <c r="DG517" s="19"/>
      <c r="DH517" s="19"/>
      <c r="DI517" s="19"/>
      <c r="DJ517" s="19"/>
      <c r="DK517" s="19"/>
      <c r="DL517" s="19"/>
      <c r="DM517" s="19"/>
      <c r="DN517" s="19"/>
      <c r="DO517" s="19"/>
      <c r="DP517" s="19"/>
      <c r="DQ517" s="19"/>
      <c r="DR517" s="19"/>
      <c r="DS517" s="19"/>
      <c r="DT517" s="19"/>
      <c r="DU517" s="19"/>
      <c r="DV517" s="19"/>
      <c r="DW517" s="19"/>
      <c r="DX517" s="19"/>
      <c r="DY517" s="19"/>
      <c r="DZ517" s="19"/>
      <c r="EA517" s="19"/>
      <c r="EB517" s="19"/>
      <c r="EC517" s="19"/>
      <c r="ED517" s="19"/>
      <c r="EE517" s="19"/>
      <c r="EF517" s="19"/>
      <c r="EG517" s="19"/>
      <c r="EH517" s="19"/>
      <c r="EI517" s="19"/>
      <c r="EJ517" s="19"/>
      <c r="EK517" s="19"/>
      <c r="EL517" s="19"/>
      <c r="EM517" s="19"/>
      <c r="EN517" s="19"/>
      <c r="EO517" s="19"/>
      <c r="EP517" s="17"/>
      <c r="EQ517" s="23"/>
      <c r="ER517" s="23" t="str">
        <f t="shared" si="7"/>
        <v/>
      </c>
      <c r="ES517" s="19"/>
      <c r="ET517" s="19" t="str">
        <f t="shared" si="8"/>
        <v/>
      </c>
      <c r="EU517" s="19"/>
      <c r="EV517" s="19"/>
      <c r="EW517" s="19"/>
      <c r="EX517" s="19"/>
      <c r="EY517" s="19"/>
      <c r="EZ517" s="19"/>
      <c r="FA517" s="19"/>
      <c r="FB517" s="19"/>
    </row>
    <row r="518" ht="15.75" customHeight="1">
      <c r="A518" s="19"/>
      <c r="F518" s="19"/>
      <c r="AH518" s="23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19"/>
      <c r="CS518" s="19"/>
      <c r="CT518" s="19"/>
      <c r="CU518" s="19"/>
      <c r="CV518" s="19"/>
      <c r="CW518" s="19"/>
      <c r="CX518" s="19"/>
      <c r="CY518" s="19"/>
      <c r="CZ518" s="19"/>
      <c r="DA518" s="19"/>
      <c r="DB518" s="19"/>
      <c r="DC518" s="19"/>
      <c r="DD518" s="19"/>
      <c r="DE518" s="19"/>
      <c r="DF518" s="19"/>
      <c r="DG518" s="19"/>
      <c r="DH518" s="19"/>
      <c r="DI518" s="19"/>
      <c r="DJ518" s="19"/>
      <c r="DK518" s="19"/>
      <c r="DL518" s="19"/>
      <c r="DM518" s="19"/>
      <c r="DN518" s="19"/>
      <c r="DO518" s="19"/>
      <c r="DP518" s="19"/>
      <c r="DQ518" s="19"/>
      <c r="DR518" s="19"/>
      <c r="DS518" s="19"/>
      <c r="DT518" s="19"/>
      <c r="DU518" s="19"/>
      <c r="DV518" s="19"/>
      <c r="DW518" s="19"/>
      <c r="DX518" s="19"/>
      <c r="DY518" s="19"/>
      <c r="DZ518" s="19"/>
      <c r="EA518" s="19"/>
      <c r="EB518" s="19"/>
      <c r="EC518" s="19"/>
      <c r="ED518" s="19"/>
      <c r="EE518" s="19"/>
      <c r="EF518" s="19"/>
      <c r="EG518" s="19"/>
      <c r="EH518" s="19"/>
      <c r="EI518" s="19"/>
      <c r="EJ518" s="19"/>
      <c r="EK518" s="19"/>
      <c r="EL518" s="19"/>
      <c r="EM518" s="19"/>
      <c r="EN518" s="19"/>
      <c r="EO518" s="19"/>
      <c r="EP518" s="17"/>
      <c r="EQ518" s="23"/>
      <c r="ER518" s="23" t="str">
        <f t="shared" si="7"/>
        <v/>
      </c>
      <c r="ES518" s="19"/>
      <c r="ET518" s="19" t="str">
        <f t="shared" si="8"/>
        <v/>
      </c>
      <c r="EU518" s="19"/>
      <c r="EV518" s="19"/>
      <c r="EW518" s="19"/>
      <c r="EX518" s="19"/>
      <c r="EY518" s="19"/>
      <c r="EZ518" s="19"/>
      <c r="FA518" s="19"/>
      <c r="FB518" s="19"/>
    </row>
    <row r="519" ht="15.75" customHeight="1">
      <c r="A519" s="19"/>
      <c r="F519" s="19"/>
      <c r="AH519" s="23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  <c r="CD519" s="19"/>
      <c r="CE519" s="19"/>
      <c r="CF519" s="19"/>
      <c r="CG519" s="19"/>
      <c r="CH519" s="19"/>
      <c r="CI519" s="19"/>
      <c r="CJ519" s="19"/>
      <c r="CK519" s="19"/>
      <c r="CL519" s="19"/>
      <c r="CM519" s="19"/>
      <c r="CN519" s="19"/>
      <c r="CO519" s="19"/>
      <c r="CP519" s="19"/>
      <c r="CQ519" s="19"/>
      <c r="CR519" s="19"/>
      <c r="CS519" s="19"/>
      <c r="CT519" s="19"/>
      <c r="CU519" s="19"/>
      <c r="CV519" s="19"/>
      <c r="CW519" s="19"/>
      <c r="CX519" s="19"/>
      <c r="CY519" s="19"/>
      <c r="CZ519" s="19"/>
      <c r="DA519" s="19"/>
      <c r="DB519" s="19"/>
      <c r="DC519" s="19"/>
      <c r="DD519" s="19"/>
      <c r="DE519" s="19"/>
      <c r="DF519" s="19"/>
      <c r="DG519" s="19"/>
      <c r="DH519" s="19"/>
      <c r="DI519" s="19"/>
      <c r="DJ519" s="19"/>
      <c r="DK519" s="19"/>
      <c r="DL519" s="19"/>
      <c r="DM519" s="19"/>
      <c r="DN519" s="19"/>
      <c r="DO519" s="19"/>
      <c r="DP519" s="19"/>
      <c r="DQ519" s="19"/>
      <c r="DR519" s="19"/>
      <c r="DS519" s="19"/>
      <c r="DT519" s="19"/>
      <c r="DU519" s="19"/>
      <c r="DV519" s="19"/>
      <c r="DW519" s="19"/>
      <c r="DX519" s="19"/>
      <c r="DY519" s="19"/>
      <c r="DZ519" s="19"/>
      <c r="EA519" s="19"/>
      <c r="EB519" s="19"/>
      <c r="EC519" s="19"/>
      <c r="ED519" s="19"/>
      <c r="EE519" s="19"/>
      <c r="EF519" s="19"/>
      <c r="EG519" s="19"/>
      <c r="EH519" s="19"/>
      <c r="EI519" s="19"/>
      <c r="EJ519" s="19"/>
      <c r="EK519" s="19"/>
      <c r="EL519" s="19"/>
      <c r="EM519" s="19"/>
      <c r="EN519" s="19"/>
      <c r="EO519" s="19"/>
      <c r="EP519" s="17"/>
      <c r="EQ519" s="23"/>
      <c r="ER519" s="23" t="str">
        <f t="shared" si="7"/>
        <v/>
      </c>
      <c r="ES519" s="19"/>
      <c r="ET519" s="19" t="str">
        <f t="shared" si="8"/>
        <v/>
      </c>
      <c r="EU519" s="19"/>
      <c r="EV519" s="19"/>
      <c r="EW519" s="19"/>
      <c r="EX519" s="19"/>
      <c r="EY519" s="19"/>
      <c r="EZ519" s="19"/>
      <c r="FA519" s="19"/>
      <c r="FB519" s="19"/>
    </row>
    <row r="520" ht="15.75" customHeight="1">
      <c r="A520" s="19"/>
      <c r="F520" s="19"/>
      <c r="AH520" s="23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  <c r="CD520" s="19"/>
      <c r="CE520" s="19"/>
      <c r="CF520" s="19"/>
      <c r="CG520" s="19"/>
      <c r="CH520" s="19"/>
      <c r="CI520" s="19"/>
      <c r="CJ520" s="19"/>
      <c r="CK520" s="19"/>
      <c r="CL520" s="19"/>
      <c r="CM520" s="19"/>
      <c r="CN520" s="19"/>
      <c r="CO520" s="19"/>
      <c r="CP520" s="19"/>
      <c r="CQ520" s="19"/>
      <c r="CR520" s="19"/>
      <c r="CS520" s="19"/>
      <c r="CT520" s="19"/>
      <c r="CU520" s="19"/>
      <c r="CV520" s="19"/>
      <c r="CW520" s="19"/>
      <c r="CX520" s="19"/>
      <c r="CY520" s="19"/>
      <c r="CZ520" s="19"/>
      <c r="DA520" s="19"/>
      <c r="DB520" s="19"/>
      <c r="DC520" s="19"/>
      <c r="DD520" s="19"/>
      <c r="DE520" s="19"/>
      <c r="DF520" s="19"/>
      <c r="DG520" s="19"/>
      <c r="DH520" s="19"/>
      <c r="DI520" s="19"/>
      <c r="DJ520" s="19"/>
      <c r="DK520" s="19"/>
      <c r="DL520" s="19"/>
      <c r="DM520" s="19"/>
      <c r="DN520" s="19"/>
      <c r="DO520" s="19"/>
      <c r="DP520" s="19"/>
      <c r="DQ520" s="19"/>
      <c r="DR520" s="19"/>
      <c r="DS520" s="19"/>
      <c r="DT520" s="19"/>
      <c r="DU520" s="19"/>
      <c r="DV520" s="19"/>
      <c r="DW520" s="19"/>
      <c r="DX520" s="19"/>
      <c r="DY520" s="19"/>
      <c r="DZ520" s="19"/>
      <c r="EA520" s="19"/>
      <c r="EB520" s="19"/>
      <c r="EC520" s="19"/>
      <c r="ED520" s="19"/>
      <c r="EE520" s="19"/>
      <c r="EF520" s="19"/>
      <c r="EG520" s="19"/>
      <c r="EH520" s="19"/>
      <c r="EI520" s="19"/>
      <c r="EJ520" s="19"/>
      <c r="EK520" s="19"/>
      <c r="EL520" s="19"/>
      <c r="EM520" s="19"/>
      <c r="EN520" s="19"/>
      <c r="EO520" s="19"/>
      <c r="EP520" s="17"/>
      <c r="EQ520" s="23"/>
      <c r="ER520" s="23" t="str">
        <f t="shared" si="7"/>
        <v/>
      </c>
      <c r="ES520" s="19"/>
      <c r="ET520" s="19" t="str">
        <f t="shared" si="8"/>
        <v/>
      </c>
      <c r="EU520" s="19"/>
      <c r="EV520" s="19"/>
      <c r="EW520" s="19"/>
      <c r="EX520" s="19"/>
      <c r="EY520" s="19"/>
      <c r="EZ520" s="19"/>
      <c r="FA520" s="19"/>
      <c r="FB520" s="19"/>
    </row>
    <row r="521" ht="15.75" customHeight="1">
      <c r="A521" s="19"/>
      <c r="F521" s="19"/>
      <c r="AH521" s="23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  <c r="EE521" s="19"/>
      <c r="EF521" s="19"/>
      <c r="EG521" s="19"/>
      <c r="EH521" s="19"/>
      <c r="EI521" s="19"/>
      <c r="EJ521" s="19"/>
      <c r="EK521" s="19"/>
      <c r="EL521" s="19"/>
      <c r="EM521" s="19"/>
      <c r="EN521" s="19"/>
      <c r="EO521" s="19"/>
      <c r="EP521" s="17"/>
      <c r="EQ521" s="23"/>
      <c r="ER521" s="23" t="str">
        <f t="shared" si="7"/>
        <v/>
      </c>
      <c r="ES521" s="19"/>
      <c r="ET521" s="19" t="str">
        <f t="shared" si="8"/>
        <v/>
      </c>
      <c r="EU521" s="19"/>
      <c r="EV521" s="19"/>
      <c r="EW521" s="19"/>
      <c r="EX521" s="19"/>
      <c r="EY521" s="19"/>
      <c r="EZ521" s="19"/>
      <c r="FA521" s="19"/>
      <c r="FB521" s="19"/>
    </row>
    <row r="522" ht="15.75" customHeight="1">
      <c r="A522" s="19"/>
      <c r="F522" s="19"/>
      <c r="AH522" s="23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  <c r="CD522" s="19"/>
      <c r="CE522" s="19"/>
      <c r="CF522" s="19"/>
      <c r="CG522" s="19"/>
      <c r="CH522" s="19"/>
      <c r="CI522" s="19"/>
      <c r="CJ522" s="19"/>
      <c r="CK522" s="19"/>
      <c r="CL522" s="19"/>
      <c r="CM522" s="19"/>
      <c r="CN522" s="19"/>
      <c r="CO522" s="19"/>
      <c r="CP522" s="19"/>
      <c r="CQ522" s="19"/>
      <c r="CR522" s="19"/>
      <c r="CS522" s="19"/>
      <c r="CT522" s="19"/>
      <c r="CU522" s="19"/>
      <c r="CV522" s="19"/>
      <c r="CW522" s="19"/>
      <c r="CX522" s="19"/>
      <c r="CY522" s="19"/>
      <c r="CZ522" s="19"/>
      <c r="DA522" s="19"/>
      <c r="DB522" s="19"/>
      <c r="DC522" s="19"/>
      <c r="DD522" s="19"/>
      <c r="DE522" s="19"/>
      <c r="DF522" s="19"/>
      <c r="DG522" s="19"/>
      <c r="DH522" s="19"/>
      <c r="DI522" s="19"/>
      <c r="DJ522" s="19"/>
      <c r="DK522" s="19"/>
      <c r="DL522" s="19"/>
      <c r="DM522" s="19"/>
      <c r="DN522" s="19"/>
      <c r="DO522" s="19"/>
      <c r="DP522" s="19"/>
      <c r="DQ522" s="19"/>
      <c r="DR522" s="19"/>
      <c r="DS522" s="19"/>
      <c r="DT522" s="19"/>
      <c r="DU522" s="19"/>
      <c r="DV522" s="19"/>
      <c r="DW522" s="19"/>
      <c r="DX522" s="19"/>
      <c r="DY522" s="19"/>
      <c r="DZ522" s="19"/>
      <c r="EA522" s="19"/>
      <c r="EB522" s="19"/>
      <c r="EC522" s="19"/>
      <c r="ED522" s="19"/>
      <c r="EE522" s="19"/>
      <c r="EF522" s="19"/>
      <c r="EG522" s="19"/>
      <c r="EH522" s="19"/>
      <c r="EI522" s="19"/>
      <c r="EJ522" s="19"/>
      <c r="EK522" s="19"/>
      <c r="EL522" s="19"/>
      <c r="EM522" s="19"/>
      <c r="EN522" s="19"/>
      <c r="EO522" s="19"/>
      <c r="EP522" s="17"/>
      <c r="EQ522" s="23"/>
      <c r="ER522" s="23" t="str">
        <f t="shared" si="7"/>
        <v/>
      </c>
      <c r="ES522" s="19"/>
      <c r="ET522" s="19" t="str">
        <f t="shared" si="8"/>
        <v/>
      </c>
      <c r="EU522" s="19"/>
      <c r="EV522" s="19"/>
      <c r="EW522" s="19"/>
      <c r="EX522" s="19"/>
      <c r="EY522" s="19"/>
      <c r="EZ522" s="19"/>
      <c r="FA522" s="19"/>
      <c r="FB522" s="19"/>
    </row>
    <row r="523" ht="15.75" customHeight="1">
      <c r="A523" s="19"/>
      <c r="F523" s="19"/>
      <c r="AH523" s="23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7"/>
      <c r="EQ523" s="23"/>
      <c r="ER523" s="23" t="str">
        <f t="shared" si="7"/>
        <v/>
      </c>
      <c r="ES523" s="19"/>
      <c r="ET523" s="19" t="str">
        <f t="shared" si="8"/>
        <v/>
      </c>
      <c r="EU523" s="19"/>
      <c r="EV523" s="19"/>
      <c r="EW523" s="19"/>
      <c r="EX523" s="19"/>
      <c r="EY523" s="19"/>
      <c r="EZ523" s="19"/>
      <c r="FA523" s="19"/>
      <c r="FB523" s="19"/>
    </row>
    <row r="524" ht="15.75" customHeight="1">
      <c r="A524" s="19"/>
      <c r="F524" s="19"/>
      <c r="AH524" s="23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  <c r="CD524" s="19"/>
      <c r="CE524" s="19"/>
      <c r="CF524" s="19"/>
      <c r="CG524" s="19"/>
      <c r="CH524" s="19"/>
      <c r="CI524" s="19"/>
      <c r="CJ524" s="19"/>
      <c r="CK524" s="19"/>
      <c r="CL524" s="19"/>
      <c r="CM524" s="19"/>
      <c r="CN524" s="19"/>
      <c r="CO524" s="19"/>
      <c r="CP524" s="19"/>
      <c r="CQ524" s="19"/>
      <c r="CR524" s="19"/>
      <c r="CS524" s="19"/>
      <c r="CT524" s="19"/>
      <c r="CU524" s="19"/>
      <c r="CV524" s="19"/>
      <c r="CW524" s="19"/>
      <c r="CX524" s="19"/>
      <c r="CY524" s="19"/>
      <c r="CZ524" s="19"/>
      <c r="DA524" s="19"/>
      <c r="DB524" s="19"/>
      <c r="DC524" s="19"/>
      <c r="DD524" s="19"/>
      <c r="DE524" s="19"/>
      <c r="DF524" s="19"/>
      <c r="DG524" s="19"/>
      <c r="DH524" s="19"/>
      <c r="DI524" s="19"/>
      <c r="DJ524" s="19"/>
      <c r="DK524" s="19"/>
      <c r="DL524" s="19"/>
      <c r="DM524" s="19"/>
      <c r="DN524" s="19"/>
      <c r="DO524" s="19"/>
      <c r="DP524" s="19"/>
      <c r="DQ524" s="19"/>
      <c r="DR524" s="19"/>
      <c r="DS524" s="19"/>
      <c r="DT524" s="19"/>
      <c r="DU524" s="19"/>
      <c r="DV524" s="19"/>
      <c r="DW524" s="19"/>
      <c r="DX524" s="19"/>
      <c r="DY524" s="19"/>
      <c r="DZ524" s="19"/>
      <c r="EA524" s="19"/>
      <c r="EB524" s="19"/>
      <c r="EC524" s="19"/>
      <c r="ED524" s="19"/>
      <c r="EE524" s="19"/>
      <c r="EF524" s="19"/>
      <c r="EG524" s="19"/>
      <c r="EH524" s="19"/>
      <c r="EI524" s="19"/>
      <c r="EJ524" s="19"/>
      <c r="EK524" s="19"/>
      <c r="EL524" s="19"/>
      <c r="EM524" s="19"/>
      <c r="EN524" s="19"/>
      <c r="EO524" s="19"/>
      <c r="EP524" s="17"/>
      <c r="EQ524" s="23"/>
      <c r="ER524" s="23" t="str">
        <f t="shared" si="7"/>
        <v/>
      </c>
      <c r="ES524" s="19"/>
      <c r="ET524" s="19" t="str">
        <f t="shared" si="8"/>
        <v/>
      </c>
      <c r="EU524" s="19"/>
      <c r="EV524" s="19"/>
      <c r="EW524" s="19"/>
      <c r="EX524" s="19"/>
      <c r="EY524" s="19"/>
      <c r="EZ524" s="19"/>
      <c r="FA524" s="19"/>
      <c r="FB524" s="19"/>
    </row>
    <row r="525" ht="15.75" customHeight="1">
      <c r="A525" s="19"/>
      <c r="F525" s="19"/>
      <c r="AH525" s="23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  <c r="CD525" s="19"/>
      <c r="CE525" s="19"/>
      <c r="CF525" s="19"/>
      <c r="CG525" s="19"/>
      <c r="CH525" s="19"/>
      <c r="CI525" s="19"/>
      <c r="CJ525" s="19"/>
      <c r="CK525" s="19"/>
      <c r="CL525" s="19"/>
      <c r="CM525" s="19"/>
      <c r="CN525" s="19"/>
      <c r="CO525" s="19"/>
      <c r="CP525" s="19"/>
      <c r="CQ525" s="19"/>
      <c r="CR525" s="19"/>
      <c r="CS525" s="19"/>
      <c r="CT525" s="19"/>
      <c r="CU525" s="19"/>
      <c r="CV525" s="19"/>
      <c r="CW525" s="19"/>
      <c r="CX525" s="19"/>
      <c r="CY525" s="19"/>
      <c r="CZ525" s="19"/>
      <c r="DA525" s="19"/>
      <c r="DB525" s="19"/>
      <c r="DC525" s="19"/>
      <c r="DD525" s="19"/>
      <c r="DE525" s="19"/>
      <c r="DF525" s="19"/>
      <c r="DG525" s="19"/>
      <c r="DH525" s="19"/>
      <c r="DI525" s="19"/>
      <c r="DJ525" s="19"/>
      <c r="DK525" s="19"/>
      <c r="DL525" s="19"/>
      <c r="DM525" s="19"/>
      <c r="DN525" s="19"/>
      <c r="DO525" s="19"/>
      <c r="DP525" s="19"/>
      <c r="DQ525" s="19"/>
      <c r="DR525" s="19"/>
      <c r="DS525" s="19"/>
      <c r="DT525" s="19"/>
      <c r="DU525" s="19"/>
      <c r="DV525" s="19"/>
      <c r="DW525" s="19"/>
      <c r="DX525" s="19"/>
      <c r="DY525" s="19"/>
      <c r="DZ525" s="19"/>
      <c r="EA525" s="19"/>
      <c r="EB525" s="19"/>
      <c r="EC525" s="19"/>
      <c r="ED525" s="19"/>
      <c r="EE525" s="19"/>
      <c r="EF525" s="19"/>
      <c r="EG525" s="19"/>
      <c r="EH525" s="19"/>
      <c r="EI525" s="19"/>
      <c r="EJ525" s="19"/>
      <c r="EK525" s="19"/>
      <c r="EL525" s="19"/>
      <c r="EM525" s="19"/>
      <c r="EN525" s="19"/>
      <c r="EO525" s="19"/>
      <c r="EP525" s="17"/>
      <c r="EQ525" s="23"/>
      <c r="ER525" s="23" t="str">
        <f t="shared" si="7"/>
        <v/>
      </c>
      <c r="ES525" s="19"/>
      <c r="ET525" s="19" t="str">
        <f t="shared" si="8"/>
        <v/>
      </c>
      <c r="EU525" s="19"/>
      <c r="EV525" s="19"/>
      <c r="EW525" s="19"/>
      <c r="EX525" s="19"/>
      <c r="EY525" s="19"/>
      <c r="EZ525" s="19"/>
      <c r="FA525" s="19"/>
      <c r="FB525" s="19"/>
    </row>
    <row r="526" ht="15.75" customHeight="1">
      <c r="A526" s="19"/>
      <c r="F526" s="19"/>
      <c r="AH526" s="23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  <c r="CD526" s="19"/>
      <c r="CE526" s="19"/>
      <c r="CF526" s="19"/>
      <c r="CG526" s="19"/>
      <c r="CH526" s="19"/>
      <c r="CI526" s="19"/>
      <c r="CJ526" s="19"/>
      <c r="CK526" s="19"/>
      <c r="CL526" s="19"/>
      <c r="CM526" s="19"/>
      <c r="CN526" s="19"/>
      <c r="CO526" s="19"/>
      <c r="CP526" s="19"/>
      <c r="CQ526" s="19"/>
      <c r="CR526" s="19"/>
      <c r="CS526" s="19"/>
      <c r="CT526" s="19"/>
      <c r="CU526" s="19"/>
      <c r="CV526" s="19"/>
      <c r="CW526" s="19"/>
      <c r="CX526" s="19"/>
      <c r="CY526" s="19"/>
      <c r="CZ526" s="19"/>
      <c r="DA526" s="19"/>
      <c r="DB526" s="19"/>
      <c r="DC526" s="19"/>
      <c r="DD526" s="19"/>
      <c r="DE526" s="19"/>
      <c r="DF526" s="19"/>
      <c r="DG526" s="19"/>
      <c r="DH526" s="19"/>
      <c r="DI526" s="19"/>
      <c r="DJ526" s="19"/>
      <c r="DK526" s="19"/>
      <c r="DL526" s="19"/>
      <c r="DM526" s="19"/>
      <c r="DN526" s="19"/>
      <c r="DO526" s="19"/>
      <c r="DP526" s="19"/>
      <c r="DQ526" s="19"/>
      <c r="DR526" s="19"/>
      <c r="DS526" s="19"/>
      <c r="DT526" s="19"/>
      <c r="DU526" s="19"/>
      <c r="DV526" s="19"/>
      <c r="DW526" s="19"/>
      <c r="DX526" s="19"/>
      <c r="DY526" s="19"/>
      <c r="DZ526" s="19"/>
      <c r="EA526" s="19"/>
      <c r="EB526" s="19"/>
      <c r="EC526" s="19"/>
      <c r="ED526" s="19"/>
      <c r="EE526" s="19"/>
      <c r="EF526" s="19"/>
      <c r="EG526" s="19"/>
      <c r="EH526" s="19"/>
      <c r="EI526" s="19"/>
      <c r="EJ526" s="19"/>
      <c r="EK526" s="19"/>
      <c r="EL526" s="19"/>
      <c r="EM526" s="19"/>
      <c r="EN526" s="19"/>
      <c r="EO526" s="19"/>
      <c r="EP526" s="17"/>
      <c r="EQ526" s="23"/>
      <c r="ER526" s="23" t="str">
        <f t="shared" si="7"/>
        <v/>
      </c>
      <c r="ES526" s="19"/>
      <c r="ET526" s="19" t="str">
        <f t="shared" si="8"/>
        <v/>
      </c>
      <c r="EU526" s="19"/>
      <c r="EV526" s="19"/>
      <c r="EW526" s="19"/>
      <c r="EX526" s="19"/>
      <c r="EY526" s="19"/>
      <c r="EZ526" s="19"/>
      <c r="FA526" s="19"/>
      <c r="FB526" s="19"/>
    </row>
    <row r="527" ht="15.75" customHeight="1">
      <c r="A527" s="19"/>
      <c r="F527" s="19"/>
      <c r="AH527" s="23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  <c r="CD527" s="19"/>
      <c r="CE527" s="19"/>
      <c r="CF527" s="19"/>
      <c r="CG527" s="19"/>
      <c r="CH527" s="19"/>
      <c r="CI527" s="19"/>
      <c r="CJ527" s="19"/>
      <c r="CK527" s="19"/>
      <c r="CL527" s="19"/>
      <c r="CM527" s="19"/>
      <c r="CN527" s="19"/>
      <c r="CO527" s="19"/>
      <c r="CP527" s="19"/>
      <c r="CQ527" s="19"/>
      <c r="CR527" s="19"/>
      <c r="CS527" s="19"/>
      <c r="CT527" s="19"/>
      <c r="CU527" s="19"/>
      <c r="CV527" s="19"/>
      <c r="CW527" s="19"/>
      <c r="CX527" s="19"/>
      <c r="CY527" s="19"/>
      <c r="CZ527" s="19"/>
      <c r="DA527" s="19"/>
      <c r="DB527" s="19"/>
      <c r="DC527" s="19"/>
      <c r="DD527" s="19"/>
      <c r="DE527" s="19"/>
      <c r="DF527" s="19"/>
      <c r="DG527" s="19"/>
      <c r="DH527" s="19"/>
      <c r="DI527" s="19"/>
      <c r="DJ527" s="19"/>
      <c r="DK527" s="19"/>
      <c r="DL527" s="19"/>
      <c r="DM527" s="19"/>
      <c r="DN527" s="19"/>
      <c r="DO527" s="19"/>
      <c r="DP527" s="19"/>
      <c r="DQ527" s="19"/>
      <c r="DR527" s="19"/>
      <c r="DS527" s="19"/>
      <c r="DT527" s="19"/>
      <c r="DU527" s="19"/>
      <c r="DV527" s="19"/>
      <c r="DW527" s="19"/>
      <c r="DX527" s="19"/>
      <c r="DY527" s="19"/>
      <c r="DZ527" s="19"/>
      <c r="EA527" s="19"/>
      <c r="EB527" s="19"/>
      <c r="EC527" s="19"/>
      <c r="ED527" s="19"/>
      <c r="EE527" s="19"/>
      <c r="EF527" s="19"/>
      <c r="EG527" s="19"/>
      <c r="EH527" s="19"/>
      <c r="EI527" s="19"/>
      <c r="EJ527" s="19"/>
      <c r="EK527" s="19"/>
      <c r="EL527" s="19"/>
      <c r="EM527" s="19"/>
      <c r="EN527" s="19"/>
      <c r="EO527" s="19"/>
      <c r="EP527" s="17"/>
      <c r="EQ527" s="23"/>
      <c r="ER527" s="23" t="str">
        <f t="shared" si="7"/>
        <v/>
      </c>
      <c r="ES527" s="19"/>
      <c r="ET527" s="19" t="str">
        <f t="shared" si="8"/>
        <v/>
      </c>
      <c r="EU527" s="19"/>
      <c r="EV527" s="19"/>
      <c r="EW527" s="19"/>
      <c r="EX527" s="19"/>
      <c r="EY527" s="19"/>
      <c r="EZ527" s="19"/>
      <c r="FA527" s="19"/>
      <c r="FB527" s="19"/>
    </row>
    <row r="528" ht="15.75" customHeight="1">
      <c r="A528" s="19"/>
      <c r="F528" s="19"/>
      <c r="AH528" s="23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  <c r="DA528" s="19"/>
      <c r="DB528" s="19"/>
      <c r="DC528" s="19"/>
      <c r="DD528" s="19"/>
      <c r="DE528" s="19"/>
      <c r="DF528" s="19"/>
      <c r="DG528" s="19"/>
      <c r="DH528" s="19"/>
      <c r="DI528" s="19"/>
      <c r="DJ528" s="19"/>
      <c r="DK528" s="19"/>
      <c r="DL528" s="19"/>
      <c r="DM528" s="19"/>
      <c r="DN528" s="19"/>
      <c r="DO528" s="19"/>
      <c r="DP528" s="19"/>
      <c r="DQ528" s="19"/>
      <c r="DR528" s="19"/>
      <c r="DS528" s="19"/>
      <c r="DT528" s="19"/>
      <c r="DU528" s="19"/>
      <c r="DV528" s="19"/>
      <c r="DW528" s="19"/>
      <c r="DX528" s="19"/>
      <c r="DY528" s="19"/>
      <c r="DZ528" s="19"/>
      <c r="EA528" s="19"/>
      <c r="EB528" s="19"/>
      <c r="EC528" s="19"/>
      <c r="ED528" s="19"/>
      <c r="EE528" s="19"/>
      <c r="EF528" s="19"/>
      <c r="EG528" s="19"/>
      <c r="EH528" s="19"/>
      <c r="EI528" s="19"/>
      <c r="EJ528" s="19"/>
      <c r="EK528" s="19"/>
      <c r="EL528" s="19"/>
      <c r="EM528" s="19"/>
      <c r="EN528" s="19"/>
      <c r="EO528" s="19"/>
      <c r="EP528" s="17"/>
      <c r="EQ528" s="23"/>
      <c r="ER528" s="23" t="str">
        <f t="shared" si="7"/>
        <v/>
      </c>
      <c r="ES528" s="19"/>
      <c r="ET528" s="19" t="str">
        <f t="shared" si="8"/>
        <v/>
      </c>
      <c r="EU528" s="19"/>
      <c r="EV528" s="19"/>
      <c r="EW528" s="19"/>
      <c r="EX528" s="19"/>
      <c r="EY528" s="19"/>
      <c r="EZ528" s="19"/>
      <c r="FA528" s="19"/>
      <c r="FB528" s="19"/>
    </row>
    <row r="529" ht="15.75" customHeight="1">
      <c r="A529" s="19"/>
      <c r="F529" s="19"/>
      <c r="AH529" s="23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  <c r="CD529" s="19"/>
      <c r="CE529" s="19"/>
      <c r="CF529" s="19"/>
      <c r="CG529" s="19"/>
      <c r="CH529" s="19"/>
      <c r="CI529" s="19"/>
      <c r="CJ529" s="19"/>
      <c r="CK529" s="19"/>
      <c r="CL529" s="19"/>
      <c r="CM529" s="19"/>
      <c r="CN529" s="19"/>
      <c r="CO529" s="19"/>
      <c r="CP529" s="19"/>
      <c r="CQ529" s="19"/>
      <c r="CR529" s="19"/>
      <c r="CS529" s="19"/>
      <c r="CT529" s="19"/>
      <c r="CU529" s="19"/>
      <c r="CV529" s="19"/>
      <c r="CW529" s="19"/>
      <c r="CX529" s="19"/>
      <c r="CY529" s="19"/>
      <c r="CZ529" s="19"/>
      <c r="DA529" s="19"/>
      <c r="DB529" s="19"/>
      <c r="DC529" s="19"/>
      <c r="DD529" s="19"/>
      <c r="DE529" s="19"/>
      <c r="DF529" s="19"/>
      <c r="DG529" s="19"/>
      <c r="DH529" s="19"/>
      <c r="DI529" s="19"/>
      <c r="DJ529" s="19"/>
      <c r="DK529" s="19"/>
      <c r="DL529" s="19"/>
      <c r="DM529" s="19"/>
      <c r="DN529" s="19"/>
      <c r="DO529" s="19"/>
      <c r="DP529" s="19"/>
      <c r="DQ529" s="19"/>
      <c r="DR529" s="19"/>
      <c r="DS529" s="19"/>
      <c r="DT529" s="19"/>
      <c r="DU529" s="19"/>
      <c r="DV529" s="19"/>
      <c r="DW529" s="19"/>
      <c r="DX529" s="19"/>
      <c r="DY529" s="19"/>
      <c r="DZ529" s="19"/>
      <c r="EA529" s="19"/>
      <c r="EB529" s="19"/>
      <c r="EC529" s="19"/>
      <c r="ED529" s="19"/>
      <c r="EE529" s="19"/>
      <c r="EF529" s="19"/>
      <c r="EG529" s="19"/>
      <c r="EH529" s="19"/>
      <c r="EI529" s="19"/>
      <c r="EJ529" s="19"/>
      <c r="EK529" s="19"/>
      <c r="EL529" s="19"/>
      <c r="EM529" s="19"/>
      <c r="EN529" s="19"/>
      <c r="EO529" s="19"/>
      <c r="EP529" s="17"/>
      <c r="EQ529" s="23"/>
      <c r="ER529" s="23" t="str">
        <f t="shared" si="7"/>
        <v/>
      </c>
      <c r="ES529" s="19"/>
      <c r="ET529" s="19" t="str">
        <f t="shared" si="8"/>
        <v/>
      </c>
      <c r="EU529" s="19"/>
      <c r="EV529" s="19"/>
      <c r="EW529" s="19"/>
      <c r="EX529" s="19"/>
      <c r="EY529" s="19"/>
      <c r="EZ529" s="19"/>
      <c r="FA529" s="19"/>
      <c r="FB529" s="19"/>
    </row>
    <row r="530" ht="15.75" customHeight="1">
      <c r="A530" s="19"/>
      <c r="F530" s="19"/>
      <c r="AH530" s="23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  <c r="CD530" s="19"/>
      <c r="CE530" s="19"/>
      <c r="CF530" s="19"/>
      <c r="CG530" s="19"/>
      <c r="CH530" s="19"/>
      <c r="CI530" s="19"/>
      <c r="CJ530" s="19"/>
      <c r="CK530" s="19"/>
      <c r="CL530" s="19"/>
      <c r="CM530" s="19"/>
      <c r="CN530" s="19"/>
      <c r="CO530" s="19"/>
      <c r="CP530" s="19"/>
      <c r="CQ530" s="19"/>
      <c r="CR530" s="19"/>
      <c r="CS530" s="19"/>
      <c r="CT530" s="19"/>
      <c r="CU530" s="19"/>
      <c r="CV530" s="19"/>
      <c r="CW530" s="19"/>
      <c r="CX530" s="19"/>
      <c r="CY530" s="19"/>
      <c r="CZ530" s="19"/>
      <c r="DA530" s="19"/>
      <c r="DB530" s="19"/>
      <c r="DC530" s="19"/>
      <c r="DD530" s="19"/>
      <c r="DE530" s="19"/>
      <c r="DF530" s="19"/>
      <c r="DG530" s="19"/>
      <c r="DH530" s="19"/>
      <c r="DI530" s="19"/>
      <c r="DJ530" s="19"/>
      <c r="DK530" s="19"/>
      <c r="DL530" s="19"/>
      <c r="DM530" s="19"/>
      <c r="DN530" s="19"/>
      <c r="DO530" s="19"/>
      <c r="DP530" s="19"/>
      <c r="DQ530" s="19"/>
      <c r="DR530" s="19"/>
      <c r="DS530" s="19"/>
      <c r="DT530" s="19"/>
      <c r="DU530" s="19"/>
      <c r="DV530" s="19"/>
      <c r="DW530" s="19"/>
      <c r="DX530" s="19"/>
      <c r="DY530" s="19"/>
      <c r="DZ530" s="19"/>
      <c r="EA530" s="19"/>
      <c r="EB530" s="19"/>
      <c r="EC530" s="19"/>
      <c r="ED530" s="19"/>
      <c r="EE530" s="19"/>
      <c r="EF530" s="19"/>
      <c r="EG530" s="19"/>
      <c r="EH530" s="19"/>
      <c r="EI530" s="19"/>
      <c r="EJ530" s="19"/>
      <c r="EK530" s="19"/>
      <c r="EL530" s="19"/>
      <c r="EM530" s="19"/>
      <c r="EN530" s="19"/>
      <c r="EO530" s="19"/>
      <c r="EP530" s="17"/>
      <c r="EQ530" s="23"/>
      <c r="ER530" s="23" t="str">
        <f t="shared" si="7"/>
        <v/>
      </c>
      <c r="ES530" s="19"/>
      <c r="ET530" s="19" t="str">
        <f t="shared" si="8"/>
        <v/>
      </c>
      <c r="EU530" s="19"/>
      <c r="EV530" s="19"/>
      <c r="EW530" s="19"/>
      <c r="EX530" s="19"/>
      <c r="EY530" s="19"/>
      <c r="EZ530" s="19"/>
      <c r="FA530" s="19"/>
      <c r="FB530" s="19"/>
    </row>
    <row r="531" ht="15.75" customHeight="1">
      <c r="A531" s="19"/>
      <c r="F531" s="19"/>
      <c r="AH531" s="23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  <c r="EE531" s="19"/>
      <c r="EF531" s="19"/>
      <c r="EG531" s="19"/>
      <c r="EH531" s="19"/>
      <c r="EI531" s="19"/>
      <c r="EJ531" s="19"/>
      <c r="EK531" s="19"/>
      <c r="EL531" s="19"/>
      <c r="EM531" s="19"/>
      <c r="EN531" s="19"/>
      <c r="EO531" s="19"/>
      <c r="EP531" s="17"/>
      <c r="EQ531" s="23"/>
      <c r="ER531" s="23" t="str">
        <f t="shared" si="7"/>
        <v/>
      </c>
      <c r="ES531" s="19"/>
      <c r="ET531" s="19" t="str">
        <f t="shared" si="8"/>
        <v/>
      </c>
      <c r="EU531" s="19"/>
      <c r="EV531" s="19"/>
      <c r="EW531" s="19"/>
      <c r="EX531" s="19"/>
      <c r="EY531" s="19"/>
      <c r="EZ531" s="19"/>
      <c r="FA531" s="19"/>
      <c r="FB531" s="19"/>
    </row>
    <row r="532" ht="15.75" customHeight="1">
      <c r="A532" s="19"/>
      <c r="F532" s="19"/>
      <c r="AH532" s="23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  <c r="DA532" s="19"/>
      <c r="DB532" s="19"/>
      <c r="DC532" s="19"/>
      <c r="DD532" s="19"/>
      <c r="DE532" s="19"/>
      <c r="DF532" s="19"/>
      <c r="DG532" s="19"/>
      <c r="DH532" s="19"/>
      <c r="DI532" s="19"/>
      <c r="DJ532" s="19"/>
      <c r="DK532" s="19"/>
      <c r="DL532" s="19"/>
      <c r="DM532" s="19"/>
      <c r="DN532" s="19"/>
      <c r="DO532" s="19"/>
      <c r="DP532" s="19"/>
      <c r="DQ532" s="19"/>
      <c r="DR532" s="19"/>
      <c r="DS532" s="19"/>
      <c r="DT532" s="19"/>
      <c r="DU532" s="19"/>
      <c r="DV532" s="19"/>
      <c r="DW532" s="19"/>
      <c r="DX532" s="19"/>
      <c r="DY532" s="19"/>
      <c r="DZ532" s="19"/>
      <c r="EA532" s="19"/>
      <c r="EB532" s="19"/>
      <c r="EC532" s="19"/>
      <c r="ED532" s="19"/>
      <c r="EE532" s="19"/>
      <c r="EF532" s="19"/>
      <c r="EG532" s="19"/>
      <c r="EH532" s="19"/>
      <c r="EI532" s="19"/>
      <c r="EJ532" s="19"/>
      <c r="EK532" s="19"/>
      <c r="EL532" s="19"/>
      <c r="EM532" s="19"/>
      <c r="EN532" s="19"/>
      <c r="EO532" s="19"/>
      <c r="EP532" s="17"/>
      <c r="EQ532" s="23"/>
      <c r="ER532" s="23" t="str">
        <f t="shared" si="7"/>
        <v/>
      </c>
      <c r="ES532" s="19"/>
      <c r="ET532" s="19" t="str">
        <f t="shared" si="8"/>
        <v/>
      </c>
      <c r="EU532" s="19"/>
      <c r="EV532" s="19"/>
      <c r="EW532" s="19"/>
      <c r="EX532" s="19"/>
      <c r="EY532" s="19"/>
      <c r="EZ532" s="19"/>
      <c r="FA532" s="19"/>
      <c r="FB532" s="19"/>
    </row>
    <row r="533" ht="15.75" customHeight="1">
      <c r="A533" s="19"/>
      <c r="F533" s="19"/>
      <c r="AH533" s="23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  <c r="CD533" s="19"/>
      <c r="CE533" s="19"/>
      <c r="CF533" s="19"/>
      <c r="CG533" s="19"/>
      <c r="CH533" s="19"/>
      <c r="CI533" s="19"/>
      <c r="CJ533" s="19"/>
      <c r="CK533" s="19"/>
      <c r="CL533" s="19"/>
      <c r="CM533" s="19"/>
      <c r="CN533" s="19"/>
      <c r="CO533" s="19"/>
      <c r="CP533" s="19"/>
      <c r="CQ533" s="19"/>
      <c r="CR533" s="19"/>
      <c r="CS533" s="19"/>
      <c r="CT533" s="19"/>
      <c r="CU533" s="19"/>
      <c r="CV533" s="19"/>
      <c r="CW533" s="19"/>
      <c r="CX533" s="19"/>
      <c r="CY533" s="19"/>
      <c r="CZ533" s="19"/>
      <c r="DA533" s="19"/>
      <c r="DB533" s="19"/>
      <c r="DC533" s="19"/>
      <c r="DD533" s="19"/>
      <c r="DE533" s="19"/>
      <c r="DF533" s="19"/>
      <c r="DG533" s="19"/>
      <c r="DH533" s="19"/>
      <c r="DI533" s="19"/>
      <c r="DJ533" s="19"/>
      <c r="DK533" s="19"/>
      <c r="DL533" s="19"/>
      <c r="DM533" s="19"/>
      <c r="DN533" s="19"/>
      <c r="DO533" s="19"/>
      <c r="DP533" s="19"/>
      <c r="DQ533" s="19"/>
      <c r="DR533" s="19"/>
      <c r="DS533" s="19"/>
      <c r="DT533" s="19"/>
      <c r="DU533" s="19"/>
      <c r="DV533" s="19"/>
      <c r="DW533" s="19"/>
      <c r="DX533" s="19"/>
      <c r="DY533" s="19"/>
      <c r="DZ533" s="19"/>
      <c r="EA533" s="19"/>
      <c r="EB533" s="19"/>
      <c r="EC533" s="19"/>
      <c r="ED533" s="19"/>
      <c r="EE533" s="19"/>
      <c r="EF533" s="19"/>
      <c r="EG533" s="19"/>
      <c r="EH533" s="19"/>
      <c r="EI533" s="19"/>
      <c r="EJ533" s="19"/>
      <c r="EK533" s="19"/>
      <c r="EL533" s="19"/>
      <c r="EM533" s="19"/>
      <c r="EN533" s="19"/>
      <c r="EO533" s="19"/>
      <c r="EP533" s="17"/>
      <c r="EQ533" s="23"/>
      <c r="ER533" s="23" t="str">
        <f t="shared" si="7"/>
        <v/>
      </c>
      <c r="ES533" s="19"/>
      <c r="ET533" s="19" t="str">
        <f t="shared" si="8"/>
        <v/>
      </c>
      <c r="EU533" s="19"/>
      <c r="EV533" s="19"/>
      <c r="EW533" s="19"/>
      <c r="EX533" s="19"/>
      <c r="EY533" s="19"/>
      <c r="EZ533" s="19"/>
      <c r="FA533" s="19"/>
      <c r="FB533" s="19"/>
    </row>
    <row r="534" ht="15.75" customHeight="1">
      <c r="A534" s="19"/>
      <c r="F534" s="19"/>
      <c r="AH534" s="23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7"/>
      <c r="EQ534" s="23"/>
      <c r="ER534" s="23" t="str">
        <f t="shared" si="7"/>
        <v/>
      </c>
      <c r="ES534" s="19"/>
      <c r="ET534" s="19" t="str">
        <f t="shared" si="8"/>
        <v/>
      </c>
      <c r="EU534" s="19"/>
      <c r="EV534" s="19"/>
      <c r="EW534" s="19"/>
      <c r="EX534" s="19"/>
      <c r="EY534" s="19"/>
      <c r="EZ534" s="19"/>
      <c r="FA534" s="19"/>
      <c r="FB534" s="19"/>
    </row>
    <row r="535" ht="15.75" customHeight="1">
      <c r="A535" s="19"/>
      <c r="F535" s="19"/>
      <c r="AH535" s="23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  <c r="CD535" s="19"/>
      <c r="CE535" s="19"/>
      <c r="CF535" s="19"/>
      <c r="CG535" s="19"/>
      <c r="CH535" s="19"/>
      <c r="CI535" s="19"/>
      <c r="CJ535" s="19"/>
      <c r="CK535" s="19"/>
      <c r="CL535" s="19"/>
      <c r="CM535" s="19"/>
      <c r="CN535" s="19"/>
      <c r="CO535" s="19"/>
      <c r="CP535" s="19"/>
      <c r="CQ535" s="19"/>
      <c r="CR535" s="19"/>
      <c r="CS535" s="19"/>
      <c r="CT535" s="19"/>
      <c r="CU535" s="19"/>
      <c r="CV535" s="19"/>
      <c r="CW535" s="19"/>
      <c r="CX535" s="19"/>
      <c r="CY535" s="19"/>
      <c r="CZ535" s="19"/>
      <c r="DA535" s="19"/>
      <c r="DB535" s="19"/>
      <c r="DC535" s="19"/>
      <c r="DD535" s="19"/>
      <c r="DE535" s="19"/>
      <c r="DF535" s="19"/>
      <c r="DG535" s="19"/>
      <c r="DH535" s="19"/>
      <c r="DI535" s="19"/>
      <c r="DJ535" s="19"/>
      <c r="DK535" s="19"/>
      <c r="DL535" s="19"/>
      <c r="DM535" s="19"/>
      <c r="DN535" s="19"/>
      <c r="DO535" s="19"/>
      <c r="DP535" s="19"/>
      <c r="DQ535" s="19"/>
      <c r="DR535" s="19"/>
      <c r="DS535" s="19"/>
      <c r="DT535" s="19"/>
      <c r="DU535" s="19"/>
      <c r="DV535" s="19"/>
      <c r="DW535" s="19"/>
      <c r="DX535" s="19"/>
      <c r="DY535" s="19"/>
      <c r="DZ535" s="19"/>
      <c r="EA535" s="19"/>
      <c r="EB535" s="19"/>
      <c r="EC535" s="19"/>
      <c r="ED535" s="19"/>
      <c r="EE535" s="19"/>
      <c r="EF535" s="19"/>
      <c r="EG535" s="19"/>
      <c r="EH535" s="19"/>
      <c r="EI535" s="19"/>
      <c r="EJ535" s="19"/>
      <c r="EK535" s="19"/>
      <c r="EL535" s="19"/>
      <c r="EM535" s="19"/>
      <c r="EN535" s="19"/>
      <c r="EO535" s="19"/>
      <c r="EP535" s="17"/>
      <c r="EQ535" s="23"/>
      <c r="ER535" s="23" t="str">
        <f t="shared" si="7"/>
        <v/>
      </c>
      <c r="ES535" s="19"/>
      <c r="ET535" s="19" t="str">
        <f t="shared" si="8"/>
        <v/>
      </c>
      <c r="EU535" s="19"/>
      <c r="EV535" s="19"/>
      <c r="EW535" s="19"/>
      <c r="EX535" s="19"/>
      <c r="EY535" s="19"/>
      <c r="EZ535" s="19"/>
      <c r="FA535" s="19"/>
      <c r="FB535" s="19"/>
    </row>
    <row r="536" ht="15.75" customHeight="1">
      <c r="A536" s="19"/>
      <c r="F536" s="19"/>
      <c r="AH536" s="23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  <c r="CD536" s="19"/>
      <c r="CE536" s="19"/>
      <c r="CF536" s="19"/>
      <c r="CG536" s="19"/>
      <c r="CH536" s="19"/>
      <c r="CI536" s="19"/>
      <c r="CJ536" s="19"/>
      <c r="CK536" s="19"/>
      <c r="CL536" s="19"/>
      <c r="CM536" s="19"/>
      <c r="CN536" s="19"/>
      <c r="CO536" s="19"/>
      <c r="CP536" s="19"/>
      <c r="CQ536" s="19"/>
      <c r="CR536" s="19"/>
      <c r="CS536" s="19"/>
      <c r="CT536" s="19"/>
      <c r="CU536" s="19"/>
      <c r="CV536" s="19"/>
      <c r="CW536" s="19"/>
      <c r="CX536" s="19"/>
      <c r="CY536" s="19"/>
      <c r="CZ536" s="19"/>
      <c r="DA536" s="19"/>
      <c r="DB536" s="19"/>
      <c r="DC536" s="19"/>
      <c r="DD536" s="19"/>
      <c r="DE536" s="19"/>
      <c r="DF536" s="19"/>
      <c r="DG536" s="19"/>
      <c r="DH536" s="19"/>
      <c r="DI536" s="19"/>
      <c r="DJ536" s="19"/>
      <c r="DK536" s="19"/>
      <c r="DL536" s="19"/>
      <c r="DM536" s="19"/>
      <c r="DN536" s="19"/>
      <c r="DO536" s="19"/>
      <c r="DP536" s="19"/>
      <c r="DQ536" s="19"/>
      <c r="DR536" s="19"/>
      <c r="DS536" s="19"/>
      <c r="DT536" s="19"/>
      <c r="DU536" s="19"/>
      <c r="DV536" s="19"/>
      <c r="DW536" s="19"/>
      <c r="DX536" s="19"/>
      <c r="DY536" s="19"/>
      <c r="DZ536" s="19"/>
      <c r="EA536" s="19"/>
      <c r="EB536" s="19"/>
      <c r="EC536" s="19"/>
      <c r="ED536" s="19"/>
      <c r="EE536" s="19"/>
      <c r="EF536" s="19"/>
      <c r="EG536" s="19"/>
      <c r="EH536" s="19"/>
      <c r="EI536" s="19"/>
      <c r="EJ536" s="19"/>
      <c r="EK536" s="19"/>
      <c r="EL536" s="19"/>
      <c r="EM536" s="19"/>
      <c r="EN536" s="19"/>
      <c r="EO536" s="19"/>
      <c r="EP536" s="17"/>
      <c r="EQ536" s="23"/>
      <c r="ER536" s="23" t="str">
        <f t="shared" si="7"/>
        <v/>
      </c>
      <c r="ES536" s="19"/>
      <c r="ET536" s="19" t="str">
        <f t="shared" si="8"/>
        <v/>
      </c>
      <c r="EU536" s="19"/>
      <c r="EV536" s="19"/>
      <c r="EW536" s="19"/>
      <c r="EX536" s="19"/>
      <c r="EY536" s="19"/>
      <c r="EZ536" s="19"/>
      <c r="FA536" s="19"/>
      <c r="FB536" s="19"/>
    </row>
    <row r="537" ht="15.75" customHeight="1">
      <c r="A537" s="19"/>
      <c r="F537" s="19"/>
      <c r="AH537" s="23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19"/>
      <c r="CS537" s="19"/>
      <c r="CT537" s="19"/>
      <c r="CU537" s="19"/>
      <c r="CV537" s="19"/>
      <c r="CW537" s="19"/>
      <c r="CX537" s="19"/>
      <c r="CY537" s="19"/>
      <c r="CZ537" s="19"/>
      <c r="DA537" s="19"/>
      <c r="DB537" s="19"/>
      <c r="DC537" s="19"/>
      <c r="DD537" s="19"/>
      <c r="DE537" s="19"/>
      <c r="DF537" s="19"/>
      <c r="DG537" s="19"/>
      <c r="DH537" s="19"/>
      <c r="DI537" s="19"/>
      <c r="DJ537" s="19"/>
      <c r="DK537" s="19"/>
      <c r="DL537" s="19"/>
      <c r="DM537" s="19"/>
      <c r="DN537" s="19"/>
      <c r="DO537" s="19"/>
      <c r="DP537" s="19"/>
      <c r="DQ537" s="19"/>
      <c r="DR537" s="19"/>
      <c r="DS537" s="19"/>
      <c r="DT537" s="19"/>
      <c r="DU537" s="19"/>
      <c r="DV537" s="19"/>
      <c r="DW537" s="19"/>
      <c r="DX537" s="19"/>
      <c r="DY537" s="19"/>
      <c r="DZ537" s="19"/>
      <c r="EA537" s="19"/>
      <c r="EB537" s="19"/>
      <c r="EC537" s="19"/>
      <c r="ED537" s="19"/>
      <c r="EE537" s="19"/>
      <c r="EF537" s="19"/>
      <c r="EG537" s="19"/>
      <c r="EH537" s="19"/>
      <c r="EI537" s="19"/>
      <c r="EJ537" s="19"/>
      <c r="EK537" s="19"/>
      <c r="EL537" s="19"/>
      <c r="EM537" s="19"/>
      <c r="EN537" s="19"/>
      <c r="EO537" s="19"/>
      <c r="EP537" s="17"/>
      <c r="EQ537" s="23"/>
      <c r="ER537" s="23" t="str">
        <f t="shared" si="7"/>
        <v/>
      </c>
      <c r="ES537" s="19"/>
      <c r="ET537" s="19" t="str">
        <f t="shared" si="8"/>
        <v/>
      </c>
      <c r="EU537" s="19"/>
      <c r="EV537" s="19"/>
      <c r="EW537" s="19"/>
      <c r="EX537" s="19"/>
      <c r="EY537" s="19"/>
      <c r="EZ537" s="19"/>
      <c r="FA537" s="19"/>
      <c r="FB537" s="19"/>
    </row>
    <row r="538" ht="15.75" customHeight="1">
      <c r="A538" s="19"/>
      <c r="F538" s="19"/>
      <c r="AH538" s="23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  <c r="CD538" s="19"/>
      <c r="CE538" s="19"/>
      <c r="CF538" s="19"/>
      <c r="CG538" s="19"/>
      <c r="CH538" s="19"/>
      <c r="CI538" s="19"/>
      <c r="CJ538" s="19"/>
      <c r="CK538" s="19"/>
      <c r="CL538" s="19"/>
      <c r="CM538" s="19"/>
      <c r="CN538" s="19"/>
      <c r="CO538" s="19"/>
      <c r="CP538" s="19"/>
      <c r="CQ538" s="19"/>
      <c r="CR538" s="19"/>
      <c r="CS538" s="19"/>
      <c r="CT538" s="19"/>
      <c r="CU538" s="19"/>
      <c r="CV538" s="19"/>
      <c r="CW538" s="19"/>
      <c r="CX538" s="19"/>
      <c r="CY538" s="19"/>
      <c r="CZ538" s="19"/>
      <c r="DA538" s="19"/>
      <c r="DB538" s="19"/>
      <c r="DC538" s="19"/>
      <c r="DD538" s="19"/>
      <c r="DE538" s="19"/>
      <c r="DF538" s="19"/>
      <c r="DG538" s="19"/>
      <c r="DH538" s="19"/>
      <c r="DI538" s="19"/>
      <c r="DJ538" s="19"/>
      <c r="DK538" s="19"/>
      <c r="DL538" s="19"/>
      <c r="DM538" s="19"/>
      <c r="DN538" s="19"/>
      <c r="DO538" s="19"/>
      <c r="DP538" s="19"/>
      <c r="DQ538" s="19"/>
      <c r="DR538" s="19"/>
      <c r="DS538" s="19"/>
      <c r="DT538" s="19"/>
      <c r="DU538" s="19"/>
      <c r="DV538" s="19"/>
      <c r="DW538" s="19"/>
      <c r="DX538" s="19"/>
      <c r="DY538" s="19"/>
      <c r="DZ538" s="19"/>
      <c r="EA538" s="19"/>
      <c r="EB538" s="19"/>
      <c r="EC538" s="19"/>
      <c r="ED538" s="19"/>
      <c r="EE538" s="19"/>
      <c r="EF538" s="19"/>
      <c r="EG538" s="19"/>
      <c r="EH538" s="19"/>
      <c r="EI538" s="19"/>
      <c r="EJ538" s="19"/>
      <c r="EK538" s="19"/>
      <c r="EL538" s="19"/>
      <c r="EM538" s="19"/>
      <c r="EN538" s="19"/>
      <c r="EO538" s="19"/>
      <c r="EP538" s="17"/>
      <c r="EQ538" s="23"/>
      <c r="ER538" s="23" t="str">
        <f t="shared" si="7"/>
        <v/>
      </c>
      <c r="ES538" s="19"/>
      <c r="ET538" s="19" t="str">
        <f t="shared" si="8"/>
        <v/>
      </c>
      <c r="EU538" s="19"/>
      <c r="EV538" s="19"/>
      <c r="EW538" s="19"/>
      <c r="EX538" s="19"/>
      <c r="EY538" s="19"/>
      <c r="EZ538" s="19"/>
      <c r="FA538" s="19"/>
      <c r="FB538" s="19"/>
    </row>
    <row r="539" ht="15.75" customHeight="1">
      <c r="A539" s="19"/>
      <c r="F539" s="19"/>
      <c r="AH539" s="23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  <c r="CD539" s="19"/>
      <c r="CE539" s="19"/>
      <c r="CF539" s="19"/>
      <c r="CG539" s="19"/>
      <c r="CH539" s="19"/>
      <c r="CI539" s="19"/>
      <c r="CJ539" s="19"/>
      <c r="CK539" s="19"/>
      <c r="CL539" s="19"/>
      <c r="CM539" s="19"/>
      <c r="CN539" s="19"/>
      <c r="CO539" s="19"/>
      <c r="CP539" s="19"/>
      <c r="CQ539" s="19"/>
      <c r="CR539" s="19"/>
      <c r="CS539" s="19"/>
      <c r="CT539" s="19"/>
      <c r="CU539" s="19"/>
      <c r="CV539" s="19"/>
      <c r="CW539" s="19"/>
      <c r="CX539" s="19"/>
      <c r="CY539" s="19"/>
      <c r="CZ539" s="19"/>
      <c r="DA539" s="19"/>
      <c r="DB539" s="19"/>
      <c r="DC539" s="19"/>
      <c r="DD539" s="19"/>
      <c r="DE539" s="19"/>
      <c r="DF539" s="19"/>
      <c r="DG539" s="19"/>
      <c r="DH539" s="19"/>
      <c r="DI539" s="19"/>
      <c r="DJ539" s="19"/>
      <c r="DK539" s="19"/>
      <c r="DL539" s="19"/>
      <c r="DM539" s="19"/>
      <c r="DN539" s="19"/>
      <c r="DO539" s="19"/>
      <c r="DP539" s="19"/>
      <c r="DQ539" s="19"/>
      <c r="DR539" s="19"/>
      <c r="DS539" s="19"/>
      <c r="DT539" s="19"/>
      <c r="DU539" s="19"/>
      <c r="DV539" s="19"/>
      <c r="DW539" s="19"/>
      <c r="DX539" s="19"/>
      <c r="DY539" s="19"/>
      <c r="DZ539" s="19"/>
      <c r="EA539" s="19"/>
      <c r="EB539" s="19"/>
      <c r="EC539" s="19"/>
      <c r="ED539" s="19"/>
      <c r="EE539" s="19"/>
      <c r="EF539" s="19"/>
      <c r="EG539" s="19"/>
      <c r="EH539" s="19"/>
      <c r="EI539" s="19"/>
      <c r="EJ539" s="19"/>
      <c r="EK539" s="19"/>
      <c r="EL539" s="19"/>
      <c r="EM539" s="19"/>
      <c r="EN539" s="19"/>
      <c r="EO539" s="19"/>
      <c r="EP539" s="17"/>
      <c r="EQ539" s="23"/>
      <c r="ER539" s="23" t="str">
        <f t="shared" si="7"/>
        <v/>
      </c>
      <c r="ES539" s="19"/>
      <c r="ET539" s="19" t="str">
        <f t="shared" si="8"/>
        <v/>
      </c>
      <c r="EU539" s="19"/>
      <c r="EV539" s="19"/>
      <c r="EW539" s="19"/>
      <c r="EX539" s="19"/>
      <c r="EY539" s="19"/>
      <c r="EZ539" s="19"/>
      <c r="FA539" s="19"/>
      <c r="FB539" s="19"/>
    </row>
    <row r="540" ht="15.75" customHeight="1">
      <c r="A540" s="19"/>
      <c r="F540" s="19"/>
      <c r="AH540" s="23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  <c r="CD540" s="19"/>
      <c r="CE540" s="19"/>
      <c r="CF540" s="19"/>
      <c r="CG540" s="19"/>
      <c r="CH540" s="19"/>
      <c r="CI540" s="19"/>
      <c r="CJ540" s="19"/>
      <c r="CK540" s="19"/>
      <c r="CL540" s="19"/>
      <c r="CM540" s="19"/>
      <c r="CN540" s="19"/>
      <c r="CO540" s="19"/>
      <c r="CP540" s="19"/>
      <c r="CQ540" s="19"/>
      <c r="CR540" s="19"/>
      <c r="CS540" s="19"/>
      <c r="CT540" s="19"/>
      <c r="CU540" s="19"/>
      <c r="CV540" s="19"/>
      <c r="CW540" s="19"/>
      <c r="CX540" s="19"/>
      <c r="CY540" s="19"/>
      <c r="CZ540" s="19"/>
      <c r="DA540" s="19"/>
      <c r="DB540" s="19"/>
      <c r="DC540" s="19"/>
      <c r="DD540" s="19"/>
      <c r="DE540" s="19"/>
      <c r="DF540" s="19"/>
      <c r="DG540" s="19"/>
      <c r="DH540" s="19"/>
      <c r="DI540" s="19"/>
      <c r="DJ540" s="19"/>
      <c r="DK540" s="19"/>
      <c r="DL540" s="19"/>
      <c r="DM540" s="19"/>
      <c r="DN540" s="19"/>
      <c r="DO540" s="19"/>
      <c r="DP540" s="19"/>
      <c r="DQ540" s="19"/>
      <c r="DR540" s="19"/>
      <c r="DS540" s="19"/>
      <c r="DT540" s="19"/>
      <c r="DU540" s="19"/>
      <c r="DV540" s="19"/>
      <c r="DW540" s="19"/>
      <c r="DX540" s="19"/>
      <c r="DY540" s="19"/>
      <c r="DZ540" s="19"/>
      <c r="EA540" s="19"/>
      <c r="EB540" s="19"/>
      <c r="EC540" s="19"/>
      <c r="ED540" s="19"/>
      <c r="EE540" s="19"/>
      <c r="EF540" s="19"/>
      <c r="EG540" s="19"/>
      <c r="EH540" s="19"/>
      <c r="EI540" s="19"/>
      <c r="EJ540" s="19"/>
      <c r="EK540" s="19"/>
      <c r="EL540" s="19"/>
      <c r="EM540" s="19"/>
      <c r="EN540" s="19"/>
      <c r="EO540" s="19"/>
      <c r="EP540" s="17"/>
      <c r="EQ540" s="23"/>
      <c r="ER540" s="23" t="str">
        <f t="shared" si="7"/>
        <v/>
      </c>
      <c r="ES540" s="19"/>
      <c r="ET540" s="19" t="str">
        <f t="shared" si="8"/>
        <v/>
      </c>
      <c r="EU540" s="19"/>
      <c r="EV540" s="19"/>
      <c r="EW540" s="19"/>
      <c r="EX540" s="19"/>
      <c r="EY540" s="19"/>
      <c r="EZ540" s="19"/>
      <c r="FA540" s="19"/>
      <c r="FB540" s="19"/>
    </row>
    <row r="541" ht="15.75" customHeight="1">
      <c r="A541" s="19"/>
      <c r="F541" s="19"/>
      <c r="AH541" s="23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  <c r="EE541" s="19"/>
      <c r="EF541" s="19"/>
      <c r="EG541" s="19"/>
      <c r="EH541" s="19"/>
      <c r="EI541" s="19"/>
      <c r="EJ541" s="19"/>
      <c r="EK541" s="19"/>
      <c r="EL541" s="19"/>
      <c r="EM541" s="19"/>
      <c r="EN541" s="19"/>
      <c r="EO541" s="19"/>
      <c r="EP541" s="17"/>
      <c r="EQ541" s="23"/>
      <c r="ER541" s="23" t="str">
        <f t="shared" si="7"/>
        <v/>
      </c>
      <c r="ES541" s="19"/>
      <c r="ET541" s="19" t="str">
        <f t="shared" si="8"/>
        <v/>
      </c>
      <c r="EU541" s="19"/>
      <c r="EV541" s="19"/>
      <c r="EW541" s="19"/>
      <c r="EX541" s="19"/>
      <c r="EY541" s="19"/>
      <c r="EZ541" s="19"/>
      <c r="FA541" s="19"/>
      <c r="FB541" s="19"/>
    </row>
    <row r="542" ht="15.75" customHeight="1">
      <c r="A542" s="19"/>
      <c r="F542" s="19"/>
      <c r="AH542" s="23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  <c r="CD542" s="19"/>
      <c r="CE542" s="19"/>
      <c r="CF542" s="19"/>
      <c r="CG542" s="19"/>
      <c r="CH542" s="19"/>
      <c r="CI542" s="19"/>
      <c r="CJ542" s="19"/>
      <c r="CK542" s="19"/>
      <c r="CL542" s="19"/>
      <c r="CM542" s="19"/>
      <c r="CN542" s="19"/>
      <c r="CO542" s="19"/>
      <c r="CP542" s="19"/>
      <c r="CQ542" s="19"/>
      <c r="CR542" s="19"/>
      <c r="CS542" s="19"/>
      <c r="CT542" s="19"/>
      <c r="CU542" s="19"/>
      <c r="CV542" s="19"/>
      <c r="CW542" s="19"/>
      <c r="CX542" s="19"/>
      <c r="CY542" s="19"/>
      <c r="CZ542" s="19"/>
      <c r="DA542" s="19"/>
      <c r="DB542" s="19"/>
      <c r="DC542" s="19"/>
      <c r="DD542" s="19"/>
      <c r="DE542" s="19"/>
      <c r="DF542" s="19"/>
      <c r="DG542" s="19"/>
      <c r="DH542" s="19"/>
      <c r="DI542" s="19"/>
      <c r="DJ542" s="19"/>
      <c r="DK542" s="19"/>
      <c r="DL542" s="19"/>
      <c r="DM542" s="19"/>
      <c r="DN542" s="19"/>
      <c r="DO542" s="19"/>
      <c r="DP542" s="19"/>
      <c r="DQ542" s="19"/>
      <c r="DR542" s="19"/>
      <c r="DS542" s="19"/>
      <c r="DT542" s="19"/>
      <c r="DU542" s="19"/>
      <c r="DV542" s="19"/>
      <c r="DW542" s="19"/>
      <c r="DX542" s="19"/>
      <c r="DY542" s="19"/>
      <c r="DZ542" s="19"/>
      <c r="EA542" s="19"/>
      <c r="EB542" s="19"/>
      <c r="EC542" s="19"/>
      <c r="ED542" s="19"/>
      <c r="EE542" s="19"/>
      <c r="EF542" s="19"/>
      <c r="EG542" s="19"/>
      <c r="EH542" s="19"/>
      <c r="EI542" s="19"/>
      <c r="EJ542" s="19"/>
      <c r="EK542" s="19"/>
      <c r="EL542" s="19"/>
      <c r="EM542" s="19"/>
      <c r="EN542" s="19"/>
      <c r="EO542" s="19"/>
      <c r="EP542" s="17"/>
      <c r="EQ542" s="23"/>
      <c r="ER542" s="23" t="str">
        <f t="shared" si="7"/>
        <v/>
      </c>
      <c r="ES542" s="19"/>
      <c r="ET542" s="19" t="str">
        <f t="shared" si="8"/>
        <v/>
      </c>
      <c r="EU542" s="19"/>
      <c r="EV542" s="19"/>
      <c r="EW542" s="19"/>
      <c r="EX542" s="19"/>
      <c r="EY542" s="19"/>
      <c r="EZ542" s="19"/>
      <c r="FA542" s="19"/>
      <c r="FB542" s="19"/>
    </row>
    <row r="543" ht="15.75" customHeight="1">
      <c r="A543" s="19"/>
      <c r="F543" s="19"/>
      <c r="AH543" s="23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  <c r="CD543" s="19"/>
      <c r="CE543" s="19"/>
      <c r="CF543" s="19"/>
      <c r="CG543" s="19"/>
      <c r="CH543" s="19"/>
      <c r="CI543" s="19"/>
      <c r="CJ543" s="19"/>
      <c r="CK543" s="19"/>
      <c r="CL543" s="19"/>
      <c r="CM543" s="19"/>
      <c r="CN543" s="19"/>
      <c r="CO543" s="19"/>
      <c r="CP543" s="19"/>
      <c r="CQ543" s="19"/>
      <c r="CR543" s="19"/>
      <c r="CS543" s="19"/>
      <c r="CT543" s="19"/>
      <c r="CU543" s="19"/>
      <c r="CV543" s="19"/>
      <c r="CW543" s="19"/>
      <c r="CX543" s="19"/>
      <c r="CY543" s="19"/>
      <c r="CZ543" s="19"/>
      <c r="DA543" s="19"/>
      <c r="DB543" s="19"/>
      <c r="DC543" s="19"/>
      <c r="DD543" s="19"/>
      <c r="DE543" s="19"/>
      <c r="DF543" s="19"/>
      <c r="DG543" s="19"/>
      <c r="DH543" s="19"/>
      <c r="DI543" s="19"/>
      <c r="DJ543" s="19"/>
      <c r="DK543" s="19"/>
      <c r="DL543" s="19"/>
      <c r="DM543" s="19"/>
      <c r="DN543" s="19"/>
      <c r="DO543" s="19"/>
      <c r="DP543" s="19"/>
      <c r="DQ543" s="19"/>
      <c r="DR543" s="19"/>
      <c r="DS543" s="19"/>
      <c r="DT543" s="19"/>
      <c r="DU543" s="19"/>
      <c r="DV543" s="19"/>
      <c r="DW543" s="19"/>
      <c r="DX543" s="19"/>
      <c r="DY543" s="19"/>
      <c r="DZ543" s="19"/>
      <c r="EA543" s="19"/>
      <c r="EB543" s="19"/>
      <c r="EC543" s="19"/>
      <c r="ED543" s="19"/>
      <c r="EE543" s="19"/>
      <c r="EF543" s="19"/>
      <c r="EG543" s="19"/>
      <c r="EH543" s="19"/>
      <c r="EI543" s="19"/>
      <c r="EJ543" s="19"/>
      <c r="EK543" s="19"/>
      <c r="EL543" s="19"/>
      <c r="EM543" s="19"/>
      <c r="EN543" s="19"/>
      <c r="EO543" s="19"/>
      <c r="EP543" s="17"/>
      <c r="EQ543" s="23"/>
      <c r="ER543" s="23" t="str">
        <f t="shared" si="7"/>
        <v/>
      </c>
      <c r="ES543" s="19"/>
      <c r="ET543" s="19" t="str">
        <f t="shared" si="8"/>
        <v/>
      </c>
      <c r="EU543" s="19"/>
      <c r="EV543" s="19"/>
      <c r="EW543" s="19"/>
      <c r="EX543" s="19"/>
      <c r="EY543" s="19"/>
      <c r="EZ543" s="19"/>
      <c r="FA543" s="19"/>
      <c r="FB543" s="19"/>
    </row>
    <row r="544" ht="15.75" customHeight="1">
      <c r="A544" s="19"/>
      <c r="F544" s="19"/>
      <c r="AH544" s="23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/>
      <c r="CP544" s="19"/>
      <c r="CQ544" s="19"/>
      <c r="CR544" s="19"/>
      <c r="CS544" s="19"/>
      <c r="CT544" s="19"/>
      <c r="CU544" s="19"/>
      <c r="CV544" s="19"/>
      <c r="CW544" s="19"/>
      <c r="CX544" s="19"/>
      <c r="CY544" s="19"/>
      <c r="CZ544" s="19"/>
      <c r="DA544" s="19"/>
      <c r="DB544" s="19"/>
      <c r="DC544" s="19"/>
      <c r="DD544" s="19"/>
      <c r="DE544" s="19"/>
      <c r="DF544" s="19"/>
      <c r="DG544" s="19"/>
      <c r="DH544" s="19"/>
      <c r="DI544" s="19"/>
      <c r="DJ544" s="19"/>
      <c r="DK544" s="19"/>
      <c r="DL544" s="19"/>
      <c r="DM544" s="19"/>
      <c r="DN544" s="19"/>
      <c r="DO544" s="19"/>
      <c r="DP544" s="19"/>
      <c r="DQ544" s="19"/>
      <c r="DR544" s="19"/>
      <c r="DS544" s="19"/>
      <c r="DT544" s="19"/>
      <c r="DU544" s="19"/>
      <c r="DV544" s="19"/>
      <c r="DW544" s="19"/>
      <c r="DX544" s="19"/>
      <c r="DY544" s="19"/>
      <c r="DZ544" s="19"/>
      <c r="EA544" s="19"/>
      <c r="EB544" s="19"/>
      <c r="EC544" s="19"/>
      <c r="ED544" s="19"/>
      <c r="EE544" s="19"/>
      <c r="EF544" s="19"/>
      <c r="EG544" s="19"/>
      <c r="EH544" s="19"/>
      <c r="EI544" s="19"/>
      <c r="EJ544" s="19"/>
      <c r="EK544" s="19"/>
      <c r="EL544" s="19"/>
      <c r="EM544" s="19"/>
      <c r="EN544" s="19"/>
      <c r="EO544" s="19"/>
      <c r="EP544" s="17"/>
      <c r="EQ544" s="23"/>
      <c r="ER544" s="23" t="str">
        <f t="shared" si="7"/>
        <v/>
      </c>
      <c r="ES544" s="19"/>
      <c r="ET544" s="19" t="str">
        <f t="shared" si="8"/>
        <v/>
      </c>
      <c r="EU544" s="19"/>
      <c r="EV544" s="19"/>
      <c r="EW544" s="19"/>
      <c r="EX544" s="19"/>
      <c r="EY544" s="19"/>
      <c r="EZ544" s="19"/>
      <c r="FA544" s="19"/>
      <c r="FB544" s="19"/>
    </row>
    <row r="545" ht="15.75" customHeight="1">
      <c r="A545" s="19"/>
      <c r="F545" s="19"/>
      <c r="AH545" s="23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7"/>
      <c r="EQ545" s="23"/>
      <c r="ER545" s="23" t="str">
        <f t="shared" si="7"/>
        <v/>
      </c>
      <c r="ES545" s="19"/>
      <c r="ET545" s="19" t="str">
        <f t="shared" si="8"/>
        <v/>
      </c>
      <c r="EU545" s="19"/>
      <c r="EV545" s="19"/>
      <c r="EW545" s="19"/>
      <c r="EX545" s="19"/>
      <c r="EY545" s="19"/>
      <c r="EZ545" s="19"/>
      <c r="FA545" s="19"/>
      <c r="FB545" s="19"/>
    </row>
    <row r="546" ht="15.75" customHeight="1">
      <c r="A546" s="19"/>
      <c r="F546" s="19"/>
      <c r="AH546" s="23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  <c r="CD546" s="19"/>
      <c r="CE546" s="19"/>
      <c r="CF546" s="19"/>
      <c r="CG546" s="19"/>
      <c r="CH546" s="19"/>
      <c r="CI546" s="19"/>
      <c r="CJ546" s="19"/>
      <c r="CK546" s="19"/>
      <c r="CL546" s="19"/>
      <c r="CM546" s="19"/>
      <c r="CN546" s="19"/>
      <c r="CO546" s="19"/>
      <c r="CP546" s="19"/>
      <c r="CQ546" s="19"/>
      <c r="CR546" s="19"/>
      <c r="CS546" s="19"/>
      <c r="CT546" s="19"/>
      <c r="CU546" s="19"/>
      <c r="CV546" s="19"/>
      <c r="CW546" s="19"/>
      <c r="CX546" s="19"/>
      <c r="CY546" s="19"/>
      <c r="CZ546" s="19"/>
      <c r="DA546" s="19"/>
      <c r="DB546" s="19"/>
      <c r="DC546" s="19"/>
      <c r="DD546" s="19"/>
      <c r="DE546" s="19"/>
      <c r="DF546" s="19"/>
      <c r="DG546" s="19"/>
      <c r="DH546" s="19"/>
      <c r="DI546" s="19"/>
      <c r="DJ546" s="19"/>
      <c r="DK546" s="19"/>
      <c r="DL546" s="19"/>
      <c r="DM546" s="19"/>
      <c r="DN546" s="19"/>
      <c r="DO546" s="19"/>
      <c r="DP546" s="19"/>
      <c r="DQ546" s="19"/>
      <c r="DR546" s="19"/>
      <c r="DS546" s="19"/>
      <c r="DT546" s="19"/>
      <c r="DU546" s="19"/>
      <c r="DV546" s="19"/>
      <c r="DW546" s="19"/>
      <c r="DX546" s="19"/>
      <c r="DY546" s="19"/>
      <c r="DZ546" s="19"/>
      <c r="EA546" s="19"/>
      <c r="EB546" s="19"/>
      <c r="EC546" s="19"/>
      <c r="ED546" s="19"/>
      <c r="EE546" s="19"/>
      <c r="EF546" s="19"/>
      <c r="EG546" s="19"/>
      <c r="EH546" s="19"/>
      <c r="EI546" s="19"/>
      <c r="EJ546" s="19"/>
      <c r="EK546" s="19"/>
      <c r="EL546" s="19"/>
      <c r="EM546" s="19"/>
      <c r="EN546" s="19"/>
      <c r="EO546" s="19"/>
      <c r="EP546" s="17"/>
      <c r="EQ546" s="23"/>
      <c r="ER546" s="23" t="str">
        <f t="shared" si="7"/>
        <v/>
      </c>
      <c r="ES546" s="19"/>
      <c r="ET546" s="19" t="str">
        <f t="shared" si="8"/>
        <v/>
      </c>
      <c r="EU546" s="19"/>
      <c r="EV546" s="19"/>
      <c r="EW546" s="19"/>
      <c r="EX546" s="19"/>
      <c r="EY546" s="19"/>
      <c r="EZ546" s="19"/>
      <c r="FA546" s="19"/>
      <c r="FB546" s="19"/>
    </row>
    <row r="547" ht="15.75" customHeight="1">
      <c r="A547" s="19"/>
      <c r="F547" s="19"/>
      <c r="AH547" s="23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19"/>
      <c r="CS547" s="19"/>
      <c r="CT547" s="19"/>
      <c r="CU547" s="19"/>
      <c r="CV547" s="19"/>
      <c r="CW547" s="19"/>
      <c r="CX547" s="19"/>
      <c r="CY547" s="19"/>
      <c r="CZ547" s="19"/>
      <c r="DA547" s="19"/>
      <c r="DB547" s="19"/>
      <c r="DC547" s="19"/>
      <c r="DD547" s="19"/>
      <c r="DE547" s="19"/>
      <c r="DF547" s="19"/>
      <c r="DG547" s="19"/>
      <c r="DH547" s="19"/>
      <c r="DI547" s="19"/>
      <c r="DJ547" s="19"/>
      <c r="DK547" s="19"/>
      <c r="DL547" s="19"/>
      <c r="DM547" s="19"/>
      <c r="DN547" s="19"/>
      <c r="DO547" s="19"/>
      <c r="DP547" s="19"/>
      <c r="DQ547" s="19"/>
      <c r="DR547" s="19"/>
      <c r="DS547" s="19"/>
      <c r="DT547" s="19"/>
      <c r="DU547" s="19"/>
      <c r="DV547" s="19"/>
      <c r="DW547" s="19"/>
      <c r="DX547" s="19"/>
      <c r="DY547" s="19"/>
      <c r="DZ547" s="19"/>
      <c r="EA547" s="19"/>
      <c r="EB547" s="19"/>
      <c r="EC547" s="19"/>
      <c r="ED547" s="19"/>
      <c r="EE547" s="19"/>
      <c r="EF547" s="19"/>
      <c r="EG547" s="19"/>
      <c r="EH547" s="19"/>
      <c r="EI547" s="19"/>
      <c r="EJ547" s="19"/>
      <c r="EK547" s="19"/>
      <c r="EL547" s="19"/>
      <c r="EM547" s="19"/>
      <c r="EN547" s="19"/>
      <c r="EO547" s="19"/>
      <c r="EP547" s="17"/>
      <c r="EQ547" s="23"/>
      <c r="ER547" s="23" t="str">
        <f t="shared" si="7"/>
        <v/>
      </c>
      <c r="ES547" s="19"/>
      <c r="ET547" s="19" t="str">
        <f t="shared" si="8"/>
        <v/>
      </c>
      <c r="EU547" s="19"/>
      <c r="EV547" s="19"/>
      <c r="EW547" s="19"/>
      <c r="EX547" s="19"/>
      <c r="EY547" s="19"/>
      <c r="EZ547" s="19"/>
      <c r="FA547" s="19"/>
      <c r="FB547" s="19"/>
    </row>
    <row r="548" ht="15.75" customHeight="1">
      <c r="A548" s="19"/>
      <c r="F548" s="19"/>
      <c r="AH548" s="23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  <c r="CD548" s="19"/>
      <c r="CE548" s="19"/>
      <c r="CF548" s="19"/>
      <c r="CG548" s="19"/>
      <c r="CH548" s="19"/>
      <c r="CI548" s="19"/>
      <c r="CJ548" s="19"/>
      <c r="CK548" s="19"/>
      <c r="CL548" s="19"/>
      <c r="CM548" s="19"/>
      <c r="CN548" s="19"/>
      <c r="CO548" s="19"/>
      <c r="CP548" s="19"/>
      <c r="CQ548" s="19"/>
      <c r="CR548" s="19"/>
      <c r="CS548" s="19"/>
      <c r="CT548" s="19"/>
      <c r="CU548" s="19"/>
      <c r="CV548" s="19"/>
      <c r="CW548" s="19"/>
      <c r="CX548" s="19"/>
      <c r="CY548" s="19"/>
      <c r="CZ548" s="19"/>
      <c r="DA548" s="19"/>
      <c r="DB548" s="19"/>
      <c r="DC548" s="19"/>
      <c r="DD548" s="19"/>
      <c r="DE548" s="19"/>
      <c r="DF548" s="19"/>
      <c r="DG548" s="19"/>
      <c r="DH548" s="19"/>
      <c r="DI548" s="19"/>
      <c r="DJ548" s="19"/>
      <c r="DK548" s="19"/>
      <c r="DL548" s="19"/>
      <c r="DM548" s="19"/>
      <c r="DN548" s="19"/>
      <c r="DO548" s="19"/>
      <c r="DP548" s="19"/>
      <c r="DQ548" s="19"/>
      <c r="DR548" s="19"/>
      <c r="DS548" s="19"/>
      <c r="DT548" s="19"/>
      <c r="DU548" s="19"/>
      <c r="DV548" s="19"/>
      <c r="DW548" s="19"/>
      <c r="DX548" s="19"/>
      <c r="DY548" s="19"/>
      <c r="DZ548" s="19"/>
      <c r="EA548" s="19"/>
      <c r="EB548" s="19"/>
      <c r="EC548" s="19"/>
      <c r="ED548" s="19"/>
      <c r="EE548" s="19"/>
      <c r="EF548" s="19"/>
      <c r="EG548" s="19"/>
      <c r="EH548" s="19"/>
      <c r="EI548" s="19"/>
      <c r="EJ548" s="19"/>
      <c r="EK548" s="19"/>
      <c r="EL548" s="19"/>
      <c r="EM548" s="19"/>
      <c r="EN548" s="19"/>
      <c r="EO548" s="19"/>
      <c r="EP548" s="17"/>
      <c r="EQ548" s="23"/>
      <c r="ER548" s="23" t="str">
        <f t="shared" si="7"/>
        <v/>
      </c>
      <c r="ES548" s="19"/>
      <c r="ET548" s="19" t="str">
        <f t="shared" si="8"/>
        <v/>
      </c>
      <c r="EU548" s="19"/>
      <c r="EV548" s="19"/>
      <c r="EW548" s="19"/>
      <c r="EX548" s="19"/>
      <c r="EY548" s="19"/>
      <c r="EZ548" s="19"/>
      <c r="FA548" s="19"/>
      <c r="FB548" s="19"/>
    </row>
    <row r="549" ht="15.75" customHeight="1">
      <c r="A549" s="19"/>
      <c r="F549" s="19"/>
      <c r="AH549" s="23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  <c r="CD549" s="19"/>
      <c r="CE549" s="19"/>
      <c r="CF549" s="19"/>
      <c r="CG549" s="19"/>
      <c r="CH549" s="19"/>
      <c r="CI549" s="19"/>
      <c r="CJ549" s="19"/>
      <c r="CK549" s="19"/>
      <c r="CL549" s="19"/>
      <c r="CM549" s="19"/>
      <c r="CN549" s="19"/>
      <c r="CO549" s="19"/>
      <c r="CP549" s="19"/>
      <c r="CQ549" s="19"/>
      <c r="CR549" s="19"/>
      <c r="CS549" s="19"/>
      <c r="CT549" s="19"/>
      <c r="CU549" s="19"/>
      <c r="CV549" s="19"/>
      <c r="CW549" s="19"/>
      <c r="CX549" s="19"/>
      <c r="CY549" s="19"/>
      <c r="CZ549" s="19"/>
      <c r="DA549" s="19"/>
      <c r="DB549" s="19"/>
      <c r="DC549" s="19"/>
      <c r="DD549" s="19"/>
      <c r="DE549" s="19"/>
      <c r="DF549" s="19"/>
      <c r="DG549" s="19"/>
      <c r="DH549" s="19"/>
      <c r="DI549" s="19"/>
      <c r="DJ549" s="19"/>
      <c r="DK549" s="19"/>
      <c r="DL549" s="19"/>
      <c r="DM549" s="19"/>
      <c r="DN549" s="19"/>
      <c r="DO549" s="19"/>
      <c r="DP549" s="19"/>
      <c r="DQ549" s="19"/>
      <c r="DR549" s="19"/>
      <c r="DS549" s="19"/>
      <c r="DT549" s="19"/>
      <c r="DU549" s="19"/>
      <c r="DV549" s="19"/>
      <c r="DW549" s="19"/>
      <c r="DX549" s="19"/>
      <c r="DY549" s="19"/>
      <c r="DZ549" s="19"/>
      <c r="EA549" s="19"/>
      <c r="EB549" s="19"/>
      <c r="EC549" s="19"/>
      <c r="ED549" s="19"/>
      <c r="EE549" s="19"/>
      <c r="EF549" s="19"/>
      <c r="EG549" s="19"/>
      <c r="EH549" s="19"/>
      <c r="EI549" s="19"/>
      <c r="EJ549" s="19"/>
      <c r="EK549" s="19"/>
      <c r="EL549" s="19"/>
      <c r="EM549" s="19"/>
      <c r="EN549" s="19"/>
      <c r="EO549" s="19"/>
      <c r="EP549" s="17"/>
      <c r="EQ549" s="23"/>
      <c r="ER549" s="23" t="str">
        <f t="shared" si="7"/>
        <v/>
      </c>
      <c r="ES549" s="19"/>
      <c r="ET549" s="19" t="str">
        <f t="shared" si="8"/>
        <v/>
      </c>
      <c r="EU549" s="19"/>
      <c r="EV549" s="19"/>
      <c r="EW549" s="19"/>
      <c r="EX549" s="19"/>
      <c r="EY549" s="19"/>
      <c r="EZ549" s="19"/>
      <c r="FA549" s="19"/>
      <c r="FB549" s="19"/>
    </row>
    <row r="550" ht="15.75" customHeight="1">
      <c r="A550" s="19"/>
      <c r="F550" s="19"/>
      <c r="AH550" s="23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  <c r="CD550" s="19"/>
      <c r="CE550" s="19"/>
      <c r="CF550" s="19"/>
      <c r="CG550" s="19"/>
      <c r="CH550" s="19"/>
      <c r="CI550" s="19"/>
      <c r="CJ550" s="19"/>
      <c r="CK550" s="19"/>
      <c r="CL550" s="19"/>
      <c r="CM550" s="19"/>
      <c r="CN550" s="19"/>
      <c r="CO550" s="19"/>
      <c r="CP550" s="19"/>
      <c r="CQ550" s="19"/>
      <c r="CR550" s="19"/>
      <c r="CS550" s="19"/>
      <c r="CT550" s="19"/>
      <c r="CU550" s="19"/>
      <c r="CV550" s="19"/>
      <c r="CW550" s="19"/>
      <c r="CX550" s="19"/>
      <c r="CY550" s="19"/>
      <c r="CZ550" s="19"/>
      <c r="DA550" s="19"/>
      <c r="DB550" s="19"/>
      <c r="DC550" s="19"/>
      <c r="DD550" s="19"/>
      <c r="DE550" s="19"/>
      <c r="DF550" s="19"/>
      <c r="DG550" s="19"/>
      <c r="DH550" s="19"/>
      <c r="DI550" s="19"/>
      <c r="DJ550" s="19"/>
      <c r="DK550" s="19"/>
      <c r="DL550" s="19"/>
      <c r="DM550" s="19"/>
      <c r="DN550" s="19"/>
      <c r="DO550" s="19"/>
      <c r="DP550" s="19"/>
      <c r="DQ550" s="19"/>
      <c r="DR550" s="19"/>
      <c r="DS550" s="19"/>
      <c r="DT550" s="19"/>
      <c r="DU550" s="19"/>
      <c r="DV550" s="19"/>
      <c r="DW550" s="19"/>
      <c r="DX550" s="19"/>
      <c r="DY550" s="19"/>
      <c r="DZ550" s="19"/>
      <c r="EA550" s="19"/>
      <c r="EB550" s="19"/>
      <c r="EC550" s="19"/>
      <c r="ED550" s="19"/>
      <c r="EE550" s="19"/>
      <c r="EF550" s="19"/>
      <c r="EG550" s="19"/>
      <c r="EH550" s="19"/>
      <c r="EI550" s="19"/>
      <c r="EJ550" s="19"/>
      <c r="EK550" s="19"/>
      <c r="EL550" s="19"/>
      <c r="EM550" s="19"/>
      <c r="EN550" s="19"/>
      <c r="EO550" s="19"/>
      <c r="EP550" s="17"/>
      <c r="EQ550" s="23"/>
      <c r="ER550" s="23" t="str">
        <f t="shared" si="7"/>
        <v/>
      </c>
      <c r="ES550" s="19"/>
      <c r="ET550" s="19" t="str">
        <f t="shared" si="8"/>
        <v/>
      </c>
      <c r="EU550" s="19"/>
      <c r="EV550" s="19"/>
      <c r="EW550" s="19"/>
      <c r="EX550" s="19"/>
      <c r="EY550" s="19"/>
      <c r="EZ550" s="19"/>
      <c r="FA550" s="19"/>
      <c r="FB550" s="19"/>
    </row>
    <row r="551" ht="15.75" customHeight="1">
      <c r="A551" s="19"/>
      <c r="F551" s="19"/>
      <c r="AH551" s="23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  <c r="EE551" s="19"/>
      <c r="EF551" s="19"/>
      <c r="EG551" s="19"/>
      <c r="EH551" s="19"/>
      <c r="EI551" s="19"/>
      <c r="EJ551" s="19"/>
      <c r="EK551" s="19"/>
      <c r="EL551" s="19"/>
      <c r="EM551" s="19"/>
      <c r="EN551" s="19"/>
      <c r="EO551" s="19"/>
      <c r="EP551" s="17"/>
      <c r="EQ551" s="23"/>
      <c r="ER551" s="23" t="str">
        <f t="shared" si="7"/>
        <v/>
      </c>
      <c r="ES551" s="19"/>
      <c r="ET551" s="19" t="str">
        <f t="shared" si="8"/>
        <v/>
      </c>
      <c r="EU551" s="19"/>
      <c r="EV551" s="19"/>
      <c r="EW551" s="19"/>
      <c r="EX551" s="19"/>
      <c r="EY551" s="19"/>
      <c r="EZ551" s="19"/>
      <c r="FA551" s="19"/>
      <c r="FB551" s="19"/>
    </row>
    <row r="552" ht="15.75" customHeight="1">
      <c r="A552" s="19"/>
      <c r="F552" s="19"/>
      <c r="AH552" s="23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  <c r="CD552" s="19"/>
      <c r="CE552" s="19"/>
      <c r="CF552" s="19"/>
      <c r="CG552" s="19"/>
      <c r="CH552" s="19"/>
      <c r="CI552" s="19"/>
      <c r="CJ552" s="19"/>
      <c r="CK552" s="19"/>
      <c r="CL552" s="19"/>
      <c r="CM552" s="19"/>
      <c r="CN552" s="19"/>
      <c r="CO552" s="19"/>
      <c r="CP552" s="19"/>
      <c r="CQ552" s="19"/>
      <c r="CR552" s="19"/>
      <c r="CS552" s="19"/>
      <c r="CT552" s="19"/>
      <c r="CU552" s="19"/>
      <c r="CV552" s="19"/>
      <c r="CW552" s="19"/>
      <c r="CX552" s="19"/>
      <c r="CY552" s="19"/>
      <c r="CZ552" s="19"/>
      <c r="DA552" s="19"/>
      <c r="DB552" s="19"/>
      <c r="DC552" s="19"/>
      <c r="DD552" s="19"/>
      <c r="DE552" s="19"/>
      <c r="DF552" s="19"/>
      <c r="DG552" s="19"/>
      <c r="DH552" s="19"/>
      <c r="DI552" s="19"/>
      <c r="DJ552" s="19"/>
      <c r="DK552" s="19"/>
      <c r="DL552" s="19"/>
      <c r="DM552" s="19"/>
      <c r="DN552" s="19"/>
      <c r="DO552" s="19"/>
      <c r="DP552" s="19"/>
      <c r="DQ552" s="19"/>
      <c r="DR552" s="19"/>
      <c r="DS552" s="19"/>
      <c r="DT552" s="19"/>
      <c r="DU552" s="19"/>
      <c r="DV552" s="19"/>
      <c r="DW552" s="19"/>
      <c r="DX552" s="19"/>
      <c r="DY552" s="19"/>
      <c r="DZ552" s="19"/>
      <c r="EA552" s="19"/>
      <c r="EB552" s="19"/>
      <c r="EC552" s="19"/>
      <c r="ED552" s="19"/>
      <c r="EE552" s="19"/>
      <c r="EF552" s="19"/>
      <c r="EG552" s="19"/>
      <c r="EH552" s="19"/>
      <c r="EI552" s="19"/>
      <c r="EJ552" s="19"/>
      <c r="EK552" s="19"/>
      <c r="EL552" s="19"/>
      <c r="EM552" s="19"/>
      <c r="EN552" s="19"/>
      <c r="EO552" s="19"/>
      <c r="EP552" s="17"/>
      <c r="EQ552" s="23"/>
      <c r="ER552" s="23" t="str">
        <f t="shared" si="7"/>
        <v/>
      </c>
      <c r="ES552" s="19"/>
      <c r="ET552" s="19" t="str">
        <f t="shared" si="8"/>
        <v/>
      </c>
      <c r="EU552" s="19"/>
      <c r="EV552" s="19"/>
      <c r="EW552" s="19"/>
      <c r="EX552" s="19"/>
      <c r="EY552" s="19"/>
      <c r="EZ552" s="19"/>
      <c r="FA552" s="19"/>
      <c r="FB552" s="19"/>
    </row>
    <row r="553" ht="15.75" customHeight="1">
      <c r="A553" s="19"/>
      <c r="F553" s="19"/>
      <c r="AH553" s="23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  <c r="CD553" s="19"/>
      <c r="CE553" s="19"/>
      <c r="CF553" s="19"/>
      <c r="CG553" s="19"/>
      <c r="CH553" s="19"/>
      <c r="CI553" s="19"/>
      <c r="CJ553" s="19"/>
      <c r="CK553" s="19"/>
      <c r="CL553" s="19"/>
      <c r="CM553" s="19"/>
      <c r="CN553" s="19"/>
      <c r="CO553" s="19"/>
      <c r="CP553" s="19"/>
      <c r="CQ553" s="19"/>
      <c r="CR553" s="19"/>
      <c r="CS553" s="19"/>
      <c r="CT553" s="19"/>
      <c r="CU553" s="19"/>
      <c r="CV553" s="19"/>
      <c r="CW553" s="19"/>
      <c r="CX553" s="19"/>
      <c r="CY553" s="19"/>
      <c r="CZ553" s="19"/>
      <c r="DA553" s="19"/>
      <c r="DB553" s="19"/>
      <c r="DC553" s="19"/>
      <c r="DD553" s="19"/>
      <c r="DE553" s="19"/>
      <c r="DF553" s="19"/>
      <c r="DG553" s="19"/>
      <c r="DH553" s="19"/>
      <c r="DI553" s="19"/>
      <c r="DJ553" s="19"/>
      <c r="DK553" s="19"/>
      <c r="DL553" s="19"/>
      <c r="DM553" s="19"/>
      <c r="DN553" s="19"/>
      <c r="DO553" s="19"/>
      <c r="DP553" s="19"/>
      <c r="DQ553" s="19"/>
      <c r="DR553" s="19"/>
      <c r="DS553" s="19"/>
      <c r="DT553" s="19"/>
      <c r="DU553" s="19"/>
      <c r="DV553" s="19"/>
      <c r="DW553" s="19"/>
      <c r="DX553" s="19"/>
      <c r="DY553" s="19"/>
      <c r="DZ553" s="19"/>
      <c r="EA553" s="19"/>
      <c r="EB553" s="19"/>
      <c r="EC553" s="19"/>
      <c r="ED553" s="19"/>
      <c r="EE553" s="19"/>
      <c r="EF553" s="19"/>
      <c r="EG553" s="19"/>
      <c r="EH553" s="19"/>
      <c r="EI553" s="19"/>
      <c r="EJ553" s="19"/>
      <c r="EK553" s="19"/>
      <c r="EL553" s="19"/>
      <c r="EM553" s="19"/>
      <c r="EN553" s="19"/>
      <c r="EO553" s="19"/>
      <c r="EP553" s="17"/>
      <c r="EQ553" s="23"/>
      <c r="ER553" s="23" t="str">
        <f t="shared" si="7"/>
        <v/>
      </c>
      <c r="ES553" s="19"/>
      <c r="ET553" s="19" t="str">
        <f t="shared" si="8"/>
        <v/>
      </c>
      <c r="EU553" s="19"/>
      <c r="EV553" s="19"/>
      <c r="EW553" s="19"/>
      <c r="EX553" s="19"/>
      <c r="EY553" s="19"/>
      <c r="EZ553" s="19"/>
      <c r="FA553" s="19"/>
      <c r="FB553" s="19"/>
    </row>
    <row r="554" ht="15.75" customHeight="1">
      <c r="A554" s="19"/>
      <c r="F554" s="19"/>
      <c r="AH554" s="23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  <c r="CD554" s="19"/>
      <c r="CE554" s="19"/>
      <c r="CF554" s="19"/>
      <c r="CG554" s="19"/>
      <c r="CH554" s="19"/>
      <c r="CI554" s="19"/>
      <c r="CJ554" s="19"/>
      <c r="CK554" s="19"/>
      <c r="CL554" s="19"/>
      <c r="CM554" s="19"/>
      <c r="CN554" s="19"/>
      <c r="CO554" s="19"/>
      <c r="CP554" s="19"/>
      <c r="CQ554" s="19"/>
      <c r="CR554" s="19"/>
      <c r="CS554" s="19"/>
      <c r="CT554" s="19"/>
      <c r="CU554" s="19"/>
      <c r="CV554" s="19"/>
      <c r="CW554" s="19"/>
      <c r="CX554" s="19"/>
      <c r="CY554" s="19"/>
      <c r="CZ554" s="19"/>
      <c r="DA554" s="19"/>
      <c r="DB554" s="19"/>
      <c r="DC554" s="19"/>
      <c r="DD554" s="19"/>
      <c r="DE554" s="19"/>
      <c r="DF554" s="19"/>
      <c r="DG554" s="19"/>
      <c r="DH554" s="19"/>
      <c r="DI554" s="19"/>
      <c r="DJ554" s="19"/>
      <c r="DK554" s="19"/>
      <c r="DL554" s="19"/>
      <c r="DM554" s="19"/>
      <c r="DN554" s="19"/>
      <c r="DO554" s="19"/>
      <c r="DP554" s="19"/>
      <c r="DQ554" s="19"/>
      <c r="DR554" s="19"/>
      <c r="DS554" s="19"/>
      <c r="DT554" s="19"/>
      <c r="DU554" s="19"/>
      <c r="DV554" s="19"/>
      <c r="DW554" s="19"/>
      <c r="DX554" s="19"/>
      <c r="DY554" s="19"/>
      <c r="DZ554" s="19"/>
      <c r="EA554" s="19"/>
      <c r="EB554" s="19"/>
      <c r="EC554" s="19"/>
      <c r="ED554" s="19"/>
      <c r="EE554" s="19"/>
      <c r="EF554" s="19"/>
      <c r="EG554" s="19"/>
      <c r="EH554" s="19"/>
      <c r="EI554" s="19"/>
      <c r="EJ554" s="19"/>
      <c r="EK554" s="19"/>
      <c r="EL554" s="19"/>
      <c r="EM554" s="19"/>
      <c r="EN554" s="19"/>
      <c r="EO554" s="19"/>
      <c r="EP554" s="17"/>
      <c r="EQ554" s="23"/>
      <c r="ER554" s="23" t="str">
        <f t="shared" si="7"/>
        <v/>
      </c>
      <c r="ES554" s="19"/>
      <c r="ET554" s="19" t="str">
        <f t="shared" si="8"/>
        <v/>
      </c>
      <c r="EU554" s="19"/>
      <c r="EV554" s="19"/>
      <c r="EW554" s="19"/>
      <c r="EX554" s="19"/>
      <c r="EY554" s="19"/>
      <c r="EZ554" s="19"/>
      <c r="FA554" s="19"/>
      <c r="FB554" s="19"/>
    </row>
    <row r="555" ht="15.75" customHeight="1">
      <c r="A555" s="19"/>
      <c r="F555" s="19"/>
      <c r="AH555" s="23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  <c r="CD555" s="19"/>
      <c r="CE555" s="19"/>
      <c r="CF555" s="19"/>
      <c r="CG555" s="19"/>
      <c r="CH555" s="19"/>
      <c r="CI555" s="19"/>
      <c r="CJ555" s="19"/>
      <c r="CK555" s="19"/>
      <c r="CL555" s="19"/>
      <c r="CM555" s="19"/>
      <c r="CN555" s="19"/>
      <c r="CO555" s="19"/>
      <c r="CP555" s="19"/>
      <c r="CQ555" s="19"/>
      <c r="CR555" s="19"/>
      <c r="CS555" s="19"/>
      <c r="CT555" s="19"/>
      <c r="CU555" s="19"/>
      <c r="CV555" s="19"/>
      <c r="CW555" s="19"/>
      <c r="CX555" s="19"/>
      <c r="CY555" s="19"/>
      <c r="CZ555" s="19"/>
      <c r="DA555" s="19"/>
      <c r="DB555" s="19"/>
      <c r="DC555" s="19"/>
      <c r="DD555" s="19"/>
      <c r="DE555" s="19"/>
      <c r="DF555" s="19"/>
      <c r="DG555" s="19"/>
      <c r="DH555" s="19"/>
      <c r="DI555" s="19"/>
      <c r="DJ555" s="19"/>
      <c r="DK555" s="19"/>
      <c r="DL555" s="19"/>
      <c r="DM555" s="19"/>
      <c r="DN555" s="19"/>
      <c r="DO555" s="19"/>
      <c r="DP555" s="19"/>
      <c r="DQ555" s="19"/>
      <c r="DR555" s="19"/>
      <c r="DS555" s="19"/>
      <c r="DT555" s="19"/>
      <c r="DU555" s="19"/>
      <c r="DV555" s="19"/>
      <c r="DW555" s="19"/>
      <c r="DX555" s="19"/>
      <c r="DY555" s="19"/>
      <c r="DZ555" s="19"/>
      <c r="EA555" s="19"/>
      <c r="EB555" s="19"/>
      <c r="EC555" s="19"/>
      <c r="ED555" s="19"/>
      <c r="EE555" s="19"/>
      <c r="EF555" s="19"/>
      <c r="EG555" s="19"/>
      <c r="EH555" s="19"/>
      <c r="EI555" s="19"/>
      <c r="EJ555" s="19"/>
      <c r="EK555" s="19"/>
      <c r="EL555" s="19"/>
      <c r="EM555" s="19"/>
      <c r="EN555" s="19"/>
      <c r="EO555" s="19"/>
      <c r="EP555" s="17"/>
      <c r="EQ555" s="23"/>
      <c r="ER555" s="23" t="str">
        <f t="shared" si="7"/>
        <v/>
      </c>
      <c r="ES555" s="19"/>
      <c r="ET555" s="19" t="str">
        <f t="shared" si="8"/>
        <v/>
      </c>
      <c r="EU555" s="19"/>
      <c r="EV555" s="19"/>
      <c r="EW555" s="19"/>
      <c r="EX555" s="19"/>
      <c r="EY555" s="19"/>
      <c r="EZ555" s="19"/>
      <c r="FA555" s="19"/>
      <c r="FB555" s="19"/>
    </row>
    <row r="556" ht="15.75" customHeight="1">
      <c r="A556" s="19"/>
      <c r="F556" s="19"/>
      <c r="AH556" s="23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7"/>
      <c r="EQ556" s="23"/>
      <c r="ER556" s="23" t="str">
        <f t="shared" si="7"/>
        <v/>
      </c>
      <c r="ES556" s="19"/>
      <c r="ET556" s="19" t="str">
        <f t="shared" si="8"/>
        <v/>
      </c>
      <c r="EU556" s="19"/>
      <c r="EV556" s="19"/>
      <c r="EW556" s="19"/>
      <c r="EX556" s="19"/>
      <c r="EY556" s="19"/>
      <c r="EZ556" s="19"/>
      <c r="FA556" s="19"/>
      <c r="FB556" s="19"/>
    </row>
    <row r="557" ht="15.75" customHeight="1">
      <c r="A557" s="19"/>
      <c r="F557" s="19"/>
      <c r="AH557" s="23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  <c r="CD557" s="19"/>
      <c r="CE557" s="19"/>
      <c r="CF557" s="19"/>
      <c r="CG557" s="19"/>
      <c r="CH557" s="19"/>
      <c r="CI557" s="19"/>
      <c r="CJ557" s="19"/>
      <c r="CK557" s="19"/>
      <c r="CL557" s="19"/>
      <c r="CM557" s="19"/>
      <c r="CN557" s="19"/>
      <c r="CO557" s="19"/>
      <c r="CP557" s="19"/>
      <c r="CQ557" s="19"/>
      <c r="CR557" s="19"/>
      <c r="CS557" s="19"/>
      <c r="CT557" s="19"/>
      <c r="CU557" s="19"/>
      <c r="CV557" s="19"/>
      <c r="CW557" s="19"/>
      <c r="CX557" s="19"/>
      <c r="CY557" s="19"/>
      <c r="CZ557" s="19"/>
      <c r="DA557" s="19"/>
      <c r="DB557" s="19"/>
      <c r="DC557" s="19"/>
      <c r="DD557" s="19"/>
      <c r="DE557" s="19"/>
      <c r="DF557" s="19"/>
      <c r="DG557" s="19"/>
      <c r="DH557" s="19"/>
      <c r="DI557" s="19"/>
      <c r="DJ557" s="19"/>
      <c r="DK557" s="19"/>
      <c r="DL557" s="19"/>
      <c r="DM557" s="19"/>
      <c r="DN557" s="19"/>
      <c r="DO557" s="19"/>
      <c r="DP557" s="19"/>
      <c r="DQ557" s="19"/>
      <c r="DR557" s="19"/>
      <c r="DS557" s="19"/>
      <c r="DT557" s="19"/>
      <c r="DU557" s="19"/>
      <c r="DV557" s="19"/>
      <c r="DW557" s="19"/>
      <c r="DX557" s="19"/>
      <c r="DY557" s="19"/>
      <c r="DZ557" s="19"/>
      <c r="EA557" s="19"/>
      <c r="EB557" s="19"/>
      <c r="EC557" s="19"/>
      <c r="ED557" s="19"/>
      <c r="EE557" s="19"/>
      <c r="EF557" s="19"/>
      <c r="EG557" s="19"/>
      <c r="EH557" s="19"/>
      <c r="EI557" s="19"/>
      <c r="EJ557" s="19"/>
      <c r="EK557" s="19"/>
      <c r="EL557" s="19"/>
      <c r="EM557" s="19"/>
      <c r="EN557" s="19"/>
      <c r="EO557" s="19"/>
      <c r="EP557" s="17"/>
      <c r="EQ557" s="23"/>
      <c r="ER557" s="23" t="str">
        <f t="shared" si="7"/>
        <v/>
      </c>
      <c r="ES557" s="19"/>
      <c r="ET557" s="19" t="str">
        <f t="shared" si="8"/>
        <v/>
      </c>
      <c r="EU557" s="19"/>
      <c r="EV557" s="19"/>
      <c r="EW557" s="19"/>
      <c r="EX557" s="19"/>
      <c r="EY557" s="19"/>
      <c r="EZ557" s="19"/>
      <c r="FA557" s="19"/>
      <c r="FB557" s="19"/>
    </row>
    <row r="558" ht="15.75" customHeight="1">
      <c r="A558" s="19"/>
      <c r="F558" s="19"/>
      <c r="AH558" s="23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  <c r="CD558" s="19"/>
      <c r="CE558" s="19"/>
      <c r="CF558" s="19"/>
      <c r="CG558" s="19"/>
      <c r="CH558" s="19"/>
      <c r="CI558" s="19"/>
      <c r="CJ558" s="19"/>
      <c r="CK558" s="19"/>
      <c r="CL558" s="19"/>
      <c r="CM558" s="19"/>
      <c r="CN558" s="19"/>
      <c r="CO558" s="19"/>
      <c r="CP558" s="19"/>
      <c r="CQ558" s="19"/>
      <c r="CR558" s="19"/>
      <c r="CS558" s="19"/>
      <c r="CT558" s="19"/>
      <c r="CU558" s="19"/>
      <c r="CV558" s="19"/>
      <c r="CW558" s="19"/>
      <c r="CX558" s="19"/>
      <c r="CY558" s="19"/>
      <c r="CZ558" s="19"/>
      <c r="DA558" s="19"/>
      <c r="DB558" s="19"/>
      <c r="DC558" s="19"/>
      <c r="DD558" s="19"/>
      <c r="DE558" s="19"/>
      <c r="DF558" s="19"/>
      <c r="DG558" s="19"/>
      <c r="DH558" s="19"/>
      <c r="DI558" s="19"/>
      <c r="DJ558" s="19"/>
      <c r="DK558" s="19"/>
      <c r="DL558" s="19"/>
      <c r="DM558" s="19"/>
      <c r="DN558" s="19"/>
      <c r="DO558" s="19"/>
      <c r="DP558" s="19"/>
      <c r="DQ558" s="19"/>
      <c r="DR558" s="19"/>
      <c r="DS558" s="19"/>
      <c r="DT558" s="19"/>
      <c r="DU558" s="19"/>
      <c r="DV558" s="19"/>
      <c r="DW558" s="19"/>
      <c r="DX558" s="19"/>
      <c r="DY558" s="19"/>
      <c r="DZ558" s="19"/>
      <c r="EA558" s="19"/>
      <c r="EB558" s="19"/>
      <c r="EC558" s="19"/>
      <c r="ED558" s="19"/>
      <c r="EE558" s="19"/>
      <c r="EF558" s="19"/>
      <c r="EG558" s="19"/>
      <c r="EH558" s="19"/>
      <c r="EI558" s="19"/>
      <c r="EJ558" s="19"/>
      <c r="EK558" s="19"/>
      <c r="EL558" s="19"/>
      <c r="EM558" s="19"/>
      <c r="EN558" s="19"/>
      <c r="EO558" s="19"/>
      <c r="EP558" s="17"/>
      <c r="EQ558" s="23"/>
      <c r="ER558" s="23" t="str">
        <f t="shared" si="7"/>
        <v/>
      </c>
      <c r="ES558" s="19"/>
      <c r="ET558" s="19" t="str">
        <f t="shared" si="8"/>
        <v/>
      </c>
      <c r="EU558" s="19"/>
      <c r="EV558" s="19"/>
      <c r="EW558" s="19"/>
      <c r="EX558" s="19"/>
      <c r="EY558" s="19"/>
      <c r="EZ558" s="19"/>
      <c r="FA558" s="19"/>
      <c r="FB558" s="19"/>
    </row>
    <row r="559" ht="15.75" customHeight="1">
      <c r="A559" s="19"/>
      <c r="F559" s="19"/>
      <c r="AH559" s="23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  <c r="CD559" s="19"/>
      <c r="CE559" s="19"/>
      <c r="CF559" s="19"/>
      <c r="CG559" s="19"/>
      <c r="CH559" s="19"/>
      <c r="CI559" s="19"/>
      <c r="CJ559" s="19"/>
      <c r="CK559" s="19"/>
      <c r="CL559" s="19"/>
      <c r="CM559" s="19"/>
      <c r="CN559" s="19"/>
      <c r="CO559" s="19"/>
      <c r="CP559" s="19"/>
      <c r="CQ559" s="19"/>
      <c r="CR559" s="19"/>
      <c r="CS559" s="19"/>
      <c r="CT559" s="19"/>
      <c r="CU559" s="19"/>
      <c r="CV559" s="19"/>
      <c r="CW559" s="19"/>
      <c r="CX559" s="19"/>
      <c r="CY559" s="19"/>
      <c r="CZ559" s="19"/>
      <c r="DA559" s="19"/>
      <c r="DB559" s="19"/>
      <c r="DC559" s="19"/>
      <c r="DD559" s="19"/>
      <c r="DE559" s="19"/>
      <c r="DF559" s="19"/>
      <c r="DG559" s="19"/>
      <c r="DH559" s="19"/>
      <c r="DI559" s="19"/>
      <c r="DJ559" s="19"/>
      <c r="DK559" s="19"/>
      <c r="DL559" s="19"/>
      <c r="DM559" s="19"/>
      <c r="DN559" s="19"/>
      <c r="DO559" s="19"/>
      <c r="DP559" s="19"/>
      <c r="DQ559" s="19"/>
      <c r="DR559" s="19"/>
      <c r="DS559" s="19"/>
      <c r="DT559" s="19"/>
      <c r="DU559" s="19"/>
      <c r="DV559" s="19"/>
      <c r="DW559" s="19"/>
      <c r="DX559" s="19"/>
      <c r="DY559" s="19"/>
      <c r="DZ559" s="19"/>
      <c r="EA559" s="19"/>
      <c r="EB559" s="19"/>
      <c r="EC559" s="19"/>
      <c r="ED559" s="19"/>
      <c r="EE559" s="19"/>
      <c r="EF559" s="19"/>
      <c r="EG559" s="19"/>
      <c r="EH559" s="19"/>
      <c r="EI559" s="19"/>
      <c r="EJ559" s="19"/>
      <c r="EK559" s="19"/>
      <c r="EL559" s="19"/>
      <c r="EM559" s="19"/>
      <c r="EN559" s="19"/>
      <c r="EO559" s="19"/>
      <c r="EP559" s="17"/>
      <c r="EQ559" s="23"/>
      <c r="ER559" s="23" t="str">
        <f t="shared" si="7"/>
        <v/>
      </c>
      <c r="ES559" s="19"/>
      <c r="ET559" s="19" t="str">
        <f t="shared" si="8"/>
        <v/>
      </c>
      <c r="EU559" s="19"/>
      <c r="EV559" s="19"/>
      <c r="EW559" s="19"/>
      <c r="EX559" s="19"/>
      <c r="EY559" s="19"/>
      <c r="EZ559" s="19"/>
      <c r="FA559" s="19"/>
      <c r="FB559" s="19"/>
    </row>
    <row r="560" ht="15.75" customHeight="1">
      <c r="A560" s="19"/>
      <c r="F560" s="19"/>
      <c r="AH560" s="23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  <c r="CD560" s="19"/>
      <c r="CE560" s="19"/>
      <c r="CF560" s="19"/>
      <c r="CG560" s="19"/>
      <c r="CH560" s="19"/>
      <c r="CI560" s="19"/>
      <c r="CJ560" s="19"/>
      <c r="CK560" s="19"/>
      <c r="CL560" s="19"/>
      <c r="CM560" s="19"/>
      <c r="CN560" s="19"/>
      <c r="CO560" s="19"/>
      <c r="CP560" s="19"/>
      <c r="CQ560" s="19"/>
      <c r="CR560" s="19"/>
      <c r="CS560" s="19"/>
      <c r="CT560" s="19"/>
      <c r="CU560" s="19"/>
      <c r="CV560" s="19"/>
      <c r="CW560" s="19"/>
      <c r="CX560" s="19"/>
      <c r="CY560" s="19"/>
      <c r="CZ560" s="19"/>
      <c r="DA560" s="19"/>
      <c r="DB560" s="19"/>
      <c r="DC560" s="19"/>
      <c r="DD560" s="19"/>
      <c r="DE560" s="19"/>
      <c r="DF560" s="19"/>
      <c r="DG560" s="19"/>
      <c r="DH560" s="19"/>
      <c r="DI560" s="19"/>
      <c r="DJ560" s="19"/>
      <c r="DK560" s="19"/>
      <c r="DL560" s="19"/>
      <c r="DM560" s="19"/>
      <c r="DN560" s="19"/>
      <c r="DO560" s="19"/>
      <c r="DP560" s="19"/>
      <c r="DQ560" s="19"/>
      <c r="DR560" s="19"/>
      <c r="DS560" s="19"/>
      <c r="DT560" s="19"/>
      <c r="DU560" s="19"/>
      <c r="DV560" s="19"/>
      <c r="DW560" s="19"/>
      <c r="DX560" s="19"/>
      <c r="DY560" s="19"/>
      <c r="DZ560" s="19"/>
      <c r="EA560" s="19"/>
      <c r="EB560" s="19"/>
      <c r="EC560" s="19"/>
      <c r="ED560" s="19"/>
      <c r="EE560" s="19"/>
      <c r="EF560" s="19"/>
      <c r="EG560" s="19"/>
      <c r="EH560" s="19"/>
      <c r="EI560" s="19"/>
      <c r="EJ560" s="19"/>
      <c r="EK560" s="19"/>
      <c r="EL560" s="19"/>
      <c r="EM560" s="19"/>
      <c r="EN560" s="19"/>
      <c r="EO560" s="19"/>
      <c r="EP560" s="17"/>
      <c r="EQ560" s="23"/>
      <c r="ER560" s="23" t="str">
        <f t="shared" si="7"/>
        <v/>
      </c>
      <c r="ES560" s="19"/>
      <c r="ET560" s="19" t="str">
        <f t="shared" si="8"/>
        <v/>
      </c>
      <c r="EU560" s="19"/>
      <c r="EV560" s="19"/>
      <c r="EW560" s="19"/>
      <c r="EX560" s="19"/>
      <c r="EY560" s="19"/>
      <c r="EZ560" s="19"/>
      <c r="FA560" s="19"/>
      <c r="FB560" s="19"/>
    </row>
    <row r="561" ht="15.75" customHeight="1">
      <c r="A561" s="19"/>
      <c r="F561" s="19"/>
      <c r="AH561" s="23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  <c r="EE561" s="19"/>
      <c r="EF561" s="19"/>
      <c r="EG561" s="19"/>
      <c r="EH561" s="19"/>
      <c r="EI561" s="19"/>
      <c r="EJ561" s="19"/>
      <c r="EK561" s="19"/>
      <c r="EL561" s="19"/>
      <c r="EM561" s="19"/>
      <c r="EN561" s="19"/>
      <c r="EO561" s="19"/>
      <c r="EP561" s="17"/>
      <c r="EQ561" s="23"/>
      <c r="ER561" s="23" t="str">
        <f t="shared" si="7"/>
        <v/>
      </c>
      <c r="ES561" s="19"/>
      <c r="ET561" s="19" t="str">
        <f t="shared" si="8"/>
        <v/>
      </c>
      <c r="EU561" s="19"/>
      <c r="EV561" s="19"/>
      <c r="EW561" s="19"/>
      <c r="EX561" s="19"/>
      <c r="EY561" s="19"/>
      <c r="EZ561" s="19"/>
      <c r="FA561" s="19"/>
      <c r="FB561" s="19"/>
    </row>
    <row r="562" ht="15.75" customHeight="1">
      <c r="A562" s="19"/>
      <c r="F562" s="19"/>
      <c r="AH562" s="23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  <c r="CD562" s="19"/>
      <c r="CE562" s="19"/>
      <c r="CF562" s="19"/>
      <c r="CG562" s="19"/>
      <c r="CH562" s="19"/>
      <c r="CI562" s="19"/>
      <c r="CJ562" s="19"/>
      <c r="CK562" s="19"/>
      <c r="CL562" s="19"/>
      <c r="CM562" s="19"/>
      <c r="CN562" s="19"/>
      <c r="CO562" s="19"/>
      <c r="CP562" s="19"/>
      <c r="CQ562" s="19"/>
      <c r="CR562" s="19"/>
      <c r="CS562" s="19"/>
      <c r="CT562" s="19"/>
      <c r="CU562" s="19"/>
      <c r="CV562" s="19"/>
      <c r="CW562" s="19"/>
      <c r="CX562" s="19"/>
      <c r="CY562" s="19"/>
      <c r="CZ562" s="19"/>
      <c r="DA562" s="19"/>
      <c r="DB562" s="19"/>
      <c r="DC562" s="19"/>
      <c r="DD562" s="19"/>
      <c r="DE562" s="19"/>
      <c r="DF562" s="19"/>
      <c r="DG562" s="19"/>
      <c r="DH562" s="19"/>
      <c r="DI562" s="19"/>
      <c r="DJ562" s="19"/>
      <c r="DK562" s="19"/>
      <c r="DL562" s="19"/>
      <c r="DM562" s="19"/>
      <c r="DN562" s="19"/>
      <c r="DO562" s="19"/>
      <c r="DP562" s="19"/>
      <c r="DQ562" s="19"/>
      <c r="DR562" s="19"/>
      <c r="DS562" s="19"/>
      <c r="DT562" s="19"/>
      <c r="DU562" s="19"/>
      <c r="DV562" s="19"/>
      <c r="DW562" s="19"/>
      <c r="DX562" s="19"/>
      <c r="DY562" s="19"/>
      <c r="DZ562" s="19"/>
      <c r="EA562" s="19"/>
      <c r="EB562" s="19"/>
      <c r="EC562" s="19"/>
      <c r="ED562" s="19"/>
      <c r="EE562" s="19"/>
      <c r="EF562" s="19"/>
      <c r="EG562" s="19"/>
      <c r="EH562" s="19"/>
      <c r="EI562" s="19"/>
      <c r="EJ562" s="19"/>
      <c r="EK562" s="19"/>
      <c r="EL562" s="19"/>
      <c r="EM562" s="19"/>
      <c r="EN562" s="19"/>
      <c r="EO562" s="19"/>
      <c r="EP562" s="17"/>
      <c r="EQ562" s="23"/>
      <c r="ER562" s="23" t="str">
        <f t="shared" si="7"/>
        <v/>
      </c>
      <c r="ES562" s="19"/>
      <c r="ET562" s="19" t="str">
        <f t="shared" si="8"/>
        <v/>
      </c>
      <c r="EU562" s="19"/>
      <c r="EV562" s="19"/>
      <c r="EW562" s="19"/>
      <c r="EX562" s="19"/>
      <c r="EY562" s="19"/>
      <c r="EZ562" s="19"/>
      <c r="FA562" s="19"/>
      <c r="FB562" s="19"/>
    </row>
    <row r="563" ht="15.75" customHeight="1">
      <c r="A563" s="19"/>
      <c r="F563" s="19"/>
      <c r="AH563" s="23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  <c r="CD563" s="19"/>
      <c r="CE563" s="19"/>
      <c r="CF563" s="19"/>
      <c r="CG563" s="19"/>
      <c r="CH563" s="19"/>
      <c r="CI563" s="19"/>
      <c r="CJ563" s="19"/>
      <c r="CK563" s="19"/>
      <c r="CL563" s="19"/>
      <c r="CM563" s="19"/>
      <c r="CN563" s="19"/>
      <c r="CO563" s="19"/>
      <c r="CP563" s="19"/>
      <c r="CQ563" s="19"/>
      <c r="CR563" s="19"/>
      <c r="CS563" s="19"/>
      <c r="CT563" s="19"/>
      <c r="CU563" s="19"/>
      <c r="CV563" s="19"/>
      <c r="CW563" s="19"/>
      <c r="CX563" s="19"/>
      <c r="CY563" s="19"/>
      <c r="CZ563" s="19"/>
      <c r="DA563" s="19"/>
      <c r="DB563" s="19"/>
      <c r="DC563" s="19"/>
      <c r="DD563" s="19"/>
      <c r="DE563" s="19"/>
      <c r="DF563" s="19"/>
      <c r="DG563" s="19"/>
      <c r="DH563" s="19"/>
      <c r="DI563" s="19"/>
      <c r="DJ563" s="19"/>
      <c r="DK563" s="19"/>
      <c r="DL563" s="19"/>
      <c r="DM563" s="19"/>
      <c r="DN563" s="19"/>
      <c r="DO563" s="19"/>
      <c r="DP563" s="19"/>
      <c r="DQ563" s="19"/>
      <c r="DR563" s="19"/>
      <c r="DS563" s="19"/>
      <c r="DT563" s="19"/>
      <c r="DU563" s="19"/>
      <c r="DV563" s="19"/>
      <c r="DW563" s="19"/>
      <c r="DX563" s="19"/>
      <c r="DY563" s="19"/>
      <c r="DZ563" s="19"/>
      <c r="EA563" s="19"/>
      <c r="EB563" s="19"/>
      <c r="EC563" s="19"/>
      <c r="ED563" s="19"/>
      <c r="EE563" s="19"/>
      <c r="EF563" s="19"/>
      <c r="EG563" s="19"/>
      <c r="EH563" s="19"/>
      <c r="EI563" s="19"/>
      <c r="EJ563" s="19"/>
      <c r="EK563" s="19"/>
      <c r="EL563" s="19"/>
      <c r="EM563" s="19"/>
      <c r="EN563" s="19"/>
      <c r="EO563" s="19"/>
      <c r="EP563" s="17"/>
      <c r="EQ563" s="23"/>
      <c r="ER563" s="23" t="str">
        <f t="shared" si="7"/>
        <v/>
      </c>
      <c r="ES563" s="19"/>
      <c r="ET563" s="19" t="str">
        <f t="shared" si="8"/>
        <v/>
      </c>
      <c r="EU563" s="19"/>
      <c r="EV563" s="19"/>
      <c r="EW563" s="19"/>
      <c r="EX563" s="19"/>
      <c r="EY563" s="19"/>
      <c r="EZ563" s="19"/>
      <c r="FA563" s="19"/>
      <c r="FB563" s="19"/>
    </row>
    <row r="564" ht="15.75" customHeight="1">
      <c r="A564" s="19"/>
      <c r="F564" s="19"/>
      <c r="AH564" s="23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  <c r="CD564" s="19"/>
      <c r="CE564" s="19"/>
      <c r="CF564" s="19"/>
      <c r="CG564" s="19"/>
      <c r="CH564" s="19"/>
      <c r="CI564" s="19"/>
      <c r="CJ564" s="19"/>
      <c r="CK564" s="19"/>
      <c r="CL564" s="19"/>
      <c r="CM564" s="19"/>
      <c r="CN564" s="19"/>
      <c r="CO564" s="19"/>
      <c r="CP564" s="19"/>
      <c r="CQ564" s="19"/>
      <c r="CR564" s="19"/>
      <c r="CS564" s="19"/>
      <c r="CT564" s="19"/>
      <c r="CU564" s="19"/>
      <c r="CV564" s="19"/>
      <c r="CW564" s="19"/>
      <c r="CX564" s="19"/>
      <c r="CY564" s="19"/>
      <c r="CZ564" s="19"/>
      <c r="DA564" s="19"/>
      <c r="DB564" s="19"/>
      <c r="DC564" s="19"/>
      <c r="DD564" s="19"/>
      <c r="DE564" s="19"/>
      <c r="DF564" s="19"/>
      <c r="DG564" s="19"/>
      <c r="DH564" s="19"/>
      <c r="DI564" s="19"/>
      <c r="DJ564" s="19"/>
      <c r="DK564" s="19"/>
      <c r="DL564" s="19"/>
      <c r="DM564" s="19"/>
      <c r="DN564" s="19"/>
      <c r="DO564" s="19"/>
      <c r="DP564" s="19"/>
      <c r="DQ564" s="19"/>
      <c r="DR564" s="19"/>
      <c r="DS564" s="19"/>
      <c r="DT564" s="19"/>
      <c r="DU564" s="19"/>
      <c r="DV564" s="19"/>
      <c r="DW564" s="19"/>
      <c r="DX564" s="19"/>
      <c r="DY564" s="19"/>
      <c r="DZ564" s="19"/>
      <c r="EA564" s="19"/>
      <c r="EB564" s="19"/>
      <c r="EC564" s="19"/>
      <c r="ED564" s="19"/>
      <c r="EE564" s="19"/>
      <c r="EF564" s="19"/>
      <c r="EG564" s="19"/>
      <c r="EH564" s="19"/>
      <c r="EI564" s="19"/>
      <c r="EJ564" s="19"/>
      <c r="EK564" s="19"/>
      <c r="EL564" s="19"/>
      <c r="EM564" s="19"/>
      <c r="EN564" s="19"/>
      <c r="EO564" s="19"/>
      <c r="EP564" s="17"/>
      <c r="EQ564" s="23"/>
      <c r="ER564" s="23" t="str">
        <f t="shared" si="7"/>
        <v/>
      </c>
      <c r="ES564" s="19"/>
      <c r="ET564" s="19" t="str">
        <f t="shared" si="8"/>
        <v/>
      </c>
      <c r="EU564" s="19"/>
      <c r="EV564" s="19"/>
      <c r="EW564" s="19"/>
      <c r="EX564" s="19"/>
      <c r="EY564" s="19"/>
      <c r="EZ564" s="19"/>
      <c r="FA564" s="19"/>
      <c r="FB564" s="19"/>
    </row>
    <row r="565" ht="15.75" customHeight="1">
      <c r="A565" s="19"/>
      <c r="F565" s="19"/>
      <c r="AH565" s="23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  <c r="CD565" s="19"/>
      <c r="CE565" s="19"/>
      <c r="CF565" s="19"/>
      <c r="CG565" s="19"/>
      <c r="CH565" s="19"/>
      <c r="CI565" s="19"/>
      <c r="CJ565" s="19"/>
      <c r="CK565" s="19"/>
      <c r="CL565" s="19"/>
      <c r="CM565" s="19"/>
      <c r="CN565" s="19"/>
      <c r="CO565" s="19"/>
      <c r="CP565" s="19"/>
      <c r="CQ565" s="19"/>
      <c r="CR565" s="19"/>
      <c r="CS565" s="19"/>
      <c r="CT565" s="19"/>
      <c r="CU565" s="19"/>
      <c r="CV565" s="19"/>
      <c r="CW565" s="19"/>
      <c r="CX565" s="19"/>
      <c r="CY565" s="19"/>
      <c r="CZ565" s="19"/>
      <c r="DA565" s="19"/>
      <c r="DB565" s="19"/>
      <c r="DC565" s="19"/>
      <c r="DD565" s="19"/>
      <c r="DE565" s="19"/>
      <c r="DF565" s="19"/>
      <c r="DG565" s="19"/>
      <c r="DH565" s="19"/>
      <c r="DI565" s="19"/>
      <c r="DJ565" s="19"/>
      <c r="DK565" s="19"/>
      <c r="DL565" s="19"/>
      <c r="DM565" s="19"/>
      <c r="DN565" s="19"/>
      <c r="DO565" s="19"/>
      <c r="DP565" s="19"/>
      <c r="DQ565" s="19"/>
      <c r="DR565" s="19"/>
      <c r="DS565" s="19"/>
      <c r="DT565" s="19"/>
      <c r="DU565" s="19"/>
      <c r="DV565" s="19"/>
      <c r="DW565" s="19"/>
      <c r="DX565" s="19"/>
      <c r="DY565" s="19"/>
      <c r="DZ565" s="19"/>
      <c r="EA565" s="19"/>
      <c r="EB565" s="19"/>
      <c r="EC565" s="19"/>
      <c r="ED565" s="19"/>
      <c r="EE565" s="19"/>
      <c r="EF565" s="19"/>
      <c r="EG565" s="19"/>
      <c r="EH565" s="19"/>
      <c r="EI565" s="19"/>
      <c r="EJ565" s="19"/>
      <c r="EK565" s="19"/>
      <c r="EL565" s="19"/>
      <c r="EM565" s="19"/>
      <c r="EN565" s="19"/>
      <c r="EO565" s="19"/>
      <c r="EP565" s="17"/>
      <c r="EQ565" s="23"/>
      <c r="ER565" s="23" t="str">
        <f t="shared" si="7"/>
        <v/>
      </c>
      <c r="ES565" s="19"/>
      <c r="ET565" s="19" t="str">
        <f t="shared" si="8"/>
        <v/>
      </c>
      <c r="EU565" s="19"/>
      <c r="EV565" s="19"/>
      <c r="EW565" s="19"/>
      <c r="EX565" s="19"/>
      <c r="EY565" s="19"/>
      <c r="EZ565" s="19"/>
      <c r="FA565" s="19"/>
      <c r="FB565" s="19"/>
    </row>
    <row r="566" ht="15.75" customHeight="1">
      <c r="A566" s="19"/>
      <c r="F566" s="19"/>
      <c r="AH566" s="23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  <c r="CD566" s="19"/>
      <c r="CE566" s="19"/>
      <c r="CF566" s="19"/>
      <c r="CG566" s="19"/>
      <c r="CH566" s="19"/>
      <c r="CI566" s="19"/>
      <c r="CJ566" s="19"/>
      <c r="CK566" s="19"/>
      <c r="CL566" s="19"/>
      <c r="CM566" s="19"/>
      <c r="CN566" s="19"/>
      <c r="CO566" s="19"/>
      <c r="CP566" s="19"/>
      <c r="CQ566" s="19"/>
      <c r="CR566" s="19"/>
      <c r="CS566" s="19"/>
      <c r="CT566" s="19"/>
      <c r="CU566" s="19"/>
      <c r="CV566" s="19"/>
      <c r="CW566" s="19"/>
      <c r="CX566" s="19"/>
      <c r="CY566" s="19"/>
      <c r="CZ566" s="19"/>
      <c r="DA566" s="19"/>
      <c r="DB566" s="19"/>
      <c r="DC566" s="19"/>
      <c r="DD566" s="19"/>
      <c r="DE566" s="19"/>
      <c r="DF566" s="19"/>
      <c r="DG566" s="19"/>
      <c r="DH566" s="19"/>
      <c r="DI566" s="19"/>
      <c r="DJ566" s="19"/>
      <c r="DK566" s="19"/>
      <c r="DL566" s="19"/>
      <c r="DM566" s="19"/>
      <c r="DN566" s="19"/>
      <c r="DO566" s="19"/>
      <c r="DP566" s="19"/>
      <c r="DQ566" s="19"/>
      <c r="DR566" s="19"/>
      <c r="DS566" s="19"/>
      <c r="DT566" s="19"/>
      <c r="DU566" s="19"/>
      <c r="DV566" s="19"/>
      <c r="DW566" s="19"/>
      <c r="DX566" s="19"/>
      <c r="DY566" s="19"/>
      <c r="DZ566" s="19"/>
      <c r="EA566" s="19"/>
      <c r="EB566" s="19"/>
      <c r="EC566" s="19"/>
      <c r="ED566" s="19"/>
      <c r="EE566" s="19"/>
      <c r="EF566" s="19"/>
      <c r="EG566" s="19"/>
      <c r="EH566" s="19"/>
      <c r="EI566" s="19"/>
      <c r="EJ566" s="19"/>
      <c r="EK566" s="19"/>
      <c r="EL566" s="19"/>
      <c r="EM566" s="19"/>
      <c r="EN566" s="19"/>
      <c r="EO566" s="19"/>
      <c r="EP566" s="17"/>
      <c r="EQ566" s="23"/>
      <c r="ER566" s="23" t="str">
        <f t="shared" si="7"/>
        <v/>
      </c>
      <c r="ES566" s="19"/>
      <c r="ET566" s="19" t="str">
        <f t="shared" si="8"/>
        <v/>
      </c>
      <c r="EU566" s="19"/>
      <c r="EV566" s="19"/>
      <c r="EW566" s="19"/>
      <c r="EX566" s="19"/>
      <c r="EY566" s="19"/>
      <c r="EZ566" s="19"/>
      <c r="FA566" s="19"/>
      <c r="FB566" s="19"/>
    </row>
    <row r="567" ht="15.75" customHeight="1">
      <c r="A567" s="19"/>
      <c r="F567" s="19"/>
      <c r="AH567" s="23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  <c r="CD567" s="19"/>
      <c r="CE567" s="19"/>
      <c r="CF567" s="19"/>
      <c r="CG567" s="19"/>
      <c r="CH567" s="19"/>
      <c r="CI567" s="19"/>
      <c r="CJ567" s="19"/>
      <c r="CK567" s="19"/>
      <c r="CL567" s="19"/>
      <c r="CM567" s="19"/>
      <c r="CN567" s="19"/>
      <c r="CO567" s="19"/>
      <c r="CP567" s="19"/>
      <c r="CQ567" s="19"/>
      <c r="CR567" s="19"/>
      <c r="CS567" s="19"/>
      <c r="CT567" s="19"/>
      <c r="CU567" s="19"/>
      <c r="CV567" s="19"/>
      <c r="CW567" s="19"/>
      <c r="CX567" s="19"/>
      <c r="CY567" s="19"/>
      <c r="CZ567" s="19"/>
      <c r="DA567" s="19"/>
      <c r="DB567" s="19"/>
      <c r="DC567" s="19"/>
      <c r="DD567" s="19"/>
      <c r="DE567" s="19"/>
      <c r="DF567" s="19"/>
      <c r="DG567" s="19"/>
      <c r="DH567" s="19"/>
      <c r="DI567" s="19"/>
      <c r="DJ567" s="19"/>
      <c r="DK567" s="19"/>
      <c r="DL567" s="19"/>
      <c r="DM567" s="19"/>
      <c r="DN567" s="19"/>
      <c r="DO567" s="19"/>
      <c r="DP567" s="19"/>
      <c r="DQ567" s="19"/>
      <c r="DR567" s="19"/>
      <c r="DS567" s="19"/>
      <c r="DT567" s="19"/>
      <c r="DU567" s="19"/>
      <c r="DV567" s="19"/>
      <c r="DW567" s="19"/>
      <c r="DX567" s="19"/>
      <c r="DY567" s="19"/>
      <c r="DZ567" s="19"/>
      <c r="EA567" s="19"/>
      <c r="EB567" s="19"/>
      <c r="EC567" s="19"/>
      <c r="ED567" s="19"/>
      <c r="EE567" s="19"/>
      <c r="EF567" s="19"/>
      <c r="EG567" s="19"/>
      <c r="EH567" s="19"/>
      <c r="EI567" s="19"/>
      <c r="EJ567" s="19"/>
      <c r="EK567" s="19"/>
      <c r="EL567" s="19"/>
      <c r="EM567" s="19"/>
      <c r="EN567" s="19"/>
      <c r="EO567" s="19"/>
      <c r="EP567" s="17"/>
      <c r="EQ567" s="23"/>
      <c r="ER567" s="23" t="str">
        <f t="shared" si="7"/>
        <v/>
      </c>
      <c r="ES567" s="19"/>
      <c r="ET567" s="19" t="str">
        <f t="shared" si="8"/>
        <v/>
      </c>
      <c r="EU567" s="19"/>
      <c r="EV567" s="19"/>
      <c r="EW567" s="19"/>
      <c r="EX567" s="19"/>
      <c r="EY567" s="19"/>
      <c r="EZ567" s="19"/>
      <c r="FA567" s="19"/>
      <c r="FB567" s="19"/>
    </row>
    <row r="568" ht="15.75" customHeight="1">
      <c r="A568" s="19"/>
      <c r="F568" s="19"/>
      <c r="AH568" s="23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  <c r="CD568" s="19"/>
      <c r="CE568" s="19"/>
      <c r="CF568" s="19"/>
      <c r="CG568" s="19"/>
      <c r="CH568" s="19"/>
      <c r="CI568" s="19"/>
      <c r="CJ568" s="19"/>
      <c r="CK568" s="19"/>
      <c r="CL568" s="19"/>
      <c r="CM568" s="19"/>
      <c r="CN568" s="19"/>
      <c r="CO568" s="19"/>
      <c r="CP568" s="19"/>
      <c r="CQ568" s="19"/>
      <c r="CR568" s="19"/>
      <c r="CS568" s="19"/>
      <c r="CT568" s="19"/>
      <c r="CU568" s="19"/>
      <c r="CV568" s="19"/>
      <c r="CW568" s="19"/>
      <c r="CX568" s="19"/>
      <c r="CY568" s="19"/>
      <c r="CZ568" s="19"/>
      <c r="DA568" s="19"/>
      <c r="DB568" s="19"/>
      <c r="DC568" s="19"/>
      <c r="DD568" s="19"/>
      <c r="DE568" s="19"/>
      <c r="DF568" s="19"/>
      <c r="DG568" s="19"/>
      <c r="DH568" s="19"/>
      <c r="DI568" s="19"/>
      <c r="DJ568" s="19"/>
      <c r="DK568" s="19"/>
      <c r="DL568" s="19"/>
      <c r="DM568" s="19"/>
      <c r="DN568" s="19"/>
      <c r="DO568" s="19"/>
      <c r="DP568" s="19"/>
      <c r="DQ568" s="19"/>
      <c r="DR568" s="19"/>
      <c r="DS568" s="19"/>
      <c r="DT568" s="19"/>
      <c r="DU568" s="19"/>
      <c r="DV568" s="19"/>
      <c r="DW568" s="19"/>
      <c r="DX568" s="19"/>
      <c r="DY568" s="19"/>
      <c r="DZ568" s="19"/>
      <c r="EA568" s="19"/>
      <c r="EB568" s="19"/>
      <c r="EC568" s="19"/>
      <c r="ED568" s="19"/>
      <c r="EE568" s="19"/>
      <c r="EF568" s="19"/>
      <c r="EG568" s="19"/>
      <c r="EH568" s="19"/>
      <c r="EI568" s="19"/>
      <c r="EJ568" s="19"/>
      <c r="EK568" s="19"/>
      <c r="EL568" s="19"/>
      <c r="EM568" s="19"/>
      <c r="EN568" s="19"/>
      <c r="EO568" s="19"/>
      <c r="EP568" s="17"/>
      <c r="EQ568" s="23"/>
      <c r="ER568" s="23" t="str">
        <f t="shared" si="7"/>
        <v/>
      </c>
      <c r="ES568" s="19"/>
      <c r="ET568" s="19" t="str">
        <f t="shared" si="8"/>
        <v/>
      </c>
      <c r="EU568" s="19"/>
      <c r="EV568" s="19"/>
      <c r="EW568" s="19"/>
      <c r="EX568" s="19"/>
      <c r="EY568" s="19"/>
      <c r="EZ568" s="19"/>
      <c r="FA568" s="19"/>
      <c r="FB568" s="19"/>
    </row>
    <row r="569" ht="15.75" customHeight="1">
      <c r="A569" s="19"/>
      <c r="F569" s="19"/>
      <c r="AH569" s="23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  <c r="CD569" s="19"/>
      <c r="CE569" s="19"/>
      <c r="CF569" s="19"/>
      <c r="CG569" s="19"/>
      <c r="CH569" s="19"/>
      <c r="CI569" s="19"/>
      <c r="CJ569" s="19"/>
      <c r="CK569" s="19"/>
      <c r="CL569" s="19"/>
      <c r="CM569" s="19"/>
      <c r="CN569" s="19"/>
      <c r="CO569" s="19"/>
      <c r="CP569" s="19"/>
      <c r="CQ569" s="19"/>
      <c r="CR569" s="19"/>
      <c r="CS569" s="19"/>
      <c r="CT569" s="19"/>
      <c r="CU569" s="19"/>
      <c r="CV569" s="19"/>
      <c r="CW569" s="19"/>
      <c r="CX569" s="19"/>
      <c r="CY569" s="19"/>
      <c r="CZ569" s="19"/>
      <c r="DA569" s="19"/>
      <c r="DB569" s="19"/>
      <c r="DC569" s="19"/>
      <c r="DD569" s="19"/>
      <c r="DE569" s="19"/>
      <c r="DF569" s="19"/>
      <c r="DG569" s="19"/>
      <c r="DH569" s="19"/>
      <c r="DI569" s="19"/>
      <c r="DJ569" s="19"/>
      <c r="DK569" s="19"/>
      <c r="DL569" s="19"/>
      <c r="DM569" s="19"/>
      <c r="DN569" s="19"/>
      <c r="DO569" s="19"/>
      <c r="DP569" s="19"/>
      <c r="DQ569" s="19"/>
      <c r="DR569" s="19"/>
      <c r="DS569" s="19"/>
      <c r="DT569" s="19"/>
      <c r="DU569" s="19"/>
      <c r="DV569" s="19"/>
      <c r="DW569" s="19"/>
      <c r="DX569" s="19"/>
      <c r="DY569" s="19"/>
      <c r="DZ569" s="19"/>
      <c r="EA569" s="19"/>
      <c r="EB569" s="19"/>
      <c r="EC569" s="19"/>
      <c r="ED569" s="19"/>
      <c r="EE569" s="19"/>
      <c r="EF569" s="19"/>
      <c r="EG569" s="19"/>
      <c r="EH569" s="19"/>
      <c r="EI569" s="19"/>
      <c r="EJ569" s="19"/>
      <c r="EK569" s="19"/>
      <c r="EL569" s="19"/>
      <c r="EM569" s="19"/>
      <c r="EN569" s="19"/>
      <c r="EO569" s="19"/>
      <c r="EP569" s="17"/>
      <c r="EQ569" s="23"/>
      <c r="ER569" s="23" t="str">
        <f t="shared" si="7"/>
        <v/>
      </c>
      <c r="ES569" s="19"/>
      <c r="ET569" s="19" t="str">
        <f t="shared" si="8"/>
        <v/>
      </c>
      <c r="EU569" s="19"/>
      <c r="EV569" s="19"/>
      <c r="EW569" s="19"/>
      <c r="EX569" s="19"/>
      <c r="EY569" s="19"/>
      <c r="EZ569" s="19"/>
      <c r="FA569" s="19"/>
      <c r="FB569" s="19"/>
    </row>
    <row r="570" ht="15.75" customHeight="1">
      <c r="A570" s="19"/>
      <c r="F570" s="19"/>
      <c r="AH570" s="23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  <c r="CD570" s="19"/>
      <c r="CE570" s="19"/>
      <c r="CF570" s="19"/>
      <c r="CG570" s="19"/>
      <c r="CH570" s="19"/>
      <c r="CI570" s="19"/>
      <c r="CJ570" s="19"/>
      <c r="CK570" s="19"/>
      <c r="CL570" s="19"/>
      <c r="CM570" s="19"/>
      <c r="CN570" s="19"/>
      <c r="CO570" s="19"/>
      <c r="CP570" s="19"/>
      <c r="CQ570" s="19"/>
      <c r="CR570" s="19"/>
      <c r="CS570" s="19"/>
      <c r="CT570" s="19"/>
      <c r="CU570" s="19"/>
      <c r="CV570" s="19"/>
      <c r="CW570" s="19"/>
      <c r="CX570" s="19"/>
      <c r="CY570" s="19"/>
      <c r="CZ570" s="19"/>
      <c r="DA570" s="19"/>
      <c r="DB570" s="19"/>
      <c r="DC570" s="19"/>
      <c r="DD570" s="19"/>
      <c r="DE570" s="19"/>
      <c r="DF570" s="19"/>
      <c r="DG570" s="19"/>
      <c r="DH570" s="19"/>
      <c r="DI570" s="19"/>
      <c r="DJ570" s="19"/>
      <c r="DK570" s="19"/>
      <c r="DL570" s="19"/>
      <c r="DM570" s="19"/>
      <c r="DN570" s="19"/>
      <c r="DO570" s="19"/>
      <c r="DP570" s="19"/>
      <c r="DQ570" s="19"/>
      <c r="DR570" s="19"/>
      <c r="DS570" s="19"/>
      <c r="DT570" s="19"/>
      <c r="DU570" s="19"/>
      <c r="DV570" s="19"/>
      <c r="DW570" s="19"/>
      <c r="DX570" s="19"/>
      <c r="DY570" s="19"/>
      <c r="DZ570" s="19"/>
      <c r="EA570" s="19"/>
      <c r="EB570" s="19"/>
      <c r="EC570" s="19"/>
      <c r="ED570" s="19"/>
      <c r="EE570" s="19"/>
      <c r="EF570" s="19"/>
      <c r="EG570" s="19"/>
      <c r="EH570" s="19"/>
      <c r="EI570" s="19"/>
      <c r="EJ570" s="19"/>
      <c r="EK570" s="19"/>
      <c r="EL570" s="19"/>
      <c r="EM570" s="19"/>
      <c r="EN570" s="19"/>
      <c r="EO570" s="19"/>
      <c r="EP570" s="17"/>
      <c r="EQ570" s="23"/>
      <c r="ER570" s="23" t="str">
        <f t="shared" si="7"/>
        <v/>
      </c>
      <c r="ES570" s="19"/>
      <c r="ET570" s="19" t="str">
        <f t="shared" si="8"/>
        <v/>
      </c>
      <c r="EU570" s="19"/>
      <c r="EV570" s="19"/>
      <c r="EW570" s="19"/>
      <c r="EX570" s="19"/>
      <c r="EY570" s="19"/>
      <c r="EZ570" s="19"/>
      <c r="FA570" s="19"/>
      <c r="FB570" s="19"/>
    </row>
    <row r="571" ht="15.75" customHeight="1">
      <c r="A571" s="19"/>
      <c r="F571" s="19"/>
      <c r="AH571" s="23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  <c r="EE571" s="19"/>
      <c r="EF571" s="19"/>
      <c r="EG571" s="19"/>
      <c r="EH571" s="19"/>
      <c r="EI571" s="19"/>
      <c r="EJ571" s="19"/>
      <c r="EK571" s="19"/>
      <c r="EL571" s="19"/>
      <c r="EM571" s="19"/>
      <c r="EN571" s="19"/>
      <c r="EO571" s="19"/>
      <c r="EP571" s="17"/>
      <c r="EQ571" s="23"/>
      <c r="ER571" s="23" t="str">
        <f t="shared" si="7"/>
        <v/>
      </c>
      <c r="ES571" s="19"/>
      <c r="ET571" s="19" t="str">
        <f t="shared" si="8"/>
        <v/>
      </c>
      <c r="EU571" s="19"/>
      <c r="EV571" s="19"/>
      <c r="EW571" s="19"/>
      <c r="EX571" s="19"/>
      <c r="EY571" s="19"/>
      <c r="EZ571" s="19"/>
      <c r="FA571" s="19"/>
      <c r="FB571" s="19"/>
    </row>
    <row r="572" ht="15.75" customHeight="1">
      <c r="A572" s="19"/>
      <c r="F572" s="19"/>
      <c r="AH572" s="23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  <c r="CD572" s="19"/>
      <c r="CE572" s="19"/>
      <c r="CF572" s="19"/>
      <c r="CG572" s="19"/>
      <c r="CH572" s="19"/>
      <c r="CI572" s="19"/>
      <c r="CJ572" s="19"/>
      <c r="CK572" s="19"/>
      <c r="CL572" s="19"/>
      <c r="CM572" s="19"/>
      <c r="CN572" s="19"/>
      <c r="CO572" s="19"/>
      <c r="CP572" s="19"/>
      <c r="CQ572" s="19"/>
      <c r="CR572" s="19"/>
      <c r="CS572" s="19"/>
      <c r="CT572" s="19"/>
      <c r="CU572" s="19"/>
      <c r="CV572" s="19"/>
      <c r="CW572" s="19"/>
      <c r="CX572" s="19"/>
      <c r="CY572" s="19"/>
      <c r="CZ572" s="19"/>
      <c r="DA572" s="19"/>
      <c r="DB572" s="19"/>
      <c r="DC572" s="19"/>
      <c r="DD572" s="19"/>
      <c r="DE572" s="19"/>
      <c r="DF572" s="19"/>
      <c r="DG572" s="19"/>
      <c r="DH572" s="19"/>
      <c r="DI572" s="19"/>
      <c r="DJ572" s="19"/>
      <c r="DK572" s="19"/>
      <c r="DL572" s="19"/>
      <c r="DM572" s="19"/>
      <c r="DN572" s="19"/>
      <c r="DO572" s="19"/>
      <c r="DP572" s="19"/>
      <c r="DQ572" s="19"/>
      <c r="DR572" s="19"/>
      <c r="DS572" s="19"/>
      <c r="DT572" s="19"/>
      <c r="DU572" s="19"/>
      <c r="DV572" s="19"/>
      <c r="DW572" s="19"/>
      <c r="DX572" s="19"/>
      <c r="DY572" s="19"/>
      <c r="DZ572" s="19"/>
      <c r="EA572" s="19"/>
      <c r="EB572" s="19"/>
      <c r="EC572" s="19"/>
      <c r="ED572" s="19"/>
      <c r="EE572" s="19"/>
      <c r="EF572" s="19"/>
      <c r="EG572" s="19"/>
      <c r="EH572" s="19"/>
      <c r="EI572" s="19"/>
      <c r="EJ572" s="19"/>
      <c r="EK572" s="19"/>
      <c r="EL572" s="19"/>
      <c r="EM572" s="19"/>
      <c r="EN572" s="19"/>
      <c r="EO572" s="19"/>
      <c r="EP572" s="17"/>
      <c r="EQ572" s="23"/>
      <c r="ER572" s="23" t="str">
        <f t="shared" si="7"/>
        <v/>
      </c>
      <c r="ES572" s="19"/>
      <c r="ET572" s="19" t="str">
        <f t="shared" si="8"/>
        <v/>
      </c>
      <c r="EU572" s="19"/>
      <c r="EV572" s="19"/>
      <c r="EW572" s="19"/>
      <c r="EX572" s="19"/>
      <c r="EY572" s="19"/>
      <c r="EZ572" s="19"/>
      <c r="FA572" s="19"/>
      <c r="FB572" s="19"/>
    </row>
    <row r="573" ht="15.75" customHeight="1">
      <c r="A573" s="19"/>
      <c r="F573" s="19"/>
      <c r="AH573" s="23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  <c r="CD573" s="19"/>
      <c r="CE573" s="19"/>
      <c r="CF573" s="19"/>
      <c r="CG573" s="19"/>
      <c r="CH573" s="19"/>
      <c r="CI573" s="19"/>
      <c r="CJ573" s="19"/>
      <c r="CK573" s="19"/>
      <c r="CL573" s="19"/>
      <c r="CM573" s="19"/>
      <c r="CN573" s="19"/>
      <c r="CO573" s="19"/>
      <c r="CP573" s="19"/>
      <c r="CQ573" s="19"/>
      <c r="CR573" s="19"/>
      <c r="CS573" s="19"/>
      <c r="CT573" s="19"/>
      <c r="CU573" s="19"/>
      <c r="CV573" s="19"/>
      <c r="CW573" s="19"/>
      <c r="CX573" s="19"/>
      <c r="CY573" s="19"/>
      <c r="CZ573" s="19"/>
      <c r="DA573" s="19"/>
      <c r="DB573" s="19"/>
      <c r="DC573" s="19"/>
      <c r="DD573" s="19"/>
      <c r="DE573" s="19"/>
      <c r="DF573" s="19"/>
      <c r="DG573" s="19"/>
      <c r="DH573" s="19"/>
      <c r="DI573" s="19"/>
      <c r="DJ573" s="19"/>
      <c r="DK573" s="19"/>
      <c r="DL573" s="19"/>
      <c r="DM573" s="19"/>
      <c r="DN573" s="19"/>
      <c r="DO573" s="19"/>
      <c r="DP573" s="19"/>
      <c r="DQ573" s="19"/>
      <c r="DR573" s="19"/>
      <c r="DS573" s="19"/>
      <c r="DT573" s="19"/>
      <c r="DU573" s="19"/>
      <c r="DV573" s="19"/>
      <c r="DW573" s="19"/>
      <c r="DX573" s="19"/>
      <c r="DY573" s="19"/>
      <c r="DZ573" s="19"/>
      <c r="EA573" s="19"/>
      <c r="EB573" s="19"/>
      <c r="EC573" s="19"/>
      <c r="ED573" s="19"/>
      <c r="EE573" s="19"/>
      <c r="EF573" s="19"/>
      <c r="EG573" s="19"/>
      <c r="EH573" s="19"/>
      <c r="EI573" s="19"/>
      <c r="EJ573" s="19"/>
      <c r="EK573" s="19"/>
      <c r="EL573" s="19"/>
      <c r="EM573" s="19"/>
      <c r="EN573" s="19"/>
      <c r="EO573" s="19"/>
      <c r="EP573" s="17"/>
      <c r="EQ573" s="23"/>
      <c r="ER573" s="23" t="str">
        <f t="shared" si="7"/>
        <v/>
      </c>
      <c r="ES573" s="19"/>
      <c r="ET573" s="19" t="str">
        <f t="shared" si="8"/>
        <v/>
      </c>
      <c r="EU573" s="19"/>
      <c r="EV573" s="19"/>
      <c r="EW573" s="19"/>
      <c r="EX573" s="19"/>
      <c r="EY573" s="19"/>
      <c r="EZ573" s="19"/>
      <c r="FA573" s="19"/>
      <c r="FB573" s="19"/>
    </row>
    <row r="574" ht="15.75" customHeight="1">
      <c r="A574" s="19"/>
      <c r="F574" s="19"/>
      <c r="AH574" s="23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  <c r="CD574" s="19"/>
      <c r="CE574" s="19"/>
      <c r="CF574" s="19"/>
      <c r="CG574" s="19"/>
      <c r="CH574" s="19"/>
      <c r="CI574" s="19"/>
      <c r="CJ574" s="19"/>
      <c r="CK574" s="19"/>
      <c r="CL574" s="19"/>
      <c r="CM574" s="19"/>
      <c r="CN574" s="19"/>
      <c r="CO574" s="19"/>
      <c r="CP574" s="19"/>
      <c r="CQ574" s="19"/>
      <c r="CR574" s="19"/>
      <c r="CS574" s="19"/>
      <c r="CT574" s="19"/>
      <c r="CU574" s="19"/>
      <c r="CV574" s="19"/>
      <c r="CW574" s="19"/>
      <c r="CX574" s="19"/>
      <c r="CY574" s="19"/>
      <c r="CZ574" s="19"/>
      <c r="DA574" s="19"/>
      <c r="DB574" s="19"/>
      <c r="DC574" s="19"/>
      <c r="DD574" s="19"/>
      <c r="DE574" s="19"/>
      <c r="DF574" s="19"/>
      <c r="DG574" s="19"/>
      <c r="DH574" s="19"/>
      <c r="DI574" s="19"/>
      <c r="DJ574" s="19"/>
      <c r="DK574" s="19"/>
      <c r="DL574" s="19"/>
      <c r="DM574" s="19"/>
      <c r="DN574" s="19"/>
      <c r="DO574" s="19"/>
      <c r="DP574" s="19"/>
      <c r="DQ574" s="19"/>
      <c r="DR574" s="19"/>
      <c r="DS574" s="19"/>
      <c r="DT574" s="19"/>
      <c r="DU574" s="19"/>
      <c r="DV574" s="19"/>
      <c r="DW574" s="19"/>
      <c r="DX574" s="19"/>
      <c r="DY574" s="19"/>
      <c r="DZ574" s="19"/>
      <c r="EA574" s="19"/>
      <c r="EB574" s="19"/>
      <c r="EC574" s="19"/>
      <c r="ED574" s="19"/>
      <c r="EE574" s="19"/>
      <c r="EF574" s="19"/>
      <c r="EG574" s="19"/>
      <c r="EH574" s="19"/>
      <c r="EI574" s="19"/>
      <c r="EJ574" s="19"/>
      <c r="EK574" s="19"/>
      <c r="EL574" s="19"/>
      <c r="EM574" s="19"/>
      <c r="EN574" s="19"/>
      <c r="EO574" s="19"/>
      <c r="EP574" s="17"/>
      <c r="EQ574" s="23"/>
      <c r="ER574" s="23" t="str">
        <f t="shared" si="7"/>
        <v/>
      </c>
      <c r="ES574" s="19"/>
      <c r="ET574" s="19" t="str">
        <f t="shared" si="8"/>
        <v/>
      </c>
      <c r="EU574" s="19"/>
      <c r="EV574" s="19"/>
      <c r="EW574" s="19"/>
      <c r="EX574" s="19"/>
      <c r="EY574" s="19"/>
      <c r="EZ574" s="19"/>
      <c r="FA574" s="19"/>
      <c r="FB574" s="19"/>
    </row>
    <row r="575" ht="15.75" customHeight="1">
      <c r="A575" s="19"/>
      <c r="F575" s="19"/>
      <c r="AH575" s="23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  <c r="CD575" s="19"/>
      <c r="CE575" s="19"/>
      <c r="CF575" s="19"/>
      <c r="CG575" s="19"/>
      <c r="CH575" s="19"/>
      <c r="CI575" s="19"/>
      <c r="CJ575" s="19"/>
      <c r="CK575" s="19"/>
      <c r="CL575" s="19"/>
      <c r="CM575" s="19"/>
      <c r="CN575" s="19"/>
      <c r="CO575" s="19"/>
      <c r="CP575" s="19"/>
      <c r="CQ575" s="19"/>
      <c r="CR575" s="19"/>
      <c r="CS575" s="19"/>
      <c r="CT575" s="19"/>
      <c r="CU575" s="19"/>
      <c r="CV575" s="19"/>
      <c r="CW575" s="19"/>
      <c r="CX575" s="19"/>
      <c r="CY575" s="19"/>
      <c r="CZ575" s="19"/>
      <c r="DA575" s="19"/>
      <c r="DB575" s="19"/>
      <c r="DC575" s="19"/>
      <c r="DD575" s="19"/>
      <c r="DE575" s="19"/>
      <c r="DF575" s="19"/>
      <c r="DG575" s="19"/>
      <c r="DH575" s="19"/>
      <c r="DI575" s="19"/>
      <c r="DJ575" s="19"/>
      <c r="DK575" s="19"/>
      <c r="DL575" s="19"/>
      <c r="DM575" s="19"/>
      <c r="DN575" s="19"/>
      <c r="DO575" s="19"/>
      <c r="DP575" s="19"/>
      <c r="DQ575" s="19"/>
      <c r="DR575" s="19"/>
      <c r="DS575" s="19"/>
      <c r="DT575" s="19"/>
      <c r="DU575" s="19"/>
      <c r="DV575" s="19"/>
      <c r="DW575" s="19"/>
      <c r="DX575" s="19"/>
      <c r="DY575" s="19"/>
      <c r="DZ575" s="19"/>
      <c r="EA575" s="19"/>
      <c r="EB575" s="19"/>
      <c r="EC575" s="19"/>
      <c r="ED575" s="19"/>
      <c r="EE575" s="19"/>
      <c r="EF575" s="19"/>
      <c r="EG575" s="19"/>
      <c r="EH575" s="19"/>
      <c r="EI575" s="19"/>
      <c r="EJ575" s="19"/>
      <c r="EK575" s="19"/>
      <c r="EL575" s="19"/>
      <c r="EM575" s="19"/>
      <c r="EN575" s="19"/>
      <c r="EO575" s="19"/>
      <c r="EP575" s="17"/>
      <c r="EQ575" s="23"/>
      <c r="ER575" s="23" t="str">
        <f t="shared" si="7"/>
        <v/>
      </c>
      <c r="ES575" s="19"/>
      <c r="ET575" s="19" t="str">
        <f t="shared" si="8"/>
        <v/>
      </c>
      <c r="EU575" s="19"/>
      <c r="EV575" s="19"/>
      <c r="EW575" s="19"/>
      <c r="EX575" s="19"/>
      <c r="EY575" s="19"/>
      <c r="EZ575" s="19"/>
      <c r="FA575" s="19"/>
      <c r="FB575" s="19"/>
    </row>
    <row r="576" ht="15.75" customHeight="1">
      <c r="A576" s="19"/>
      <c r="F576" s="19"/>
      <c r="AH576" s="23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  <c r="CD576" s="19"/>
      <c r="CE576" s="19"/>
      <c r="CF576" s="19"/>
      <c r="CG576" s="19"/>
      <c r="CH576" s="19"/>
      <c r="CI576" s="19"/>
      <c r="CJ576" s="19"/>
      <c r="CK576" s="19"/>
      <c r="CL576" s="19"/>
      <c r="CM576" s="19"/>
      <c r="CN576" s="19"/>
      <c r="CO576" s="19"/>
      <c r="CP576" s="19"/>
      <c r="CQ576" s="19"/>
      <c r="CR576" s="19"/>
      <c r="CS576" s="19"/>
      <c r="CT576" s="19"/>
      <c r="CU576" s="19"/>
      <c r="CV576" s="19"/>
      <c r="CW576" s="19"/>
      <c r="CX576" s="19"/>
      <c r="CY576" s="19"/>
      <c r="CZ576" s="19"/>
      <c r="DA576" s="19"/>
      <c r="DB576" s="19"/>
      <c r="DC576" s="19"/>
      <c r="DD576" s="19"/>
      <c r="DE576" s="19"/>
      <c r="DF576" s="19"/>
      <c r="DG576" s="19"/>
      <c r="DH576" s="19"/>
      <c r="DI576" s="19"/>
      <c r="DJ576" s="19"/>
      <c r="DK576" s="19"/>
      <c r="DL576" s="19"/>
      <c r="DM576" s="19"/>
      <c r="DN576" s="19"/>
      <c r="DO576" s="19"/>
      <c r="DP576" s="19"/>
      <c r="DQ576" s="19"/>
      <c r="DR576" s="19"/>
      <c r="DS576" s="19"/>
      <c r="DT576" s="19"/>
      <c r="DU576" s="19"/>
      <c r="DV576" s="19"/>
      <c r="DW576" s="19"/>
      <c r="DX576" s="19"/>
      <c r="DY576" s="19"/>
      <c r="DZ576" s="19"/>
      <c r="EA576" s="19"/>
      <c r="EB576" s="19"/>
      <c r="EC576" s="19"/>
      <c r="ED576" s="19"/>
      <c r="EE576" s="19"/>
      <c r="EF576" s="19"/>
      <c r="EG576" s="19"/>
      <c r="EH576" s="19"/>
      <c r="EI576" s="19"/>
      <c r="EJ576" s="19"/>
      <c r="EK576" s="19"/>
      <c r="EL576" s="19"/>
      <c r="EM576" s="19"/>
      <c r="EN576" s="19"/>
      <c r="EO576" s="19"/>
      <c r="EP576" s="17"/>
      <c r="EQ576" s="23"/>
      <c r="ER576" s="23" t="str">
        <f t="shared" si="7"/>
        <v/>
      </c>
      <c r="ES576" s="19"/>
      <c r="ET576" s="19" t="str">
        <f t="shared" si="8"/>
        <v/>
      </c>
      <c r="EU576" s="19"/>
      <c r="EV576" s="19"/>
      <c r="EW576" s="19"/>
      <c r="EX576" s="19"/>
      <c r="EY576" s="19"/>
      <c r="EZ576" s="19"/>
      <c r="FA576" s="19"/>
      <c r="FB576" s="19"/>
    </row>
    <row r="577" ht="15.75" customHeight="1">
      <c r="A577" s="19"/>
      <c r="F577" s="19"/>
      <c r="AH577" s="23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  <c r="CD577" s="19"/>
      <c r="CE577" s="19"/>
      <c r="CF577" s="19"/>
      <c r="CG577" s="19"/>
      <c r="CH577" s="19"/>
      <c r="CI577" s="19"/>
      <c r="CJ577" s="19"/>
      <c r="CK577" s="19"/>
      <c r="CL577" s="19"/>
      <c r="CM577" s="19"/>
      <c r="CN577" s="19"/>
      <c r="CO577" s="19"/>
      <c r="CP577" s="19"/>
      <c r="CQ577" s="19"/>
      <c r="CR577" s="19"/>
      <c r="CS577" s="19"/>
      <c r="CT577" s="19"/>
      <c r="CU577" s="19"/>
      <c r="CV577" s="19"/>
      <c r="CW577" s="19"/>
      <c r="CX577" s="19"/>
      <c r="CY577" s="19"/>
      <c r="CZ577" s="19"/>
      <c r="DA577" s="19"/>
      <c r="DB577" s="19"/>
      <c r="DC577" s="19"/>
      <c r="DD577" s="19"/>
      <c r="DE577" s="19"/>
      <c r="DF577" s="19"/>
      <c r="DG577" s="19"/>
      <c r="DH577" s="19"/>
      <c r="DI577" s="19"/>
      <c r="DJ577" s="19"/>
      <c r="DK577" s="19"/>
      <c r="DL577" s="19"/>
      <c r="DM577" s="19"/>
      <c r="DN577" s="19"/>
      <c r="DO577" s="19"/>
      <c r="DP577" s="19"/>
      <c r="DQ577" s="19"/>
      <c r="DR577" s="19"/>
      <c r="DS577" s="19"/>
      <c r="DT577" s="19"/>
      <c r="DU577" s="19"/>
      <c r="DV577" s="19"/>
      <c r="DW577" s="19"/>
      <c r="DX577" s="19"/>
      <c r="DY577" s="19"/>
      <c r="DZ577" s="19"/>
      <c r="EA577" s="19"/>
      <c r="EB577" s="19"/>
      <c r="EC577" s="19"/>
      <c r="ED577" s="19"/>
      <c r="EE577" s="19"/>
      <c r="EF577" s="19"/>
      <c r="EG577" s="19"/>
      <c r="EH577" s="19"/>
      <c r="EI577" s="19"/>
      <c r="EJ577" s="19"/>
      <c r="EK577" s="19"/>
      <c r="EL577" s="19"/>
      <c r="EM577" s="19"/>
      <c r="EN577" s="19"/>
      <c r="EO577" s="19"/>
      <c r="EP577" s="17"/>
      <c r="EQ577" s="23"/>
      <c r="ER577" s="23" t="str">
        <f t="shared" si="7"/>
        <v/>
      </c>
      <c r="ES577" s="19"/>
      <c r="ET577" s="19" t="str">
        <f t="shared" si="8"/>
        <v/>
      </c>
      <c r="EU577" s="19"/>
      <c r="EV577" s="19"/>
      <c r="EW577" s="19"/>
      <c r="EX577" s="19"/>
      <c r="EY577" s="19"/>
      <c r="EZ577" s="19"/>
      <c r="FA577" s="19"/>
      <c r="FB577" s="19"/>
    </row>
    <row r="578" ht="15.75" customHeight="1">
      <c r="A578" s="19"/>
      <c r="F578" s="19"/>
      <c r="AH578" s="23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  <c r="CD578" s="19"/>
      <c r="CE578" s="19"/>
      <c r="CF578" s="19"/>
      <c r="CG578" s="19"/>
      <c r="CH578" s="19"/>
      <c r="CI578" s="19"/>
      <c r="CJ578" s="19"/>
      <c r="CK578" s="19"/>
      <c r="CL578" s="19"/>
      <c r="CM578" s="19"/>
      <c r="CN578" s="19"/>
      <c r="CO578" s="19"/>
      <c r="CP578" s="19"/>
      <c r="CQ578" s="19"/>
      <c r="CR578" s="19"/>
      <c r="CS578" s="19"/>
      <c r="CT578" s="19"/>
      <c r="CU578" s="19"/>
      <c r="CV578" s="19"/>
      <c r="CW578" s="19"/>
      <c r="CX578" s="19"/>
      <c r="CY578" s="19"/>
      <c r="CZ578" s="19"/>
      <c r="DA578" s="19"/>
      <c r="DB578" s="19"/>
      <c r="DC578" s="19"/>
      <c r="DD578" s="19"/>
      <c r="DE578" s="19"/>
      <c r="DF578" s="19"/>
      <c r="DG578" s="19"/>
      <c r="DH578" s="19"/>
      <c r="DI578" s="19"/>
      <c r="DJ578" s="19"/>
      <c r="DK578" s="19"/>
      <c r="DL578" s="19"/>
      <c r="DM578" s="19"/>
      <c r="DN578" s="19"/>
      <c r="DO578" s="19"/>
      <c r="DP578" s="19"/>
      <c r="DQ578" s="19"/>
      <c r="DR578" s="19"/>
      <c r="DS578" s="19"/>
      <c r="DT578" s="19"/>
      <c r="DU578" s="19"/>
      <c r="DV578" s="19"/>
      <c r="DW578" s="19"/>
      <c r="DX578" s="19"/>
      <c r="DY578" s="19"/>
      <c r="DZ578" s="19"/>
      <c r="EA578" s="19"/>
      <c r="EB578" s="19"/>
      <c r="EC578" s="19"/>
      <c r="ED578" s="19"/>
      <c r="EE578" s="19"/>
      <c r="EF578" s="19"/>
      <c r="EG578" s="19"/>
      <c r="EH578" s="19"/>
      <c r="EI578" s="19"/>
      <c r="EJ578" s="19"/>
      <c r="EK578" s="19"/>
      <c r="EL578" s="19"/>
      <c r="EM578" s="19"/>
      <c r="EN578" s="19"/>
      <c r="EO578" s="19"/>
      <c r="EP578" s="17"/>
      <c r="EQ578" s="23"/>
      <c r="ER578" s="23" t="str">
        <f t="shared" si="7"/>
        <v/>
      </c>
      <c r="ES578" s="19"/>
      <c r="ET578" s="19" t="str">
        <f t="shared" si="8"/>
        <v/>
      </c>
      <c r="EU578" s="19"/>
      <c r="EV578" s="19"/>
      <c r="EW578" s="19"/>
      <c r="EX578" s="19"/>
      <c r="EY578" s="19"/>
      <c r="EZ578" s="19"/>
      <c r="FA578" s="19"/>
      <c r="FB578" s="19"/>
    </row>
    <row r="579" ht="15.75" customHeight="1">
      <c r="A579" s="19"/>
      <c r="F579" s="19"/>
      <c r="AH579" s="23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  <c r="CD579" s="19"/>
      <c r="CE579" s="19"/>
      <c r="CF579" s="19"/>
      <c r="CG579" s="19"/>
      <c r="CH579" s="19"/>
      <c r="CI579" s="19"/>
      <c r="CJ579" s="19"/>
      <c r="CK579" s="19"/>
      <c r="CL579" s="19"/>
      <c r="CM579" s="19"/>
      <c r="CN579" s="19"/>
      <c r="CO579" s="19"/>
      <c r="CP579" s="19"/>
      <c r="CQ579" s="19"/>
      <c r="CR579" s="19"/>
      <c r="CS579" s="19"/>
      <c r="CT579" s="19"/>
      <c r="CU579" s="19"/>
      <c r="CV579" s="19"/>
      <c r="CW579" s="19"/>
      <c r="CX579" s="19"/>
      <c r="CY579" s="19"/>
      <c r="CZ579" s="19"/>
      <c r="DA579" s="19"/>
      <c r="DB579" s="19"/>
      <c r="DC579" s="19"/>
      <c r="DD579" s="19"/>
      <c r="DE579" s="19"/>
      <c r="DF579" s="19"/>
      <c r="DG579" s="19"/>
      <c r="DH579" s="19"/>
      <c r="DI579" s="19"/>
      <c r="DJ579" s="19"/>
      <c r="DK579" s="19"/>
      <c r="DL579" s="19"/>
      <c r="DM579" s="19"/>
      <c r="DN579" s="19"/>
      <c r="DO579" s="19"/>
      <c r="DP579" s="19"/>
      <c r="DQ579" s="19"/>
      <c r="DR579" s="19"/>
      <c r="DS579" s="19"/>
      <c r="DT579" s="19"/>
      <c r="DU579" s="19"/>
      <c r="DV579" s="19"/>
      <c r="DW579" s="19"/>
      <c r="DX579" s="19"/>
      <c r="DY579" s="19"/>
      <c r="DZ579" s="19"/>
      <c r="EA579" s="19"/>
      <c r="EB579" s="19"/>
      <c r="EC579" s="19"/>
      <c r="ED579" s="19"/>
      <c r="EE579" s="19"/>
      <c r="EF579" s="19"/>
      <c r="EG579" s="19"/>
      <c r="EH579" s="19"/>
      <c r="EI579" s="19"/>
      <c r="EJ579" s="19"/>
      <c r="EK579" s="19"/>
      <c r="EL579" s="19"/>
      <c r="EM579" s="19"/>
      <c r="EN579" s="19"/>
      <c r="EO579" s="19"/>
      <c r="EP579" s="17"/>
      <c r="EQ579" s="23"/>
      <c r="ER579" s="23" t="str">
        <f t="shared" si="7"/>
        <v/>
      </c>
      <c r="ES579" s="19"/>
      <c r="ET579" s="19" t="str">
        <f t="shared" si="8"/>
        <v/>
      </c>
      <c r="EU579" s="19"/>
      <c r="EV579" s="19"/>
      <c r="EW579" s="19"/>
      <c r="EX579" s="19"/>
      <c r="EY579" s="19"/>
      <c r="EZ579" s="19"/>
      <c r="FA579" s="19"/>
      <c r="FB579" s="19"/>
    </row>
    <row r="580" ht="15.75" customHeight="1">
      <c r="A580" s="19"/>
      <c r="F580" s="19"/>
      <c r="AH580" s="23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  <c r="CD580" s="19"/>
      <c r="CE580" s="19"/>
      <c r="CF580" s="19"/>
      <c r="CG580" s="19"/>
      <c r="CH580" s="19"/>
      <c r="CI580" s="19"/>
      <c r="CJ580" s="19"/>
      <c r="CK580" s="19"/>
      <c r="CL580" s="19"/>
      <c r="CM580" s="19"/>
      <c r="CN580" s="19"/>
      <c r="CO580" s="19"/>
      <c r="CP580" s="19"/>
      <c r="CQ580" s="19"/>
      <c r="CR580" s="19"/>
      <c r="CS580" s="19"/>
      <c r="CT580" s="19"/>
      <c r="CU580" s="19"/>
      <c r="CV580" s="19"/>
      <c r="CW580" s="19"/>
      <c r="CX580" s="19"/>
      <c r="CY580" s="19"/>
      <c r="CZ580" s="19"/>
      <c r="DA580" s="19"/>
      <c r="DB580" s="19"/>
      <c r="DC580" s="19"/>
      <c r="DD580" s="19"/>
      <c r="DE580" s="19"/>
      <c r="DF580" s="19"/>
      <c r="DG580" s="19"/>
      <c r="DH580" s="19"/>
      <c r="DI580" s="19"/>
      <c r="DJ580" s="19"/>
      <c r="DK580" s="19"/>
      <c r="DL580" s="19"/>
      <c r="DM580" s="19"/>
      <c r="DN580" s="19"/>
      <c r="DO580" s="19"/>
      <c r="DP580" s="19"/>
      <c r="DQ580" s="19"/>
      <c r="DR580" s="19"/>
      <c r="DS580" s="19"/>
      <c r="DT580" s="19"/>
      <c r="DU580" s="19"/>
      <c r="DV580" s="19"/>
      <c r="DW580" s="19"/>
      <c r="DX580" s="19"/>
      <c r="DY580" s="19"/>
      <c r="DZ580" s="19"/>
      <c r="EA580" s="19"/>
      <c r="EB580" s="19"/>
      <c r="EC580" s="19"/>
      <c r="ED580" s="19"/>
      <c r="EE580" s="19"/>
      <c r="EF580" s="19"/>
      <c r="EG580" s="19"/>
      <c r="EH580" s="19"/>
      <c r="EI580" s="19"/>
      <c r="EJ580" s="19"/>
      <c r="EK580" s="19"/>
      <c r="EL580" s="19"/>
      <c r="EM580" s="19"/>
      <c r="EN580" s="19"/>
      <c r="EO580" s="19"/>
      <c r="EP580" s="17"/>
      <c r="EQ580" s="23"/>
      <c r="ER580" s="23" t="str">
        <f t="shared" si="7"/>
        <v/>
      </c>
      <c r="ES580" s="19"/>
      <c r="ET580" s="19" t="str">
        <f t="shared" si="8"/>
        <v/>
      </c>
      <c r="EU580" s="19"/>
      <c r="EV580" s="19"/>
      <c r="EW580" s="19"/>
      <c r="EX580" s="19"/>
      <c r="EY580" s="19"/>
      <c r="EZ580" s="19"/>
      <c r="FA580" s="19"/>
      <c r="FB580" s="19"/>
    </row>
    <row r="581" ht="15.75" customHeight="1">
      <c r="A581" s="19"/>
      <c r="F581" s="19"/>
      <c r="AH581" s="23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  <c r="EE581" s="19"/>
      <c r="EF581" s="19"/>
      <c r="EG581" s="19"/>
      <c r="EH581" s="19"/>
      <c r="EI581" s="19"/>
      <c r="EJ581" s="19"/>
      <c r="EK581" s="19"/>
      <c r="EL581" s="19"/>
      <c r="EM581" s="19"/>
      <c r="EN581" s="19"/>
      <c r="EO581" s="19"/>
      <c r="EP581" s="17"/>
      <c r="EQ581" s="23"/>
      <c r="ER581" s="23" t="str">
        <f t="shared" si="7"/>
        <v/>
      </c>
      <c r="ES581" s="19"/>
      <c r="ET581" s="19" t="str">
        <f t="shared" si="8"/>
        <v/>
      </c>
      <c r="EU581" s="19"/>
      <c r="EV581" s="19"/>
      <c r="EW581" s="19"/>
      <c r="EX581" s="19"/>
      <c r="EY581" s="19"/>
      <c r="EZ581" s="19"/>
      <c r="FA581" s="19"/>
      <c r="FB581" s="19"/>
    </row>
    <row r="582" ht="15.75" customHeight="1">
      <c r="A582" s="19"/>
      <c r="F582" s="19"/>
      <c r="AH582" s="23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  <c r="CD582" s="19"/>
      <c r="CE582" s="19"/>
      <c r="CF582" s="19"/>
      <c r="CG582" s="19"/>
      <c r="CH582" s="19"/>
      <c r="CI582" s="19"/>
      <c r="CJ582" s="19"/>
      <c r="CK582" s="19"/>
      <c r="CL582" s="19"/>
      <c r="CM582" s="19"/>
      <c r="CN582" s="19"/>
      <c r="CO582" s="19"/>
      <c r="CP582" s="19"/>
      <c r="CQ582" s="19"/>
      <c r="CR582" s="19"/>
      <c r="CS582" s="19"/>
      <c r="CT582" s="19"/>
      <c r="CU582" s="19"/>
      <c r="CV582" s="19"/>
      <c r="CW582" s="19"/>
      <c r="CX582" s="19"/>
      <c r="CY582" s="19"/>
      <c r="CZ582" s="19"/>
      <c r="DA582" s="19"/>
      <c r="DB582" s="19"/>
      <c r="DC582" s="19"/>
      <c r="DD582" s="19"/>
      <c r="DE582" s="19"/>
      <c r="DF582" s="19"/>
      <c r="DG582" s="19"/>
      <c r="DH582" s="19"/>
      <c r="DI582" s="19"/>
      <c r="DJ582" s="19"/>
      <c r="DK582" s="19"/>
      <c r="DL582" s="19"/>
      <c r="DM582" s="19"/>
      <c r="DN582" s="19"/>
      <c r="DO582" s="19"/>
      <c r="DP582" s="19"/>
      <c r="DQ582" s="19"/>
      <c r="DR582" s="19"/>
      <c r="DS582" s="19"/>
      <c r="DT582" s="19"/>
      <c r="DU582" s="19"/>
      <c r="DV582" s="19"/>
      <c r="DW582" s="19"/>
      <c r="DX582" s="19"/>
      <c r="DY582" s="19"/>
      <c r="DZ582" s="19"/>
      <c r="EA582" s="19"/>
      <c r="EB582" s="19"/>
      <c r="EC582" s="19"/>
      <c r="ED582" s="19"/>
      <c r="EE582" s="19"/>
      <c r="EF582" s="19"/>
      <c r="EG582" s="19"/>
      <c r="EH582" s="19"/>
      <c r="EI582" s="19"/>
      <c r="EJ582" s="19"/>
      <c r="EK582" s="19"/>
      <c r="EL582" s="19"/>
      <c r="EM582" s="19"/>
      <c r="EN582" s="19"/>
      <c r="EO582" s="19"/>
      <c r="EP582" s="17"/>
      <c r="EQ582" s="23"/>
      <c r="ER582" s="23" t="str">
        <f t="shared" si="7"/>
        <v/>
      </c>
      <c r="ES582" s="19"/>
      <c r="ET582" s="19" t="str">
        <f t="shared" si="8"/>
        <v/>
      </c>
      <c r="EU582" s="19"/>
      <c r="EV582" s="19"/>
      <c r="EW582" s="19"/>
      <c r="EX582" s="19"/>
      <c r="EY582" s="19"/>
      <c r="EZ582" s="19"/>
      <c r="FA582" s="19"/>
      <c r="FB582" s="19"/>
    </row>
    <row r="583" ht="15.75" customHeight="1">
      <c r="A583" s="19"/>
      <c r="F583" s="19"/>
      <c r="AH583" s="23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  <c r="CD583" s="19"/>
      <c r="CE583" s="19"/>
      <c r="CF583" s="19"/>
      <c r="CG583" s="19"/>
      <c r="CH583" s="19"/>
      <c r="CI583" s="19"/>
      <c r="CJ583" s="19"/>
      <c r="CK583" s="19"/>
      <c r="CL583" s="19"/>
      <c r="CM583" s="19"/>
      <c r="CN583" s="19"/>
      <c r="CO583" s="19"/>
      <c r="CP583" s="19"/>
      <c r="CQ583" s="19"/>
      <c r="CR583" s="19"/>
      <c r="CS583" s="19"/>
      <c r="CT583" s="19"/>
      <c r="CU583" s="19"/>
      <c r="CV583" s="19"/>
      <c r="CW583" s="19"/>
      <c r="CX583" s="19"/>
      <c r="CY583" s="19"/>
      <c r="CZ583" s="19"/>
      <c r="DA583" s="19"/>
      <c r="DB583" s="19"/>
      <c r="DC583" s="19"/>
      <c r="DD583" s="19"/>
      <c r="DE583" s="19"/>
      <c r="DF583" s="19"/>
      <c r="DG583" s="19"/>
      <c r="DH583" s="19"/>
      <c r="DI583" s="19"/>
      <c r="DJ583" s="19"/>
      <c r="DK583" s="19"/>
      <c r="DL583" s="19"/>
      <c r="DM583" s="19"/>
      <c r="DN583" s="19"/>
      <c r="DO583" s="19"/>
      <c r="DP583" s="19"/>
      <c r="DQ583" s="19"/>
      <c r="DR583" s="19"/>
      <c r="DS583" s="19"/>
      <c r="DT583" s="19"/>
      <c r="DU583" s="19"/>
      <c r="DV583" s="19"/>
      <c r="DW583" s="19"/>
      <c r="DX583" s="19"/>
      <c r="DY583" s="19"/>
      <c r="DZ583" s="19"/>
      <c r="EA583" s="19"/>
      <c r="EB583" s="19"/>
      <c r="EC583" s="19"/>
      <c r="ED583" s="19"/>
      <c r="EE583" s="19"/>
      <c r="EF583" s="19"/>
      <c r="EG583" s="19"/>
      <c r="EH583" s="19"/>
      <c r="EI583" s="19"/>
      <c r="EJ583" s="19"/>
      <c r="EK583" s="19"/>
      <c r="EL583" s="19"/>
      <c r="EM583" s="19"/>
      <c r="EN583" s="19"/>
      <c r="EO583" s="19"/>
      <c r="EP583" s="17"/>
      <c r="EQ583" s="23"/>
      <c r="ER583" s="23" t="str">
        <f t="shared" si="7"/>
        <v/>
      </c>
      <c r="ES583" s="19"/>
      <c r="ET583" s="19" t="str">
        <f t="shared" si="8"/>
        <v/>
      </c>
      <c r="EU583" s="19"/>
      <c r="EV583" s="19"/>
      <c r="EW583" s="19"/>
      <c r="EX583" s="19"/>
      <c r="EY583" s="19"/>
      <c r="EZ583" s="19"/>
      <c r="FA583" s="19"/>
      <c r="FB583" s="19"/>
    </row>
    <row r="584" ht="15.75" customHeight="1">
      <c r="A584" s="19"/>
      <c r="F584" s="19"/>
      <c r="AH584" s="23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  <c r="CD584" s="19"/>
      <c r="CE584" s="19"/>
      <c r="CF584" s="19"/>
      <c r="CG584" s="19"/>
      <c r="CH584" s="19"/>
      <c r="CI584" s="19"/>
      <c r="CJ584" s="19"/>
      <c r="CK584" s="19"/>
      <c r="CL584" s="19"/>
      <c r="CM584" s="19"/>
      <c r="CN584" s="19"/>
      <c r="CO584" s="19"/>
      <c r="CP584" s="19"/>
      <c r="CQ584" s="19"/>
      <c r="CR584" s="19"/>
      <c r="CS584" s="19"/>
      <c r="CT584" s="19"/>
      <c r="CU584" s="19"/>
      <c r="CV584" s="19"/>
      <c r="CW584" s="19"/>
      <c r="CX584" s="19"/>
      <c r="CY584" s="19"/>
      <c r="CZ584" s="19"/>
      <c r="DA584" s="19"/>
      <c r="DB584" s="19"/>
      <c r="DC584" s="19"/>
      <c r="DD584" s="19"/>
      <c r="DE584" s="19"/>
      <c r="DF584" s="19"/>
      <c r="DG584" s="19"/>
      <c r="DH584" s="19"/>
      <c r="DI584" s="19"/>
      <c r="DJ584" s="19"/>
      <c r="DK584" s="19"/>
      <c r="DL584" s="19"/>
      <c r="DM584" s="19"/>
      <c r="DN584" s="19"/>
      <c r="DO584" s="19"/>
      <c r="DP584" s="19"/>
      <c r="DQ584" s="19"/>
      <c r="DR584" s="19"/>
      <c r="DS584" s="19"/>
      <c r="DT584" s="19"/>
      <c r="DU584" s="19"/>
      <c r="DV584" s="19"/>
      <c r="DW584" s="19"/>
      <c r="DX584" s="19"/>
      <c r="DY584" s="19"/>
      <c r="DZ584" s="19"/>
      <c r="EA584" s="19"/>
      <c r="EB584" s="19"/>
      <c r="EC584" s="19"/>
      <c r="ED584" s="19"/>
      <c r="EE584" s="19"/>
      <c r="EF584" s="19"/>
      <c r="EG584" s="19"/>
      <c r="EH584" s="19"/>
      <c r="EI584" s="19"/>
      <c r="EJ584" s="19"/>
      <c r="EK584" s="19"/>
      <c r="EL584" s="19"/>
      <c r="EM584" s="19"/>
      <c r="EN584" s="19"/>
      <c r="EO584" s="19"/>
      <c r="EP584" s="17"/>
      <c r="EQ584" s="23"/>
      <c r="ER584" s="23" t="str">
        <f t="shared" si="7"/>
        <v/>
      </c>
      <c r="ES584" s="19"/>
      <c r="ET584" s="19" t="str">
        <f t="shared" si="8"/>
        <v/>
      </c>
      <c r="EU584" s="19"/>
      <c r="EV584" s="19"/>
      <c r="EW584" s="19"/>
      <c r="EX584" s="19"/>
      <c r="EY584" s="19"/>
      <c r="EZ584" s="19"/>
      <c r="FA584" s="19"/>
      <c r="FB584" s="19"/>
    </row>
    <row r="585" ht="15.75" customHeight="1">
      <c r="A585" s="19"/>
      <c r="F585" s="19"/>
      <c r="AH585" s="23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  <c r="CD585" s="19"/>
      <c r="CE585" s="19"/>
      <c r="CF585" s="19"/>
      <c r="CG585" s="19"/>
      <c r="CH585" s="19"/>
      <c r="CI585" s="19"/>
      <c r="CJ585" s="19"/>
      <c r="CK585" s="19"/>
      <c r="CL585" s="19"/>
      <c r="CM585" s="19"/>
      <c r="CN585" s="19"/>
      <c r="CO585" s="19"/>
      <c r="CP585" s="19"/>
      <c r="CQ585" s="19"/>
      <c r="CR585" s="19"/>
      <c r="CS585" s="19"/>
      <c r="CT585" s="19"/>
      <c r="CU585" s="19"/>
      <c r="CV585" s="19"/>
      <c r="CW585" s="19"/>
      <c r="CX585" s="19"/>
      <c r="CY585" s="19"/>
      <c r="CZ585" s="19"/>
      <c r="DA585" s="19"/>
      <c r="DB585" s="19"/>
      <c r="DC585" s="19"/>
      <c r="DD585" s="19"/>
      <c r="DE585" s="19"/>
      <c r="DF585" s="19"/>
      <c r="DG585" s="19"/>
      <c r="DH585" s="19"/>
      <c r="DI585" s="19"/>
      <c r="DJ585" s="19"/>
      <c r="DK585" s="19"/>
      <c r="DL585" s="19"/>
      <c r="DM585" s="19"/>
      <c r="DN585" s="19"/>
      <c r="DO585" s="19"/>
      <c r="DP585" s="19"/>
      <c r="DQ585" s="19"/>
      <c r="DR585" s="19"/>
      <c r="DS585" s="19"/>
      <c r="DT585" s="19"/>
      <c r="DU585" s="19"/>
      <c r="DV585" s="19"/>
      <c r="DW585" s="19"/>
      <c r="DX585" s="19"/>
      <c r="DY585" s="19"/>
      <c r="DZ585" s="19"/>
      <c r="EA585" s="19"/>
      <c r="EB585" s="19"/>
      <c r="EC585" s="19"/>
      <c r="ED585" s="19"/>
      <c r="EE585" s="19"/>
      <c r="EF585" s="19"/>
      <c r="EG585" s="19"/>
      <c r="EH585" s="19"/>
      <c r="EI585" s="19"/>
      <c r="EJ585" s="19"/>
      <c r="EK585" s="19"/>
      <c r="EL585" s="19"/>
      <c r="EM585" s="19"/>
      <c r="EN585" s="19"/>
      <c r="EO585" s="19"/>
      <c r="EP585" s="17"/>
      <c r="EQ585" s="23"/>
      <c r="ER585" s="23" t="str">
        <f t="shared" si="7"/>
        <v/>
      </c>
      <c r="ES585" s="19"/>
      <c r="ET585" s="19" t="str">
        <f t="shared" si="8"/>
        <v/>
      </c>
      <c r="EU585" s="19"/>
      <c r="EV585" s="19"/>
      <c r="EW585" s="19"/>
      <c r="EX585" s="19"/>
      <c r="EY585" s="19"/>
      <c r="EZ585" s="19"/>
      <c r="FA585" s="19"/>
      <c r="FB585" s="19"/>
    </row>
    <row r="586" ht="15.75" customHeight="1">
      <c r="A586" s="19"/>
      <c r="F586" s="19"/>
      <c r="AH586" s="23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  <c r="CD586" s="19"/>
      <c r="CE586" s="19"/>
      <c r="CF586" s="19"/>
      <c r="CG586" s="19"/>
      <c r="CH586" s="19"/>
      <c r="CI586" s="19"/>
      <c r="CJ586" s="19"/>
      <c r="CK586" s="19"/>
      <c r="CL586" s="19"/>
      <c r="CM586" s="19"/>
      <c r="CN586" s="19"/>
      <c r="CO586" s="19"/>
      <c r="CP586" s="19"/>
      <c r="CQ586" s="19"/>
      <c r="CR586" s="19"/>
      <c r="CS586" s="19"/>
      <c r="CT586" s="19"/>
      <c r="CU586" s="19"/>
      <c r="CV586" s="19"/>
      <c r="CW586" s="19"/>
      <c r="CX586" s="19"/>
      <c r="CY586" s="19"/>
      <c r="CZ586" s="19"/>
      <c r="DA586" s="19"/>
      <c r="DB586" s="19"/>
      <c r="DC586" s="19"/>
      <c r="DD586" s="19"/>
      <c r="DE586" s="19"/>
      <c r="DF586" s="19"/>
      <c r="DG586" s="19"/>
      <c r="DH586" s="19"/>
      <c r="DI586" s="19"/>
      <c r="DJ586" s="19"/>
      <c r="DK586" s="19"/>
      <c r="DL586" s="19"/>
      <c r="DM586" s="19"/>
      <c r="DN586" s="19"/>
      <c r="DO586" s="19"/>
      <c r="DP586" s="19"/>
      <c r="DQ586" s="19"/>
      <c r="DR586" s="19"/>
      <c r="DS586" s="19"/>
      <c r="DT586" s="19"/>
      <c r="DU586" s="19"/>
      <c r="DV586" s="19"/>
      <c r="DW586" s="19"/>
      <c r="DX586" s="19"/>
      <c r="DY586" s="19"/>
      <c r="DZ586" s="19"/>
      <c r="EA586" s="19"/>
      <c r="EB586" s="19"/>
      <c r="EC586" s="19"/>
      <c r="ED586" s="19"/>
      <c r="EE586" s="19"/>
      <c r="EF586" s="19"/>
      <c r="EG586" s="19"/>
      <c r="EH586" s="19"/>
      <c r="EI586" s="19"/>
      <c r="EJ586" s="19"/>
      <c r="EK586" s="19"/>
      <c r="EL586" s="19"/>
      <c r="EM586" s="19"/>
      <c r="EN586" s="19"/>
      <c r="EO586" s="19"/>
      <c r="EP586" s="17"/>
      <c r="EQ586" s="23"/>
      <c r="ER586" s="23" t="str">
        <f t="shared" si="7"/>
        <v/>
      </c>
      <c r="ES586" s="19"/>
      <c r="ET586" s="19" t="str">
        <f t="shared" si="8"/>
        <v/>
      </c>
      <c r="EU586" s="19"/>
      <c r="EV586" s="19"/>
      <c r="EW586" s="19"/>
      <c r="EX586" s="19"/>
      <c r="EY586" s="19"/>
      <c r="EZ586" s="19"/>
      <c r="FA586" s="19"/>
      <c r="FB586" s="19"/>
    </row>
    <row r="587" ht="15.75" customHeight="1">
      <c r="A587" s="19"/>
      <c r="F587" s="19"/>
      <c r="AH587" s="23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  <c r="CD587" s="19"/>
      <c r="CE587" s="19"/>
      <c r="CF587" s="19"/>
      <c r="CG587" s="19"/>
      <c r="CH587" s="19"/>
      <c r="CI587" s="19"/>
      <c r="CJ587" s="19"/>
      <c r="CK587" s="19"/>
      <c r="CL587" s="19"/>
      <c r="CM587" s="19"/>
      <c r="CN587" s="19"/>
      <c r="CO587" s="19"/>
      <c r="CP587" s="19"/>
      <c r="CQ587" s="19"/>
      <c r="CR587" s="19"/>
      <c r="CS587" s="19"/>
      <c r="CT587" s="19"/>
      <c r="CU587" s="19"/>
      <c r="CV587" s="19"/>
      <c r="CW587" s="19"/>
      <c r="CX587" s="19"/>
      <c r="CY587" s="19"/>
      <c r="CZ587" s="19"/>
      <c r="DA587" s="19"/>
      <c r="DB587" s="19"/>
      <c r="DC587" s="19"/>
      <c r="DD587" s="19"/>
      <c r="DE587" s="19"/>
      <c r="DF587" s="19"/>
      <c r="DG587" s="19"/>
      <c r="DH587" s="19"/>
      <c r="DI587" s="19"/>
      <c r="DJ587" s="19"/>
      <c r="DK587" s="19"/>
      <c r="DL587" s="19"/>
      <c r="DM587" s="19"/>
      <c r="DN587" s="19"/>
      <c r="DO587" s="19"/>
      <c r="DP587" s="19"/>
      <c r="DQ587" s="19"/>
      <c r="DR587" s="19"/>
      <c r="DS587" s="19"/>
      <c r="DT587" s="19"/>
      <c r="DU587" s="19"/>
      <c r="DV587" s="19"/>
      <c r="DW587" s="19"/>
      <c r="DX587" s="19"/>
      <c r="DY587" s="19"/>
      <c r="DZ587" s="19"/>
      <c r="EA587" s="19"/>
      <c r="EB587" s="19"/>
      <c r="EC587" s="19"/>
      <c r="ED587" s="19"/>
      <c r="EE587" s="19"/>
      <c r="EF587" s="19"/>
      <c r="EG587" s="19"/>
      <c r="EH587" s="19"/>
      <c r="EI587" s="19"/>
      <c r="EJ587" s="19"/>
      <c r="EK587" s="19"/>
      <c r="EL587" s="19"/>
      <c r="EM587" s="19"/>
      <c r="EN587" s="19"/>
      <c r="EO587" s="19"/>
      <c r="EP587" s="17"/>
      <c r="EQ587" s="23"/>
      <c r="ER587" s="23" t="str">
        <f t="shared" si="7"/>
        <v/>
      </c>
      <c r="ES587" s="19"/>
      <c r="ET587" s="19" t="str">
        <f t="shared" si="8"/>
        <v/>
      </c>
      <c r="EU587" s="19"/>
      <c r="EV587" s="19"/>
      <c r="EW587" s="19"/>
      <c r="EX587" s="19"/>
      <c r="EY587" s="19"/>
      <c r="EZ587" s="19"/>
      <c r="FA587" s="19"/>
      <c r="FB587" s="19"/>
    </row>
    <row r="588" ht="15.75" customHeight="1">
      <c r="A588" s="19"/>
      <c r="F588" s="19"/>
      <c r="AH588" s="23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  <c r="CD588" s="19"/>
      <c r="CE588" s="19"/>
      <c r="CF588" s="19"/>
      <c r="CG588" s="19"/>
      <c r="CH588" s="19"/>
      <c r="CI588" s="19"/>
      <c r="CJ588" s="19"/>
      <c r="CK588" s="19"/>
      <c r="CL588" s="19"/>
      <c r="CM588" s="19"/>
      <c r="CN588" s="19"/>
      <c r="CO588" s="19"/>
      <c r="CP588" s="19"/>
      <c r="CQ588" s="19"/>
      <c r="CR588" s="19"/>
      <c r="CS588" s="19"/>
      <c r="CT588" s="19"/>
      <c r="CU588" s="19"/>
      <c r="CV588" s="19"/>
      <c r="CW588" s="19"/>
      <c r="CX588" s="19"/>
      <c r="CY588" s="19"/>
      <c r="CZ588" s="19"/>
      <c r="DA588" s="19"/>
      <c r="DB588" s="19"/>
      <c r="DC588" s="19"/>
      <c r="DD588" s="19"/>
      <c r="DE588" s="19"/>
      <c r="DF588" s="19"/>
      <c r="DG588" s="19"/>
      <c r="DH588" s="19"/>
      <c r="DI588" s="19"/>
      <c r="DJ588" s="19"/>
      <c r="DK588" s="19"/>
      <c r="DL588" s="19"/>
      <c r="DM588" s="19"/>
      <c r="DN588" s="19"/>
      <c r="DO588" s="19"/>
      <c r="DP588" s="19"/>
      <c r="DQ588" s="19"/>
      <c r="DR588" s="19"/>
      <c r="DS588" s="19"/>
      <c r="DT588" s="19"/>
      <c r="DU588" s="19"/>
      <c r="DV588" s="19"/>
      <c r="DW588" s="19"/>
      <c r="DX588" s="19"/>
      <c r="DY588" s="19"/>
      <c r="DZ588" s="19"/>
      <c r="EA588" s="19"/>
      <c r="EB588" s="19"/>
      <c r="EC588" s="19"/>
      <c r="ED588" s="19"/>
      <c r="EE588" s="19"/>
      <c r="EF588" s="19"/>
      <c r="EG588" s="19"/>
      <c r="EH588" s="19"/>
      <c r="EI588" s="19"/>
      <c r="EJ588" s="19"/>
      <c r="EK588" s="19"/>
      <c r="EL588" s="19"/>
      <c r="EM588" s="19"/>
      <c r="EN588" s="19"/>
      <c r="EO588" s="19"/>
      <c r="EP588" s="17"/>
      <c r="EQ588" s="23"/>
      <c r="ER588" s="23" t="str">
        <f t="shared" si="7"/>
        <v/>
      </c>
      <c r="ES588" s="19"/>
      <c r="ET588" s="19" t="str">
        <f t="shared" si="8"/>
        <v/>
      </c>
      <c r="EU588" s="19"/>
      <c r="EV588" s="19"/>
      <c r="EW588" s="19"/>
      <c r="EX588" s="19"/>
      <c r="EY588" s="19"/>
      <c r="EZ588" s="19"/>
      <c r="FA588" s="19"/>
      <c r="FB588" s="19"/>
    </row>
    <row r="589" ht="15.75" customHeight="1">
      <c r="A589" s="19"/>
      <c r="F589" s="19"/>
      <c r="AH589" s="23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  <c r="CD589" s="19"/>
      <c r="CE589" s="19"/>
      <c r="CF589" s="19"/>
      <c r="CG589" s="19"/>
      <c r="CH589" s="19"/>
      <c r="CI589" s="19"/>
      <c r="CJ589" s="19"/>
      <c r="CK589" s="19"/>
      <c r="CL589" s="19"/>
      <c r="CM589" s="19"/>
      <c r="CN589" s="19"/>
      <c r="CO589" s="19"/>
      <c r="CP589" s="19"/>
      <c r="CQ589" s="19"/>
      <c r="CR589" s="19"/>
      <c r="CS589" s="19"/>
      <c r="CT589" s="19"/>
      <c r="CU589" s="19"/>
      <c r="CV589" s="19"/>
      <c r="CW589" s="19"/>
      <c r="CX589" s="19"/>
      <c r="CY589" s="19"/>
      <c r="CZ589" s="19"/>
      <c r="DA589" s="19"/>
      <c r="DB589" s="19"/>
      <c r="DC589" s="19"/>
      <c r="DD589" s="19"/>
      <c r="DE589" s="19"/>
      <c r="DF589" s="19"/>
      <c r="DG589" s="19"/>
      <c r="DH589" s="19"/>
      <c r="DI589" s="19"/>
      <c r="DJ589" s="19"/>
      <c r="DK589" s="19"/>
      <c r="DL589" s="19"/>
      <c r="DM589" s="19"/>
      <c r="DN589" s="19"/>
      <c r="DO589" s="19"/>
      <c r="DP589" s="19"/>
      <c r="DQ589" s="19"/>
      <c r="DR589" s="19"/>
      <c r="DS589" s="19"/>
      <c r="DT589" s="19"/>
      <c r="DU589" s="19"/>
      <c r="DV589" s="19"/>
      <c r="DW589" s="19"/>
      <c r="DX589" s="19"/>
      <c r="DY589" s="19"/>
      <c r="DZ589" s="19"/>
      <c r="EA589" s="19"/>
      <c r="EB589" s="19"/>
      <c r="EC589" s="19"/>
      <c r="ED589" s="19"/>
      <c r="EE589" s="19"/>
      <c r="EF589" s="19"/>
      <c r="EG589" s="19"/>
      <c r="EH589" s="19"/>
      <c r="EI589" s="19"/>
      <c r="EJ589" s="19"/>
      <c r="EK589" s="19"/>
      <c r="EL589" s="19"/>
      <c r="EM589" s="19"/>
      <c r="EN589" s="19"/>
      <c r="EO589" s="19"/>
      <c r="EP589" s="17"/>
      <c r="EQ589" s="23"/>
      <c r="ER589" s="23" t="str">
        <f t="shared" si="7"/>
        <v/>
      </c>
      <c r="ES589" s="19"/>
      <c r="ET589" s="19" t="str">
        <f t="shared" si="8"/>
        <v/>
      </c>
      <c r="EU589" s="19"/>
      <c r="EV589" s="19"/>
      <c r="EW589" s="19"/>
      <c r="EX589" s="19"/>
      <c r="EY589" s="19"/>
      <c r="EZ589" s="19"/>
      <c r="FA589" s="19"/>
      <c r="FB589" s="19"/>
    </row>
    <row r="590" ht="15.75" customHeight="1">
      <c r="A590" s="19"/>
      <c r="F590" s="19"/>
      <c r="AH590" s="23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  <c r="CD590" s="19"/>
      <c r="CE590" s="19"/>
      <c r="CF590" s="19"/>
      <c r="CG590" s="19"/>
      <c r="CH590" s="19"/>
      <c r="CI590" s="19"/>
      <c r="CJ590" s="19"/>
      <c r="CK590" s="19"/>
      <c r="CL590" s="19"/>
      <c r="CM590" s="19"/>
      <c r="CN590" s="19"/>
      <c r="CO590" s="19"/>
      <c r="CP590" s="19"/>
      <c r="CQ590" s="19"/>
      <c r="CR590" s="19"/>
      <c r="CS590" s="19"/>
      <c r="CT590" s="19"/>
      <c r="CU590" s="19"/>
      <c r="CV590" s="19"/>
      <c r="CW590" s="19"/>
      <c r="CX590" s="19"/>
      <c r="CY590" s="19"/>
      <c r="CZ590" s="19"/>
      <c r="DA590" s="19"/>
      <c r="DB590" s="19"/>
      <c r="DC590" s="19"/>
      <c r="DD590" s="19"/>
      <c r="DE590" s="19"/>
      <c r="DF590" s="19"/>
      <c r="DG590" s="19"/>
      <c r="DH590" s="19"/>
      <c r="DI590" s="19"/>
      <c r="DJ590" s="19"/>
      <c r="DK590" s="19"/>
      <c r="DL590" s="19"/>
      <c r="DM590" s="19"/>
      <c r="DN590" s="19"/>
      <c r="DO590" s="19"/>
      <c r="DP590" s="19"/>
      <c r="DQ590" s="19"/>
      <c r="DR590" s="19"/>
      <c r="DS590" s="19"/>
      <c r="DT590" s="19"/>
      <c r="DU590" s="19"/>
      <c r="DV590" s="19"/>
      <c r="DW590" s="19"/>
      <c r="DX590" s="19"/>
      <c r="DY590" s="19"/>
      <c r="DZ590" s="19"/>
      <c r="EA590" s="19"/>
      <c r="EB590" s="19"/>
      <c r="EC590" s="19"/>
      <c r="ED590" s="19"/>
      <c r="EE590" s="19"/>
      <c r="EF590" s="19"/>
      <c r="EG590" s="19"/>
      <c r="EH590" s="19"/>
      <c r="EI590" s="19"/>
      <c r="EJ590" s="19"/>
      <c r="EK590" s="19"/>
      <c r="EL590" s="19"/>
      <c r="EM590" s="19"/>
      <c r="EN590" s="19"/>
      <c r="EO590" s="19"/>
      <c r="EP590" s="17"/>
      <c r="EQ590" s="23"/>
      <c r="ER590" s="23" t="str">
        <f t="shared" si="7"/>
        <v/>
      </c>
      <c r="ES590" s="19"/>
      <c r="ET590" s="19" t="str">
        <f t="shared" si="8"/>
        <v/>
      </c>
      <c r="EU590" s="19"/>
      <c r="EV590" s="19"/>
      <c r="EW590" s="19"/>
      <c r="EX590" s="19"/>
      <c r="EY590" s="19"/>
      <c r="EZ590" s="19"/>
      <c r="FA590" s="19"/>
      <c r="FB590" s="19"/>
    </row>
    <row r="591" ht="15.75" customHeight="1">
      <c r="A591" s="19"/>
      <c r="F591" s="19"/>
      <c r="AH591" s="23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  <c r="EE591" s="19"/>
      <c r="EF591" s="19"/>
      <c r="EG591" s="19"/>
      <c r="EH591" s="19"/>
      <c r="EI591" s="19"/>
      <c r="EJ591" s="19"/>
      <c r="EK591" s="19"/>
      <c r="EL591" s="19"/>
      <c r="EM591" s="19"/>
      <c r="EN591" s="19"/>
      <c r="EO591" s="19"/>
      <c r="EP591" s="17"/>
      <c r="EQ591" s="23"/>
      <c r="ER591" s="23" t="str">
        <f t="shared" si="7"/>
        <v/>
      </c>
      <c r="ES591" s="19"/>
      <c r="ET591" s="19" t="str">
        <f t="shared" si="8"/>
        <v/>
      </c>
      <c r="EU591" s="19"/>
      <c r="EV591" s="19"/>
      <c r="EW591" s="19"/>
      <c r="EX591" s="19"/>
      <c r="EY591" s="19"/>
      <c r="EZ591" s="19"/>
      <c r="FA591" s="19"/>
      <c r="FB591" s="19"/>
    </row>
    <row r="592" ht="15.75" customHeight="1">
      <c r="A592" s="19"/>
      <c r="F592" s="19"/>
      <c r="AH592" s="23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  <c r="CD592" s="19"/>
      <c r="CE592" s="19"/>
      <c r="CF592" s="19"/>
      <c r="CG592" s="19"/>
      <c r="CH592" s="19"/>
      <c r="CI592" s="19"/>
      <c r="CJ592" s="19"/>
      <c r="CK592" s="19"/>
      <c r="CL592" s="19"/>
      <c r="CM592" s="19"/>
      <c r="CN592" s="19"/>
      <c r="CO592" s="19"/>
      <c r="CP592" s="19"/>
      <c r="CQ592" s="19"/>
      <c r="CR592" s="19"/>
      <c r="CS592" s="19"/>
      <c r="CT592" s="19"/>
      <c r="CU592" s="19"/>
      <c r="CV592" s="19"/>
      <c r="CW592" s="19"/>
      <c r="CX592" s="19"/>
      <c r="CY592" s="19"/>
      <c r="CZ592" s="19"/>
      <c r="DA592" s="19"/>
      <c r="DB592" s="19"/>
      <c r="DC592" s="19"/>
      <c r="DD592" s="19"/>
      <c r="DE592" s="19"/>
      <c r="DF592" s="19"/>
      <c r="DG592" s="19"/>
      <c r="DH592" s="19"/>
      <c r="DI592" s="19"/>
      <c r="DJ592" s="19"/>
      <c r="DK592" s="19"/>
      <c r="DL592" s="19"/>
      <c r="DM592" s="19"/>
      <c r="DN592" s="19"/>
      <c r="DO592" s="19"/>
      <c r="DP592" s="19"/>
      <c r="DQ592" s="19"/>
      <c r="DR592" s="19"/>
      <c r="DS592" s="19"/>
      <c r="DT592" s="19"/>
      <c r="DU592" s="19"/>
      <c r="DV592" s="19"/>
      <c r="DW592" s="19"/>
      <c r="DX592" s="19"/>
      <c r="DY592" s="19"/>
      <c r="DZ592" s="19"/>
      <c r="EA592" s="19"/>
      <c r="EB592" s="19"/>
      <c r="EC592" s="19"/>
      <c r="ED592" s="19"/>
      <c r="EE592" s="19"/>
      <c r="EF592" s="19"/>
      <c r="EG592" s="19"/>
      <c r="EH592" s="19"/>
      <c r="EI592" s="19"/>
      <c r="EJ592" s="19"/>
      <c r="EK592" s="19"/>
      <c r="EL592" s="19"/>
      <c r="EM592" s="19"/>
      <c r="EN592" s="19"/>
      <c r="EO592" s="19"/>
      <c r="EP592" s="17"/>
      <c r="EQ592" s="23"/>
      <c r="ER592" s="23" t="str">
        <f t="shared" si="7"/>
        <v/>
      </c>
      <c r="ES592" s="19"/>
      <c r="ET592" s="19" t="str">
        <f t="shared" si="8"/>
        <v/>
      </c>
      <c r="EU592" s="19"/>
      <c r="EV592" s="19"/>
      <c r="EW592" s="19"/>
      <c r="EX592" s="19"/>
      <c r="EY592" s="19"/>
      <c r="EZ592" s="19"/>
      <c r="FA592" s="19"/>
      <c r="FB592" s="19"/>
    </row>
    <row r="593" ht="15.75" customHeight="1">
      <c r="A593" s="19"/>
      <c r="F593" s="19"/>
      <c r="AH593" s="23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  <c r="CD593" s="19"/>
      <c r="CE593" s="19"/>
      <c r="CF593" s="19"/>
      <c r="CG593" s="19"/>
      <c r="CH593" s="19"/>
      <c r="CI593" s="19"/>
      <c r="CJ593" s="19"/>
      <c r="CK593" s="19"/>
      <c r="CL593" s="19"/>
      <c r="CM593" s="19"/>
      <c r="CN593" s="19"/>
      <c r="CO593" s="19"/>
      <c r="CP593" s="19"/>
      <c r="CQ593" s="19"/>
      <c r="CR593" s="19"/>
      <c r="CS593" s="19"/>
      <c r="CT593" s="19"/>
      <c r="CU593" s="19"/>
      <c r="CV593" s="19"/>
      <c r="CW593" s="19"/>
      <c r="CX593" s="19"/>
      <c r="CY593" s="19"/>
      <c r="CZ593" s="19"/>
      <c r="DA593" s="19"/>
      <c r="DB593" s="19"/>
      <c r="DC593" s="19"/>
      <c r="DD593" s="19"/>
      <c r="DE593" s="19"/>
      <c r="DF593" s="19"/>
      <c r="DG593" s="19"/>
      <c r="DH593" s="19"/>
      <c r="DI593" s="19"/>
      <c r="DJ593" s="19"/>
      <c r="DK593" s="19"/>
      <c r="DL593" s="19"/>
      <c r="DM593" s="19"/>
      <c r="DN593" s="19"/>
      <c r="DO593" s="19"/>
      <c r="DP593" s="19"/>
      <c r="DQ593" s="19"/>
      <c r="DR593" s="19"/>
      <c r="DS593" s="19"/>
      <c r="DT593" s="19"/>
      <c r="DU593" s="19"/>
      <c r="DV593" s="19"/>
      <c r="DW593" s="19"/>
      <c r="DX593" s="19"/>
      <c r="DY593" s="19"/>
      <c r="DZ593" s="19"/>
      <c r="EA593" s="19"/>
      <c r="EB593" s="19"/>
      <c r="EC593" s="19"/>
      <c r="ED593" s="19"/>
      <c r="EE593" s="19"/>
      <c r="EF593" s="19"/>
      <c r="EG593" s="19"/>
      <c r="EH593" s="19"/>
      <c r="EI593" s="19"/>
      <c r="EJ593" s="19"/>
      <c r="EK593" s="19"/>
      <c r="EL593" s="19"/>
      <c r="EM593" s="19"/>
      <c r="EN593" s="19"/>
      <c r="EO593" s="19"/>
      <c r="EP593" s="17"/>
      <c r="EQ593" s="23"/>
      <c r="ER593" s="23" t="str">
        <f t="shared" si="7"/>
        <v/>
      </c>
      <c r="ES593" s="19"/>
      <c r="ET593" s="19" t="str">
        <f t="shared" si="8"/>
        <v/>
      </c>
      <c r="EU593" s="19"/>
      <c r="EV593" s="19"/>
      <c r="EW593" s="19"/>
      <c r="EX593" s="19"/>
      <c r="EY593" s="19"/>
      <c r="EZ593" s="19"/>
      <c r="FA593" s="19"/>
      <c r="FB593" s="19"/>
    </row>
    <row r="594" ht="15.75" customHeight="1">
      <c r="A594" s="19"/>
      <c r="F594" s="19"/>
      <c r="AH594" s="23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  <c r="CD594" s="19"/>
      <c r="CE594" s="19"/>
      <c r="CF594" s="19"/>
      <c r="CG594" s="19"/>
      <c r="CH594" s="19"/>
      <c r="CI594" s="19"/>
      <c r="CJ594" s="19"/>
      <c r="CK594" s="19"/>
      <c r="CL594" s="19"/>
      <c r="CM594" s="19"/>
      <c r="CN594" s="19"/>
      <c r="CO594" s="19"/>
      <c r="CP594" s="19"/>
      <c r="CQ594" s="19"/>
      <c r="CR594" s="19"/>
      <c r="CS594" s="19"/>
      <c r="CT594" s="19"/>
      <c r="CU594" s="19"/>
      <c r="CV594" s="19"/>
      <c r="CW594" s="19"/>
      <c r="CX594" s="19"/>
      <c r="CY594" s="19"/>
      <c r="CZ594" s="19"/>
      <c r="DA594" s="19"/>
      <c r="DB594" s="19"/>
      <c r="DC594" s="19"/>
      <c r="DD594" s="19"/>
      <c r="DE594" s="19"/>
      <c r="DF594" s="19"/>
      <c r="DG594" s="19"/>
      <c r="DH594" s="19"/>
      <c r="DI594" s="19"/>
      <c r="DJ594" s="19"/>
      <c r="DK594" s="19"/>
      <c r="DL594" s="19"/>
      <c r="DM594" s="19"/>
      <c r="DN594" s="19"/>
      <c r="DO594" s="19"/>
      <c r="DP594" s="19"/>
      <c r="DQ594" s="19"/>
      <c r="DR594" s="19"/>
      <c r="DS594" s="19"/>
      <c r="DT594" s="19"/>
      <c r="DU594" s="19"/>
      <c r="DV594" s="19"/>
      <c r="DW594" s="19"/>
      <c r="DX594" s="19"/>
      <c r="DY594" s="19"/>
      <c r="DZ594" s="19"/>
      <c r="EA594" s="19"/>
      <c r="EB594" s="19"/>
      <c r="EC594" s="19"/>
      <c r="ED594" s="19"/>
      <c r="EE594" s="19"/>
      <c r="EF594" s="19"/>
      <c r="EG594" s="19"/>
      <c r="EH594" s="19"/>
      <c r="EI594" s="19"/>
      <c r="EJ594" s="19"/>
      <c r="EK594" s="19"/>
      <c r="EL594" s="19"/>
      <c r="EM594" s="19"/>
      <c r="EN594" s="19"/>
      <c r="EO594" s="19"/>
      <c r="EP594" s="17"/>
      <c r="EQ594" s="23"/>
      <c r="ER594" s="23" t="str">
        <f t="shared" si="7"/>
        <v/>
      </c>
      <c r="ES594" s="19"/>
      <c r="ET594" s="19" t="str">
        <f t="shared" si="8"/>
        <v/>
      </c>
      <c r="EU594" s="19"/>
      <c r="EV594" s="19"/>
      <c r="EW594" s="19"/>
      <c r="EX594" s="19"/>
      <c r="EY594" s="19"/>
      <c r="EZ594" s="19"/>
      <c r="FA594" s="19"/>
      <c r="FB594" s="19"/>
    </row>
    <row r="595" ht="15.75" customHeight="1">
      <c r="A595" s="19"/>
      <c r="F595" s="19"/>
      <c r="AH595" s="23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  <c r="CD595" s="19"/>
      <c r="CE595" s="19"/>
      <c r="CF595" s="19"/>
      <c r="CG595" s="19"/>
      <c r="CH595" s="19"/>
      <c r="CI595" s="19"/>
      <c r="CJ595" s="19"/>
      <c r="CK595" s="19"/>
      <c r="CL595" s="19"/>
      <c r="CM595" s="19"/>
      <c r="CN595" s="19"/>
      <c r="CO595" s="19"/>
      <c r="CP595" s="19"/>
      <c r="CQ595" s="19"/>
      <c r="CR595" s="19"/>
      <c r="CS595" s="19"/>
      <c r="CT595" s="19"/>
      <c r="CU595" s="19"/>
      <c r="CV595" s="19"/>
      <c r="CW595" s="19"/>
      <c r="CX595" s="19"/>
      <c r="CY595" s="19"/>
      <c r="CZ595" s="19"/>
      <c r="DA595" s="19"/>
      <c r="DB595" s="19"/>
      <c r="DC595" s="19"/>
      <c r="DD595" s="19"/>
      <c r="DE595" s="19"/>
      <c r="DF595" s="19"/>
      <c r="DG595" s="19"/>
      <c r="DH595" s="19"/>
      <c r="DI595" s="19"/>
      <c r="DJ595" s="19"/>
      <c r="DK595" s="19"/>
      <c r="DL595" s="19"/>
      <c r="DM595" s="19"/>
      <c r="DN595" s="19"/>
      <c r="DO595" s="19"/>
      <c r="DP595" s="19"/>
      <c r="DQ595" s="19"/>
      <c r="DR595" s="19"/>
      <c r="DS595" s="19"/>
      <c r="DT595" s="19"/>
      <c r="DU595" s="19"/>
      <c r="DV595" s="19"/>
      <c r="DW595" s="19"/>
      <c r="DX595" s="19"/>
      <c r="DY595" s="19"/>
      <c r="DZ595" s="19"/>
      <c r="EA595" s="19"/>
      <c r="EB595" s="19"/>
      <c r="EC595" s="19"/>
      <c r="ED595" s="19"/>
      <c r="EE595" s="19"/>
      <c r="EF595" s="19"/>
      <c r="EG595" s="19"/>
      <c r="EH595" s="19"/>
      <c r="EI595" s="19"/>
      <c r="EJ595" s="19"/>
      <c r="EK595" s="19"/>
      <c r="EL595" s="19"/>
      <c r="EM595" s="19"/>
      <c r="EN595" s="19"/>
      <c r="EO595" s="19"/>
      <c r="EP595" s="17"/>
      <c r="EQ595" s="23"/>
      <c r="ER595" s="23" t="str">
        <f t="shared" si="7"/>
        <v/>
      </c>
      <c r="ES595" s="19"/>
      <c r="ET595" s="19" t="str">
        <f t="shared" si="8"/>
        <v/>
      </c>
      <c r="EU595" s="19"/>
      <c r="EV595" s="19"/>
      <c r="EW595" s="19"/>
      <c r="EX595" s="19"/>
      <c r="EY595" s="19"/>
      <c r="EZ595" s="19"/>
      <c r="FA595" s="19"/>
      <c r="FB595" s="19"/>
    </row>
    <row r="596" ht="15.75" customHeight="1">
      <c r="A596" s="19"/>
      <c r="F596" s="19"/>
      <c r="AH596" s="23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  <c r="CD596" s="19"/>
      <c r="CE596" s="19"/>
      <c r="CF596" s="19"/>
      <c r="CG596" s="19"/>
      <c r="CH596" s="19"/>
      <c r="CI596" s="19"/>
      <c r="CJ596" s="19"/>
      <c r="CK596" s="19"/>
      <c r="CL596" s="19"/>
      <c r="CM596" s="19"/>
      <c r="CN596" s="19"/>
      <c r="CO596" s="19"/>
      <c r="CP596" s="19"/>
      <c r="CQ596" s="19"/>
      <c r="CR596" s="19"/>
      <c r="CS596" s="19"/>
      <c r="CT596" s="19"/>
      <c r="CU596" s="19"/>
      <c r="CV596" s="19"/>
      <c r="CW596" s="19"/>
      <c r="CX596" s="19"/>
      <c r="CY596" s="19"/>
      <c r="CZ596" s="19"/>
      <c r="DA596" s="19"/>
      <c r="DB596" s="19"/>
      <c r="DC596" s="19"/>
      <c r="DD596" s="19"/>
      <c r="DE596" s="19"/>
      <c r="DF596" s="19"/>
      <c r="DG596" s="19"/>
      <c r="DH596" s="19"/>
      <c r="DI596" s="19"/>
      <c r="DJ596" s="19"/>
      <c r="DK596" s="19"/>
      <c r="DL596" s="19"/>
      <c r="DM596" s="19"/>
      <c r="DN596" s="19"/>
      <c r="DO596" s="19"/>
      <c r="DP596" s="19"/>
      <c r="DQ596" s="19"/>
      <c r="DR596" s="19"/>
      <c r="DS596" s="19"/>
      <c r="DT596" s="19"/>
      <c r="DU596" s="19"/>
      <c r="DV596" s="19"/>
      <c r="DW596" s="19"/>
      <c r="DX596" s="19"/>
      <c r="DY596" s="19"/>
      <c r="DZ596" s="19"/>
      <c r="EA596" s="19"/>
      <c r="EB596" s="19"/>
      <c r="EC596" s="19"/>
      <c r="ED596" s="19"/>
      <c r="EE596" s="19"/>
      <c r="EF596" s="19"/>
      <c r="EG596" s="19"/>
      <c r="EH596" s="19"/>
      <c r="EI596" s="19"/>
      <c r="EJ596" s="19"/>
      <c r="EK596" s="19"/>
      <c r="EL596" s="19"/>
      <c r="EM596" s="19"/>
      <c r="EN596" s="19"/>
      <c r="EO596" s="19"/>
      <c r="EP596" s="17"/>
      <c r="EQ596" s="23"/>
      <c r="ER596" s="23" t="str">
        <f t="shared" si="7"/>
        <v/>
      </c>
      <c r="ES596" s="19"/>
      <c r="ET596" s="19" t="str">
        <f t="shared" si="8"/>
        <v/>
      </c>
      <c r="EU596" s="19"/>
      <c r="EV596" s="19"/>
      <c r="EW596" s="19"/>
      <c r="EX596" s="19"/>
      <c r="EY596" s="19"/>
      <c r="EZ596" s="19"/>
      <c r="FA596" s="19"/>
      <c r="FB596" s="19"/>
    </row>
    <row r="597" ht="15.75" customHeight="1">
      <c r="A597" s="19"/>
      <c r="F597" s="19"/>
      <c r="AH597" s="23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  <c r="CD597" s="19"/>
      <c r="CE597" s="19"/>
      <c r="CF597" s="19"/>
      <c r="CG597" s="19"/>
      <c r="CH597" s="19"/>
      <c r="CI597" s="19"/>
      <c r="CJ597" s="19"/>
      <c r="CK597" s="19"/>
      <c r="CL597" s="19"/>
      <c r="CM597" s="19"/>
      <c r="CN597" s="19"/>
      <c r="CO597" s="19"/>
      <c r="CP597" s="19"/>
      <c r="CQ597" s="19"/>
      <c r="CR597" s="19"/>
      <c r="CS597" s="19"/>
      <c r="CT597" s="19"/>
      <c r="CU597" s="19"/>
      <c r="CV597" s="19"/>
      <c r="CW597" s="19"/>
      <c r="CX597" s="19"/>
      <c r="CY597" s="19"/>
      <c r="CZ597" s="19"/>
      <c r="DA597" s="19"/>
      <c r="DB597" s="19"/>
      <c r="DC597" s="19"/>
      <c r="DD597" s="19"/>
      <c r="DE597" s="19"/>
      <c r="DF597" s="19"/>
      <c r="DG597" s="19"/>
      <c r="DH597" s="19"/>
      <c r="DI597" s="19"/>
      <c r="DJ597" s="19"/>
      <c r="DK597" s="19"/>
      <c r="DL597" s="19"/>
      <c r="DM597" s="19"/>
      <c r="DN597" s="19"/>
      <c r="DO597" s="19"/>
      <c r="DP597" s="19"/>
      <c r="DQ597" s="19"/>
      <c r="DR597" s="19"/>
      <c r="DS597" s="19"/>
      <c r="DT597" s="19"/>
      <c r="DU597" s="19"/>
      <c r="DV597" s="19"/>
      <c r="DW597" s="19"/>
      <c r="DX597" s="19"/>
      <c r="DY597" s="19"/>
      <c r="DZ597" s="19"/>
      <c r="EA597" s="19"/>
      <c r="EB597" s="19"/>
      <c r="EC597" s="19"/>
      <c r="ED597" s="19"/>
      <c r="EE597" s="19"/>
      <c r="EF597" s="19"/>
      <c r="EG597" s="19"/>
      <c r="EH597" s="19"/>
      <c r="EI597" s="19"/>
      <c r="EJ597" s="19"/>
      <c r="EK597" s="19"/>
      <c r="EL597" s="19"/>
      <c r="EM597" s="19"/>
      <c r="EN597" s="19"/>
      <c r="EO597" s="19"/>
      <c r="EP597" s="17"/>
      <c r="EQ597" s="23"/>
      <c r="ER597" s="23" t="str">
        <f t="shared" si="7"/>
        <v/>
      </c>
      <c r="ES597" s="19"/>
      <c r="ET597" s="19" t="str">
        <f t="shared" si="8"/>
        <v/>
      </c>
      <c r="EU597" s="19"/>
      <c r="EV597" s="19"/>
      <c r="EW597" s="19"/>
      <c r="EX597" s="19"/>
      <c r="EY597" s="19"/>
      <c r="EZ597" s="19"/>
      <c r="FA597" s="19"/>
      <c r="FB597" s="19"/>
    </row>
    <row r="598" ht="15.75" customHeight="1">
      <c r="A598" s="19"/>
      <c r="F598" s="19"/>
      <c r="AH598" s="23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  <c r="CD598" s="19"/>
      <c r="CE598" s="19"/>
      <c r="CF598" s="19"/>
      <c r="CG598" s="19"/>
      <c r="CH598" s="19"/>
      <c r="CI598" s="19"/>
      <c r="CJ598" s="19"/>
      <c r="CK598" s="19"/>
      <c r="CL598" s="19"/>
      <c r="CM598" s="19"/>
      <c r="CN598" s="19"/>
      <c r="CO598" s="19"/>
      <c r="CP598" s="19"/>
      <c r="CQ598" s="19"/>
      <c r="CR598" s="19"/>
      <c r="CS598" s="19"/>
      <c r="CT598" s="19"/>
      <c r="CU598" s="19"/>
      <c r="CV598" s="19"/>
      <c r="CW598" s="19"/>
      <c r="CX598" s="19"/>
      <c r="CY598" s="19"/>
      <c r="CZ598" s="19"/>
      <c r="DA598" s="19"/>
      <c r="DB598" s="19"/>
      <c r="DC598" s="19"/>
      <c r="DD598" s="19"/>
      <c r="DE598" s="19"/>
      <c r="DF598" s="19"/>
      <c r="DG598" s="19"/>
      <c r="DH598" s="19"/>
      <c r="DI598" s="19"/>
      <c r="DJ598" s="19"/>
      <c r="DK598" s="19"/>
      <c r="DL598" s="19"/>
      <c r="DM598" s="19"/>
      <c r="DN598" s="19"/>
      <c r="DO598" s="19"/>
      <c r="DP598" s="19"/>
      <c r="DQ598" s="19"/>
      <c r="DR598" s="19"/>
      <c r="DS598" s="19"/>
      <c r="DT598" s="19"/>
      <c r="DU598" s="19"/>
      <c r="DV598" s="19"/>
      <c r="DW598" s="19"/>
      <c r="DX598" s="19"/>
      <c r="DY598" s="19"/>
      <c r="DZ598" s="19"/>
      <c r="EA598" s="19"/>
      <c r="EB598" s="19"/>
      <c r="EC598" s="19"/>
      <c r="ED598" s="19"/>
      <c r="EE598" s="19"/>
      <c r="EF598" s="19"/>
      <c r="EG598" s="19"/>
      <c r="EH598" s="19"/>
      <c r="EI598" s="19"/>
      <c r="EJ598" s="19"/>
      <c r="EK598" s="19"/>
      <c r="EL598" s="19"/>
      <c r="EM598" s="19"/>
      <c r="EN598" s="19"/>
      <c r="EO598" s="19"/>
      <c r="EP598" s="17"/>
      <c r="EQ598" s="23"/>
      <c r="ER598" s="23" t="str">
        <f t="shared" si="7"/>
        <v/>
      </c>
      <c r="ES598" s="19"/>
      <c r="ET598" s="19" t="str">
        <f t="shared" si="8"/>
        <v/>
      </c>
      <c r="EU598" s="19"/>
      <c r="EV598" s="19"/>
      <c r="EW598" s="19"/>
      <c r="EX598" s="19"/>
      <c r="EY598" s="19"/>
      <c r="EZ598" s="19"/>
      <c r="FA598" s="19"/>
      <c r="FB598" s="19"/>
    </row>
    <row r="599" ht="15.75" customHeight="1">
      <c r="A599" s="19"/>
      <c r="F599" s="19"/>
      <c r="AH599" s="23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  <c r="CD599" s="19"/>
      <c r="CE599" s="19"/>
      <c r="CF599" s="19"/>
      <c r="CG599" s="19"/>
      <c r="CH599" s="19"/>
      <c r="CI599" s="19"/>
      <c r="CJ599" s="19"/>
      <c r="CK599" s="19"/>
      <c r="CL599" s="19"/>
      <c r="CM599" s="19"/>
      <c r="CN599" s="19"/>
      <c r="CO599" s="19"/>
      <c r="CP599" s="19"/>
      <c r="CQ599" s="19"/>
      <c r="CR599" s="19"/>
      <c r="CS599" s="19"/>
      <c r="CT599" s="19"/>
      <c r="CU599" s="19"/>
      <c r="CV599" s="19"/>
      <c r="CW599" s="19"/>
      <c r="CX599" s="19"/>
      <c r="CY599" s="19"/>
      <c r="CZ599" s="19"/>
      <c r="DA599" s="19"/>
      <c r="DB599" s="19"/>
      <c r="DC599" s="19"/>
      <c r="DD599" s="19"/>
      <c r="DE599" s="19"/>
      <c r="DF599" s="19"/>
      <c r="DG599" s="19"/>
      <c r="DH599" s="19"/>
      <c r="DI599" s="19"/>
      <c r="DJ599" s="19"/>
      <c r="DK599" s="19"/>
      <c r="DL599" s="19"/>
      <c r="DM599" s="19"/>
      <c r="DN599" s="19"/>
      <c r="DO599" s="19"/>
      <c r="DP599" s="19"/>
      <c r="DQ599" s="19"/>
      <c r="DR599" s="19"/>
      <c r="DS599" s="19"/>
      <c r="DT599" s="19"/>
      <c r="DU599" s="19"/>
      <c r="DV599" s="19"/>
      <c r="DW599" s="19"/>
      <c r="DX599" s="19"/>
      <c r="DY599" s="19"/>
      <c r="DZ599" s="19"/>
      <c r="EA599" s="19"/>
      <c r="EB599" s="19"/>
      <c r="EC599" s="19"/>
      <c r="ED599" s="19"/>
      <c r="EE599" s="19"/>
      <c r="EF599" s="19"/>
      <c r="EG599" s="19"/>
      <c r="EH599" s="19"/>
      <c r="EI599" s="19"/>
      <c r="EJ599" s="19"/>
      <c r="EK599" s="19"/>
      <c r="EL599" s="19"/>
      <c r="EM599" s="19"/>
      <c r="EN599" s="19"/>
      <c r="EO599" s="19"/>
      <c r="EP599" s="17"/>
      <c r="EQ599" s="23"/>
      <c r="ER599" s="23" t="str">
        <f t="shared" si="7"/>
        <v/>
      </c>
      <c r="ES599" s="19"/>
      <c r="ET599" s="19" t="str">
        <f t="shared" si="8"/>
        <v/>
      </c>
      <c r="EU599" s="19"/>
      <c r="EV599" s="19"/>
      <c r="EW599" s="19"/>
      <c r="EX599" s="19"/>
      <c r="EY599" s="19"/>
      <c r="EZ599" s="19"/>
      <c r="FA599" s="19"/>
      <c r="FB599" s="19"/>
    </row>
    <row r="600" ht="15.75" customHeight="1">
      <c r="A600" s="19"/>
      <c r="F600" s="19"/>
      <c r="AH600" s="23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  <c r="CD600" s="19"/>
      <c r="CE600" s="19"/>
      <c r="CF600" s="19"/>
      <c r="CG600" s="19"/>
      <c r="CH600" s="19"/>
      <c r="CI600" s="19"/>
      <c r="CJ600" s="19"/>
      <c r="CK600" s="19"/>
      <c r="CL600" s="19"/>
      <c r="CM600" s="19"/>
      <c r="CN600" s="19"/>
      <c r="CO600" s="19"/>
      <c r="CP600" s="19"/>
      <c r="CQ600" s="19"/>
      <c r="CR600" s="19"/>
      <c r="CS600" s="19"/>
      <c r="CT600" s="19"/>
      <c r="CU600" s="19"/>
      <c r="CV600" s="19"/>
      <c r="CW600" s="19"/>
      <c r="CX600" s="19"/>
      <c r="CY600" s="19"/>
      <c r="CZ600" s="19"/>
      <c r="DA600" s="19"/>
      <c r="DB600" s="19"/>
      <c r="DC600" s="19"/>
      <c r="DD600" s="19"/>
      <c r="DE600" s="19"/>
      <c r="DF600" s="19"/>
      <c r="DG600" s="19"/>
      <c r="DH600" s="19"/>
      <c r="DI600" s="19"/>
      <c r="DJ600" s="19"/>
      <c r="DK600" s="19"/>
      <c r="DL600" s="19"/>
      <c r="DM600" s="19"/>
      <c r="DN600" s="19"/>
      <c r="DO600" s="19"/>
      <c r="DP600" s="19"/>
      <c r="DQ600" s="19"/>
      <c r="DR600" s="19"/>
      <c r="DS600" s="19"/>
      <c r="DT600" s="19"/>
      <c r="DU600" s="19"/>
      <c r="DV600" s="19"/>
      <c r="DW600" s="19"/>
      <c r="DX600" s="19"/>
      <c r="DY600" s="19"/>
      <c r="DZ600" s="19"/>
      <c r="EA600" s="19"/>
      <c r="EB600" s="19"/>
      <c r="EC600" s="19"/>
      <c r="ED600" s="19"/>
      <c r="EE600" s="19"/>
      <c r="EF600" s="19"/>
      <c r="EG600" s="19"/>
      <c r="EH600" s="19"/>
      <c r="EI600" s="19"/>
      <c r="EJ600" s="19"/>
      <c r="EK600" s="19"/>
      <c r="EL600" s="19"/>
      <c r="EM600" s="19"/>
      <c r="EN600" s="19"/>
      <c r="EO600" s="19"/>
      <c r="EP600" s="17"/>
      <c r="EQ600" s="23"/>
      <c r="ER600" s="23" t="str">
        <f t="shared" si="7"/>
        <v/>
      </c>
      <c r="ES600" s="19"/>
      <c r="ET600" s="19" t="str">
        <f t="shared" si="8"/>
        <v/>
      </c>
      <c r="EU600" s="19"/>
      <c r="EV600" s="19"/>
      <c r="EW600" s="19"/>
      <c r="EX600" s="19"/>
      <c r="EY600" s="19"/>
      <c r="EZ600" s="19"/>
      <c r="FA600" s="19"/>
      <c r="FB600" s="19"/>
    </row>
    <row r="601" ht="15.75" customHeight="1">
      <c r="A601" s="19"/>
      <c r="F601" s="19"/>
      <c r="AH601" s="23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  <c r="EE601" s="19"/>
      <c r="EF601" s="19"/>
      <c r="EG601" s="19"/>
      <c r="EH601" s="19"/>
      <c r="EI601" s="19"/>
      <c r="EJ601" s="19"/>
      <c r="EK601" s="19"/>
      <c r="EL601" s="19"/>
      <c r="EM601" s="19"/>
      <c r="EN601" s="19"/>
      <c r="EO601" s="19"/>
      <c r="EP601" s="17"/>
      <c r="EQ601" s="23"/>
      <c r="ER601" s="23" t="str">
        <f t="shared" si="7"/>
        <v/>
      </c>
      <c r="ES601" s="19"/>
      <c r="ET601" s="19" t="str">
        <f t="shared" si="8"/>
        <v/>
      </c>
      <c r="EU601" s="19"/>
      <c r="EV601" s="19"/>
      <c r="EW601" s="19"/>
      <c r="EX601" s="19"/>
      <c r="EY601" s="19"/>
      <c r="EZ601" s="19"/>
      <c r="FA601" s="19"/>
      <c r="FB601" s="19"/>
    </row>
    <row r="602" ht="15.75" customHeight="1">
      <c r="A602" s="19"/>
      <c r="F602" s="19"/>
      <c r="AH602" s="23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  <c r="CD602" s="19"/>
      <c r="CE602" s="19"/>
      <c r="CF602" s="19"/>
      <c r="CG602" s="19"/>
      <c r="CH602" s="19"/>
      <c r="CI602" s="19"/>
      <c r="CJ602" s="19"/>
      <c r="CK602" s="19"/>
      <c r="CL602" s="19"/>
      <c r="CM602" s="19"/>
      <c r="CN602" s="19"/>
      <c r="CO602" s="19"/>
      <c r="CP602" s="19"/>
      <c r="CQ602" s="19"/>
      <c r="CR602" s="19"/>
      <c r="CS602" s="19"/>
      <c r="CT602" s="19"/>
      <c r="CU602" s="19"/>
      <c r="CV602" s="19"/>
      <c r="CW602" s="19"/>
      <c r="CX602" s="19"/>
      <c r="CY602" s="19"/>
      <c r="CZ602" s="19"/>
      <c r="DA602" s="19"/>
      <c r="DB602" s="19"/>
      <c r="DC602" s="19"/>
      <c r="DD602" s="19"/>
      <c r="DE602" s="19"/>
      <c r="DF602" s="19"/>
      <c r="DG602" s="19"/>
      <c r="DH602" s="19"/>
      <c r="DI602" s="19"/>
      <c r="DJ602" s="19"/>
      <c r="DK602" s="19"/>
      <c r="DL602" s="19"/>
      <c r="DM602" s="19"/>
      <c r="DN602" s="19"/>
      <c r="DO602" s="19"/>
      <c r="DP602" s="19"/>
      <c r="DQ602" s="19"/>
      <c r="DR602" s="19"/>
      <c r="DS602" s="19"/>
      <c r="DT602" s="19"/>
      <c r="DU602" s="19"/>
      <c r="DV602" s="19"/>
      <c r="DW602" s="19"/>
      <c r="DX602" s="19"/>
      <c r="DY602" s="19"/>
      <c r="DZ602" s="19"/>
      <c r="EA602" s="19"/>
      <c r="EB602" s="19"/>
      <c r="EC602" s="19"/>
      <c r="ED602" s="19"/>
      <c r="EE602" s="19"/>
      <c r="EF602" s="19"/>
      <c r="EG602" s="19"/>
      <c r="EH602" s="19"/>
      <c r="EI602" s="19"/>
      <c r="EJ602" s="19"/>
      <c r="EK602" s="19"/>
      <c r="EL602" s="19"/>
      <c r="EM602" s="19"/>
      <c r="EN602" s="19"/>
      <c r="EO602" s="19"/>
      <c r="EP602" s="17"/>
      <c r="EQ602" s="23"/>
      <c r="ER602" s="23" t="str">
        <f t="shared" si="7"/>
        <v/>
      </c>
      <c r="ES602" s="19"/>
      <c r="ET602" s="19" t="str">
        <f t="shared" si="8"/>
        <v/>
      </c>
      <c r="EU602" s="19"/>
      <c r="EV602" s="19"/>
      <c r="EW602" s="19"/>
      <c r="EX602" s="19"/>
      <c r="EY602" s="19"/>
      <c r="EZ602" s="19"/>
      <c r="FA602" s="19"/>
      <c r="FB602" s="19"/>
    </row>
    <row r="603" ht="15.75" customHeight="1">
      <c r="A603" s="19"/>
      <c r="F603" s="19"/>
      <c r="AH603" s="23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  <c r="CD603" s="19"/>
      <c r="CE603" s="19"/>
      <c r="CF603" s="19"/>
      <c r="CG603" s="19"/>
      <c r="CH603" s="19"/>
      <c r="CI603" s="19"/>
      <c r="CJ603" s="19"/>
      <c r="CK603" s="19"/>
      <c r="CL603" s="19"/>
      <c r="CM603" s="19"/>
      <c r="CN603" s="19"/>
      <c r="CO603" s="19"/>
      <c r="CP603" s="19"/>
      <c r="CQ603" s="19"/>
      <c r="CR603" s="19"/>
      <c r="CS603" s="19"/>
      <c r="CT603" s="19"/>
      <c r="CU603" s="19"/>
      <c r="CV603" s="19"/>
      <c r="CW603" s="19"/>
      <c r="CX603" s="19"/>
      <c r="CY603" s="19"/>
      <c r="CZ603" s="19"/>
      <c r="DA603" s="19"/>
      <c r="DB603" s="19"/>
      <c r="DC603" s="19"/>
      <c r="DD603" s="19"/>
      <c r="DE603" s="19"/>
      <c r="DF603" s="19"/>
      <c r="DG603" s="19"/>
      <c r="DH603" s="19"/>
      <c r="DI603" s="19"/>
      <c r="DJ603" s="19"/>
      <c r="DK603" s="19"/>
      <c r="DL603" s="19"/>
      <c r="DM603" s="19"/>
      <c r="DN603" s="19"/>
      <c r="DO603" s="19"/>
      <c r="DP603" s="19"/>
      <c r="DQ603" s="19"/>
      <c r="DR603" s="19"/>
      <c r="DS603" s="19"/>
      <c r="DT603" s="19"/>
      <c r="DU603" s="19"/>
      <c r="DV603" s="19"/>
      <c r="DW603" s="19"/>
      <c r="DX603" s="19"/>
      <c r="DY603" s="19"/>
      <c r="DZ603" s="19"/>
      <c r="EA603" s="19"/>
      <c r="EB603" s="19"/>
      <c r="EC603" s="19"/>
      <c r="ED603" s="19"/>
      <c r="EE603" s="19"/>
      <c r="EF603" s="19"/>
      <c r="EG603" s="19"/>
      <c r="EH603" s="19"/>
      <c r="EI603" s="19"/>
      <c r="EJ603" s="19"/>
      <c r="EK603" s="19"/>
      <c r="EL603" s="19"/>
      <c r="EM603" s="19"/>
      <c r="EN603" s="19"/>
      <c r="EO603" s="19"/>
      <c r="EP603" s="17"/>
      <c r="EQ603" s="23"/>
      <c r="ER603" s="23" t="str">
        <f t="shared" si="7"/>
        <v/>
      </c>
      <c r="ES603" s="19"/>
      <c r="ET603" s="19" t="str">
        <f t="shared" si="8"/>
        <v/>
      </c>
      <c r="EU603" s="19"/>
      <c r="EV603" s="19"/>
      <c r="EW603" s="19"/>
      <c r="EX603" s="19"/>
      <c r="EY603" s="19"/>
      <c r="EZ603" s="19"/>
      <c r="FA603" s="19"/>
      <c r="FB603" s="19"/>
    </row>
    <row r="604" ht="15.75" customHeight="1">
      <c r="A604" s="19"/>
      <c r="F604" s="19"/>
      <c r="AH604" s="23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  <c r="CD604" s="19"/>
      <c r="CE604" s="19"/>
      <c r="CF604" s="19"/>
      <c r="CG604" s="19"/>
      <c r="CH604" s="19"/>
      <c r="CI604" s="19"/>
      <c r="CJ604" s="19"/>
      <c r="CK604" s="19"/>
      <c r="CL604" s="19"/>
      <c r="CM604" s="19"/>
      <c r="CN604" s="19"/>
      <c r="CO604" s="19"/>
      <c r="CP604" s="19"/>
      <c r="CQ604" s="19"/>
      <c r="CR604" s="19"/>
      <c r="CS604" s="19"/>
      <c r="CT604" s="19"/>
      <c r="CU604" s="19"/>
      <c r="CV604" s="19"/>
      <c r="CW604" s="19"/>
      <c r="CX604" s="19"/>
      <c r="CY604" s="19"/>
      <c r="CZ604" s="19"/>
      <c r="DA604" s="19"/>
      <c r="DB604" s="19"/>
      <c r="DC604" s="19"/>
      <c r="DD604" s="19"/>
      <c r="DE604" s="19"/>
      <c r="DF604" s="19"/>
      <c r="DG604" s="19"/>
      <c r="DH604" s="19"/>
      <c r="DI604" s="19"/>
      <c r="DJ604" s="19"/>
      <c r="DK604" s="19"/>
      <c r="DL604" s="19"/>
      <c r="DM604" s="19"/>
      <c r="DN604" s="19"/>
      <c r="DO604" s="19"/>
      <c r="DP604" s="19"/>
      <c r="DQ604" s="19"/>
      <c r="DR604" s="19"/>
      <c r="DS604" s="19"/>
      <c r="DT604" s="19"/>
      <c r="DU604" s="19"/>
      <c r="DV604" s="19"/>
      <c r="DW604" s="19"/>
      <c r="DX604" s="19"/>
      <c r="DY604" s="19"/>
      <c r="DZ604" s="19"/>
      <c r="EA604" s="19"/>
      <c r="EB604" s="19"/>
      <c r="EC604" s="19"/>
      <c r="ED604" s="19"/>
      <c r="EE604" s="19"/>
      <c r="EF604" s="19"/>
      <c r="EG604" s="19"/>
      <c r="EH604" s="19"/>
      <c r="EI604" s="19"/>
      <c r="EJ604" s="19"/>
      <c r="EK604" s="19"/>
      <c r="EL604" s="19"/>
      <c r="EM604" s="19"/>
      <c r="EN604" s="19"/>
      <c r="EO604" s="19"/>
      <c r="EP604" s="17"/>
      <c r="EQ604" s="23"/>
      <c r="ER604" s="23" t="str">
        <f t="shared" si="7"/>
        <v/>
      </c>
      <c r="ES604" s="19"/>
      <c r="ET604" s="19" t="str">
        <f t="shared" si="8"/>
        <v/>
      </c>
      <c r="EU604" s="19"/>
      <c r="EV604" s="19"/>
      <c r="EW604" s="19"/>
      <c r="EX604" s="19"/>
      <c r="EY604" s="19"/>
      <c r="EZ604" s="19"/>
      <c r="FA604" s="19"/>
      <c r="FB604" s="19"/>
    </row>
    <row r="605" ht="15.75" customHeight="1">
      <c r="A605" s="19"/>
      <c r="F605" s="19"/>
      <c r="AH605" s="23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  <c r="CD605" s="19"/>
      <c r="CE605" s="19"/>
      <c r="CF605" s="19"/>
      <c r="CG605" s="19"/>
      <c r="CH605" s="19"/>
      <c r="CI605" s="19"/>
      <c r="CJ605" s="19"/>
      <c r="CK605" s="19"/>
      <c r="CL605" s="19"/>
      <c r="CM605" s="19"/>
      <c r="CN605" s="19"/>
      <c r="CO605" s="19"/>
      <c r="CP605" s="19"/>
      <c r="CQ605" s="19"/>
      <c r="CR605" s="19"/>
      <c r="CS605" s="19"/>
      <c r="CT605" s="19"/>
      <c r="CU605" s="19"/>
      <c r="CV605" s="19"/>
      <c r="CW605" s="19"/>
      <c r="CX605" s="19"/>
      <c r="CY605" s="19"/>
      <c r="CZ605" s="19"/>
      <c r="DA605" s="19"/>
      <c r="DB605" s="19"/>
      <c r="DC605" s="19"/>
      <c r="DD605" s="19"/>
      <c r="DE605" s="19"/>
      <c r="DF605" s="19"/>
      <c r="DG605" s="19"/>
      <c r="DH605" s="19"/>
      <c r="DI605" s="19"/>
      <c r="DJ605" s="19"/>
      <c r="DK605" s="19"/>
      <c r="DL605" s="19"/>
      <c r="DM605" s="19"/>
      <c r="DN605" s="19"/>
      <c r="DO605" s="19"/>
      <c r="DP605" s="19"/>
      <c r="DQ605" s="19"/>
      <c r="DR605" s="19"/>
      <c r="DS605" s="19"/>
      <c r="DT605" s="19"/>
      <c r="DU605" s="19"/>
      <c r="DV605" s="19"/>
      <c r="DW605" s="19"/>
      <c r="DX605" s="19"/>
      <c r="DY605" s="19"/>
      <c r="DZ605" s="19"/>
      <c r="EA605" s="19"/>
      <c r="EB605" s="19"/>
      <c r="EC605" s="19"/>
      <c r="ED605" s="19"/>
      <c r="EE605" s="19"/>
      <c r="EF605" s="19"/>
      <c r="EG605" s="19"/>
      <c r="EH605" s="19"/>
      <c r="EI605" s="19"/>
      <c r="EJ605" s="19"/>
      <c r="EK605" s="19"/>
      <c r="EL605" s="19"/>
      <c r="EM605" s="19"/>
      <c r="EN605" s="19"/>
      <c r="EO605" s="19"/>
      <c r="EP605" s="17"/>
      <c r="EQ605" s="23"/>
      <c r="ER605" s="23" t="str">
        <f t="shared" si="7"/>
        <v/>
      </c>
      <c r="ES605" s="19"/>
      <c r="ET605" s="19" t="str">
        <f t="shared" si="8"/>
        <v/>
      </c>
      <c r="EU605" s="19"/>
      <c r="EV605" s="19"/>
      <c r="EW605" s="19"/>
      <c r="EX605" s="19"/>
      <c r="EY605" s="19"/>
      <c r="EZ605" s="19"/>
      <c r="FA605" s="19"/>
      <c r="FB605" s="19"/>
    </row>
    <row r="606" ht="15.75" customHeight="1">
      <c r="A606" s="19"/>
      <c r="F606" s="19"/>
      <c r="AH606" s="23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  <c r="CD606" s="19"/>
      <c r="CE606" s="19"/>
      <c r="CF606" s="19"/>
      <c r="CG606" s="19"/>
      <c r="CH606" s="19"/>
      <c r="CI606" s="19"/>
      <c r="CJ606" s="19"/>
      <c r="CK606" s="19"/>
      <c r="CL606" s="19"/>
      <c r="CM606" s="19"/>
      <c r="CN606" s="19"/>
      <c r="CO606" s="19"/>
      <c r="CP606" s="19"/>
      <c r="CQ606" s="19"/>
      <c r="CR606" s="19"/>
      <c r="CS606" s="19"/>
      <c r="CT606" s="19"/>
      <c r="CU606" s="19"/>
      <c r="CV606" s="19"/>
      <c r="CW606" s="19"/>
      <c r="CX606" s="19"/>
      <c r="CY606" s="19"/>
      <c r="CZ606" s="19"/>
      <c r="DA606" s="19"/>
      <c r="DB606" s="19"/>
      <c r="DC606" s="19"/>
      <c r="DD606" s="19"/>
      <c r="DE606" s="19"/>
      <c r="DF606" s="19"/>
      <c r="DG606" s="19"/>
      <c r="DH606" s="19"/>
      <c r="DI606" s="19"/>
      <c r="DJ606" s="19"/>
      <c r="DK606" s="19"/>
      <c r="DL606" s="19"/>
      <c r="DM606" s="19"/>
      <c r="DN606" s="19"/>
      <c r="DO606" s="19"/>
      <c r="DP606" s="19"/>
      <c r="DQ606" s="19"/>
      <c r="DR606" s="19"/>
      <c r="DS606" s="19"/>
      <c r="DT606" s="19"/>
      <c r="DU606" s="19"/>
      <c r="DV606" s="19"/>
      <c r="DW606" s="19"/>
      <c r="DX606" s="19"/>
      <c r="DY606" s="19"/>
      <c r="DZ606" s="19"/>
      <c r="EA606" s="19"/>
      <c r="EB606" s="19"/>
      <c r="EC606" s="19"/>
      <c r="ED606" s="19"/>
      <c r="EE606" s="19"/>
      <c r="EF606" s="19"/>
      <c r="EG606" s="19"/>
      <c r="EH606" s="19"/>
      <c r="EI606" s="19"/>
      <c r="EJ606" s="19"/>
      <c r="EK606" s="19"/>
      <c r="EL606" s="19"/>
      <c r="EM606" s="19"/>
      <c r="EN606" s="19"/>
      <c r="EO606" s="19"/>
      <c r="EP606" s="17"/>
      <c r="EQ606" s="23"/>
      <c r="ER606" s="23" t="str">
        <f t="shared" si="7"/>
        <v/>
      </c>
      <c r="ES606" s="19"/>
      <c r="ET606" s="19" t="str">
        <f t="shared" si="8"/>
        <v/>
      </c>
      <c r="EU606" s="19"/>
      <c r="EV606" s="19"/>
      <c r="EW606" s="19"/>
      <c r="EX606" s="19"/>
      <c r="EY606" s="19"/>
      <c r="EZ606" s="19"/>
      <c r="FA606" s="19"/>
      <c r="FB606" s="19"/>
    </row>
    <row r="607" ht="15.75" customHeight="1">
      <c r="A607" s="19"/>
      <c r="B607" s="4" t="s">
        <v>475</v>
      </c>
      <c r="D607" s="78">
        <v>46113.0</v>
      </c>
      <c r="E607" s="4" t="s">
        <v>1023</v>
      </c>
      <c r="F607" s="19"/>
      <c r="AH607" s="85">
        <v>1220000.0</v>
      </c>
      <c r="AL607" s="19"/>
      <c r="AM607" s="19"/>
      <c r="AN607" s="19"/>
      <c r="AO607" s="19"/>
      <c r="AP607" s="19"/>
      <c r="AQ607" s="85">
        <v>582238.0</v>
      </c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  <c r="BD607" s="19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  <c r="BP607" s="19"/>
      <c r="BQ607" s="19"/>
      <c r="BR607" s="19"/>
      <c r="BS607" s="19"/>
      <c r="BT607" s="19"/>
      <c r="BU607" s="19"/>
      <c r="BV607" s="19"/>
      <c r="BW607" s="19"/>
      <c r="BX607" s="19"/>
      <c r="BY607" s="19"/>
      <c r="BZ607" s="19"/>
      <c r="CA607" s="19"/>
      <c r="CB607" s="19"/>
      <c r="CC607" s="19"/>
      <c r="CD607" s="19"/>
      <c r="CE607" s="19"/>
      <c r="CF607" s="19"/>
      <c r="CG607" s="19"/>
      <c r="CH607" s="19"/>
      <c r="CI607" s="19"/>
      <c r="CJ607" s="19"/>
      <c r="CK607" s="19"/>
      <c r="CL607" s="19"/>
      <c r="CM607" s="19"/>
      <c r="CN607" s="19"/>
      <c r="CO607" s="19"/>
      <c r="CP607" s="19"/>
      <c r="CQ607" s="19"/>
      <c r="CR607" s="19"/>
      <c r="CS607" s="19"/>
      <c r="CT607" s="19"/>
      <c r="CU607" s="19"/>
      <c r="CV607" s="19"/>
      <c r="CW607" s="19"/>
      <c r="CX607" s="19"/>
      <c r="CY607" s="19"/>
      <c r="CZ607" s="19"/>
      <c r="DA607" s="19"/>
      <c r="DB607" s="19"/>
      <c r="DC607" s="19"/>
      <c r="DD607" s="19"/>
      <c r="DE607" s="19"/>
      <c r="DF607" s="19"/>
      <c r="DG607" s="19"/>
      <c r="DH607" s="19"/>
      <c r="DI607" s="19"/>
      <c r="DJ607" s="19"/>
      <c r="DK607" s="19"/>
      <c r="DL607" s="19"/>
      <c r="DM607" s="19"/>
      <c r="DN607" s="19"/>
      <c r="DO607" s="19"/>
      <c r="DP607" s="19"/>
      <c r="DQ607" s="19"/>
      <c r="DR607" s="19"/>
      <c r="DS607" s="19"/>
      <c r="DT607" s="19"/>
      <c r="DU607" s="19"/>
      <c r="DV607" s="19"/>
      <c r="DW607" s="19"/>
      <c r="DX607" s="19"/>
      <c r="DY607" s="19"/>
      <c r="DZ607" s="19"/>
      <c r="EA607" s="19"/>
      <c r="EB607" s="19"/>
      <c r="EC607" s="19"/>
      <c r="ED607" s="19"/>
      <c r="EE607" s="19"/>
      <c r="EF607" s="19"/>
      <c r="EG607" s="19"/>
      <c r="EH607" s="19"/>
      <c r="EI607" s="19"/>
      <c r="EJ607" s="19"/>
      <c r="EK607" s="19"/>
      <c r="EL607" s="19"/>
      <c r="EM607" s="19"/>
      <c r="EN607" s="4" t="s">
        <v>79</v>
      </c>
      <c r="EO607" s="19"/>
      <c r="EP607" s="17"/>
      <c r="EQ607" s="23"/>
      <c r="ER607" s="23"/>
      <c r="ES607" s="19"/>
      <c r="ET607" s="19"/>
      <c r="EU607" s="19"/>
      <c r="EV607" s="19"/>
      <c r="EW607" s="19"/>
      <c r="EX607" s="19"/>
      <c r="EY607" s="19"/>
      <c r="EZ607" s="19"/>
      <c r="FA607" s="19"/>
      <c r="FB607" s="19"/>
    </row>
    <row r="608" ht="15.75" customHeight="1">
      <c r="A608" s="19"/>
      <c r="B608" s="4" t="s">
        <v>515</v>
      </c>
      <c r="D608" s="78">
        <v>46113.0</v>
      </c>
      <c r="E608" s="4" t="s">
        <v>1423</v>
      </c>
      <c r="F608" s="19"/>
      <c r="AH608" s="85">
        <v>67375.0</v>
      </c>
      <c r="AL608" s="19"/>
      <c r="AM608" s="19"/>
      <c r="AN608" s="19"/>
      <c r="AO608" s="19"/>
      <c r="AP608" s="19"/>
      <c r="AQ608" s="85">
        <v>61250.0</v>
      </c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  <c r="BD608" s="19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  <c r="BP608" s="19"/>
      <c r="BQ608" s="19"/>
      <c r="BR608" s="19"/>
      <c r="BS608" s="19"/>
      <c r="BT608" s="19"/>
      <c r="BU608" s="19"/>
      <c r="BV608" s="19"/>
      <c r="BW608" s="19"/>
      <c r="BX608" s="19"/>
      <c r="BY608" s="19"/>
      <c r="BZ608" s="19"/>
      <c r="CA608" s="19"/>
      <c r="CB608" s="19"/>
      <c r="CC608" s="19"/>
      <c r="CD608" s="19"/>
      <c r="CE608" s="19"/>
      <c r="CF608" s="19"/>
      <c r="CG608" s="19"/>
      <c r="CH608" s="19"/>
      <c r="CI608" s="19"/>
      <c r="CJ608" s="19"/>
      <c r="CK608" s="19"/>
      <c r="CL608" s="19"/>
      <c r="CM608" s="19"/>
      <c r="CN608" s="19"/>
      <c r="CO608" s="19"/>
      <c r="CP608" s="19"/>
      <c r="CQ608" s="19"/>
      <c r="CR608" s="19"/>
      <c r="CS608" s="19"/>
      <c r="CT608" s="19"/>
      <c r="CU608" s="19"/>
      <c r="CV608" s="19"/>
      <c r="CW608" s="19"/>
      <c r="CX608" s="19"/>
      <c r="CY608" s="19"/>
      <c r="CZ608" s="19"/>
      <c r="DA608" s="19"/>
      <c r="DB608" s="19"/>
      <c r="DC608" s="19"/>
      <c r="DD608" s="19"/>
      <c r="DE608" s="19"/>
      <c r="DF608" s="19"/>
      <c r="DG608" s="19"/>
      <c r="DH608" s="19"/>
      <c r="DI608" s="19"/>
      <c r="DJ608" s="19"/>
      <c r="DK608" s="19"/>
      <c r="DL608" s="19"/>
      <c r="DM608" s="19"/>
      <c r="DN608" s="19"/>
      <c r="DO608" s="19"/>
      <c r="DP608" s="19"/>
      <c r="DQ608" s="19"/>
      <c r="DR608" s="19"/>
      <c r="DS608" s="19"/>
      <c r="DT608" s="19"/>
      <c r="DU608" s="19"/>
      <c r="DV608" s="19"/>
      <c r="DW608" s="19"/>
      <c r="DX608" s="19"/>
      <c r="DY608" s="19"/>
      <c r="DZ608" s="19"/>
      <c r="EA608" s="19"/>
      <c r="EB608" s="19"/>
      <c r="EC608" s="19"/>
      <c r="ED608" s="19"/>
      <c r="EE608" s="19"/>
      <c r="EF608" s="19"/>
      <c r="EG608" s="19"/>
      <c r="EH608" s="19"/>
      <c r="EI608" s="19"/>
      <c r="EJ608" s="19"/>
      <c r="EK608" s="19"/>
      <c r="EL608" s="19"/>
      <c r="EM608" s="19"/>
      <c r="EN608" s="4" t="s">
        <v>79</v>
      </c>
      <c r="EO608" s="19"/>
      <c r="EP608" s="17"/>
      <c r="EQ608" s="23"/>
      <c r="ER608" s="23"/>
      <c r="ES608" s="19"/>
      <c r="ET608" s="19"/>
      <c r="EU608" s="19"/>
      <c r="EV608" s="19"/>
      <c r="EW608" s="19"/>
      <c r="EX608" s="19"/>
      <c r="EY608" s="19"/>
      <c r="EZ608" s="19"/>
      <c r="FA608" s="19"/>
      <c r="FB608" s="19"/>
    </row>
    <row r="609" ht="15.75" customHeight="1">
      <c r="A609" s="19"/>
      <c r="B609" s="4" t="s">
        <v>515</v>
      </c>
      <c r="D609" s="78">
        <v>46128.0</v>
      </c>
      <c r="E609" s="4" t="s">
        <v>592</v>
      </c>
      <c r="F609" s="19"/>
      <c r="AH609" s="85">
        <v>97152.0</v>
      </c>
      <c r="AL609" s="19"/>
      <c r="AM609" s="19"/>
      <c r="AN609" s="19"/>
      <c r="AO609" s="19"/>
      <c r="AP609" s="19"/>
      <c r="AQ609" s="85">
        <v>83448.0</v>
      </c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  <c r="BD609" s="19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  <c r="BP609" s="19"/>
      <c r="BQ609" s="19"/>
      <c r="BR609" s="19"/>
      <c r="BS609" s="19"/>
      <c r="BT609" s="19"/>
      <c r="BU609" s="19"/>
      <c r="BV609" s="19"/>
      <c r="BW609" s="19"/>
      <c r="BX609" s="19"/>
      <c r="BY609" s="19"/>
      <c r="BZ609" s="19"/>
      <c r="CA609" s="19"/>
      <c r="CB609" s="19"/>
      <c r="CC609" s="19"/>
      <c r="CD609" s="19"/>
      <c r="CE609" s="19"/>
      <c r="CF609" s="19"/>
      <c r="CG609" s="19"/>
      <c r="CH609" s="19"/>
      <c r="CI609" s="19"/>
      <c r="CJ609" s="19"/>
      <c r="CK609" s="19"/>
      <c r="CL609" s="19"/>
      <c r="CM609" s="19"/>
      <c r="CN609" s="19"/>
      <c r="CO609" s="19"/>
      <c r="CP609" s="19"/>
      <c r="CQ609" s="19"/>
      <c r="CR609" s="19"/>
      <c r="CS609" s="19"/>
      <c r="CT609" s="19"/>
      <c r="CU609" s="19"/>
      <c r="CV609" s="19"/>
      <c r="CW609" s="19"/>
      <c r="CX609" s="19"/>
      <c r="CY609" s="19"/>
      <c r="CZ609" s="19"/>
      <c r="DA609" s="19"/>
      <c r="DB609" s="19"/>
      <c r="DC609" s="19"/>
      <c r="DD609" s="19"/>
      <c r="DE609" s="19"/>
      <c r="DF609" s="19"/>
      <c r="DG609" s="19"/>
      <c r="DH609" s="19"/>
      <c r="DI609" s="19"/>
      <c r="DJ609" s="19"/>
      <c r="DK609" s="19"/>
      <c r="DL609" s="19"/>
      <c r="DM609" s="19"/>
      <c r="DN609" s="19"/>
      <c r="DO609" s="19"/>
      <c r="DP609" s="19"/>
      <c r="DQ609" s="19"/>
      <c r="DR609" s="19"/>
      <c r="DS609" s="19"/>
      <c r="DT609" s="19"/>
      <c r="DU609" s="19"/>
      <c r="DV609" s="19"/>
      <c r="DW609" s="19"/>
      <c r="DX609" s="19"/>
      <c r="DY609" s="19"/>
      <c r="DZ609" s="19"/>
      <c r="EA609" s="19"/>
      <c r="EB609" s="19"/>
      <c r="EC609" s="19"/>
      <c r="ED609" s="19"/>
      <c r="EE609" s="19"/>
      <c r="EF609" s="19"/>
      <c r="EG609" s="19"/>
      <c r="EH609" s="19"/>
      <c r="EI609" s="19"/>
      <c r="EJ609" s="19"/>
      <c r="EK609" s="19"/>
      <c r="EL609" s="19"/>
      <c r="EM609" s="19"/>
      <c r="EN609" s="4" t="s">
        <v>79</v>
      </c>
      <c r="EO609" s="19"/>
      <c r="EP609" s="17"/>
      <c r="EQ609" s="23"/>
      <c r="ER609" s="23"/>
      <c r="ES609" s="19"/>
      <c r="ET609" s="19"/>
      <c r="EU609" s="19"/>
      <c r="EV609" s="19"/>
      <c r="EW609" s="19"/>
      <c r="EX609" s="19"/>
      <c r="EY609" s="19"/>
      <c r="EZ609" s="19"/>
      <c r="FA609" s="19"/>
      <c r="FB609" s="19"/>
    </row>
    <row r="610" ht="15.75" customHeight="1">
      <c r="A610" s="19"/>
      <c r="B610" s="4" t="s">
        <v>1424</v>
      </c>
      <c r="D610" s="78">
        <v>46113.0</v>
      </c>
      <c r="E610" s="4" t="s">
        <v>970</v>
      </c>
      <c r="F610" s="19"/>
      <c r="AH610" s="85">
        <v>77682.0</v>
      </c>
      <c r="AL610" s="19"/>
      <c r="AM610" s="19"/>
      <c r="AN610" s="19"/>
      <c r="AO610" s="19"/>
      <c r="AP610" s="19"/>
      <c r="AQ610" s="85">
        <v>39490.0</v>
      </c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  <c r="BD610" s="19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  <c r="BP610" s="19"/>
      <c r="BQ610" s="19"/>
      <c r="BR610" s="19"/>
      <c r="BS610" s="19"/>
      <c r="BT610" s="19"/>
      <c r="BU610" s="19"/>
      <c r="BV610" s="19"/>
      <c r="BW610" s="19"/>
      <c r="BX610" s="19"/>
      <c r="BY610" s="19"/>
      <c r="BZ610" s="19"/>
      <c r="CA610" s="19"/>
      <c r="CB610" s="19"/>
      <c r="CC610" s="19"/>
      <c r="CD610" s="19"/>
      <c r="CE610" s="19"/>
      <c r="CF610" s="19"/>
      <c r="CG610" s="19"/>
      <c r="CH610" s="19"/>
      <c r="CI610" s="19"/>
      <c r="CJ610" s="19"/>
      <c r="CK610" s="19"/>
      <c r="CL610" s="19"/>
      <c r="CM610" s="19"/>
      <c r="CN610" s="19"/>
      <c r="CO610" s="19"/>
      <c r="CP610" s="19"/>
      <c r="CQ610" s="19"/>
      <c r="CR610" s="19"/>
      <c r="CS610" s="19"/>
      <c r="CT610" s="19"/>
      <c r="CU610" s="19"/>
      <c r="CV610" s="19"/>
      <c r="CW610" s="19"/>
      <c r="CX610" s="19"/>
      <c r="CY610" s="19"/>
      <c r="CZ610" s="19"/>
      <c r="DA610" s="19"/>
      <c r="DB610" s="19"/>
      <c r="DC610" s="19"/>
      <c r="DD610" s="19"/>
      <c r="DE610" s="19"/>
      <c r="DF610" s="19"/>
      <c r="DG610" s="19"/>
      <c r="DH610" s="19"/>
      <c r="DI610" s="19"/>
      <c r="DJ610" s="19"/>
      <c r="DK610" s="19"/>
      <c r="DL610" s="19"/>
      <c r="DM610" s="19"/>
      <c r="DN610" s="19"/>
      <c r="DO610" s="19"/>
      <c r="DP610" s="19"/>
      <c r="DQ610" s="19"/>
      <c r="DR610" s="19"/>
      <c r="DS610" s="19"/>
      <c r="DT610" s="19"/>
      <c r="DU610" s="19"/>
      <c r="DV610" s="19"/>
      <c r="DW610" s="19"/>
      <c r="DX610" s="19"/>
      <c r="DY610" s="19"/>
      <c r="DZ610" s="19"/>
      <c r="EA610" s="19"/>
      <c r="EB610" s="19"/>
      <c r="EC610" s="19"/>
      <c r="ED610" s="19"/>
      <c r="EE610" s="19"/>
      <c r="EF610" s="19"/>
      <c r="EG610" s="19"/>
      <c r="EH610" s="19"/>
      <c r="EI610" s="19"/>
      <c r="EJ610" s="19"/>
      <c r="EK610" s="19"/>
      <c r="EL610" s="19"/>
      <c r="EM610" s="19"/>
      <c r="EN610" s="4" t="s">
        <v>79</v>
      </c>
      <c r="EO610" s="19"/>
      <c r="EP610" s="17"/>
      <c r="EQ610" s="23"/>
      <c r="ER610" s="23"/>
      <c r="ES610" s="19"/>
      <c r="ET610" s="19"/>
      <c r="EU610" s="19"/>
      <c r="EV610" s="19"/>
      <c r="EW610" s="19"/>
      <c r="EX610" s="19"/>
      <c r="EY610" s="19"/>
      <c r="EZ610" s="19"/>
      <c r="FA610" s="19"/>
      <c r="FB610" s="19"/>
    </row>
    <row r="611" ht="15.75" customHeight="1">
      <c r="A611" s="19"/>
      <c r="B611" s="4" t="s">
        <v>475</v>
      </c>
      <c r="D611" s="78">
        <v>46130.0</v>
      </c>
      <c r="E611" s="4" t="s">
        <v>1245</v>
      </c>
      <c r="F611" s="19"/>
      <c r="AH611" s="85">
        <v>84480.0</v>
      </c>
      <c r="AL611" s="19"/>
      <c r="AM611" s="19"/>
      <c r="AN611" s="19"/>
      <c r="AO611" s="19"/>
      <c r="AP611" s="19"/>
      <c r="AQ611" s="85">
        <v>16800.0</v>
      </c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  <c r="BD611" s="19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  <c r="BP611" s="19"/>
      <c r="BQ611" s="19"/>
      <c r="BR611" s="19"/>
      <c r="BS611" s="19"/>
      <c r="BT611" s="19"/>
      <c r="BU611" s="19"/>
      <c r="BV611" s="19"/>
      <c r="BW611" s="19"/>
      <c r="BX611" s="19"/>
      <c r="BY611" s="19"/>
      <c r="BZ611" s="19"/>
      <c r="CA611" s="19"/>
      <c r="CB611" s="19"/>
      <c r="CC611" s="19"/>
      <c r="CD611" s="19"/>
      <c r="CE611" s="19"/>
      <c r="CF611" s="19"/>
      <c r="CG611" s="19"/>
      <c r="CH611" s="19"/>
      <c r="CI611" s="19"/>
      <c r="CJ611" s="19"/>
      <c r="CK611" s="19"/>
      <c r="CL611" s="19"/>
      <c r="CM611" s="19"/>
      <c r="CN611" s="19"/>
      <c r="CO611" s="19"/>
      <c r="CP611" s="19"/>
      <c r="CQ611" s="19"/>
      <c r="CR611" s="19"/>
      <c r="CS611" s="19"/>
      <c r="CT611" s="19"/>
      <c r="CU611" s="19"/>
      <c r="CV611" s="19"/>
      <c r="CW611" s="19"/>
      <c r="CX611" s="19"/>
      <c r="CY611" s="19"/>
      <c r="CZ611" s="19"/>
      <c r="DA611" s="19"/>
      <c r="DB611" s="19"/>
      <c r="DC611" s="19"/>
      <c r="DD611" s="19"/>
      <c r="DE611" s="19"/>
      <c r="DF611" s="19"/>
      <c r="DG611" s="19"/>
      <c r="DH611" s="19"/>
      <c r="DI611" s="19"/>
      <c r="DJ611" s="19"/>
      <c r="DK611" s="19"/>
      <c r="DL611" s="19"/>
      <c r="DM611" s="19"/>
      <c r="DN611" s="19"/>
      <c r="DO611" s="19"/>
      <c r="DP611" s="19"/>
      <c r="DQ611" s="19"/>
      <c r="DR611" s="19"/>
      <c r="DS611" s="19"/>
      <c r="DT611" s="19"/>
      <c r="DU611" s="19"/>
      <c r="DV611" s="19"/>
      <c r="DW611" s="19"/>
      <c r="DX611" s="19"/>
      <c r="DY611" s="19"/>
      <c r="DZ611" s="19"/>
      <c r="EA611" s="19"/>
      <c r="EB611" s="19"/>
      <c r="EC611" s="19"/>
      <c r="ED611" s="19"/>
      <c r="EE611" s="19"/>
      <c r="EF611" s="19"/>
      <c r="EG611" s="19"/>
      <c r="EH611" s="19"/>
      <c r="EI611" s="19"/>
      <c r="EJ611" s="19"/>
      <c r="EK611" s="19"/>
      <c r="EL611" s="19"/>
      <c r="EM611" s="19"/>
      <c r="EN611" s="4" t="s">
        <v>79</v>
      </c>
      <c r="EO611" s="19"/>
      <c r="EP611" s="17"/>
      <c r="EQ611" s="23"/>
      <c r="ER611" s="23"/>
      <c r="ES611" s="19"/>
      <c r="ET611" s="19"/>
      <c r="EU611" s="19"/>
      <c r="EV611" s="19"/>
      <c r="EW611" s="19"/>
      <c r="EX611" s="19"/>
      <c r="EY611" s="19"/>
      <c r="EZ611" s="19"/>
      <c r="FA611" s="19"/>
      <c r="FB611" s="19"/>
    </row>
    <row r="612" ht="15.75" customHeight="1">
      <c r="A612" s="19"/>
      <c r="B612" s="4" t="s">
        <v>475</v>
      </c>
      <c r="D612" s="78">
        <v>46116.0</v>
      </c>
      <c r="E612" s="4" t="s">
        <v>1051</v>
      </c>
      <c r="F612" s="19"/>
      <c r="AH612" s="85">
        <v>271480.0</v>
      </c>
      <c r="AL612" s="19"/>
      <c r="AM612" s="19"/>
      <c r="AN612" s="19"/>
      <c r="AO612" s="19"/>
      <c r="AP612" s="19"/>
      <c r="AQ612" s="85">
        <v>110510.0</v>
      </c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  <c r="BD612" s="19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  <c r="BP612" s="19"/>
      <c r="BQ612" s="19"/>
      <c r="BR612" s="19"/>
      <c r="BS612" s="19"/>
      <c r="BT612" s="19"/>
      <c r="BU612" s="19"/>
      <c r="BV612" s="19"/>
      <c r="BW612" s="19"/>
      <c r="BX612" s="19"/>
      <c r="BY612" s="19"/>
      <c r="BZ612" s="19"/>
      <c r="CA612" s="19"/>
      <c r="CB612" s="19"/>
      <c r="CC612" s="19"/>
      <c r="CD612" s="19"/>
      <c r="CE612" s="19"/>
      <c r="CF612" s="19"/>
      <c r="CG612" s="19"/>
      <c r="CH612" s="19"/>
      <c r="CI612" s="19"/>
      <c r="CJ612" s="19"/>
      <c r="CK612" s="19"/>
      <c r="CL612" s="19"/>
      <c r="CM612" s="19"/>
      <c r="CN612" s="19"/>
      <c r="CO612" s="19"/>
      <c r="CP612" s="19"/>
      <c r="CQ612" s="19"/>
      <c r="CR612" s="19"/>
      <c r="CS612" s="19"/>
      <c r="CT612" s="19"/>
      <c r="CU612" s="19"/>
      <c r="CV612" s="19"/>
      <c r="CW612" s="19"/>
      <c r="CX612" s="19"/>
      <c r="CY612" s="19"/>
      <c r="CZ612" s="19"/>
      <c r="DA612" s="19"/>
      <c r="DB612" s="19"/>
      <c r="DC612" s="19"/>
      <c r="DD612" s="19"/>
      <c r="DE612" s="19"/>
      <c r="DF612" s="19"/>
      <c r="DG612" s="19"/>
      <c r="DH612" s="19"/>
      <c r="DI612" s="19"/>
      <c r="DJ612" s="19"/>
      <c r="DK612" s="19"/>
      <c r="DL612" s="19"/>
      <c r="DM612" s="19"/>
      <c r="DN612" s="19"/>
      <c r="DO612" s="19"/>
      <c r="DP612" s="19"/>
      <c r="DQ612" s="19"/>
      <c r="DR612" s="19"/>
      <c r="DS612" s="19"/>
      <c r="DT612" s="19"/>
      <c r="DU612" s="19"/>
      <c r="DV612" s="19"/>
      <c r="DW612" s="19"/>
      <c r="DX612" s="19"/>
      <c r="DY612" s="19"/>
      <c r="DZ612" s="19"/>
      <c r="EA612" s="19"/>
      <c r="EB612" s="19"/>
      <c r="EC612" s="19"/>
      <c r="ED612" s="19"/>
      <c r="EE612" s="19"/>
      <c r="EF612" s="19"/>
      <c r="EG612" s="19"/>
      <c r="EH612" s="19"/>
      <c r="EI612" s="19"/>
      <c r="EJ612" s="19"/>
      <c r="EK612" s="19"/>
      <c r="EL612" s="19"/>
      <c r="EM612" s="19"/>
      <c r="EN612" s="4" t="s">
        <v>79</v>
      </c>
      <c r="EO612" s="19"/>
      <c r="EP612" s="17"/>
      <c r="EQ612" s="23"/>
      <c r="ER612" s="23"/>
      <c r="ES612" s="19"/>
      <c r="ET612" s="19"/>
      <c r="EU612" s="19"/>
      <c r="EV612" s="19"/>
      <c r="EW612" s="19"/>
      <c r="EX612" s="19"/>
      <c r="EY612" s="19"/>
      <c r="EZ612" s="19"/>
      <c r="FA612" s="19"/>
      <c r="FB612" s="19"/>
    </row>
    <row r="613" ht="15.75" customHeight="1">
      <c r="A613" s="19"/>
      <c r="B613" s="4" t="s">
        <v>515</v>
      </c>
      <c r="D613" s="78">
        <v>46118.0</v>
      </c>
      <c r="E613" s="4" t="s">
        <v>1063</v>
      </c>
      <c r="F613" s="19"/>
      <c r="AH613" s="85">
        <v>10340.0</v>
      </c>
      <c r="AL613" s="19"/>
      <c r="AM613" s="19"/>
      <c r="AN613" s="19"/>
      <c r="AO613" s="19"/>
      <c r="AP613" s="19"/>
      <c r="AQ613" s="85">
        <v>3866.0</v>
      </c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  <c r="BD613" s="19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  <c r="BP613" s="19"/>
      <c r="BQ613" s="19"/>
      <c r="BR613" s="19"/>
      <c r="BS613" s="19"/>
      <c r="BT613" s="19"/>
      <c r="BU613" s="19"/>
      <c r="BV613" s="19"/>
      <c r="BW613" s="19"/>
      <c r="BX613" s="19"/>
      <c r="BY613" s="19"/>
      <c r="BZ613" s="19"/>
      <c r="CA613" s="19"/>
      <c r="CB613" s="19"/>
      <c r="CC613" s="19"/>
      <c r="CD613" s="19"/>
      <c r="CE613" s="19"/>
      <c r="CF613" s="19"/>
      <c r="CG613" s="19"/>
      <c r="CH613" s="19"/>
      <c r="CI613" s="19"/>
      <c r="CJ613" s="19"/>
      <c r="CK613" s="19"/>
      <c r="CL613" s="19"/>
      <c r="CM613" s="19"/>
      <c r="CN613" s="19"/>
      <c r="CO613" s="19"/>
      <c r="CP613" s="19"/>
      <c r="CQ613" s="19"/>
      <c r="CR613" s="19"/>
      <c r="CS613" s="19"/>
      <c r="CT613" s="19"/>
      <c r="CU613" s="19"/>
      <c r="CV613" s="19"/>
      <c r="CW613" s="19"/>
      <c r="CX613" s="19"/>
      <c r="CY613" s="19"/>
      <c r="CZ613" s="19"/>
      <c r="DA613" s="19"/>
      <c r="DB613" s="19"/>
      <c r="DC613" s="19"/>
      <c r="DD613" s="19"/>
      <c r="DE613" s="19"/>
      <c r="DF613" s="19"/>
      <c r="DG613" s="19"/>
      <c r="DH613" s="19"/>
      <c r="DI613" s="19"/>
      <c r="DJ613" s="19"/>
      <c r="DK613" s="19"/>
      <c r="DL613" s="19"/>
      <c r="DM613" s="19"/>
      <c r="DN613" s="19"/>
      <c r="DO613" s="19"/>
      <c r="DP613" s="19"/>
      <c r="DQ613" s="19"/>
      <c r="DR613" s="19"/>
      <c r="DS613" s="19"/>
      <c r="DT613" s="19"/>
      <c r="DU613" s="19"/>
      <c r="DV613" s="19"/>
      <c r="DW613" s="19"/>
      <c r="DX613" s="19"/>
      <c r="DY613" s="19"/>
      <c r="DZ613" s="19"/>
      <c r="EA613" s="19"/>
      <c r="EB613" s="19"/>
      <c r="EC613" s="19"/>
      <c r="ED613" s="19"/>
      <c r="EE613" s="19"/>
      <c r="EF613" s="19"/>
      <c r="EG613" s="19"/>
      <c r="EH613" s="19"/>
      <c r="EI613" s="19"/>
      <c r="EJ613" s="19"/>
      <c r="EK613" s="19"/>
      <c r="EL613" s="19"/>
      <c r="EM613" s="19"/>
      <c r="EN613" s="4" t="s">
        <v>79</v>
      </c>
      <c r="EO613" s="19"/>
      <c r="EP613" s="17"/>
      <c r="EQ613" s="23"/>
      <c r="ER613" s="23"/>
      <c r="ES613" s="19"/>
      <c r="ET613" s="19"/>
      <c r="EU613" s="19"/>
      <c r="EV613" s="19"/>
      <c r="EW613" s="19"/>
      <c r="EX613" s="19"/>
      <c r="EY613" s="19"/>
      <c r="EZ613" s="19"/>
      <c r="FA613" s="19"/>
      <c r="FB613" s="19"/>
    </row>
    <row r="614" ht="15.75" customHeight="1">
      <c r="A614" s="19"/>
      <c r="B614" s="4" t="s">
        <v>475</v>
      </c>
      <c r="D614" s="78">
        <v>46123.0</v>
      </c>
      <c r="E614" s="4" t="s">
        <v>1122</v>
      </c>
      <c r="F614" s="19"/>
      <c r="AH614" s="85">
        <v>91080.0</v>
      </c>
      <c r="AL614" s="19"/>
      <c r="AM614" s="19"/>
      <c r="AN614" s="19"/>
      <c r="AO614" s="19"/>
      <c r="AP614" s="19"/>
      <c r="AQ614" s="85">
        <v>48464.0</v>
      </c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  <c r="BD614" s="19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  <c r="BP614" s="19"/>
      <c r="BQ614" s="19"/>
      <c r="BR614" s="19"/>
      <c r="BS614" s="19"/>
      <c r="BT614" s="19"/>
      <c r="BU614" s="19"/>
      <c r="BV614" s="19"/>
      <c r="BW614" s="19"/>
      <c r="BX614" s="19"/>
      <c r="BY614" s="19"/>
      <c r="BZ614" s="19"/>
      <c r="CA614" s="19"/>
      <c r="CB614" s="19"/>
      <c r="CC614" s="19"/>
      <c r="CD614" s="19"/>
      <c r="CE614" s="19"/>
      <c r="CF614" s="19"/>
      <c r="CG614" s="19"/>
      <c r="CH614" s="19"/>
      <c r="CI614" s="19"/>
      <c r="CJ614" s="19"/>
      <c r="CK614" s="19"/>
      <c r="CL614" s="19"/>
      <c r="CM614" s="19"/>
      <c r="CN614" s="19"/>
      <c r="CO614" s="19"/>
      <c r="CP614" s="19"/>
      <c r="CQ614" s="19"/>
      <c r="CR614" s="19"/>
      <c r="CS614" s="19"/>
      <c r="CT614" s="19"/>
      <c r="CU614" s="19"/>
      <c r="CV614" s="19"/>
      <c r="CW614" s="19"/>
      <c r="CX614" s="19"/>
      <c r="CY614" s="19"/>
      <c r="CZ614" s="19"/>
      <c r="DA614" s="19"/>
      <c r="DB614" s="19"/>
      <c r="DC614" s="19"/>
      <c r="DD614" s="19"/>
      <c r="DE614" s="19"/>
      <c r="DF614" s="19"/>
      <c r="DG614" s="19"/>
      <c r="DH614" s="19"/>
      <c r="DI614" s="19"/>
      <c r="DJ614" s="19"/>
      <c r="DK614" s="19"/>
      <c r="DL614" s="19"/>
      <c r="DM614" s="19"/>
      <c r="DN614" s="19"/>
      <c r="DO614" s="19"/>
      <c r="DP614" s="19"/>
      <c r="DQ614" s="19"/>
      <c r="DR614" s="19"/>
      <c r="DS614" s="19"/>
      <c r="DT614" s="19"/>
      <c r="DU614" s="19"/>
      <c r="DV614" s="19"/>
      <c r="DW614" s="19"/>
      <c r="DX614" s="19"/>
      <c r="DY614" s="19"/>
      <c r="DZ614" s="19"/>
      <c r="EA614" s="19"/>
      <c r="EB614" s="19"/>
      <c r="EC614" s="19"/>
      <c r="ED614" s="19"/>
      <c r="EE614" s="19"/>
      <c r="EF614" s="19"/>
      <c r="EG614" s="19"/>
      <c r="EH614" s="19"/>
      <c r="EI614" s="19"/>
      <c r="EJ614" s="19"/>
      <c r="EK614" s="19"/>
      <c r="EL614" s="19"/>
      <c r="EM614" s="19"/>
      <c r="EN614" s="4" t="s">
        <v>79</v>
      </c>
      <c r="EO614" s="19"/>
      <c r="EP614" s="17"/>
      <c r="EQ614" s="23"/>
      <c r="ER614" s="23"/>
      <c r="ES614" s="19"/>
      <c r="ET614" s="19"/>
      <c r="EU614" s="19"/>
      <c r="EV614" s="19"/>
      <c r="EW614" s="19"/>
      <c r="EX614" s="19"/>
      <c r="EY614" s="19"/>
      <c r="EZ614" s="19"/>
      <c r="FA614" s="19"/>
      <c r="FB614" s="19"/>
    </row>
    <row r="615" ht="15.75" customHeight="1">
      <c r="A615" s="19"/>
      <c r="B615" s="4" t="s">
        <v>1424</v>
      </c>
      <c r="D615" s="78">
        <v>46118.0</v>
      </c>
      <c r="E615" s="4" t="s">
        <v>1063</v>
      </c>
      <c r="F615" s="19"/>
      <c r="AH615" s="85">
        <v>122386.0</v>
      </c>
      <c r="AL615" s="19"/>
      <c r="AM615" s="19"/>
      <c r="AN615" s="19"/>
      <c r="AO615" s="19"/>
      <c r="AP615" s="19"/>
      <c r="AQ615" s="85">
        <v>81224.0</v>
      </c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  <c r="BD615" s="19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  <c r="BP615" s="19"/>
      <c r="BQ615" s="19"/>
      <c r="BR615" s="19"/>
      <c r="BS615" s="19"/>
      <c r="BT615" s="19"/>
      <c r="BU615" s="19"/>
      <c r="BV615" s="19"/>
      <c r="BW615" s="19"/>
      <c r="BX615" s="19"/>
      <c r="BY615" s="19"/>
      <c r="BZ615" s="19"/>
      <c r="CA615" s="19"/>
      <c r="CB615" s="19"/>
      <c r="CC615" s="19"/>
      <c r="CD615" s="19"/>
      <c r="CE615" s="19"/>
      <c r="CF615" s="19"/>
      <c r="CG615" s="19"/>
      <c r="CH615" s="19"/>
      <c r="CI615" s="19"/>
      <c r="CJ615" s="19"/>
      <c r="CK615" s="19"/>
      <c r="CL615" s="19"/>
      <c r="CM615" s="19"/>
      <c r="CN615" s="19"/>
      <c r="CO615" s="19"/>
      <c r="CP615" s="19"/>
      <c r="CQ615" s="19"/>
      <c r="CR615" s="19"/>
      <c r="CS615" s="19"/>
      <c r="CT615" s="19"/>
      <c r="CU615" s="19"/>
      <c r="CV615" s="19"/>
      <c r="CW615" s="19"/>
      <c r="CX615" s="19"/>
      <c r="CY615" s="19"/>
      <c r="CZ615" s="19"/>
      <c r="DA615" s="19"/>
      <c r="DB615" s="19"/>
      <c r="DC615" s="19"/>
      <c r="DD615" s="19"/>
      <c r="DE615" s="19"/>
      <c r="DF615" s="19"/>
      <c r="DG615" s="19"/>
      <c r="DH615" s="19"/>
      <c r="DI615" s="19"/>
      <c r="DJ615" s="19"/>
      <c r="DK615" s="19"/>
      <c r="DL615" s="19"/>
      <c r="DM615" s="19"/>
      <c r="DN615" s="19"/>
      <c r="DO615" s="19"/>
      <c r="DP615" s="19"/>
      <c r="DQ615" s="19"/>
      <c r="DR615" s="19"/>
      <c r="DS615" s="19"/>
      <c r="DT615" s="19"/>
      <c r="DU615" s="19"/>
      <c r="DV615" s="19"/>
      <c r="DW615" s="19"/>
      <c r="DX615" s="19"/>
      <c r="DY615" s="19"/>
      <c r="DZ615" s="19"/>
      <c r="EA615" s="19"/>
      <c r="EB615" s="19"/>
      <c r="EC615" s="19"/>
      <c r="ED615" s="19"/>
      <c r="EE615" s="19"/>
      <c r="EF615" s="19"/>
      <c r="EG615" s="19"/>
      <c r="EH615" s="19"/>
      <c r="EI615" s="19"/>
      <c r="EJ615" s="19"/>
      <c r="EK615" s="19"/>
      <c r="EL615" s="19"/>
      <c r="EM615" s="19"/>
      <c r="EN615" s="4" t="s">
        <v>79</v>
      </c>
      <c r="EO615" s="19"/>
      <c r="EP615" s="17"/>
      <c r="EQ615" s="23"/>
      <c r="ER615" s="23"/>
      <c r="ES615" s="19"/>
      <c r="ET615" s="19"/>
      <c r="EU615" s="19"/>
      <c r="EV615" s="19"/>
      <c r="EW615" s="19"/>
      <c r="EX615" s="19"/>
      <c r="EY615" s="19"/>
      <c r="EZ615" s="19"/>
      <c r="FA615" s="19"/>
      <c r="FB615" s="19"/>
    </row>
    <row r="616" ht="15.75" customHeight="1">
      <c r="A616" s="19"/>
      <c r="B616" s="4" t="s">
        <v>1425</v>
      </c>
      <c r="D616" s="78">
        <v>46118.0</v>
      </c>
      <c r="E616" s="4" t="s">
        <v>1063</v>
      </c>
      <c r="F616" s="19"/>
      <c r="AH616" s="85">
        <v>616.0</v>
      </c>
      <c r="AL616" s="19"/>
      <c r="AM616" s="19"/>
      <c r="AN616" s="19"/>
      <c r="AO616" s="19"/>
      <c r="AP616" s="19"/>
      <c r="AQ616" s="85">
        <v>560.0</v>
      </c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  <c r="BD616" s="19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  <c r="BP616" s="19"/>
      <c r="BQ616" s="19"/>
      <c r="BR616" s="19"/>
      <c r="BS616" s="19"/>
      <c r="BT616" s="19"/>
      <c r="BU616" s="19"/>
      <c r="BV616" s="19"/>
      <c r="BW616" s="19"/>
      <c r="BX616" s="19"/>
      <c r="BY616" s="19"/>
      <c r="BZ616" s="19"/>
      <c r="CA616" s="19"/>
      <c r="CB616" s="19"/>
      <c r="CC616" s="19"/>
      <c r="CD616" s="19"/>
      <c r="CE616" s="19"/>
      <c r="CF616" s="19"/>
      <c r="CG616" s="19"/>
      <c r="CH616" s="19"/>
      <c r="CI616" s="19"/>
      <c r="CJ616" s="19"/>
      <c r="CK616" s="19"/>
      <c r="CL616" s="19"/>
      <c r="CM616" s="19"/>
      <c r="CN616" s="19"/>
      <c r="CO616" s="19"/>
      <c r="CP616" s="19"/>
      <c r="CQ616" s="19"/>
      <c r="CR616" s="19"/>
      <c r="CS616" s="19"/>
      <c r="CT616" s="19"/>
      <c r="CU616" s="19"/>
      <c r="CV616" s="19"/>
      <c r="CW616" s="19"/>
      <c r="CX616" s="19"/>
      <c r="CY616" s="19"/>
      <c r="CZ616" s="19"/>
      <c r="DA616" s="19"/>
      <c r="DB616" s="19"/>
      <c r="DC616" s="19"/>
      <c r="DD616" s="19"/>
      <c r="DE616" s="19"/>
      <c r="DF616" s="19"/>
      <c r="DG616" s="19"/>
      <c r="DH616" s="19"/>
      <c r="DI616" s="19"/>
      <c r="DJ616" s="19"/>
      <c r="DK616" s="19"/>
      <c r="DL616" s="19"/>
      <c r="DM616" s="19"/>
      <c r="DN616" s="19"/>
      <c r="DO616" s="19"/>
      <c r="DP616" s="19"/>
      <c r="DQ616" s="19"/>
      <c r="DR616" s="19"/>
      <c r="DS616" s="19"/>
      <c r="DT616" s="19"/>
      <c r="DU616" s="19"/>
      <c r="DV616" s="19"/>
      <c r="DW616" s="19"/>
      <c r="DX616" s="19"/>
      <c r="DY616" s="19"/>
      <c r="DZ616" s="19"/>
      <c r="EA616" s="19"/>
      <c r="EB616" s="19"/>
      <c r="EC616" s="19"/>
      <c r="ED616" s="19"/>
      <c r="EE616" s="19"/>
      <c r="EF616" s="19"/>
      <c r="EG616" s="19"/>
      <c r="EH616" s="19"/>
      <c r="EI616" s="19"/>
      <c r="EJ616" s="19"/>
      <c r="EK616" s="19"/>
      <c r="EL616" s="19"/>
      <c r="EM616" s="19"/>
      <c r="EN616" s="4" t="s">
        <v>79</v>
      </c>
      <c r="EO616" s="19"/>
      <c r="EP616" s="17"/>
      <c r="EQ616" s="23"/>
      <c r="ER616" s="23"/>
      <c r="ES616" s="19"/>
      <c r="ET616" s="19"/>
      <c r="EU616" s="19"/>
      <c r="EV616" s="19"/>
      <c r="EW616" s="19"/>
      <c r="EX616" s="19"/>
      <c r="EY616" s="19"/>
      <c r="EZ616" s="19"/>
      <c r="FA616" s="19"/>
      <c r="FB616" s="19"/>
    </row>
    <row r="617" ht="15.75" customHeight="1">
      <c r="A617" s="19"/>
      <c r="B617" s="4" t="s">
        <v>515</v>
      </c>
      <c r="D617" s="78">
        <v>46130.0</v>
      </c>
      <c r="E617" s="4" t="s">
        <v>1426</v>
      </c>
      <c r="F617" s="19"/>
      <c r="AH617" s="85">
        <v>0.0</v>
      </c>
      <c r="AL617" s="19"/>
      <c r="AM617" s="19"/>
      <c r="AN617" s="19"/>
      <c r="AO617" s="19"/>
      <c r="AP617" s="19"/>
      <c r="AQ617" s="85">
        <v>0.0</v>
      </c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  <c r="BD617" s="19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  <c r="BP617" s="19"/>
      <c r="BQ617" s="19"/>
      <c r="BR617" s="19"/>
      <c r="BS617" s="19"/>
      <c r="BT617" s="19"/>
      <c r="BU617" s="19"/>
      <c r="BV617" s="19"/>
      <c r="BW617" s="19"/>
      <c r="BX617" s="19"/>
      <c r="BY617" s="19"/>
      <c r="BZ617" s="19"/>
      <c r="CA617" s="19"/>
      <c r="CB617" s="19"/>
      <c r="CC617" s="19"/>
      <c r="CD617" s="19"/>
      <c r="CE617" s="19"/>
      <c r="CF617" s="19"/>
      <c r="CG617" s="19"/>
      <c r="CH617" s="19"/>
      <c r="CI617" s="19"/>
      <c r="CJ617" s="19"/>
      <c r="CK617" s="19"/>
      <c r="CL617" s="19"/>
      <c r="CM617" s="19"/>
      <c r="CN617" s="19"/>
      <c r="CO617" s="19"/>
      <c r="CP617" s="19"/>
      <c r="CQ617" s="19"/>
      <c r="CR617" s="19"/>
      <c r="CS617" s="19"/>
      <c r="CT617" s="19"/>
      <c r="CU617" s="19"/>
      <c r="CV617" s="19"/>
      <c r="CW617" s="19"/>
      <c r="CX617" s="19"/>
      <c r="CY617" s="19"/>
      <c r="CZ617" s="19"/>
      <c r="DA617" s="19"/>
      <c r="DB617" s="19"/>
      <c r="DC617" s="19"/>
      <c r="DD617" s="19"/>
      <c r="DE617" s="19"/>
      <c r="DF617" s="19"/>
      <c r="DG617" s="19"/>
      <c r="DH617" s="19"/>
      <c r="DI617" s="19"/>
      <c r="DJ617" s="19"/>
      <c r="DK617" s="19"/>
      <c r="DL617" s="19"/>
      <c r="DM617" s="19"/>
      <c r="DN617" s="19"/>
      <c r="DO617" s="19"/>
      <c r="DP617" s="19"/>
      <c r="DQ617" s="19"/>
      <c r="DR617" s="19"/>
      <c r="DS617" s="19"/>
      <c r="DT617" s="19"/>
      <c r="DU617" s="19"/>
      <c r="DV617" s="19"/>
      <c r="DW617" s="19"/>
      <c r="DX617" s="19"/>
      <c r="DY617" s="19"/>
      <c r="DZ617" s="19"/>
      <c r="EA617" s="19"/>
      <c r="EB617" s="19"/>
      <c r="EC617" s="19"/>
      <c r="ED617" s="19"/>
      <c r="EE617" s="19"/>
      <c r="EF617" s="19"/>
      <c r="EG617" s="19"/>
      <c r="EH617" s="19"/>
      <c r="EI617" s="19"/>
      <c r="EJ617" s="19"/>
      <c r="EK617" s="19"/>
      <c r="EL617" s="19"/>
      <c r="EM617" s="19"/>
      <c r="EN617" s="4" t="s">
        <v>79</v>
      </c>
      <c r="EO617" s="19"/>
      <c r="EP617" s="17"/>
      <c r="EQ617" s="23"/>
      <c r="ER617" s="23"/>
      <c r="ES617" s="19"/>
      <c r="ET617" s="19"/>
      <c r="EU617" s="19"/>
      <c r="EV617" s="19"/>
      <c r="EW617" s="19"/>
      <c r="EX617" s="19"/>
      <c r="EY617" s="19"/>
      <c r="EZ617" s="19"/>
      <c r="FA617" s="19"/>
      <c r="FB617" s="19"/>
    </row>
    <row r="618" ht="15.75" customHeight="1">
      <c r="A618" s="19"/>
      <c r="B618" s="4" t="s">
        <v>475</v>
      </c>
      <c r="D618" s="78">
        <v>46121.0</v>
      </c>
      <c r="E618" s="4" t="s">
        <v>1115</v>
      </c>
      <c r="F618" s="19"/>
      <c r="AH618" s="85">
        <v>660.0</v>
      </c>
      <c r="AL618" s="19"/>
      <c r="AM618" s="19"/>
      <c r="AN618" s="19"/>
      <c r="AO618" s="19"/>
      <c r="AP618" s="19"/>
      <c r="AQ618" s="85">
        <v>300.0</v>
      </c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  <c r="BD618" s="19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  <c r="BP618" s="19"/>
      <c r="BQ618" s="19"/>
      <c r="BR618" s="19"/>
      <c r="BS618" s="19"/>
      <c r="BT618" s="19"/>
      <c r="BU618" s="19"/>
      <c r="BV618" s="19"/>
      <c r="BW618" s="19"/>
      <c r="BX618" s="19"/>
      <c r="BY618" s="19"/>
      <c r="BZ618" s="19"/>
      <c r="CA618" s="19"/>
      <c r="CB618" s="19"/>
      <c r="CC618" s="19"/>
      <c r="CD618" s="19"/>
      <c r="CE618" s="19"/>
      <c r="CF618" s="19"/>
      <c r="CG618" s="19"/>
      <c r="CH618" s="19"/>
      <c r="CI618" s="19"/>
      <c r="CJ618" s="19"/>
      <c r="CK618" s="19"/>
      <c r="CL618" s="19"/>
      <c r="CM618" s="19"/>
      <c r="CN618" s="19"/>
      <c r="CO618" s="19"/>
      <c r="CP618" s="19"/>
      <c r="CQ618" s="19"/>
      <c r="CR618" s="19"/>
      <c r="CS618" s="19"/>
      <c r="CT618" s="19"/>
      <c r="CU618" s="19"/>
      <c r="CV618" s="19"/>
      <c r="CW618" s="19"/>
      <c r="CX618" s="19"/>
      <c r="CY618" s="19"/>
      <c r="CZ618" s="19"/>
      <c r="DA618" s="19"/>
      <c r="DB618" s="19"/>
      <c r="DC618" s="19"/>
      <c r="DD618" s="19"/>
      <c r="DE618" s="19"/>
      <c r="DF618" s="19"/>
      <c r="DG618" s="19"/>
      <c r="DH618" s="19"/>
      <c r="DI618" s="19"/>
      <c r="DJ618" s="19"/>
      <c r="DK618" s="19"/>
      <c r="DL618" s="19"/>
      <c r="DM618" s="19"/>
      <c r="DN618" s="19"/>
      <c r="DO618" s="19"/>
      <c r="DP618" s="19"/>
      <c r="DQ618" s="19"/>
      <c r="DR618" s="19"/>
      <c r="DS618" s="19"/>
      <c r="DT618" s="19"/>
      <c r="DU618" s="19"/>
      <c r="DV618" s="19"/>
      <c r="DW618" s="19"/>
      <c r="DX618" s="19"/>
      <c r="DY618" s="19"/>
      <c r="DZ618" s="19"/>
      <c r="EA618" s="19"/>
      <c r="EB618" s="19"/>
      <c r="EC618" s="19"/>
      <c r="ED618" s="19"/>
      <c r="EE618" s="19"/>
      <c r="EF618" s="19"/>
      <c r="EG618" s="19"/>
      <c r="EH618" s="19"/>
      <c r="EI618" s="19"/>
      <c r="EJ618" s="19"/>
      <c r="EK618" s="19"/>
      <c r="EL618" s="19"/>
      <c r="EM618" s="19"/>
      <c r="EN618" s="4" t="s">
        <v>79</v>
      </c>
      <c r="EO618" s="19"/>
      <c r="EP618" s="17"/>
      <c r="EQ618" s="23"/>
      <c r="ER618" s="23"/>
      <c r="ES618" s="19"/>
      <c r="ET618" s="19"/>
      <c r="EU618" s="19"/>
      <c r="EV618" s="19"/>
      <c r="EW618" s="19"/>
      <c r="EX618" s="19"/>
      <c r="EY618" s="19"/>
      <c r="EZ618" s="19"/>
      <c r="FA618" s="19"/>
      <c r="FB618" s="19"/>
    </row>
    <row r="619" ht="15.75" customHeight="1">
      <c r="A619" s="19"/>
      <c r="B619" s="4" t="s">
        <v>475</v>
      </c>
      <c r="D619" s="78">
        <v>46121.0</v>
      </c>
      <c r="E619" s="4" t="s">
        <v>1427</v>
      </c>
      <c r="F619" s="19"/>
      <c r="AH619" s="85">
        <v>660.0</v>
      </c>
      <c r="AL619" s="19"/>
      <c r="AM619" s="19"/>
      <c r="AN619" s="19"/>
      <c r="AO619" s="19"/>
      <c r="AP619" s="19"/>
      <c r="AQ619" s="85">
        <v>300.0</v>
      </c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  <c r="BD619" s="19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  <c r="BP619" s="19"/>
      <c r="BQ619" s="19"/>
      <c r="BR619" s="19"/>
      <c r="BS619" s="19"/>
      <c r="BT619" s="19"/>
      <c r="BU619" s="19"/>
      <c r="BV619" s="19"/>
      <c r="BW619" s="19"/>
      <c r="BX619" s="19"/>
      <c r="BY619" s="19"/>
      <c r="BZ619" s="19"/>
      <c r="CA619" s="19"/>
      <c r="CB619" s="19"/>
      <c r="CC619" s="19"/>
      <c r="CD619" s="19"/>
      <c r="CE619" s="19"/>
      <c r="CF619" s="19"/>
      <c r="CG619" s="19"/>
      <c r="CH619" s="19"/>
      <c r="CI619" s="19"/>
      <c r="CJ619" s="19"/>
      <c r="CK619" s="19"/>
      <c r="CL619" s="19"/>
      <c r="CM619" s="19"/>
      <c r="CN619" s="19"/>
      <c r="CO619" s="19"/>
      <c r="CP619" s="19"/>
      <c r="CQ619" s="19"/>
      <c r="CR619" s="19"/>
      <c r="CS619" s="19"/>
      <c r="CT619" s="19"/>
      <c r="CU619" s="19"/>
      <c r="CV619" s="19"/>
      <c r="CW619" s="19"/>
      <c r="CX619" s="19"/>
      <c r="CY619" s="19"/>
      <c r="CZ619" s="19"/>
      <c r="DA619" s="19"/>
      <c r="DB619" s="19"/>
      <c r="DC619" s="19"/>
      <c r="DD619" s="19"/>
      <c r="DE619" s="19"/>
      <c r="DF619" s="19"/>
      <c r="DG619" s="19"/>
      <c r="DH619" s="19"/>
      <c r="DI619" s="19"/>
      <c r="DJ619" s="19"/>
      <c r="DK619" s="19"/>
      <c r="DL619" s="19"/>
      <c r="DM619" s="19"/>
      <c r="DN619" s="19"/>
      <c r="DO619" s="19"/>
      <c r="DP619" s="19"/>
      <c r="DQ619" s="19"/>
      <c r="DR619" s="19"/>
      <c r="DS619" s="19"/>
      <c r="DT619" s="19"/>
      <c r="DU619" s="19"/>
      <c r="DV619" s="19"/>
      <c r="DW619" s="19"/>
      <c r="DX619" s="19"/>
      <c r="DY619" s="19"/>
      <c r="DZ619" s="19"/>
      <c r="EA619" s="19"/>
      <c r="EB619" s="19"/>
      <c r="EC619" s="19"/>
      <c r="ED619" s="19"/>
      <c r="EE619" s="19"/>
      <c r="EF619" s="19"/>
      <c r="EG619" s="19"/>
      <c r="EH619" s="19"/>
      <c r="EI619" s="19"/>
      <c r="EJ619" s="19"/>
      <c r="EK619" s="19"/>
      <c r="EL619" s="19"/>
      <c r="EM619" s="19"/>
      <c r="EN619" s="4" t="s">
        <v>79</v>
      </c>
      <c r="EO619" s="19"/>
      <c r="EP619" s="17"/>
      <c r="EQ619" s="23"/>
      <c r="ER619" s="23"/>
      <c r="ES619" s="19"/>
      <c r="ET619" s="19"/>
      <c r="EU619" s="19"/>
      <c r="EV619" s="19"/>
      <c r="EW619" s="19"/>
      <c r="EX619" s="19"/>
      <c r="EY619" s="19"/>
      <c r="EZ619" s="19"/>
      <c r="FA619" s="19"/>
      <c r="FB619" s="19"/>
    </row>
    <row r="620" ht="15.75" customHeight="1">
      <c r="A620" s="19"/>
      <c r="B620" s="4" t="s">
        <v>1428</v>
      </c>
      <c r="D620" s="78">
        <v>46129.0</v>
      </c>
      <c r="E620" s="4" t="s">
        <v>1229</v>
      </c>
      <c r="F620" s="19"/>
      <c r="AH620" s="85">
        <v>284020.0</v>
      </c>
      <c r="AL620" s="19"/>
      <c r="AM620" s="19"/>
      <c r="AN620" s="19"/>
      <c r="AO620" s="19"/>
      <c r="AP620" s="19"/>
      <c r="AQ620" s="85">
        <v>195840.0</v>
      </c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  <c r="BD620" s="19"/>
      <c r="BE620" s="19"/>
      <c r="BF620" s="19"/>
      <c r="BG620" s="19"/>
      <c r="BH620" s="19"/>
      <c r="BI620" s="19"/>
      <c r="BJ620" s="19"/>
      <c r="BK620" s="19"/>
      <c r="BL620" s="19"/>
      <c r="BM620" s="19"/>
      <c r="BN620" s="19"/>
      <c r="BO620" s="19"/>
      <c r="BP620" s="19"/>
      <c r="BQ620" s="19"/>
      <c r="BR620" s="19"/>
      <c r="BS620" s="19"/>
      <c r="BT620" s="19"/>
      <c r="BU620" s="19"/>
      <c r="BV620" s="19"/>
      <c r="BW620" s="19"/>
      <c r="BX620" s="19"/>
      <c r="BY620" s="19"/>
      <c r="BZ620" s="19"/>
      <c r="CA620" s="19"/>
      <c r="CB620" s="19"/>
      <c r="CC620" s="19"/>
      <c r="CD620" s="19"/>
      <c r="CE620" s="19"/>
      <c r="CF620" s="19"/>
      <c r="CG620" s="19"/>
      <c r="CH620" s="19"/>
      <c r="CI620" s="19"/>
      <c r="CJ620" s="19"/>
      <c r="CK620" s="19"/>
      <c r="CL620" s="19"/>
      <c r="CM620" s="19"/>
      <c r="CN620" s="19"/>
      <c r="CO620" s="19"/>
      <c r="CP620" s="19"/>
      <c r="CQ620" s="19"/>
      <c r="CR620" s="19"/>
      <c r="CS620" s="19"/>
      <c r="CT620" s="19"/>
      <c r="CU620" s="19"/>
      <c r="CV620" s="19"/>
      <c r="CW620" s="19"/>
      <c r="CX620" s="19"/>
      <c r="CY620" s="19"/>
      <c r="CZ620" s="19"/>
      <c r="DA620" s="19"/>
      <c r="DB620" s="19"/>
      <c r="DC620" s="19"/>
      <c r="DD620" s="19"/>
      <c r="DE620" s="19"/>
      <c r="DF620" s="19"/>
      <c r="DG620" s="19"/>
      <c r="DH620" s="19"/>
      <c r="DI620" s="19"/>
      <c r="DJ620" s="19"/>
      <c r="DK620" s="19"/>
      <c r="DL620" s="19"/>
      <c r="DM620" s="19"/>
      <c r="DN620" s="19"/>
      <c r="DO620" s="19"/>
      <c r="DP620" s="19"/>
      <c r="DQ620" s="19"/>
      <c r="DR620" s="19"/>
      <c r="DS620" s="19"/>
      <c r="DT620" s="19"/>
      <c r="DU620" s="19"/>
      <c r="DV620" s="19"/>
      <c r="DW620" s="19"/>
      <c r="DX620" s="19"/>
      <c r="DY620" s="19"/>
      <c r="DZ620" s="19"/>
      <c r="EA620" s="19"/>
      <c r="EB620" s="19"/>
      <c r="EC620" s="19"/>
      <c r="ED620" s="19"/>
      <c r="EE620" s="19"/>
      <c r="EF620" s="19"/>
      <c r="EG620" s="19"/>
      <c r="EH620" s="19"/>
      <c r="EI620" s="19"/>
      <c r="EJ620" s="19"/>
      <c r="EK620" s="19"/>
      <c r="EL620" s="19"/>
      <c r="EM620" s="19"/>
      <c r="EN620" s="4" t="s">
        <v>79</v>
      </c>
      <c r="EO620" s="19"/>
      <c r="EP620" s="17"/>
      <c r="EQ620" s="23"/>
      <c r="ER620" s="23"/>
      <c r="ES620" s="19"/>
      <c r="ET620" s="19"/>
      <c r="EU620" s="19"/>
      <c r="EV620" s="19"/>
      <c r="EW620" s="19"/>
      <c r="EX620" s="19"/>
      <c r="EY620" s="19"/>
      <c r="EZ620" s="19"/>
      <c r="FA620" s="19"/>
      <c r="FB620" s="19"/>
    </row>
    <row r="621" ht="15.75" customHeight="1">
      <c r="A621" s="19"/>
      <c r="B621" s="4" t="s">
        <v>475</v>
      </c>
      <c r="D621" s="78">
        <v>46128.0</v>
      </c>
      <c r="E621" s="4" t="s">
        <v>1429</v>
      </c>
      <c r="F621" s="19"/>
      <c r="AH621" s="85">
        <v>270820.0</v>
      </c>
      <c r="AL621" s="19"/>
      <c r="AM621" s="19"/>
      <c r="AN621" s="19"/>
      <c r="AO621" s="19"/>
      <c r="AP621" s="19"/>
      <c r="AQ621" s="85">
        <v>118200.0</v>
      </c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  <c r="BD621" s="19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  <c r="BP621" s="19"/>
      <c r="BQ621" s="19"/>
      <c r="BR621" s="19"/>
      <c r="BS621" s="19"/>
      <c r="BT621" s="19"/>
      <c r="BU621" s="19"/>
      <c r="BV621" s="19"/>
      <c r="BW621" s="19"/>
      <c r="BX621" s="19"/>
      <c r="BY621" s="19"/>
      <c r="BZ621" s="19"/>
      <c r="CA621" s="19"/>
      <c r="CB621" s="19"/>
      <c r="CC621" s="19"/>
      <c r="CD621" s="19"/>
      <c r="CE621" s="19"/>
      <c r="CF621" s="19"/>
      <c r="CG621" s="19"/>
      <c r="CH621" s="19"/>
      <c r="CI621" s="19"/>
      <c r="CJ621" s="19"/>
      <c r="CK621" s="19"/>
      <c r="CL621" s="19"/>
      <c r="CM621" s="19"/>
      <c r="CN621" s="19"/>
      <c r="CO621" s="19"/>
      <c r="CP621" s="19"/>
      <c r="CQ621" s="19"/>
      <c r="CR621" s="19"/>
      <c r="CS621" s="19"/>
      <c r="CT621" s="19"/>
      <c r="CU621" s="19"/>
      <c r="CV621" s="19"/>
      <c r="CW621" s="19"/>
      <c r="CX621" s="19"/>
      <c r="CY621" s="19"/>
      <c r="CZ621" s="19"/>
      <c r="DA621" s="19"/>
      <c r="DB621" s="19"/>
      <c r="DC621" s="19"/>
      <c r="DD621" s="19"/>
      <c r="DE621" s="19"/>
      <c r="DF621" s="19"/>
      <c r="DG621" s="19"/>
      <c r="DH621" s="19"/>
      <c r="DI621" s="19"/>
      <c r="DJ621" s="19"/>
      <c r="DK621" s="19"/>
      <c r="DL621" s="19"/>
      <c r="DM621" s="19"/>
      <c r="DN621" s="19"/>
      <c r="DO621" s="19"/>
      <c r="DP621" s="19"/>
      <c r="DQ621" s="19"/>
      <c r="DR621" s="19"/>
      <c r="DS621" s="19"/>
      <c r="DT621" s="19"/>
      <c r="DU621" s="19"/>
      <c r="DV621" s="19"/>
      <c r="DW621" s="19"/>
      <c r="DX621" s="19"/>
      <c r="DY621" s="19"/>
      <c r="DZ621" s="19"/>
      <c r="EA621" s="19"/>
      <c r="EB621" s="19"/>
      <c r="EC621" s="19"/>
      <c r="ED621" s="19"/>
      <c r="EE621" s="19"/>
      <c r="EF621" s="19"/>
      <c r="EG621" s="19"/>
      <c r="EH621" s="19"/>
      <c r="EI621" s="19"/>
      <c r="EJ621" s="19"/>
      <c r="EK621" s="19"/>
      <c r="EL621" s="19"/>
      <c r="EM621" s="19"/>
      <c r="EN621" s="4" t="s">
        <v>79</v>
      </c>
      <c r="EO621" s="19"/>
      <c r="EP621" s="17"/>
      <c r="EQ621" s="23"/>
      <c r="ER621" s="23"/>
      <c r="ES621" s="19"/>
      <c r="ET621" s="19"/>
      <c r="EU621" s="19"/>
      <c r="EV621" s="19"/>
      <c r="EW621" s="19"/>
      <c r="EX621" s="19"/>
      <c r="EY621" s="19"/>
      <c r="EZ621" s="19"/>
      <c r="FA621" s="19"/>
      <c r="FB621" s="19"/>
    </row>
    <row r="622" ht="15.75" customHeight="1">
      <c r="A622" s="19"/>
      <c r="B622" s="4" t="s">
        <v>475</v>
      </c>
      <c r="D622" s="78">
        <v>46128.0</v>
      </c>
      <c r="E622" s="4" t="s">
        <v>1430</v>
      </c>
      <c r="F622" s="19"/>
      <c r="AH622" s="85">
        <v>353925.0</v>
      </c>
      <c r="AL622" s="19"/>
      <c r="AM622" s="19"/>
      <c r="AN622" s="19"/>
      <c r="AO622" s="19"/>
      <c r="AP622" s="19"/>
      <c r="AQ622" s="85">
        <v>98690.0</v>
      </c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  <c r="BD622" s="19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  <c r="BP622" s="19"/>
      <c r="BQ622" s="19"/>
      <c r="BR622" s="19"/>
      <c r="BS622" s="19"/>
      <c r="BT622" s="19"/>
      <c r="BU622" s="19"/>
      <c r="BV622" s="19"/>
      <c r="BW622" s="19"/>
      <c r="BX622" s="19"/>
      <c r="BY622" s="19"/>
      <c r="BZ622" s="19"/>
      <c r="CA622" s="19"/>
      <c r="CB622" s="19"/>
      <c r="CC622" s="19"/>
      <c r="CD622" s="19"/>
      <c r="CE622" s="19"/>
      <c r="CF622" s="19"/>
      <c r="CG622" s="19"/>
      <c r="CH622" s="19"/>
      <c r="CI622" s="19"/>
      <c r="CJ622" s="19"/>
      <c r="CK622" s="19"/>
      <c r="CL622" s="19"/>
      <c r="CM622" s="19"/>
      <c r="CN622" s="19"/>
      <c r="CO622" s="19"/>
      <c r="CP622" s="19"/>
      <c r="CQ622" s="19"/>
      <c r="CR622" s="19"/>
      <c r="CS622" s="19"/>
      <c r="CT622" s="19"/>
      <c r="CU622" s="19"/>
      <c r="CV622" s="19"/>
      <c r="CW622" s="19"/>
      <c r="CX622" s="19"/>
      <c r="CY622" s="19"/>
      <c r="CZ622" s="19"/>
      <c r="DA622" s="19"/>
      <c r="DB622" s="19"/>
      <c r="DC622" s="19"/>
      <c r="DD622" s="19"/>
      <c r="DE622" s="19"/>
      <c r="DF622" s="19"/>
      <c r="DG622" s="19"/>
      <c r="DH622" s="19"/>
      <c r="DI622" s="19"/>
      <c r="DJ622" s="19"/>
      <c r="DK622" s="19"/>
      <c r="DL622" s="19"/>
      <c r="DM622" s="19"/>
      <c r="DN622" s="19"/>
      <c r="DO622" s="19"/>
      <c r="DP622" s="19"/>
      <c r="DQ622" s="19"/>
      <c r="DR622" s="19"/>
      <c r="DS622" s="19"/>
      <c r="DT622" s="19"/>
      <c r="DU622" s="19"/>
      <c r="DV622" s="19"/>
      <c r="DW622" s="19"/>
      <c r="DX622" s="19"/>
      <c r="DY622" s="19"/>
      <c r="DZ622" s="19"/>
      <c r="EA622" s="19"/>
      <c r="EB622" s="19"/>
      <c r="EC622" s="19"/>
      <c r="ED622" s="19"/>
      <c r="EE622" s="19"/>
      <c r="EF622" s="19"/>
      <c r="EG622" s="19"/>
      <c r="EH622" s="19"/>
      <c r="EI622" s="19"/>
      <c r="EJ622" s="19"/>
      <c r="EK622" s="19"/>
      <c r="EL622" s="19"/>
      <c r="EM622" s="19"/>
      <c r="EN622" s="4" t="s">
        <v>79</v>
      </c>
      <c r="EO622" s="19"/>
      <c r="EP622" s="17"/>
      <c r="EQ622" s="23"/>
      <c r="ER622" s="23"/>
      <c r="ES622" s="19"/>
      <c r="ET622" s="19"/>
      <c r="EU622" s="19"/>
      <c r="EV622" s="19"/>
      <c r="EW622" s="19"/>
      <c r="EX622" s="19"/>
      <c r="EY622" s="19"/>
      <c r="EZ622" s="19"/>
      <c r="FA622" s="19"/>
      <c r="FB622" s="19"/>
    </row>
    <row r="623" ht="15.75" customHeight="1">
      <c r="A623" s="19"/>
      <c r="B623" s="4" t="s">
        <v>1424</v>
      </c>
      <c r="D623" s="78">
        <v>46130.0</v>
      </c>
      <c r="E623" s="4" t="s">
        <v>1426</v>
      </c>
      <c r="F623" s="19"/>
      <c r="AH623" s="85">
        <v>141416.0</v>
      </c>
      <c r="AL623" s="19"/>
      <c r="AM623" s="19"/>
      <c r="AN623" s="19"/>
      <c r="AO623" s="19"/>
      <c r="AP623" s="19"/>
      <c r="AQ623" s="85">
        <v>101248.0</v>
      </c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  <c r="BD623" s="19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  <c r="BP623" s="19"/>
      <c r="BQ623" s="19"/>
      <c r="BR623" s="19"/>
      <c r="BS623" s="19"/>
      <c r="BT623" s="19"/>
      <c r="BU623" s="19"/>
      <c r="BV623" s="19"/>
      <c r="BW623" s="19"/>
      <c r="BX623" s="19"/>
      <c r="BY623" s="19"/>
      <c r="BZ623" s="19"/>
      <c r="CA623" s="19"/>
      <c r="CB623" s="19"/>
      <c r="CC623" s="19"/>
      <c r="CD623" s="19"/>
      <c r="CE623" s="19"/>
      <c r="CF623" s="19"/>
      <c r="CG623" s="19"/>
      <c r="CH623" s="19"/>
      <c r="CI623" s="19"/>
      <c r="CJ623" s="19"/>
      <c r="CK623" s="19"/>
      <c r="CL623" s="19"/>
      <c r="CM623" s="19"/>
      <c r="CN623" s="19"/>
      <c r="CO623" s="19"/>
      <c r="CP623" s="19"/>
      <c r="CQ623" s="19"/>
      <c r="CR623" s="19"/>
      <c r="CS623" s="19"/>
      <c r="CT623" s="19"/>
      <c r="CU623" s="19"/>
      <c r="CV623" s="19"/>
      <c r="CW623" s="19"/>
      <c r="CX623" s="19"/>
      <c r="CY623" s="19"/>
      <c r="CZ623" s="19"/>
      <c r="DA623" s="19"/>
      <c r="DB623" s="19"/>
      <c r="DC623" s="19"/>
      <c r="DD623" s="19"/>
      <c r="DE623" s="19"/>
      <c r="DF623" s="19"/>
      <c r="DG623" s="19"/>
      <c r="DH623" s="19"/>
      <c r="DI623" s="19"/>
      <c r="DJ623" s="19"/>
      <c r="DK623" s="19"/>
      <c r="DL623" s="19"/>
      <c r="DM623" s="19"/>
      <c r="DN623" s="19"/>
      <c r="DO623" s="19"/>
      <c r="DP623" s="19"/>
      <c r="DQ623" s="19"/>
      <c r="DR623" s="19"/>
      <c r="DS623" s="19"/>
      <c r="DT623" s="19"/>
      <c r="DU623" s="19"/>
      <c r="DV623" s="19"/>
      <c r="DW623" s="19"/>
      <c r="DX623" s="19"/>
      <c r="DY623" s="19"/>
      <c r="DZ623" s="19"/>
      <c r="EA623" s="19"/>
      <c r="EB623" s="19"/>
      <c r="EC623" s="19"/>
      <c r="ED623" s="19"/>
      <c r="EE623" s="19"/>
      <c r="EF623" s="19"/>
      <c r="EG623" s="19"/>
      <c r="EH623" s="19"/>
      <c r="EI623" s="19"/>
      <c r="EJ623" s="19"/>
      <c r="EK623" s="19"/>
      <c r="EL623" s="19"/>
      <c r="EM623" s="19"/>
      <c r="EN623" s="4" t="s">
        <v>79</v>
      </c>
      <c r="EO623" s="19"/>
      <c r="EP623" s="17"/>
      <c r="EQ623" s="23"/>
      <c r="ER623" s="23"/>
      <c r="ES623" s="19"/>
      <c r="ET623" s="19"/>
      <c r="EU623" s="19"/>
      <c r="EV623" s="19"/>
      <c r="EW623" s="19"/>
      <c r="EX623" s="19"/>
      <c r="EY623" s="19"/>
      <c r="EZ623" s="19"/>
      <c r="FA623" s="19"/>
      <c r="FB623" s="19"/>
    </row>
    <row r="624" ht="15.75" customHeight="1">
      <c r="A624" s="19"/>
      <c r="B624" s="4" t="s">
        <v>1425</v>
      </c>
      <c r="D624" s="78">
        <v>46130.0</v>
      </c>
      <c r="E624" s="4" t="s">
        <v>1426</v>
      </c>
      <c r="F624" s="19"/>
      <c r="AH624" s="85">
        <v>3080.0</v>
      </c>
      <c r="AL624" s="19"/>
      <c r="AM624" s="19"/>
      <c r="AN624" s="19"/>
      <c r="AO624" s="19"/>
      <c r="AP624" s="19"/>
      <c r="AQ624" s="85">
        <v>2800.0</v>
      </c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  <c r="BD624" s="19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  <c r="BP624" s="19"/>
      <c r="BQ624" s="19"/>
      <c r="BR624" s="19"/>
      <c r="BS624" s="19"/>
      <c r="BT624" s="19"/>
      <c r="BU624" s="19"/>
      <c r="BV624" s="19"/>
      <c r="BW624" s="19"/>
      <c r="BX624" s="19"/>
      <c r="BY624" s="19"/>
      <c r="BZ624" s="19"/>
      <c r="CA624" s="19"/>
      <c r="CB624" s="19"/>
      <c r="CC624" s="19"/>
      <c r="CD624" s="19"/>
      <c r="CE624" s="19"/>
      <c r="CF624" s="19"/>
      <c r="CG624" s="19"/>
      <c r="CH624" s="19"/>
      <c r="CI624" s="19"/>
      <c r="CJ624" s="19"/>
      <c r="CK624" s="19"/>
      <c r="CL624" s="19"/>
      <c r="CM624" s="19"/>
      <c r="CN624" s="19"/>
      <c r="CO624" s="19"/>
      <c r="CP624" s="19"/>
      <c r="CQ624" s="19"/>
      <c r="CR624" s="19"/>
      <c r="CS624" s="19"/>
      <c r="CT624" s="19"/>
      <c r="CU624" s="19"/>
      <c r="CV624" s="19"/>
      <c r="CW624" s="19"/>
      <c r="CX624" s="19"/>
      <c r="CY624" s="19"/>
      <c r="CZ624" s="19"/>
      <c r="DA624" s="19"/>
      <c r="DB624" s="19"/>
      <c r="DC624" s="19"/>
      <c r="DD624" s="19"/>
      <c r="DE624" s="19"/>
      <c r="DF624" s="19"/>
      <c r="DG624" s="19"/>
      <c r="DH624" s="19"/>
      <c r="DI624" s="19"/>
      <c r="DJ624" s="19"/>
      <c r="DK624" s="19"/>
      <c r="DL624" s="19"/>
      <c r="DM624" s="19"/>
      <c r="DN624" s="19"/>
      <c r="DO624" s="19"/>
      <c r="DP624" s="19"/>
      <c r="DQ624" s="19"/>
      <c r="DR624" s="19"/>
      <c r="DS624" s="19"/>
      <c r="DT624" s="19"/>
      <c r="DU624" s="19"/>
      <c r="DV624" s="19"/>
      <c r="DW624" s="19"/>
      <c r="DX624" s="19"/>
      <c r="DY624" s="19"/>
      <c r="DZ624" s="19"/>
      <c r="EA624" s="19"/>
      <c r="EB624" s="19"/>
      <c r="EC624" s="19"/>
      <c r="ED624" s="19"/>
      <c r="EE624" s="19"/>
      <c r="EF624" s="19"/>
      <c r="EG624" s="19"/>
      <c r="EH624" s="19"/>
      <c r="EI624" s="19"/>
      <c r="EJ624" s="19"/>
      <c r="EK624" s="19"/>
      <c r="EL624" s="19"/>
      <c r="EM624" s="19"/>
      <c r="EN624" s="4" t="s">
        <v>79</v>
      </c>
      <c r="EO624" s="19"/>
      <c r="EP624" s="17"/>
      <c r="EQ624" s="23"/>
      <c r="ER624" s="23"/>
      <c r="ES624" s="19"/>
      <c r="ET624" s="19"/>
      <c r="EU624" s="19"/>
      <c r="EV624" s="19"/>
      <c r="EW624" s="19"/>
      <c r="EX624" s="19"/>
      <c r="EY624" s="19"/>
      <c r="EZ624" s="19"/>
      <c r="FA624" s="19"/>
      <c r="FB624" s="19"/>
    </row>
    <row r="625" ht="15.75" customHeight="1">
      <c r="A625" s="19"/>
      <c r="B625" s="4" t="s">
        <v>1425</v>
      </c>
      <c r="D625" s="78">
        <v>46130.0</v>
      </c>
      <c r="E625" s="4" t="s">
        <v>1426</v>
      </c>
      <c r="F625" s="19"/>
      <c r="AH625" s="85">
        <v>616.0</v>
      </c>
      <c r="AL625" s="19"/>
      <c r="AM625" s="19"/>
      <c r="AN625" s="19"/>
      <c r="AO625" s="19"/>
      <c r="AP625" s="19"/>
      <c r="AQ625" s="85">
        <v>560.0</v>
      </c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  <c r="BD625" s="19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  <c r="BP625" s="19"/>
      <c r="BQ625" s="19"/>
      <c r="BR625" s="19"/>
      <c r="BS625" s="19"/>
      <c r="BT625" s="19"/>
      <c r="BU625" s="19"/>
      <c r="BV625" s="19"/>
      <c r="BW625" s="19"/>
      <c r="BX625" s="19"/>
      <c r="BY625" s="19"/>
      <c r="BZ625" s="19"/>
      <c r="CA625" s="19"/>
      <c r="CB625" s="19"/>
      <c r="CC625" s="19"/>
      <c r="CD625" s="19"/>
      <c r="CE625" s="19"/>
      <c r="CF625" s="19"/>
      <c r="CG625" s="19"/>
      <c r="CH625" s="19"/>
      <c r="CI625" s="19"/>
      <c r="CJ625" s="19"/>
      <c r="CK625" s="19"/>
      <c r="CL625" s="19"/>
      <c r="CM625" s="19"/>
      <c r="CN625" s="19"/>
      <c r="CO625" s="19"/>
      <c r="CP625" s="19"/>
      <c r="CQ625" s="19"/>
      <c r="CR625" s="19"/>
      <c r="CS625" s="19"/>
      <c r="CT625" s="19"/>
      <c r="CU625" s="19"/>
      <c r="CV625" s="19"/>
      <c r="CW625" s="19"/>
      <c r="CX625" s="19"/>
      <c r="CY625" s="19"/>
      <c r="CZ625" s="19"/>
      <c r="DA625" s="19"/>
      <c r="DB625" s="19"/>
      <c r="DC625" s="19"/>
      <c r="DD625" s="19"/>
      <c r="DE625" s="19"/>
      <c r="DF625" s="19"/>
      <c r="DG625" s="19"/>
      <c r="DH625" s="19"/>
      <c r="DI625" s="19"/>
      <c r="DJ625" s="19"/>
      <c r="DK625" s="19"/>
      <c r="DL625" s="19"/>
      <c r="DM625" s="19"/>
      <c r="DN625" s="19"/>
      <c r="DO625" s="19"/>
      <c r="DP625" s="19"/>
      <c r="DQ625" s="19"/>
      <c r="DR625" s="19"/>
      <c r="DS625" s="19"/>
      <c r="DT625" s="19"/>
      <c r="DU625" s="19"/>
      <c r="DV625" s="19"/>
      <c r="DW625" s="19"/>
      <c r="DX625" s="19"/>
      <c r="DY625" s="19"/>
      <c r="DZ625" s="19"/>
      <c r="EA625" s="19"/>
      <c r="EB625" s="19"/>
      <c r="EC625" s="19"/>
      <c r="ED625" s="19"/>
      <c r="EE625" s="19"/>
      <c r="EF625" s="19"/>
      <c r="EG625" s="19"/>
      <c r="EH625" s="19"/>
      <c r="EI625" s="19"/>
      <c r="EJ625" s="19"/>
      <c r="EK625" s="19"/>
      <c r="EL625" s="19"/>
      <c r="EM625" s="19"/>
      <c r="EN625" s="4" t="s">
        <v>79</v>
      </c>
      <c r="EO625" s="19"/>
      <c r="EP625" s="17"/>
      <c r="EQ625" s="23"/>
      <c r="ER625" s="23"/>
      <c r="ES625" s="19"/>
      <c r="ET625" s="19"/>
      <c r="EU625" s="19"/>
      <c r="EV625" s="19"/>
      <c r="EW625" s="19"/>
      <c r="EX625" s="19"/>
      <c r="EY625" s="19"/>
      <c r="EZ625" s="19"/>
      <c r="FA625" s="19"/>
      <c r="FB625" s="19"/>
    </row>
    <row r="626" ht="15.75" customHeight="1">
      <c r="A626" s="19"/>
      <c r="B626" s="4" t="s">
        <v>515</v>
      </c>
      <c r="D626" s="78">
        <v>46128.0</v>
      </c>
      <c r="E626" s="4" t="s">
        <v>1430</v>
      </c>
      <c r="F626" s="19"/>
      <c r="AH626" s="85">
        <v>124740.0</v>
      </c>
      <c r="AL626" s="19"/>
      <c r="AM626" s="19"/>
      <c r="AN626" s="19"/>
      <c r="AO626" s="19"/>
      <c r="AP626" s="19"/>
      <c r="AQ626" s="85">
        <v>92426.0</v>
      </c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  <c r="BD626" s="19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  <c r="BP626" s="19"/>
      <c r="BQ626" s="19"/>
      <c r="BR626" s="19"/>
      <c r="BS626" s="19"/>
      <c r="BT626" s="19"/>
      <c r="BU626" s="19"/>
      <c r="BV626" s="19"/>
      <c r="BW626" s="19"/>
      <c r="BX626" s="19"/>
      <c r="BY626" s="19"/>
      <c r="BZ626" s="19"/>
      <c r="CA626" s="19"/>
      <c r="CB626" s="19"/>
      <c r="CC626" s="19"/>
      <c r="CD626" s="19"/>
      <c r="CE626" s="19"/>
      <c r="CF626" s="19"/>
      <c r="CG626" s="19"/>
      <c r="CH626" s="19"/>
      <c r="CI626" s="19"/>
      <c r="CJ626" s="19"/>
      <c r="CK626" s="19"/>
      <c r="CL626" s="19"/>
      <c r="CM626" s="19"/>
      <c r="CN626" s="19"/>
      <c r="CO626" s="19"/>
      <c r="CP626" s="19"/>
      <c r="CQ626" s="19"/>
      <c r="CR626" s="19"/>
      <c r="CS626" s="19"/>
      <c r="CT626" s="19"/>
      <c r="CU626" s="19"/>
      <c r="CV626" s="19"/>
      <c r="CW626" s="19"/>
      <c r="CX626" s="19"/>
      <c r="CY626" s="19"/>
      <c r="CZ626" s="19"/>
      <c r="DA626" s="19"/>
      <c r="DB626" s="19"/>
      <c r="DC626" s="19"/>
      <c r="DD626" s="19"/>
      <c r="DE626" s="19"/>
      <c r="DF626" s="19"/>
      <c r="DG626" s="19"/>
      <c r="DH626" s="19"/>
      <c r="DI626" s="19"/>
      <c r="DJ626" s="19"/>
      <c r="DK626" s="19"/>
      <c r="DL626" s="19"/>
      <c r="DM626" s="19"/>
      <c r="DN626" s="19"/>
      <c r="DO626" s="19"/>
      <c r="DP626" s="19"/>
      <c r="DQ626" s="19"/>
      <c r="DR626" s="19"/>
      <c r="DS626" s="19"/>
      <c r="DT626" s="19"/>
      <c r="DU626" s="19"/>
      <c r="DV626" s="19"/>
      <c r="DW626" s="19"/>
      <c r="DX626" s="19"/>
      <c r="DY626" s="19"/>
      <c r="DZ626" s="19"/>
      <c r="EA626" s="19"/>
      <c r="EB626" s="19"/>
      <c r="EC626" s="19"/>
      <c r="ED626" s="19"/>
      <c r="EE626" s="19"/>
      <c r="EF626" s="19"/>
      <c r="EG626" s="19"/>
      <c r="EH626" s="19"/>
      <c r="EI626" s="19"/>
      <c r="EJ626" s="19"/>
      <c r="EK626" s="19"/>
      <c r="EL626" s="19"/>
      <c r="EM626" s="19"/>
      <c r="EN626" s="4" t="s">
        <v>79</v>
      </c>
      <c r="EO626" s="19"/>
      <c r="EP626" s="17"/>
      <c r="EQ626" s="23"/>
      <c r="ER626" s="23"/>
      <c r="ES626" s="19"/>
      <c r="ET626" s="19"/>
      <c r="EU626" s="19"/>
      <c r="EV626" s="19"/>
      <c r="EW626" s="19"/>
      <c r="EX626" s="19"/>
      <c r="EY626" s="19"/>
      <c r="EZ626" s="19"/>
      <c r="FA626" s="19"/>
      <c r="FB626" s="19"/>
    </row>
  </sheetData>
  <autoFilter ref="$A$1:$EY$626">
    <sortState ref="A1:EY626">
      <sortCondition ref="AQ1:AQ626"/>
      <sortCondition ref="D1:D626"/>
    </sortState>
  </autoFilter>
  <conditionalFormatting sqref="A2:FB626">
    <cfRule type="expression" dxfId="9" priority="1">
      <formula>AND($EN2="自動消込")</formula>
    </cfRule>
  </conditionalFormatting>
  <conditionalFormatting sqref="A2:FB626">
    <cfRule type="expression" dxfId="10" priority="2">
      <formula>AND($EN2="要確認")</formula>
    </cfRule>
  </conditionalFormatting>
  <conditionalFormatting sqref="ES2:ES626">
    <cfRule type="cellIs" dxfId="11" priority="3" stopIfTrue="1" operator="equal">
      <formula>"入金済"</formula>
    </cfRule>
  </conditionalFormatting>
  <conditionalFormatting sqref="ES2:ES626">
    <cfRule type="cellIs" dxfId="12" priority="4" stopIfTrue="1" operator="equal">
      <formula>"一部入金"</formula>
    </cfRule>
  </conditionalFormatting>
  <conditionalFormatting sqref="ES2:ES626">
    <cfRule type="cellIs" dxfId="13" priority="5" stopIfTrue="1" operator="equal">
      <formula>"要確認"</formula>
    </cfRule>
  </conditionalFormatting>
  <conditionalFormatting sqref="ET2:ET626">
    <cfRule type="cellIs" dxfId="14" priority="6" stopIfTrue="1" operator="equal">
      <formula>"期限間近"</formula>
    </cfRule>
  </conditionalFormatting>
  <conditionalFormatting sqref="ET2:ET626">
    <cfRule type="cellIs" dxfId="15" priority="7" stopIfTrue="1" operator="equal">
      <formula>"期限超過"</formula>
    </cfRule>
  </conditionalFormatting>
  <dataValidations>
    <dataValidation type="list" allowBlank="1" showInputMessage="1" showErrorMessage="1" prompt="入金状況を選択してください" sqref="ES2:ES626">
      <formula1>"未入金,一部入金,入金済,要確認,保留"</formula1>
    </dataValidation>
  </dataValidation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2.63" defaultRowHeight="15.0"/>
  <cols>
    <col customWidth="1" min="1" max="1" width="12.75"/>
    <col customWidth="1" min="2" max="2" width="12.63"/>
    <col customWidth="1" min="3" max="3" width="29.38"/>
    <col customWidth="1" min="4" max="4" width="12.63"/>
    <col customWidth="1" min="5" max="7" width="12.75"/>
    <col customWidth="1" min="8" max="8" width="10.5"/>
    <col customWidth="1" hidden="1" min="9" max="13" width="12.63"/>
  </cols>
  <sheetData>
    <row r="1" ht="15.75" customHeight="1">
      <c r="A1" s="86" t="s">
        <v>61</v>
      </c>
      <c r="B1" s="86" t="s">
        <v>65</v>
      </c>
      <c r="C1" s="86" t="s">
        <v>63</v>
      </c>
      <c r="D1" s="87" t="s">
        <v>66</v>
      </c>
      <c r="E1" s="86" t="s">
        <v>1431</v>
      </c>
      <c r="F1" s="86" t="s">
        <v>1432</v>
      </c>
      <c r="G1" s="86" t="s">
        <v>68</v>
      </c>
      <c r="H1" s="86" t="s">
        <v>71</v>
      </c>
      <c r="I1" s="86" t="s">
        <v>1433</v>
      </c>
      <c r="J1" s="86" t="s">
        <v>1434</v>
      </c>
      <c r="K1" s="86" t="s">
        <v>64</v>
      </c>
      <c r="L1" s="88" t="s">
        <v>72</v>
      </c>
      <c r="M1" s="86" t="s">
        <v>1435</v>
      </c>
      <c r="N1" s="86" t="s">
        <v>129</v>
      </c>
      <c r="O1" s="86" t="s">
        <v>62</v>
      </c>
      <c r="P1" s="86" t="s">
        <v>1436</v>
      </c>
      <c r="Q1" s="86" t="s">
        <v>1437</v>
      </c>
      <c r="R1" s="86" t="s">
        <v>1438</v>
      </c>
      <c r="S1" s="86" t="s">
        <v>1439</v>
      </c>
      <c r="T1" s="86" t="s">
        <v>1440</v>
      </c>
    </row>
    <row r="2" ht="15.75" customHeight="1">
      <c r="A2" s="89">
        <v>46084.0</v>
      </c>
      <c r="B2" s="90" t="s">
        <v>1441</v>
      </c>
      <c r="C2" s="90" t="s">
        <v>1442</v>
      </c>
      <c r="D2" s="91">
        <v>8000000.0</v>
      </c>
      <c r="E2" s="90"/>
      <c r="F2" s="90"/>
      <c r="G2" s="90" t="s">
        <v>156</v>
      </c>
      <c r="H2" s="92">
        <v>46082.0</v>
      </c>
      <c r="I2" s="90"/>
      <c r="J2" s="90"/>
      <c r="K2" s="90" t="s">
        <v>1442</v>
      </c>
      <c r="L2" s="90">
        <v>2419.0</v>
      </c>
      <c r="M2" s="90">
        <v>0.0</v>
      </c>
      <c r="N2" s="4" t="s">
        <v>1442</v>
      </c>
      <c r="O2" s="4" t="s">
        <v>1442</v>
      </c>
      <c r="P2" s="4"/>
      <c r="Q2" s="4"/>
      <c r="R2" s="4"/>
      <c r="S2" s="4"/>
      <c r="T2" s="4"/>
    </row>
    <row r="3" ht="15.75" hidden="1" customHeight="1">
      <c r="A3" s="80">
        <v>46090.0</v>
      </c>
      <c r="B3" s="79" t="s">
        <v>1443</v>
      </c>
      <c r="C3" s="79" t="s">
        <v>1444</v>
      </c>
      <c r="D3" s="83">
        <v>3026.0</v>
      </c>
      <c r="E3" s="79"/>
      <c r="F3" s="79"/>
      <c r="G3" s="79" t="s">
        <v>59</v>
      </c>
      <c r="H3" s="82">
        <v>46082.0</v>
      </c>
      <c r="I3" s="79"/>
      <c r="J3" s="79"/>
      <c r="K3" s="79" t="s">
        <v>1444</v>
      </c>
      <c r="L3" s="79">
        <v>2465.0</v>
      </c>
      <c r="M3" s="79">
        <v>0.0</v>
      </c>
      <c r="N3" s="4" t="s">
        <v>1444</v>
      </c>
      <c r="O3" s="4" t="s">
        <v>1444</v>
      </c>
    </row>
    <row r="4" ht="15.75" hidden="1" customHeight="1">
      <c r="A4" s="80">
        <v>46090.0</v>
      </c>
      <c r="B4" s="79" t="s">
        <v>1443</v>
      </c>
      <c r="C4" s="79" t="s">
        <v>1445</v>
      </c>
      <c r="D4" s="83">
        <v>3754.0</v>
      </c>
      <c r="E4" s="79"/>
      <c r="F4" s="79"/>
      <c r="G4" s="79" t="s">
        <v>59</v>
      </c>
      <c r="H4" s="82">
        <v>46082.0</v>
      </c>
      <c r="I4" s="79"/>
      <c r="J4" s="79"/>
      <c r="K4" s="79" t="s">
        <v>1445</v>
      </c>
      <c r="L4" s="79">
        <v>2467.0</v>
      </c>
      <c r="M4" s="79">
        <v>0.0</v>
      </c>
      <c r="N4" s="4" t="s">
        <v>1445</v>
      </c>
      <c r="O4" s="4" t="s">
        <v>1445</v>
      </c>
    </row>
    <row r="5" ht="15.75" customHeight="1">
      <c r="A5" s="89">
        <v>46090.0</v>
      </c>
      <c r="B5" s="90" t="s">
        <v>1446</v>
      </c>
      <c r="C5" s="90" t="s">
        <v>1447</v>
      </c>
      <c r="D5" s="91">
        <v>3000000.0</v>
      </c>
      <c r="E5" s="90"/>
      <c r="F5" s="90"/>
      <c r="G5" s="90" t="s">
        <v>156</v>
      </c>
      <c r="H5" s="92">
        <v>46082.0</v>
      </c>
      <c r="I5" s="90"/>
      <c r="J5" s="90"/>
      <c r="K5" s="90" t="s">
        <v>1447</v>
      </c>
      <c r="L5" s="90">
        <v>2481.0</v>
      </c>
      <c r="M5" s="90"/>
      <c r="N5" s="93" t="s">
        <v>1447</v>
      </c>
      <c r="O5" s="93" t="s">
        <v>1447</v>
      </c>
      <c r="P5" s="93"/>
      <c r="Q5" s="93"/>
      <c r="R5" s="93"/>
      <c r="S5" s="93"/>
      <c r="T5" s="93"/>
    </row>
    <row r="6" ht="15.75" customHeight="1">
      <c r="A6" s="89">
        <v>46091.0</v>
      </c>
      <c r="B6" s="90" t="s">
        <v>1441</v>
      </c>
      <c r="C6" s="90" t="s">
        <v>1448</v>
      </c>
      <c r="D6" s="91">
        <v>150000.0</v>
      </c>
      <c r="E6" s="90"/>
      <c r="F6" s="90"/>
      <c r="G6" s="90" t="s">
        <v>156</v>
      </c>
      <c r="H6" s="92">
        <v>46082.0</v>
      </c>
      <c r="I6" s="90"/>
      <c r="J6" s="90"/>
      <c r="K6" s="90" t="s">
        <v>1448</v>
      </c>
      <c r="L6" s="90">
        <v>2509.0</v>
      </c>
      <c r="M6" s="90">
        <v>0.0</v>
      </c>
      <c r="N6" s="93" t="s">
        <v>1448</v>
      </c>
      <c r="O6" s="93" t="s">
        <v>1448</v>
      </c>
      <c r="P6" s="93"/>
      <c r="Q6" s="93"/>
      <c r="R6" s="93"/>
      <c r="S6" s="93"/>
      <c r="T6" s="93"/>
    </row>
    <row r="7" ht="15.75" hidden="1" customHeight="1">
      <c r="A7" s="94">
        <v>46092.0</v>
      </c>
      <c r="B7" s="93" t="s">
        <v>1449</v>
      </c>
      <c r="C7" s="93" t="s">
        <v>1450</v>
      </c>
      <c r="D7" s="95">
        <v>3.2676781E7</v>
      </c>
      <c r="E7" s="93"/>
      <c r="F7" s="93"/>
      <c r="G7" s="93" t="s">
        <v>59</v>
      </c>
      <c r="H7" s="96">
        <v>46082.0</v>
      </c>
      <c r="I7" s="93"/>
      <c r="J7" s="93"/>
      <c r="K7" s="93" t="s">
        <v>1450</v>
      </c>
      <c r="L7" s="93">
        <v>2590.0</v>
      </c>
      <c r="M7" s="93">
        <v>0.0</v>
      </c>
      <c r="N7" s="93" t="s">
        <v>1450</v>
      </c>
      <c r="O7" s="93" t="s">
        <v>1450</v>
      </c>
      <c r="P7" s="93"/>
      <c r="Q7" s="93"/>
      <c r="R7" s="93"/>
      <c r="S7" s="93"/>
      <c r="T7" s="93"/>
    </row>
    <row r="8" ht="15.75" customHeight="1">
      <c r="A8" s="89">
        <v>46093.0</v>
      </c>
      <c r="B8" s="90" t="s">
        <v>1441</v>
      </c>
      <c r="C8" s="90" t="s">
        <v>1451</v>
      </c>
      <c r="D8" s="91">
        <v>401860.0</v>
      </c>
      <c r="E8" s="90"/>
      <c r="F8" s="90"/>
      <c r="G8" s="90" t="s">
        <v>156</v>
      </c>
      <c r="H8" s="92">
        <v>46082.0</v>
      </c>
      <c r="I8" s="90"/>
      <c r="J8" s="90"/>
      <c r="K8" s="90" t="s">
        <v>1451</v>
      </c>
      <c r="L8" s="90">
        <v>2530.0</v>
      </c>
      <c r="M8" s="90">
        <v>0.0</v>
      </c>
      <c r="N8" s="93" t="s">
        <v>1451</v>
      </c>
      <c r="O8" s="93" t="s">
        <v>1451</v>
      </c>
      <c r="P8" s="93"/>
      <c r="Q8" s="93"/>
      <c r="R8" s="93"/>
      <c r="S8" s="93"/>
      <c r="T8" s="93"/>
    </row>
    <row r="9" ht="15.75" customHeight="1">
      <c r="A9" s="89">
        <v>46097.0</v>
      </c>
      <c r="B9" s="90" t="s">
        <v>1441</v>
      </c>
      <c r="C9" s="90" t="s">
        <v>1452</v>
      </c>
      <c r="D9" s="91">
        <v>380712.0</v>
      </c>
      <c r="E9" s="90" t="s">
        <v>724</v>
      </c>
      <c r="F9" s="90" t="s">
        <v>730</v>
      </c>
      <c r="G9" s="90" t="s">
        <v>156</v>
      </c>
      <c r="H9" s="92">
        <v>46082.0</v>
      </c>
      <c r="I9" s="90"/>
      <c r="J9" s="90"/>
      <c r="K9" s="90" t="s">
        <v>1453</v>
      </c>
      <c r="L9" s="90">
        <v>2565.0</v>
      </c>
      <c r="M9" s="90">
        <v>0.0</v>
      </c>
      <c r="N9" s="93" t="s">
        <v>1453</v>
      </c>
      <c r="O9" s="93" t="s">
        <v>1453</v>
      </c>
      <c r="P9" s="93"/>
      <c r="Q9" s="93"/>
      <c r="R9" s="93"/>
      <c r="S9" s="93"/>
      <c r="T9" s="93"/>
    </row>
    <row r="10" ht="15.75" customHeight="1">
      <c r="A10" s="89">
        <v>46097.0</v>
      </c>
      <c r="B10" s="90" t="s">
        <v>1446</v>
      </c>
      <c r="C10" s="90" t="s">
        <v>1454</v>
      </c>
      <c r="D10" s="91">
        <v>117612.0</v>
      </c>
      <c r="E10" s="90"/>
      <c r="F10" s="90"/>
      <c r="G10" s="90" t="s">
        <v>156</v>
      </c>
      <c r="H10" s="92">
        <v>46082.0</v>
      </c>
      <c r="I10" s="90" t="s">
        <v>162</v>
      </c>
      <c r="J10" s="90">
        <v>0.0</v>
      </c>
      <c r="K10" s="90" t="s">
        <v>1454</v>
      </c>
      <c r="L10" s="90">
        <v>2566.0</v>
      </c>
      <c r="M10" s="90">
        <v>0.0</v>
      </c>
      <c r="N10" s="93" t="s">
        <v>1454</v>
      </c>
      <c r="O10" s="93" t="s">
        <v>1454</v>
      </c>
      <c r="P10" s="93"/>
      <c r="Q10" s="93"/>
      <c r="R10" s="93"/>
      <c r="S10" s="93"/>
      <c r="T10" s="93"/>
    </row>
    <row r="11" ht="15.75" customHeight="1">
      <c r="A11" s="80">
        <v>46097.0</v>
      </c>
      <c r="B11" s="79" t="s">
        <v>1455</v>
      </c>
      <c r="C11" s="79" t="s">
        <v>1456</v>
      </c>
      <c r="D11" s="83">
        <v>194799.0</v>
      </c>
      <c r="E11" s="79"/>
      <c r="F11" s="79"/>
      <c r="G11" s="79" t="s">
        <v>59</v>
      </c>
      <c r="H11" s="82">
        <v>46082.0</v>
      </c>
      <c r="I11" s="79"/>
      <c r="J11" s="79"/>
      <c r="K11" s="79" t="s">
        <v>1456</v>
      </c>
      <c r="L11" s="79">
        <v>2567.0</v>
      </c>
      <c r="M11" s="79">
        <v>0.0</v>
      </c>
      <c r="N11" s="4" t="s">
        <v>1456</v>
      </c>
      <c r="O11" s="4" t="s">
        <v>1456</v>
      </c>
    </row>
    <row r="12" ht="15.75" customHeight="1">
      <c r="A12" s="89">
        <v>46099.0</v>
      </c>
      <c r="B12" s="90" t="s">
        <v>1441</v>
      </c>
      <c r="C12" s="90" t="s">
        <v>1457</v>
      </c>
      <c r="D12" s="91">
        <v>9283350.0</v>
      </c>
      <c r="E12" s="90"/>
      <c r="F12" s="90"/>
      <c r="G12" s="90" t="s">
        <v>156</v>
      </c>
      <c r="H12" s="92">
        <v>46082.0</v>
      </c>
      <c r="I12" s="90"/>
      <c r="J12" s="90"/>
      <c r="K12" s="90" t="s">
        <v>1457</v>
      </c>
      <c r="L12" s="90">
        <v>2575.0</v>
      </c>
      <c r="M12" s="90">
        <v>0.0</v>
      </c>
      <c r="N12" s="4" t="s">
        <v>1457</v>
      </c>
      <c r="O12" s="4" t="s">
        <v>1457</v>
      </c>
      <c r="P12" s="4"/>
      <c r="Q12" s="4"/>
      <c r="R12" s="4"/>
      <c r="S12" s="4"/>
      <c r="T12" s="4"/>
    </row>
    <row r="13" ht="15.75" customHeight="1">
      <c r="A13" s="89">
        <v>46105.0</v>
      </c>
      <c r="B13" s="90" t="s">
        <v>1458</v>
      </c>
      <c r="C13" s="90" t="s">
        <v>1459</v>
      </c>
      <c r="D13" s="91">
        <v>9882700.0</v>
      </c>
      <c r="E13" s="90"/>
      <c r="F13" s="90"/>
      <c r="G13" s="90" t="s">
        <v>156</v>
      </c>
      <c r="H13" s="92">
        <v>46082.0</v>
      </c>
      <c r="I13" s="90"/>
      <c r="J13" s="90"/>
      <c r="K13" s="90" t="s">
        <v>1459</v>
      </c>
      <c r="L13" s="90">
        <v>2613.0</v>
      </c>
      <c r="M13" s="90">
        <v>0.0</v>
      </c>
      <c r="N13" s="4" t="s">
        <v>1459</v>
      </c>
      <c r="O13" s="4" t="s">
        <v>1459</v>
      </c>
      <c r="P13" s="4"/>
      <c r="Q13" s="4"/>
      <c r="R13" s="4"/>
      <c r="S13" s="4"/>
      <c r="T13" s="4"/>
    </row>
    <row r="14" ht="15.75" customHeight="1">
      <c r="A14" s="80">
        <v>46112.0</v>
      </c>
      <c r="B14" s="79" t="s">
        <v>1441</v>
      </c>
      <c r="C14" s="79" t="s">
        <v>311</v>
      </c>
      <c r="D14" s="83">
        <v>258698.0</v>
      </c>
      <c r="E14" s="79" t="s">
        <v>312</v>
      </c>
      <c r="F14" s="79" t="s">
        <v>313</v>
      </c>
      <c r="G14" s="79" t="s">
        <v>57</v>
      </c>
      <c r="H14" s="82">
        <v>46082.0</v>
      </c>
      <c r="I14" s="79"/>
      <c r="J14" s="79"/>
      <c r="K14" s="79" t="s">
        <v>1453</v>
      </c>
      <c r="L14" s="79">
        <v>2701.0</v>
      </c>
      <c r="M14" s="79">
        <v>0.0</v>
      </c>
      <c r="N14" s="4" t="s">
        <v>1453</v>
      </c>
      <c r="O14" s="4" t="s">
        <v>1453</v>
      </c>
      <c r="P14" s="4"/>
      <c r="Q14" s="4"/>
      <c r="R14" s="4"/>
      <c r="S14" s="4"/>
      <c r="T14" s="4"/>
    </row>
    <row r="15" ht="15.75" customHeight="1">
      <c r="A15" s="89">
        <v>46112.0</v>
      </c>
      <c r="B15" s="90" t="s">
        <v>1446</v>
      </c>
      <c r="C15" s="90" t="s">
        <v>1454</v>
      </c>
      <c r="D15" s="91">
        <v>508157.0</v>
      </c>
      <c r="E15" s="90"/>
      <c r="F15" s="90"/>
      <c r="G15" s="90" t="s">
        <v>156</v>
      </c>
      <c r="H15" s="92">
        <v>46082.0</v>
      </c>
      <c r="I15" s="90" t="s">
        <v>162</v>
      </c>
      <c r="J15" s="90">
        <v>0.0</v>
      </c>
      <c r="K15" s="90" t="s">
        <v>1454</v>
      </c>
      <c r="L15" s="90">
        <v>2702.0</v>
      </c>
      <c r="M15" s="90">
        <v>0.0</v>
      </c>
      <c r="N15" s="4" t="s">
        <v>1454</v>
      </c>
      <c r="O15" s="4" t="s">
        <v>1454</v>
      </c>
      <c r="P15" s="4"/>
      <c r="Q15" s="4"/>
      <c r="R15" s="4"/>
      <c r="S15" s="4"/>
      <c r="T15" s="4"/>
    </row>
    <row r="16" ht="15.75" customHeight="1">
      <c r="A16" s="89">
        <v>46112.0</v>
      </c>
      <c r="B16" s="90" t="s">
        <v>1446</v>
      </c>
      <c r="C16" s="90" t="s">
        <v>1460</v>
      </c>
      <c r="D16" s="91">
        <v>1457088.0</v>
      </c>
      <c r="E16" s="90"/>
      <c r="F16" s="90"/>
      <c r="G16" s="90" t="s">
        <v>156</v>
      </c>
      <c r="H16" s="92">
        <v>46082.0</v>
      </c>
      <c r="I16" s="90"/>
      <c r="J16" s="90"/>
      <c r="K16" s="90" t="s">
        <v>1460</v>
      </c>
      <c r="L16" s="90">
        <v>2736.0</v>
      </c>
      <c r="M16" s="90">
        <v>0.0</v>
      </c>
      <c r="N16" s="4" t="s">
        <v>1460</v>
      </c>
      <c r="O16" s="4" t="s">
        <v>1460</v>
      </c>
      <c r="P16" s="4"/>
      <c r="Q16" s="4"/>
      <c r="R16" s="4"/>
      <c r="S16" s="4"/>
      <c r="T16" s="4"/>
    </row>
    <row r="17" ht="15.75" customHeight="1">
      <c r="A17" s="89">
        <v>46112.0</v>
      </c>
      <c r="B17" s="90" t="s">
        <v>1446</v>
      </c>
      <c r="C17" s="90" t="s">
        <v>1461</v>
      </c>
      <c r="D17" s="91">
        <v>1457088.0</v>
      </c>
      <c r="E17" s="90"/>
      <c r="F17" s="90"/>
      <c r="G17" s="90" t="s">
        <v>156</v>
      </c>
      <c r="H17" s="92">
        <v>46082.0</v>
      </c>
      <c r="I17" s="90"/>
      <c r="J17" s="90"/>
      <c r="K17" s="90" t="s">
        <v>1462</v>
      </c>
      <c r="L17" s="90">
        <v>2696.0</v>
      </c>
      <c r="M17" s="90"/>
      <c r="N17" s="4" t="s">
        <v>1462</v>
      </c>
      <c r="O17" s="4" t="s">
        <v>1462</v>
      </c>
      <c r="P17" s="4"/>
      <c r="Q17" s="4"/>
      <c r="R17" s="4"/>
      <c r="S17" s="4"/>
      <c r="T17" s="4"/>
    </row>
    <row r="18" ht="15.75" customHeight="1">
      <c r="A18" s="80">
        <v>46113.0</v>
      </c>
      <c r="B18" s="79" t="s">
        <v>1446</v>
      </c>
      <c r="C18" s="79" t="s">
        <v>314</v>
      </c>
      <c r="D18" s="83">
        <v>66850.0</v>
      </c>
      <c r="E18" s="79"/>
      <c r="F18" s="79"/>
      <c r="G18" s="79" t="s">
        <v>57</v>
      </c>
      <c r="H18" s="97">
        <v>46113.0</v>
      </c>
      <c r="I18" s="79"/>
      <c r="J18" s="79"/>
      <c r="K18" s="79" t="s">
        <v>1463</v>
      </c>
      <c r="L18" s="79">
        <v>2700.0</v>
      </c>
      <c r="M18" s="79"/>
      <c r="N18" s="4" t="s">
        <v>1463</v>
      </c>
      <c r="O18" s="4" t="s">
        <v>1463</v>
      </c>
      <c r="P18" s="4"/>
      <c r="Q18" s="4"/>
      <c r="R18" s="4"/>
      <c r="S18" s="4"/>
      <c r="T18" s="4"/>
    </row>
    <row r="19" ht="15.75" customHeight="1">
      <c r="A19" s="89">
        <v>46114.0</v>
      </c>
      <c r="B19" s="90" t="s">
        <v>1464</v>
      </c>
      <c r="C19" s="90" t="s">
        <v>1465</v>
      </c>
      <c r="D19" s="91">
        <v>27280.0</v>
      </c>
      <c r="E19" s="90" t="s">
        <v>502</v>
      </c>
      <c r="F19" s="90" t="s">
        <v>509</v>
      </c>
      <c r="G19" s="90" t="s">
        <v>156</v>
      </c>
      <c r="H19" s="98">
        <v>46113.0</v>
      </c>
      <c r="I19" s="90"/>
      <c r="J19" s="90"/>
      <c r="K19" s="90" t="s">
        <v>1466</v>
      </c>
      <c r="L19" s="90">
        <v>2707.0</v>
      </c>
      <c r="M19" s="90"/>
      <c r="N19" s="4" t="s">
        <v>1466</v>
      </c>
      <c r="O19" s="4" t="s">
        <v>1466</v>
      </c>
      <c r="P19" s="4"/>
      <c r="Q19" s="4"/>
      <c r="R19" s="4"/>
      <c r="S19" s="4"/>
      <c r="T19" s="4"/>
    </row>
    <row r="20" ht="15.75" customHeight="1">
      <c r="A20" s="89">
        <v>46115.0</v>
      </c>
      <c r="B20" s="90" t="s">
        <v>1446</v>
      </c>
      <c r="C20" s="90" t="s">
        <v>1467</v>
      </c>
      <c r="D20" s="91">
        <v>70000.0</v>
      </c>
      <c r="E20" s="90" t="s">
        <v>1468</v>
      </c>
      <c r="F20" s="90" t="s">
        <v>1469</v>
      </c>
      <c r="G20" s="90" t="s">
        <v>156</v>
      </c>
      <c r="H20" s="92">
        <v>46113.0</v>
      </c>
      <c r="I20" s="90"/>
      <c r="J20" s="90"/>
      <c r="K20" s="90" t="s">
        <v>1470</v>
      </c>
      <c r="L20" s="90">
        <v>2722.0</v>
      </c>
      <c r="M20" s="90"/>
      <c r="N20" s="4" t="s">
        <v>1470</v>
      </c>
      <c r="O20" s="4" t="s">
        <v>1470</v>
      </c>
      <c r="P20" s="4"/>
      <c r="Q20" s="4"/>
      <c r="R20" s="4"/>
      <c r="S20" s="4"/>
      <c r="T20" s="4"/>
    </row>
    <row r="21" ht="15.75" customHeight="1">
      <c r="A21" s="89">
        <v>46115.0</v>
      </c>
      <c r="B21" s="90" t="s">
        <v>1446</v>
      </c>
      <c r="C21" s="90" t="s">
        <v>1471</v>
      </c>
      <c r="D21" s="91">
        <v>1550000.0</v>
      </c>
      <c r="E21" s="90"/>
      <c r="F21" s="90"/>
      <c r="G21" s="90" t="s">
        <v>156</v>
      </c>
      <c r="H21" s="92">
        <v>46113.0</v>
      </c>
      <c r="I21" s="90"/>
      <c r="J21" s="90"/>
      <c r="K21" s="90" t="s">
        <v>1472</v>
      </c>
      <c r="L21" s="90">
        <v>2728.0</v>
      </c>
      <c r="M21" s="90"/>
      <c r="N21" s="4" t="s">
        <v>1472</v>
      </c>
      <c r="O21" s="4" t="s">
        <v>1472</v>
      </c>
      <c r="P21" s="4"/>
      <c r="Q21" s="4"/>
      <c r="R21" s="4"/>
      <c r="S21" s="4"/>
      <c r="T21" s="4"/>
    </row>
    <row r="22" ht="15.75" customHeight="1">
      <c r="A22" s="89">
        <v>46118.0</v>
      </c>
      <c r="B22" s="90" t="s">
        <v>1441</v>
      </c>
      <c r="C22" s="90" t="s">
        <v>1473</v>
      </c>
      <c r="D22" s="91">
        <v>99000.0</v>
      </c>
      <c r="E22" s="90" t="s">
        <v>1474</v>
      </c>
      <c r="F22" s="90" t="s">
        <v>907</v>
      </c>
      <c r="G22" s="90" t="s">
        <v>156</v>
      </c>
      <c r="H22" s="92">
        <v>46113.0</v>
      </c>
      <c r="I22" s="90"/>
      <c r="J22" s="90"/>
      <c r="K22" s="90" t="s">
        <v>1473</v>
      </c>
      <c r="L22" s="90">
        <v>2741.0</v>
      </c>
      <c r="M22" s="90"/>
      <c r="N22" s="4" t="s">
        <v>1473</v>
      </c>
      <c r="O22" s="4" t="s">
        <v>1473</v>
      </c>
      <c r="P22" s="4"/>
      <c r="Q22" s="4"/>
      <c r="R22" s="4"/>
      <c r="S22" s="4"/>
      <c r="T22" s="4"/>
    </row>
    <row r="23" ht="15.75" customHeight="1">
      <c r="A23" s="80">
        <v>46119.0</v>
      </c>
      <c r="B23" s="79" t="s">
        <v>1446</v>
      </c>
      <c r="C23" s="79" t="s">
        <v>315</v>
      </c>
      <c r="D23" s="83">
        <v>1150000.0</v>
      </c>
      <c r="E23" s="79"/>
      <c r="F23" s="79"/>
      <c r="G23" s="79" t="s">
        <v>57</v>
      </c>
      <c r="H23" s="82">
        <v>46113.0</v>
      </c>
      <c r="I23" s="79"/>
      <c r="J23" s="79"/>
      <c r="K23" s="79" t="s">
        <v>315</v>
      </c>
      <c r="L23" s="79">
        <v>2746.0</v>
      </c>
      <c r="M23" s="79"/>
      <c r="N23" s="4" t="s">
        <v>315</v>
      </c>
      <c r="O23" s="4" t="s">
        <v>315</v>
      </c>
      <c r="P23" s="4"/>
      <c r="Q23" s="4"/>
      <c r="R23" s="4"/>
      <c r="S23" s="4"/>
      <c r="T23" s="4"/>
    </row>
    <row r="24" ht="15.75" customHeight="1">
      <c r="A24" s="89">
        <v>46120.0</v>
      </c>
      <c r="B24" s="90" t="s">
        <v>1446</v>
      </c>
      <c r="C24" s="90" t="s">
        <v>1475</v>
      </c>
      <c r="D24" s="91">
        <v>302670.0</v>
      </c>
      <c r="E24" s="90" t="s">
        <v>1476</v>
      </c>
      <c r="F24" s="90" t="s">
        <v>1169</v>
      </c>
      <c r="G24" s="90" t="s">
        <v>156</v>
      </c>
      <c r="H24" s="92">
        <v>46113.0</v>
      </c>
      <c r="I24" s="90"/>
      <c r="J24" s="90"/>
      <c r="K24" s="90" t="s">
        <v>1477</v>
      </c>
      <c r="L24" s="90">
        <v>2747.0</v>
      </c>
      <c r="M24" s="90"/>
      <c r="N24" s="4" t="s">
        <v>1477</v>
      </c>
      <c r="O24" s="4" t="s">
        <v>1477</v>
      </c>
      <c r="P24" s="4"/>
      <c r="Q24" s="4"/>
      <c r="R24" s="4"/>
      <c r="S24" s="4"/>
      <c r="T24" s="4"/>
    </row>
    <row r="25" ht="15.75" customHeight="1">
      <c r="A25" s="80">
        <v>46121.0</v>
      </c>
      <c r="B25" s="79" t="s">
        <v>1441</v>
      </c>
      <c r="C25" s="79" t="s">
        <v>316</v>
      </c>
      <c r="D25" s="83">
        <v>25000.0</v>
      </c>
      <c r="E25" s="79"/>
      <c r="F25" s="79"/>
      <c r="G25" s="79" t="s">
        <v>57</v>
      </c>
      <c r="H25" s="97">
        <v>46113.0</v>
      </c>
      <c r="I25" s="79"/>
      <c r="J25" s="79"/>
      <c r="K25" s="79" t="s">
        <v>316</v>
      </c>
      <c r="L25" s="79">
        <v>2779.0</v>
      </c>
      <c r="M25" s="79"/>
      <c r="N25" s="4" t="s">
        <v>316</v>
      </c>
      <c r="O25" s="4" t="s">
        <v>316</v>
      </c>
      <c r="P25" s="4"/>
      <c r="Q25" s="4"/>
      <c r="R25" s="4"/>
      <c r="S25" s="4"/>
      <c r="T25" s="4"/>
    </row>
    <row r="26" ht="15.75" customHeight="1">
      <c r="A26" s="80">
        <v>46121.0</v>
      </c>
      <c r="B26" s="79" t="s">
        <v>1441</v>
      </c>
      <c r="C26" s="79" t="s">
        <v>317</v>
      </c>
      <c r="D26" s="83">
        <v>150000.0</v>
      </c>
      <c r="E26" s="79"/>
      <c r="F26" s="79"/>
      <c r="G26" s="79" t="s">
        <v>57</v>
      </c>
      <c r="H26" s="97">
        <v>46113.0</v>
      </c>
      <c r="I26" s="79"/>
      <c r="J26" s="79"/>
      <c r="K26" s="79" t="s">
        <v>1478</v>
      </c>
      <c r="L26" s="79">
        <v>2754.0</v>
      </c>
      <c r="M26" s="79"/>
      <c r="N26" s="4" t="s">
        <v>1478</v>
      </c>
      <c r="O26" s="4" t="s">
        <v>1478</v>
      </c>
      <c r="P26" s="4"/>
      <c r="Q26" s="4"/>
      <c r="R26" s="4"/>
      <c r="S26" s="4"/>
      <c r="T26" s="4"/>
    </row>
    <row r="27" ht="15.75" customHeight="1">
      <c r="A27" s="80">
        <v>46122.0</v>
      </c>
      <c r="B27" s="79" t="s">
        <v>1479</v>
      </c>
      <c r="C27" s="79" t="s">
        <v>1480</v>
      </c>
      <c r="D27" s="83">
        <v>159158.0</v>
      </c>
      <c r="E27" s="79"/>
      <c r="F27" s="79"/>
      <c r="G27" s="79" t="s">
        <v>59</v>
      </c>
      <c r="H27" s="97">
        <v>46113.0</v>
      </c>
      <c r="I27" s="79"/>
      <c r="J27" s="79"/>
      <c r="K27" s="79" t="s">
        <v>1480</v>
      </c>
      <c r="L27" s="79">
        <v>2767.0</v>
      </c>
      <c r="M27" s="79">
        <v>0.0</v>
      </c>
      <c r="N27" s="4" t="s">
        <v>1480</v>
      </c>
      <c r="O27" s="4" t="s">
        <v>1480</v>
      </c>
    </row>
    <row r="28" ht="15.75" customHeight="1">
      <c r="A28" s="80">
        <v>46122.0</v>
      </c>
      <c r="B28" s="79" t="s">
        <v>1479</v>
      </c>
      <c r="C28" s="79" t="s">
        <v>1480</v>
      </c>
      <c r="D28" s="83">
        <v>79577.0</v>
      </c>
      <c r="E28" s="79"/>
      <c r="F28" s="79"/>
      <c r="G28" s="79" t="s">
        <v>59</v>
      </c>
      <c r="H28" s="97">
        <v>46113.0</v>
      </c>
      <c r="I28" s="79"/>
      <c r="J28" s="79"/>
      <c r="K28" s="79" t="s">
        <v>1480</v>
      </c>
      <c r="L28" s="79">
        <v>2768.0</v>
      </c>
      <c r="M28" s="79">
        <v>0.0</v>
      </c>
      <c r="N28" s="4" t="s">
        <v>1480</v>
      </c>
      <c r="O28" s="4" t="s">
        <v>1480</v>
      </c>
    </row>
    <row r="29" ht="15.75" customHeight="1">
      <c r="A29" s="89">
        <v>46122.0</v>
      </c>
      <c r="B29" s="90" t="s">
        <v>1441</v>
      </c>
      <c r="C29" s="90" t="s">
        <v>1481</v>
      </c>
      <c r="D29" s="91">
        <v>104643.0</v>
      </c>
      <c r="E29" s="90" t="s">
        <v>683</v>
      </c>
      <c r="F29" s="90" t="s">
        <v>691</v>
      </c>
      <c r="G29" s="90" t="s">
        <v>156</v>
      </c>
      <c r="H29" s="92">
        <v>46113.0</v>
      </c>
      <c r="I29" s="90"/>
      <c r="J29" s="90"/>
      <c r="K29" s="90" t="s">
        <v>1481</v>
      </c>
      <c r="L29" s="90">
        <v>2771.0</v>
      </c>
      <c r="M29" s="90"/>
      <c r="N29" s="4" t="s">
        <v>1481</v>
      </c>
      <c r="O29" s="4" t="s">
        <v>1481</v>
      </c>
      <c r="P29" s="4"/>
      <c r="Q29" s="4"/>
      <c r="R29" s="4"/>
      <c r="S29" s="4"/>
      <c r="T29" s="4"/>
    </row>
    <row r="30" ht="15.75" customHeight="1">
      <c r="A30" s="80">
        <v>46122.0</v>
      </c>
      <c r="B30" s="79" t="s">
        <v>1446</v>
      </c>
      <c r="C30" s="79" t="s">
        <v>318</v>
      </c>
      <c r="D30" s="83">
        <v>57700.0</v>
      </c>
      <c r="E30" s="79"/>
      <c r="F30" s="79" t="s">
        <v>320</v>
      </c>
      <c r="G30" s="79" t="s">
        <v>57</v>
      </c>
      <c r="H30" s="97">
        <v>46113.0</v>
      </c>
      <c r="I30" s="79"/>
      <c r="J30" s="79"/>
      <c r="K30" s="79" t="s">
        <v>318</v>
      </c>
      <c r="L30" s="79">
        <v>2772.0</v>
      </c>
      <c r="M30" s="79"/>
      <c r="N30" s="4" t="s">
        <v>318</v>
      </c>
      <c r="O30" s="4" t="s">
        <v>318</v>
      </c>
      <c r="P30" s="4"/>
      <c r="Q30" s="4"/>
      <c r="R30" s="4"/>
      <c r="S30" s="4"/>
      <c r="T30" s="4"/>
    </row>
    <row r="31" ht="15.75" customHeight="1">
      <c r="A31" s="89">
        <v>46122.0</v>
      </c>
      <c r="B31" s="90" t="s">
        <v>1441</v>
      </c>
      <c r="C31" s="90" t="s">
        <v>203</v>
      </c>
      <c r="D31" s="91">
        <v>8439760.0</v>
      </c>
      <c r="E31" s="90"/>
      <c r="F31" s="90"/>
      <c r="G31" s="90" t="s">
        <v>156</v>
      </c>
      <c r="H31" s="92">
        <v>46113.0</v>
      </c>
      <c r="I31" s="90"/>
      <c r="J31" s="90"/>
      <c r="K31" s="90" t="s">
        <v>203</v>
      </c>
      <c r="L31" s="90">
        <v>2815.0</v>
      </c>
      <c r="M31" s="90">
        <v>0.0</v>
      </c>
      <c r="N31" s="4" t="s">
        <v>203</v>
      </c>
      <c r="O31" s="4" t="s">
        <v>203</v>
      </c>
      <c r="P31" s="4"/>
      <c r="Q31" s="4"/>
      <c r="R31" s="4"/>
      <c r="S31" s="4"/>
      <c r="T31" s="4"/>
    </row>
    <row r="32" ht="15.75" customHeight="1">
      <c r="A32" s="80">
        <v>46122.0</v>
      </c>
      <c r="B32" s="79" t="s">
        <v>1446</v>
      </c>
      <c r="C32" s="79" t="s">
        <v>1482</v>
      </c>
      <c r="D32" s="83">
        <v>-177132.0</v>
      </c>
      <c r="E32" s="79"/>
      <c r="F32" s="79"/>
      <c r="G32" s="79" t="s">
        <v>59</v>
      </c>
      <c r="H32" s="82">
        <v>46113.0</v>
      </c>
      <c r="I32" s="79"/>
      <c r="J32" s="79"/>
      <c r="K32" s="79" t="s">
        <v>1482</v>
      </c>
      <c r="L32" s="79"/>
      <c r="M32" s="79"/>
      <c r="N32" s="4" t="s">
        <v>1482</v>
      </c>
      <c r="O32" s="4" t="s">
        <v>1482</v>
      </c>
    </row>
    <row r="33" ht="15.75" customHeight="1">
      <c r="A33" s="80">
        <v>46122.0</v>
      </c>
      <c r="B33" s="79" t="s">
        <v>1483</v>
      </c>
      <c r="C33" s="79" t="s">
        <v>1484</v>
      </c>
      <c r="D33" s="83">
        <v>-1650.0</v>
      </c>
      <c r="E33" s="79"/>
      <c r="F33" s="79"/>
      <c r="G33" s="79" t="s">
        <v>59</v>
      </c>
      <c r="H33" s="82">
        <v>46113.0</v>
      </c>
      <c r="I33" s="79"/>
      <c r="J33" s="79"/>
      <c r="K33" s="79" t="s">
        <v>1484</v>
      </c>
      <c r="L33" s="79"/>
      <c r="M33" s="79"/>
      <c r="N33" s="4" t="s">
        <v>1484</v>
      </c>
      <c r="O33" s="4" t="s">
        <v>1484</v>
      </c>
    </row>
    <row r="34" ht="15.75" customHeight="1">
      <c r="A34" s="80">
        <v>46122.0</v>
      </c>
      <c r="B34" s="79" t="s">
        <v>1483</v>
      </c>
      <c r="C34" s="79" t="s">
        <v>1485</v>
      </c>
      <c r="D34" s="83">
        <v>-2530.0</v>
      </c>
      <c r="E34" s="79"/>
      <c r="F34" s="79"/>
      <c r="G34" s="79" t="s">
        <v>59</v>
      </c>
      <c r="H34" s="82">
        <v>46113.0</v>
      </c>
      <c r="I34" s="79"/>
      <c r="J34" s="79"/>
      <c r="K34" s="79" t="s">
        <v>1485</v>
      </c>
      <c r="L34" s="79"/>
      <c r="M34" s="79"/>
      <c r="N34" s="4" t="s">
        <v>1485</v>
      </c>
      <c r="O34" s="4" t="s">
        <v>1485</v>
      </c>
    </row>
    <row r="35" ht="15.75" customHeight="1">
      <c r="A35" s="80">
        <v>46122.0</v>
      </c>
      <c r="B35" s="79" t="s">
        <v>1483</v>
      </c>
      <c r="C35" s="79" t="s">
        <v>1486</v>
      </c>
      <c r="D35" s="83">
        <v>-11385.0</v>
      </c>
      <c r="E35" s="79"/>
      <c r="F35" s="79"/>
      <c r="G35" s="79" t="s">
        <v>59</v>
      </c>
      <c r="H35" s="82">
        <v>46113.0</v>
      </c>
      <c r="I35" s="79"/>
      <c r="J35" s="79"/>
      <c r="K35" s="79" t="s">
        <v>1486</v>
      </c>
      <c r="L35" s="79"/>
      <c r="M35" s="79"/>
      <c r="N35" s="4" t="s">
        <v>1486</v>
      </c>
      <c r="O35" s="4" t="s">
        <v>1486</v>
      </c>
    </row>
    <row r="36" ht="15.75" customHeight="1">
      <c r="A36" s="80">
        <v>46122.0</v>
      </c>
      <c r="B36" s="79" t="s">
        <v>1483</v>
      </c>
      <c r="C36" s="79" t="s">
        <v>1487</v>
      </c>
      <c r="D36" s="83">
        <v>-440.0</v>
      </c>
      <c r="E36" s="79"/>
      <c r="F36" s="79"/>
      <c r="G36" s="79" t="s">
        <v>59</v>
      </c>
      <c r="H36" s="82">
        <v>46113.0</v>
      </c>
      <c r="I36" s="79"/>
      <c r="J36" s="79"/>
      <c r="K36" s="79" t="s">
        <v>1487</v>
      </c>
      <c r="L36" s="79"/>
      <c r="M36" s="79"/>
      <c r="N36" s="4" t="s">
        <v>1487</v>
      </c>
      <c r="O36" s="4" t="s">
        <v>1487</v>
      </c>
    </row>
    <row r="37" ht="15.75" customHeight="1">
      <c r="A37" s="80">
        <v>46122.0</v>
      </c>
      <c r="B37" s="79" t="s">
        <v>1483</v>
      </c>
      <c r="C37" s="79" t="s">
        <v>1488</v>
      </c>
      <c r="D37" s="83">
        <v>-3850.0</v>
      </c>
      <c r="E37" s="79"/>
      <c r="F37" s="79"/>
      <c r="G37" s="79" t="s">
        <v>59</v>
      </c>
      <c r="H37" s="82">
        <v>46113.0</v>
      </c>
      <c r="I37" s="79"/>
      <c r="J37" s="79"/>
      <c r="K37" s="79" t="s">
        <v>1488</v>
      </c>
      <c r="L37" s="79"/>
      <c r="M37" s="79"/>
      <c r="N37" s="4" t="s">
        <v>1488</v>
      </c>
      <c r="O37" s="4" t="s">
        <v>1488</v>
      </c>
    </row>
    <row r="38" ht="15.75" customHeight="1">
      <c r="A38" s="80">
        <v>46122.0</v>
      </c>
      <c r="B38" s="79" t="s">
        <v>1446</v>
      </c>
      <c r="C38" s="79" t="s">
        <v>1489</v>
      </c>
      <c r="D38" s="83">
        <v>-440.0</v>
      </c>
      <c r="E38" s="79"/>
      <c r="F38" s="79"/>
      <c r="G38" s="79" t="s">
        <v>59</v>
      </c>
      <c r="H38" s="82">
        <v>46113.0</v>
      </c>
      <c r="I38" s="79"/>
      <c r="J38" s="79"/>
      <c r="K38" s="79" t="s">
        <v>1489</v>
      </c>
      <c r="L38" s="79"/>
      <c r="M38" s="79"/>
      <c r="N38" s="4" t="s">
        <v>1489</v>
      </c>
      <c r="O38" s="4" t="s">
        <v>1489</v>
      </c>
    </row>
    <row r="39" ht="15.75" customHeight="1">
      <c r="A39" s="80">
        <v>46122.0</v>
      </c>
      <c r="B39" s="79" t="s">
        <v>1483</v>
      </c>
      <c r="C39" s="79" t="s">
        <v>1490</v>
      </c>
      <c r="D39" s="83">
        <v>-3630.0</v>
      </c>
      <c r="E39" s="79"/>
      <c r="F39" s="79"/>
      <c r="G39" s="79" t="s">
        <v>59</v>
      </c>
      <c r="H39" s="82">
        <v>46113.0</v>
      </c>
      <c r="I39" s="79"/>
      <c r="J39" s="79"/>
      <c r="K39" s="79" t="s">
        <v>1490</v>
      </c>
      <c r="L39" s="79"/>
      <c r="M39" s="79"/>
      <c r="N39" s="4" t="s">
        <v>1490</v>
      </c>
      <c r="O39" s="4" t="s">
        <v>1490</v>
      </c>
    </row>
    <row r="40" ht="15.75" customHeight="1">
      <c r="A40" s="80">
        <v>46122.0</v>
      </c>
      <c r="B40" s="79" t="s">
        <v>1446</v>
      </c>
      <c r="C40" s="79" t="s">
        <v>1491</v>
      </c>
      <c r="D40" s="83">
        <v>-455500.0</v>
      </c>
      <c r="E40" s="79"/>
      <c r="F40" s="79"/>
      <c r="G40" s="79" t="s">
        <v>59</v>
      </c>
      <c r="H40" s="82">
        <v>46113.0</v>
      </c>
      <c r="I40" s="79"/>
      <c r="J40" s="79"/>
      <c r="K40" s="79" t="s">
        <v>1491</v>
      </c>
      <c r="L40" s="79"/>
      <c r="M40" s="79"/>
      <c r="N40" s="4" t="s">
        <v>1491</v>
      </c>
      <c r="O40" s="4" t="s">
        <v>1491</v>
      </c>
    </row>
    <row r="41" ht="15.75" customHeight="1">
      <c r="A41" s="80">
        <v>46122.0</v>
      </c>
      <c r="B41" s="79" t="s">
        <v>1492</v>
      </c>
      <c r="C41" s="79" t="s">
        <v>1493</v>
      </c>
      <c r="D41" s="83">
        <v>1000000.0</v>
      </c>
      <c r="E41" s="79"/>
      <c r="F41" s="79"/>
      <c r="G41" s="79" t="s">
        <v>59</v>
      </c>
      <c r="H41" s="82">
        <v>46113.0</v>
      </c>
      <c r="I41" s="79"/>
      <c r="J41" s="79"/>
      <c r="K41" s="79" t="s">
        <v>1494</v>
      </c>
      <c r="L41" s="79"/>
      <c r="M41" s="79"/>
      <c r="N41" s="4" t="s">
        <v>1494</v>
      </c>
      <c r="O41" s="4" t="s">
        <v>1494</v>
      </c>
    </row>
    <row r="42" ht="15.75" customHeight="1">
      <c r="A42" s="80">
        <v>46122.0</v>
      </c>
      <c r="B42" s="79" t="s">
        <v>1446</v>
      </c>
      <c r="C42" s="79" t="s">
        <v>1491</v>
      </c>
      <c r="D42" s="83">
        <v>-593649.0</v>
      </c>
      <c r="E42" s="79"/>
      <c r="F42" s="79"/>
      <c r="G42" s="79" t="s">
        <v>59</v>
      </c>
      <c r="H42" s="82">
        <v>46113.0</v>
      </c>
      <c r="I42" s="79"/>
      <c r="J42" s="79"/>
      <c r="K42" s="79" t="s">
        <v>1491</v>
      </c>
      <c r="L42" s="79"/>
      <c r="M42" s="79"/>
      <c r="N42" s="4" t="s">
        <v>1491</v>
      </c>
      <c r="O42" s="4" t="s">
        <v>1491</v>
      </c>
    </row>
    <row r="43" ht="15.75" customHeight="1">
      <c r="A43" s="80">
        <v>46122.0</v>
      </c>
      <c r="B43" s="79" t="s">
        <v>1446</v>
      </c>
      <c r="C43" s="79" t="s">
        <v>1495</v>
      </c>
      <c r="D43" s="83">
        <v>-515000.0</v>
      </c>
      <c r="E43" s="79"/>
      <c r="F43" s="79"/>
      <c r="G43" s="79" t="s">
        <v>59</v>
      </c>
      <c r="H43" s="82">
        <v>46113.0</v>
      </c>
      <c r="I43" s="79"/>
      <c r="J43" s="79"/>
      <c r="K43" s="79" t="s">
        <v>1495</v>
      </c>
      <c r="L43" s="79"/>
      <c r="M43" s="79"/>
      <c r="N43" s="4" t="s">
        <v>1495</v>
      </c>
      <c r="O43" s="4" t="s">
        <v>1495</v>
      </c>
    </row>
    <row r="44" ht="15.75" customHeight="1">
      <c r="A44" s="80">
        <v>46122.0</v>
      </c>
      <c r="B44" s="79" t="s">
        <v>1496</v>
      </c>
      <c r="C44" s="79" t="s">
        <v>1497</v>
      </c>
      <c r="D44" s="83">
        <v>-154399.0</v>
      </c>
      <c r="E44" s="79"/>
      <c r="F44" s="79"/>
      <c r="G44" s="79" t="s">
        <v>59</v>
      </c>
      <c r="H44" s="82">
        <v>46113.0</v>
      </c>
      <c r="I44" s="79"/>
      <c r="J44" s="79"/>
      <c r="K44" s="79" t="s">
        <v>1497</v>
      </c>
      <c r="L44" s="79"/>
      <c r="M44" s="79"/>
      <c r="N44" s="4" t="s">
        <v>1497</v>
      </c>
      <c r="O44" s="4" t="s">
        <v>1497</v>
      </c>
    </row>
    <row r="45" ht="15.75" customHeight="1">
      <c r="A45" s="80">
        <v>46122.0</v>
      </c>
      <c r="B45" s="79" t="s">
        <v>1446</v>
      </c>
      <c r="C45" s="79" t="s">
        <v>1498</v>
      </c>
      <c r="D45" s="83">
        <v>-114161.0</v>
      </c>
      <c r="E45" s="79"/>
      <c r="F45" s="79"/>
      <c r="G45" s="79" t="s">
        <v>59</v>
      </c>
      <c r="H45" s="82">
        <v>46113.0</v>
      </c>
      <c r="I45" s="79"/>
      <c r="J45" s="79"/>
      <c r="K45" s="79" t="s">
        <v>1498</v>
      </c>
      <c r="L45" s="79"/>
      <c r="M45" s="79"/>
      <c r="N45" s="4" t="s">
        <v>1498</v>
      </c>
      <c r="O45" s="4" t="s">
        <v>1498</v>
      </c>
    </row>
    <row r="46" ht="15.75" customHeight="1">
      <c r="A46" s="80">
        <v>46122.0</v>
      </c>
      <c r="B46" s="79" t="s">
        <v>1446</v>
      </c>
      <c r="C46" s="79" t="s">
        <v>1499</v>
      </c>
      <c r="D46" s="83">
        <v>-148325.0</v>
      </c>
      <c r="E46" s="79"/>
      <c r="F46" s="79"/>
      <c r="G46" s="79" t="s">
        <v>59</v>
      </c>
      <c r="H46" s="82">
        <v>46113.0</v>
      </c>
      <c r="I46" s="79"/>
      <c r="J46" s="79"/>
      <c r="K46" s="79" t="s">
        <v>1499</v>
      </c>
      <c r="L46" s="79"/>
      <c r="M46" s="79"/>
      <c r="N46" s="4" t="s">
        <v>1499</v>
      </c>
      <c r="O46" s="4" t="s">
        <v>1499</v>
      </c>
    </row>
    <row r="47" ht="15.75" customHeight="1">
      <c r="A47" s="80">
        <v>46122.0</v>
      </c>
      <c r="B47" s="79" t="s">
        <v>1446</v>
      </c>
      <c r="C47" s="79" t="s">
        <v>1500</v>
      </c>
      <c r="D47" s="83">
        <v>-249313.0</v>
      </c>
      <c r="E47" s="79"/>
      <c r="F47" s="79"/>
      <c r="G47" s="79" t="s">
        <v>59</v>
      </c>
      <c r="H47" s="82">
        <v>46113.0</v>
      </c>
      <c r="I47" s="79"/>
      <c r="J47" s="79"/>
      <c r="K47" s="79" t="s">
        <v>1500</v>
      </c>
      <c r="L47" s="79"/>
      <c r="M47" s="79"/>
      <c r="N47" s="4" t="s">
        <v>1500</v>
      </c>
      <c r="O47" s="4" t="s">
        <v>1500</v>
      </c>
    </row>
    <row r="48" ht="15.75" customHeight="1">
      <c r="A48" s="80">
        <v>46122.0</v>
      </c>
      <c r="B48" s="79" t="s">
        <v>1446</v>
      </c>
      <c r="C48" s="79" t="s">
        <v>1501</v>
      </c>
      <c r="D48" s="83">
        <v>-327537.0</v>
      </c>
      <c r="E48" s="79"/>
      <c r="F48" s="79"/>
      <c r="G48" s="79" t="s">
        <v>59</v>
      </c>
      <c r="H48" s="82">
        <v>46113.0</v>
      </c>
      <c r="I48" s="79"/>
      <c r="J48" s="79"/>
      <c r="K48" s="79" t="s">
        <v>1501</v>
      </c>
      <c r="L48" s="79"/>
      <c r="M48" s="79"/>
      <c r="N48" s="4" t="s">
        <v>1501</v>
      </c>
      <c r="O48" s="4" t="s">
        <v>1501</v>
      </c>
    </row>
    <row r="49" ht="15.75" customHeight="1">
      <c r="A49" s="80">
        <v>46122.0</v>
      </c>
      <c r="B49" s="79" t="s">
        <v>1446</v>
      </c>
      <c r="C49" s="79" t="s">
        <v>1501</v>
      </c>
      <c r="D49" s="83">
        <v>-130000.0</v>
      </c>
      <c r="E49" s="79"/>
      <c r="F49" s="79"/>
      <c r="G49" s="79" t="s">
        <v>59</v>
      </c>
      <c r="H49" s="82">
        <v>46113.0</v>
      </c>
      <c r="I49" s="79"/>
      <c r="J49" s="79"/>
      <c r="K49" s="79" t="s">
        <v>1501</v>
      </c>
      <c r="L49" s="79"/>
      <c r="M49" s="79"/>
      <c r="N49" s="4" t="s">
        <v>1501</v>
      </c>
      <c r="O49" s="4" t="s">
        <v>1501</v>
      </c>
    </row>
    <row r="50" ht="15.75" customHeight="1">
      <c r="A50" s="80">
        <v>46122.0</v>
      </c>
      <c r="B50" s="79" t="s">
        <v>1446</v>
      </c>
      <c r="C50" s="79" t="s">
        <v>1501</v>
      </c>
      <c r="D50" s="83">
        <v>-512973.0</v>
      </c>
      <c r="E50" s="79"/>
      <c r="F50" s="79"/>
      <c r="G50" s="79" t="s">
        <v>59</v>
      </c>
      <c r="H50" s="82">
        <v>46113.0</v>
      </c>
      <c r="I50" s="79"/>
      <c r="J50" s="79"/>
      <c r="K50" s="79" t="s">
        <v>1501</v>
      </c>
      <c r="L50" s="79"/>
      <c r="M50" s="79"/>
      <c r="N50" s="4" t="s">
        <v>1501</v>
      </c>
      <c r="O50" s="4" t="s">
        <v>1501</v>
      </c>
    </row>
    <row r="51" ht="15.75" customHeight="1">
      <c r="A51" s="80">
        <v>46122.0</v>
      </c>
      <c r="B51" s="79" t="s">
        <v>1446</v>
      </c>
      <c r="C51" s="79" t="s">
        <v>1501</v>
      </c>
      <c r="D51" s="83">
        <v>-100000.0</v>
      </c>
      <c r="E51" s="79"/>
      <c r="F51" s="79"/>
      <c r="G51" s="79" t="s">
        <v>59</v>
      </c>
      <c r="H51" s="82">
        <v>46113.0</v>
      </c>
      <c r="I51" s="79"/>
      <c r="J51" s="79"/>
      <c r="K51" s="79" t="s">
        <v>1501</v>
      </c>
      <c r="L51" s="79"/>
      <c r="M51" s="79"/>
      <c r="N51" s="4" t="s">
        <v>1501</v>
      </c>
      <c r="O51" s="4" t="s">
        <v>1501</v>
      </c>
    </row>
    <row r="52" ht="15.75" customHeight="1">
      <c r="A52" s="80">
        <v>46122.0</v>
      </c>
      <c r="B52" s="79" t="s">
        <v>1446</v>
      </c>
      <c r="C52" s="79" t="s">
        <v>1501</v>
      </c>
      <c r="D52" s="83">
        <v>-14600.0</v>
      </c>
      <c r="E52" s="79"/>
      <c r="F52" s="79"/>
      <c r="G52" s="79" t="s">
        <v>59</v>
      </c>
      <c r="H52" s="82">
        <v>46113.0</v>
      </c>
      <c r="I52" s="79"/>
      <c r="J52" s="79"/>
      <c r="K52" s="79" t="s">
        <v>1501</v>
      </c>
      <c r="L52" s="79"/>
      <c r="M52" s="79"/>
      <c r="N52" s="4" t="s">
        <v>1501</v>
      </c>
      <c r="O52" s="4" t="s">
        <v>1501</v>
      </c>
    </row>
    <row r="53" ht="15.75" customHeight="1">
      <c r="A53" s="80">
        <v>46122.0</v>
      </c>
      <c r="B53" s="79" t="s">
        <v>1492</v>
      </c>
      <c r="C53" s="79" t="s">
        <v>1502</v>
      </c>
      <c r="D53" s="83">
        <v>2700000.0</v>
      </c>
      <c r="E53" s="79"/>
      <c r="F53" s="79"/>
      <c r="G53" s="79" t="s">
        <v>59</v>
      </c>
      <c r="H53" s="82">
        <v>46113.0</v>
      </c>
      <c r="I53" s="79"/>
      <c r="J53" s="79"/>
      <c r="K53" s="79" t="s">
        <v>1503</v>
      </c>
      <c r="L53" s="79"/>
      <c r="M53" s="79"/>
      <c r="N53" s="4" t="s">
        <v>1503</v>
      </c>
      <c r="O53" s="4" t="s">
        <v>1503</v>
      </c>
    </row>
    <row r="54" ht="15.75" customHeight="1">
      <c r="A54" s="80">
        <v>46125.0</v>
      </c>
      <c r="B54" s="79" t="s">
        <v>1446</v>
      </c>
      <c r="C54" s="79" t="s">
        <v>1501</v>
      </c>
      <c r="D54" s="83">
        <v>-5000.0</v>
      </c>
      <c r="E54" s="79"/>
      <c r="F54" s="79"/>
      <c r="G54" s="79" t="s">
        <v>59</v>
      </c>
      <c r="H54" s="82">
        <v>46113.0</v>
      </c>
      <c r="I54" s="79"/>
      <c r="J54" s="79"/>
      <c r="K54" s="79" t="s">
        <v>1501</v>
      </c>
      <c r="L54" s="79"/>
      <c r="M54" s="79"/>
      <c r="N54" s="4" t="s">
        <v>1501</v>
      </c>
      <c r="O54" s="4" t="s">
        <v>1501</v>
      </c>
    </row>
    <row r="55" ht="15.75" customHeight="1">
      <c r="A55" s="80">
        <v>46125.0</v>
      </c>
      <c r="B55" s="79" t="s">
        <v>1446</v>
      </c>
      <c r="C55" s="79" t="s">
        <v>1501</v>
      </c>
      <c r="D55" s="83">
        <v>-11500.0</v>
      </c>
      <c r="E55" s="79"/>
      <c r="F55" s="79"/>
      <c r="G55" s="79" t="s">
        <v>59</v>
      </c>
      <c r="H55" s="82">
        <v>46113.0</v>
      </c>
      <c r="I55" s="79"/>
      <c r="J55" s="79"/>
      <c r="K55" s="79" t="s">
        <v>1501</v>
      </c>
      <c r="L55" s="79"/>
      <c r="M55" s="79"/>
      <c r="N55" s="4" t="s">
        <v>1501</v>
      </c>
      <c r="O55" s="4" t="s">
        <v>1501</v>
      </c>
    </row>
    <row r="56" ht="15.75" customHeight="1">
      <c r="A56" s="80">
        <v>46125.0</v>
      </c>
      <c r="B56" s="79" t="s">
        <v>1446</v>
      </c>
      <c r="C56" s="79" t="s">
        <v>1501</v>
      </c>
      <c r="D56" s="83">
        <v>-1100.0</v>
      </c>
      <c r="E56" s="79"/>
      <c r="F56" s="79"/>
      <c r="G56" s="79" t="s">
        <v>59</v>
      </c>
      <c r="H56" s="82">
        <v>46113.0</v>
      </c>
      <c r="I56" s="79"/>
      <c r="J56" s="79"/>
      <c r="K56" s="79" t="s">
        <v>1501</v>
      </c>
      <c r="L56" s="79"/>
      <c r="M56" s="79"/>
      <c r="N56" s="4" t="s">
        <v>1501</v>
      </c>
      <c r="O56" s="4" t="s">
        <v>1501</v>
      </c>
    </row>
    <row r="57" ht="15.75" customHeight="1">
      <c r="A57" s="80">
        <v>46125.0</v>
      </c>
      <c r="B57" s="79" t="s">
        <v>1446</v>
      </c>
      <c r="C57" s="79" t="s">
        <v>1501</v>
      </c>
      <c r="D57" s="83">
        <v>-7100.0</v>
      </c>
      <c r="E57" s="79"/>
      <c r="F57" s="79"/>
      <c r="G57" s="79" t="s">
        <v>59</v>
      </c>
      <c r="H57" s="82">
        <v>46113.0</v>
      </c>
      <c r="I57" s="79"/>
      <c r="J57" s="79"/>
      <c r="K57" s="79" t="s">
        <v>1501</v>
      </c>
      <c r="L57" s="79"/>
      <c r="M57" s="79"/>
      <c r="N57" s="4" t="s">
        <v>1501</v>
      </c>
      <c r="O57" s="4" t="s">
        <v>1501</v>
      </c>
    </row>
    <row r="58" ht="15.75" customHeight="1">
      <c r="A58" s="80">
        <v>46125.0</v>
      </c>
      <c r="B58" s="79" t="s">
        <v>1504</v>
      </c>
      <c r="C58" s="99" t="s">
        <v>282</v>
      </c>
      <c r="D58" s="83">
        <v>-1100.0</v>
      </c>
      <c r="E58" s="79"/>
      <c r="F58" s="79"/>
      <c r="G58" s="79" t="s">
        <v>59</v>
      </c>
      <c r="H58" s="82">
        <v>46113.0</v>
      </c>
      <c r="I58" s="79"/>
      <c r="J58" s="79"/>
      <c r="K58" s="99" t="s">
        <v>282</v>
      </c>
      <c r="L58" s="79"/>
      <c r="M58" s="79"/>
      <c r="N58" s="4" t="s">
        <v>282</v>
      </c>
      <c r="O58" s="4" t="s">
        <v>282</v>
      </c>
    </row>
    <row r="59" ht="15.75" customHeight="1">
      <c r="A59" s="80">
        <v>46125.0</v>
      </c>
      <c r="B59" s="79" t="s">
        <v>1496</v>
      </c>
      <c r="C59" s="79" t="s">
        <v>1505</v>
      </c>
      <c r="D59" s="83">
        <v>-7100.0</v>
      </c>
      <c r="E59" s="79"/>
      <c r="F59" s="79"/>
      <c r="G59" s="79" t="s">
        <v>59</v>
      </c>
      <c r="H59" s="82">
        <v>46113.0</v>
      </c>
      <c r="I59" s="79"/>
      <c r="J59" s="79"/>
      <c r="K59" s="79" t="s">
        <v>1505</v>
      </c>
      <c r="L59" s="79"/>
      <c r="M59" s="79"/>
      <c r="N59" s="4" t="s">
        <v>1505</v>
      </c>
      <c r="O59" s="4" t="s">
        <v>1505</v>
      </c>
    </row>
    <row r="60" ht="15.75" customHeight="1">
      <c r="A60" s="80">
        <v>46126.0</v>
      </c>
      <c r="B60" s="79" t="s">
        <v>1446</v>
      </c>
      <c r="C60" s="79" t="s">
        <v>321</v>
      </c>
      <c r="D60" s="83">
        <v>198000.0</v>
      </c>
      <c r="E60" s="79"/>
      <c r="F60" s="79"/>
      <c r="G60" s="79" t="s">
        <v>57</v>
      </c>
      <c r="H60" s="82">
        <v>46113.0</v>
      </c>
      <c r="I60" s="79"/>
      <c r="J60" s="79"/>
      <c r="K60" s="79" t="s">
        <v>321</v>
      </c>
      <c r="L60" s="79">
        <v>2833.0</v>
      </c>
      <c r="M60" s="79">
        <v>0.0</v>
      </c>
      <c r="N60" s="4" t="s">
        <v>321</v>
      </c>
      <c r="O60" s="4" t="s">
        <v>321</v>
      </c>
      <c r="P60" s="4"/>
      <c r="Q60" s="4"/>
      <c r="R60" s="4"/>
      <c r="S60" s="4"/>
      <c r="T60" s="4"/>
    </row>
    <row r="61" ht="15.75" customHeight="1">
      <c r="A61" s="89">
        <v>46127.0</v>
      </c>
      <c r="B61" s="90" t="s">
        <v>1441</v>
      </c>
      <c r="C61" s="90" t="s">
        <v>1506</v>
      </c>
      <c r="D61" s="91">
        <v>50270.0</v>
      </c>
      <c r="E61" s="90" t="s">
        <v>1507</v>
      </c>
      <c r="F61" s="90" t="s">
        <v>1508</v>
      </c>
      <c r="G61" s="90" t="s">
        <v>156</v>
      </c>
      <c r="H61" s="92">
        <v>46113.0</v>
      </c>
      <c r="I61" s="90"/>
      <c r="J61" s="90"/>
      <c r="K61" s="90" t="s">
        <v>1506</v>
      </c>
      <c r="L61" s="90">
        <v>2834.0</v>
      </c>
      <c r="M61" s="90">
        <v>0.0</v>
      </c>
      <c r="N61" s="4" t="s">
        <v>1506</v>
      </c>
      <c r="O61" s="4" t="s">
        <v>1506</v>
      </c>
      <c r="P61" s="4"/>
      <c r="Q61" s="4"/>
      <c r="R61" s="4"/>
      <c r="S61" s="4"/>
      <c r="T61" s="4"/>
    </row>
    <row r="62" ht="15.75" customHeight="1">
      <c r="A62" s="100">
        <v>46127.0</v>
      </c>
      <c r="B62" s="101" t="s">
        <v>1446</v>
      </c>
      <c r="C62" s="101" t="s">
        <v>322</v>
      </c>
      <c r="D62" s="102">
        <v>440822.0</v>
      </c>
      <c r="E62" s="101"/>
      <c r="F62" s="101"/>
      <c r="G62" s="101" t="s">
        <v>57</v>
      </c>
      <c r="H62" s="103">
        <v>46113.0</v>
      </c>
      <c r="I62" s="101" t="s">
        <v>162</v>
      </c>
      <c r="J62" s="101">
        <v>0.0</v>
      </c>
      <c r="K62" s="101" t="s">
        <v>322</v>
      </c>
      <c r="L62" s="101">
        <v>2836.0</v>
      </c>
      <c r="M62" s="101">
        <v>0.0</v>
      </c>
      <c r="N62" s="4" t="s">
        <v>322</v>
      </c>
      <c r="O62" s="4" t="s">
        <v>322</v>
      </c>
      <c r="P62" s="4"/>
      <c r="Q62" s="4"/>
      <c r="R62" s="4"/>
      <c r="S62" s="4"/>
      <c r="T62" s="4"/>
    </row>
    <row r="63" ht="15.75" customHeight="1">
      <c r="A63" s="80">
        <v>46127.0</v>
      </c>
      <c r="B63" s="79" t="s">
        <v>1446</v>
      </c>
      <c r="C63" s="79" t="s">
        <v>323</v>
      </c>
      <c r="D63" s="83">
        <v>14520.0</v>
      </c>
      <c r="E63" s="79"/>
      <c r="F63" s="79" t="s">
        <v>325</v>
      </c>
      <c r="G63" s="79" t="s">
        <v>57</v>
      </c>
      <c r="H63" s="97">
        <v>46113.0</v>
      </c>
      <c r="I63" s="79"/>
      <c r="J63" s="79"/>
      <c r="K63" s="79" t="s">
        <v>323</v>
      </c>
      <c r="L63" s="79">
        <v>2837.0</v>
      </c>
      <c r="M63" s="79">
        <v>0.0</v>
      </c>
      <c r="N63" s="4" t="s">
        <v>323</v>
      </c>
      <c r="O63" s="4" t="s">
        <v>323</v>
      </c>
      <c r="P63" s="4"/>
      <c r="Q63" s="4"/>
      <c r="R63" s="4"/>
      <c r="S63" s="4"/>
      <c r="T63" s="4"/>
    </row>
    <row r="64" ht="15.75" customHeight="1">
      <c r="A64" s="80">
        <v>46127.0</v>
      </c>
      <c r="B64" s="79" t="s">
        <v>1455</v>
      </c>
      <c r="C64" s="79" t="s">
        <v>1456</v>
      </c>
      <c r="D64" s="83">
        <v>187886.0</v>
      </c>
      <c r="E64" s="79"/>
      <c r="F64" s="79"/>
      <c r="G64" s="79" t="s">
        <v>59</v>
      </c>
      <c r="H64" s="97">
        <v>46113.0</v>
      </c>
      <c r="I64" s="79"/>
      <c r="J64" s="79"/>
      <c r="K64" s="79" t="s">
        <v>1456</v>
      </c>
      <c r="L64" s="79">
        <v>2838.0</v>
      </c>
      <c r="M64" s="79">
        <v>0.0</v>
      </c>
      <c r="N64" s="4" t="s">
        <v>1456</v>
      </c>
      <c r="O64" s="4" t="s">
        <v>1456</v>
      </c>
    </row>
    <row r="65" ht="15.75" customHeight="1">
      <c r="A65" s="89">
        <v>46128.0</v>
      </c>
      <c r="B65" s="90" t="s">
        <v>1441</v>
      </c>
      <c r="C65" s="90" t="s">
        <v>1509</v>
      </c>
      <c r="D65" s="91">
        <v>75000.0</v>
      </c>
      <c r="E65" s="90" t="s">
        <v>1161</v>
      </c>
      <c r="F65" s="90" t="s">
        <v>1169</v>
      </c>
      <c r="G65" s="90" t="s">
        <v>156</v>
      </c>
      <c r="H65" s="98">
        <v>46113.0</v>
      </c>
      <c r="I65" s="90"/>
      <c r="J65" s="90"/>
      <c r="K65" s="90" t="s">
        <v>1509</v>
      </c>
      <c r="L65" s="90">
        <v>2835.0</v>
      </c>
      <c r="M65" s="90">
        <v>0.0</v>
      </c>
      <c r="N65" s="4" t="s">
        <v>1509</v>
      </c>
      <c r="O65" s="4" t="s">
        <v>1509</v>
      </c>
      <c r="P65" s="4"/>
      <c r="Q65" s="4"/>
      <c r="R65" s="4"/>
      <c r="S65" s="4"/>
      <c r="T65" s="4"/>
    </row>
    <row r="66" ht="15.75" customHeight="1">
      <c r="A66" s="89">
        <v>46129.0</v>
      </c>
      <c r="B66" s="90" t="s">
        <v>1441</v>
      </c>
      <c r="C66" s="90" t="s">
        <v>1510</v>
      </c>
      <c r="D66" s="91">
        <v>210000.0</v>
      </c>
      <c r="E66" s="90" t="s">
        <v>1135</v>
      </c>
      <c r="F66" s="90" t="s">
        <v>320</v>
      </c>
      <c r="G66" s="90" t="s">
        <v>156</v>
      </c>
      <c r="H66" s="98">
        <v>46113.0</v>
      </c>
      <c r="I66" s="90"/>
      <c r="J66" s="90"/>
      <c r="K66" s="90" t="s">
        <v>1510</v>
      </c>
      <c r="L66" s="90">
        <v>2857.0</v>
      </c>
      <c r="M66" s="90">
        <v>0.0</v>
      </c>
      <c r="N66" s="4" t="s">
        <v>1510</v>
      </c>
      <c r="O66" s="4" t="s">
        <v>1510</v>
      </c>
      <c r="P66" s="4"/>
      <c r="Q66" s="4"/>
      <c r="R66" s="4"/>
      <c r="S66" s="4"/>
      <c r="T66" s="4"/>
    </row>
    <row r="67" ht="15.75" customHeight="1">
      <c r="A67" s="80">
        <v>46129.0</v>
      </c>
      <c r="B67" s="79" t="s">
        <v>1446</v>
      </c>
      <c r="C67" s="79" t="s">
        <v>1511</v>
      </c>
      <c r="D67" s="83">
        <v>-39553.0</v>
      </c>
      <c r="E67" s="79"/>
      <c r="F67" s="79"/>
      <c r="G67" s="79" t="s">
        <v>59</v>
      </c>
      <c r="H67" s="82">
        <v>46113.0</v>
      </c>
      <c r="I67" s="79"/>
      <c r="J67" s="79"/>
      <c r="K67" s="4" t="s">
        <v>1512</v>
      </c>
      <c r="L67" s="79"/>
      <c r="M67" s="79"/>
      <c r="N67" s="4" t="s">
        <v>1512</v>
      </c>
      <c r="O67" s="4" t="s">
        <v>1512</v>
      </c>
    </row>
    <row r="68" ht="15.75" customHeight="1">
      <c r="A68" s="89">
        <v>46132.0</v>
      </c>
      <c r="B68" s="90" t="s">
        <v>1446</v>
      </c>
      <c r="C68" s="90" t="s">
        <v>328</v>
      </c>
      <c r="D68" s="91">
        <v>1132941.0</v>
      </c>
      <c r="E68" s="90" t="s">
        <v>1101</v>
      </c>
      <c r="F68" s="90" t="s">
        <v>185</v>
      </c>
      <c r="G68" s="90" t="s">
        <v>156</v>
      </c>
      <c r="H68" s="92">
        <v>46113.0</v>
      </c>
      <c r="I68" s="90"/>
      <c r="J68" s="90"/>
      <c r="K68" s="90" t="s">
        <v>328</v>
      </c>
      <c r="L68" s="90">
        <v>2874.0</v>
      </c>
      <c r="M68" s="90">
        <v>0.0</v>
      </c>
      <c r="N68" s="4" t="s">
        <v>328</v>
      </c>
      <c r="O68" s="4" t="s">
        <v>328</v>
      </c>
      <c r="P68" s="4"/>
      <c r="Q68" s="4"/>
      <c r="R68" s="4"/>
      <c r="S68" s="4"/>
      <c r="T68" s="4"/>
    </row>
    <row r="69" ht="15.75" customHeight="1">
      <c r="A69" s="80">
        <v>46132.0</v>
      </c>
      <c r="B69" s="79" t="s">
        <v>1446</v>
      </c>
      <c r="C69" s="79" t="s">
        <v>1513</v>
      </c>
      <c r="D69" s="83">
        <v>-1000000.0</v>
      </c>
      <c r="E69" s="79"/>
      <c r="F69" s="79"/>
      <c r="G69" s="79" t="s">
        <v>59</v>
      </c>
      <c r="H69" s="82">
        <v>46113.0</v>
      </c>
      <c r="I69" s="79"/>
      <c r="J69" s="79"/>
      <c r="K69" s="79" t="s">
        <v>1513</v>
      </c>
      <c r="L69" s="79"/>
      <c r="M69" s="79"/>
      <c r="N69" s="4" t="s">
        <v>1513</v>
      </c>
      <c r="O69" s="4" t="s">
        <v>1513</v>
      </c>
    </row>
    <row r="70" ht="15.75" customHeight="1">
      <c r="A70" s="80">
        <v>46132.0</v>
      </c>
      <c r="B70" s="79" t="s">
        <v>1446</v>
      </c>
      <c r="C70" s="79" t="s">
        <v>1513</v>
      </c>
      <c r="D70" s="83">
        <v>-164900.0</v>
      </c>
      <c r="E70" s="79"/>
      <c r="F70" s="79"/>
      <c r="G70" s="79" t="s">
        <v>59</v>
      </c>
      <c r="H70" s="82">
        <v>46113.0</v>
      </c>
      <c r="I70" s="79"/>
      <c r="J70" s="79"/>
      <c r="K70" s="79" t="s">
        <v>1513</v>
      </c>
      <c r="L70" s="79"/>
      <c r="M70" s="79"/>
      <c r="N70" s="4" t="s">
        <v>1513</v>
      </c>
      <c r="O70" s="4" t="s">
        <v>1513</v>
      </c>
    </row>
    <row r="71" ht="15.75" customHeight="1">
      <c r="A71" s="80">
        <v>46132.0</v>
      </c>
      <c r="B71" s="79" t="s">
        <v>1446</v>
      </c>
      <c r="C71" s="79" t="s">
        <v>1513</v>
      </c>
      <c r="D71" s="83">
        <v>-150000.0</v>
      </c>
      <c r="E71" s="79"/>
      <c r="F71" s="79"/>
      <c r="G71" s="79" t="s">
        <v>59</v>
      </c>
      <c r="H71" s="82">
        <v>46113.0</v>
      </c>
      <c r="I71" s="79"/>
      <c r="J71" s="79"/>
      <c r="K71" s="79" t="s">
        <v>1513</v>
      </c>
      <c r="L71" s="79"/>
      <c r="M71" s="79"/>
      <c r="N71" s="4" t="s">
        <v>1513</v>
      </c>
      <c r="O71" s="4" t="s">
        <v>1513</v>
      </c>
    </row>
    <row r="72" ht="15.75" customHeight="1">
      <c r="A72" s="80">
        <v>46132.0</v>
      </c>
      <c r="B72" s="79" t="s">
        <v>1483</v>
      </c>
      <c r="C72" s="79" t="s">
        <v>1487</v>
      </c>
      <c r="D72" s="83">
        <v>-1100.0</v>
      </c>
      <c r="E72" s="79"/>
      <c r="F72" s="79"/>
      <c r="G72" s="79" t="s">
        <v>59</v>
      </c>
      <c r="H72" s="82">
        <v>46113.0</v>
      </c>
      <c r="I72" s="79"/>
      <c r="J72" s="79"/>
      <c r="K72" s="79" t="s">
        <v>1487</v>
      </c>
      <c r="L72" s="79"/>
      <c r="M72" s="79"/>
      <c r="N72" s="4" t="s">
        <v>1487</v>
      </c>
      <c r="O72" s="4" t="s">
        <v>1487</v>
      </c>
    </row>
    <row r="73" ht="15.75" customHeight="1">
      <c r="A73" s="80">
        <v>46132.0</v>
      </c>
      <c r="B73" s="79" t="s">
        <v>1514</v>
      </c>
      <c r="C73" s="79" t="s">
        <v>1515</v>
      </c>
      <c r="D73" s="83">
        <v>-3630.0</v>
      </c>
      <c r="E73" s="79"/>
      <c r="F73" s="79"/>
      <c r="G73" s="79" t="s">
        <v>59</v>
      </c>
      <c r="H73" s="82">
        <v>46113.0</v>
      </c>
      <c r="I73" s="79"/>
      <c r="J73" s="79"/>
      <c r="K73" s="79" t="s">
        <v>1515</v>
      </c>
      <c r="L73" s="79"/>
      <c r="M73" s="79"/>
      <c r="N73" s="4" t="s">
        <v>1515</v>
      </c>
      <c r="O73" s="4" t="s">
        <v>1515</v>
      </c>
    </row>
    <row r="74" ht="15.75" customHeight="1">
      <c r="A74" s="80">
        <v>46132.0</v>
      </c>
      <c r="B74" s="79" t="s">
        <v>1514</v>
      </c>
      <c r="C74" s="79" t="s">
        <v>1516</v>
      </c>
      <c r="D74" s="83">
        <v>-11374.0</v>
      </c>
      <c r="E74" s="79"/>
      <c r="F74" s="79"/>
      <c r="G74" s="79" t="s">
        <v>59</v>
      </c>
      <c r="H74" s="82">
        <v>46113.0</v>
      </c>
      <c r="I74" s="79"/>
      <c r="J74" s="79"/>
      <c r="K74" s="79" t="s">
        <v>1516</v>
      </c>
      <c r="L74" s="79"/>
      <c r="M74" s="79"/>
      <c r="N74" s="4" t="s">
        <v>1516</v>
      </c>
      <c r="O74" s="4" t="s">
        <v>1516</v>
      </c>
    </row>
    <row r="75" ht="15.75" customHeight="1">
      <c r="A75" s="80">
        <v>46132.0</v>
      </c>
      <c r="B75" s="79" t="s">
        <v>1514</v>
      </c>
      <c r="C75" s="79" t="s">
        <v>1517</v>
      </c>
      <c r="D75" s="83">
        <v>-4521.0</v>
      </c>
      <c r="E75" s="79"/>
      <c r="F75" s="79"/>
      <c r="G75" s="79" t="s">
        <v>59</v>
      </c>
      <c r="H75" s="82">
        <v>46113.0</v>
      </c>
      <c r="I75" s="79"/>
      <c r="J75" s="79"/>
      <c r="K75" s="79" t="s">
        <v>1517</v>
      </c>
      <c r="L75" s="79"/>
      <c r="M75" s="79"/>
      <c r="N75" s="4" t="s">
        <v>1517</v>
      </c>
      <c r="O75" s="4" t="s">
        <v>1517</v>
      </c>
    </row>
    <row r="76" ht="15.75" customHeight="1">
      <c r="A76" s="80">
        <v>46132.0</v>
      </c>
      <c r="B76" s="79" t="s">
        <v>1446</v>
      </c>
      <c r="C76" s="79" t="s">
        <v>1501</v>
      </c>
      <c r="D76" s="83">
        <v>-1650.0</v>
      </c>
      <c r="E76" s="79"/>
      <c r="F76" s="79"/>
      <c r="G76" s="79" t="s">
        <v>59</v>
      </c>
      <c r="H76" s="82">
        <v>46113.0</v>
      </c>
      <c r="I76" s="79"/>
      <c r="J76" s="79"/>
      <c r="K76" s="79" t="s">
        <v>1501</v>
      </c>
      <c r="L76" s="79"/>
      <c r="M76" s="79"/>
      <c r="N76" s="4" t="s">
        <v>1501</v>
      </c>
      <c r="O76" s="4" t="s">
        <v>1501</v>
      </c>
    </row>
    <row r="77" ht="15.75" customHeight="1">
      <c r="A77" s="80">
        <v>46132.0</v>
      </c>
      <c r="B77" s="79" t="s">
        <v>1518</v>
      </c>
      <c r="C77" s="79" t="s">
        <v>1519</v>
      </c>
      <c r="D77" s="83">
        <v>-1650.0</v>
      </c>
      <c r="E77" s="79"/>
      <c r="F77" s="79"/>
      <c r="G77" s="79" t="s">
        <v>59</v>
      </c>
      <c r="H77" s="82">
        <v>46113.0</v>
      </c>
      <c r="I77" s="79"/>
      <c r="J77" s="79"/>
      <c r="K77" s="79" t="s">
        <v>1519</v>
      </c>
      <c r="L77" s="79"/>
      <c r="M77" s="79"/>
      <c r="N77" s="4" t="s">
        <v>1519</v>
      </c>
      <c r="O77" s="4" t="s">
        <v>1519</v>
      </c>
    </row>
    <row r="78" ht="15.75" customHeight="1">
      <c r="A78" s="80">
        <v>46132.0</v>
      </c>
      <c r="B78" s="79" t="s">
        <v>46</v>
      </c>
      <c r="C78" s="79" t="s">
        <v>1520</v>
      </c>
      <c r="D78" s="83">
        <v>-150000.0</v>
      </c>
      <c r="E78" s="79"/>
      <c r="F78" s="79"/>
      <c r="G78" s="79" t="s">
        <v>59</v>
      </c>
      <c r="H78" s="82">
        <v>46113.0</v>
      </c>
      <c r="I78" s="79"/>
      <c r="J78" s="79"/>
      <c r="K78" s="79" t="s">
        <v>1521</v>
      </c>
      <c r="L78" s="79"/>
      <c r="M78" s="79"/>
      <c r="N78" s="4" t="s">
        <v>1521</v>
      </c>
      <c r="O78" s="4" t="s">
        <v>1521</v>
      </c>
    </row>
    <row r="79" ht="15.75" customHeight="1">
      <c r="A79" s="80">
        <v>46132.0</v>
      </c>
      <c r="B79" s="79" t="s">
        <v>1522</v>
      </c>
      <c r="C79" s="79" t="s">
        <v>1523</v>
      </c>
      <c r="D79" s="83">
        <v>-1000000.0</v>
      </c>
      <c r="E79" s="79"/>
      <c r="F79" s="79"/>
      <c r="G79" s="79" t="s">
        <v>59</v>
      </c>
      <c r="H79" s="82">
        <v>46113.0</v>
      </c>
      <c r="I79" s="79"/>
      <c r="J79" s="79"/>
      <c r="K79" s="79" t="s">
        <v>1523</v>
      </c>
      <c r="L79" s="79"/>
      <c r="M79" s="79"/>
      <c r="N79" s="4" t="s">
        <v>1523</v>
      </c>
      <c r="O79" s="4" t="s">
        <v>1523</v>
      </c>
    </row>
    <row r="80" ht="15.75" customHeight="1">
      <c r="A80" s="80">
        <v>46132.0</v>
      </c>
      <c r="B80" s="79" t="s">
        <v>1522</v>
      </c>
      <c r="C80" s="79" t="s">
        <v>1523</v>
      </c>
      <c r="D80" s="83">
        <v>-164900.0</v>
      </c>
      <c r="E80" s="79"/>
      <c r="F80" s="79"/>
      <c r="G80" s="79" t="s">
        <v>59</v>
      </c>
      <c r="H80" s="82">
        <v>46113.0</v>
      </c>
      <c r="I80" s="79"/>
      <c r="J80" s="79"/>
      <c r="K80" s="79" t="s">
        <v>1523</v>
      </c>
      <c r="L80" s="79"/>
      <c r="M80" s="79"/>
      <c r="N80" s="4" t="s">
        <v>1523</v>
      </c>
      <c r="O80" s="4" t="s">
        <v>1523</v>
      </c>
    </row>
    <row r="81" ht="15.75" customHeight="1">
      <c r="A81" s="100">
        <v>46133.0</v>
      </c>
      <c r="B81" s="101" t="s">
        <v>1446</v>
      </c>
      <c r="C81" s="101" t="s">
        <v>326</v>
      </c>
      <c r="D81" s="102">
        <v>64350.0</v>
      </c>
      <c r="E81" s="101"/>
      <c r="F81" s="101"/>
      <c r="G81" s="101" t="s">
        <v>57</v>
      </c>
      <c r="H81" s="104">
        <v>46113.0</v>
      </c>
      <c r="I81" s="101"/>
      <c r="J81" s="101"/>
      <c r="K81" s="101" t="s">
        <v>326</v>
      </c>
      <c r="L81" s="101">
        <v>2899.0</v>
      </c>
      <c r="M81" s="101">
        <v>0.0</v>
      </c>
      <c r="N81" s="4" t="s">
        <v>326</v>
      </c>
      <c r="O81" s="4" t="s">
        <v>326</v>
      </c>
      <c r="P81" s="4"/>
      <c r="Q81" s="4"/>
      <c r="R81" s="4"/>
      <c r="S81" s="4"/>
      <c r="T81" s="4"/>
    </row>
    <row r="82" ht="15.75" customHeight="1">
      <c r="A82" s="80">
        <v>46135.0</v>
      </c>
      <c r="B82" s="79" t="s">
        <v>1446</v>
      </c>
      <c r="C82" s="79" t="s">
        <v>328</v>
      </c>
      <c r="D82" s="83">
        <v>57310.0</v>
      </c>
      <c r="E82" s="79"/>
      <c r="F82" s="79"/>
      <c r="G82" s="79" t="s">
        <v>57</v>
      </c>
      <c r="H82" s="97">
        <v>46113.0</v>
      </c>
      <c r="I82" s="79"/>
      <c r="J82" s="79"/>
      <c r="K82" s="79" t="s">
        <v>328</v>
      </c>
      <c r="L82" s="79">
        <v>2900.0</v>
      </c>
      <c r="M82" s="79">
        <v>0.0</v>
      </c>
      <c r="N82" s="4" t="s">
        <v>328</v>
      </c>
      <c r="O82" s="4" t="s">
        <v>328</v>
      </c>
      <c r="P82" s="4"/>
      <c r="Q82" s="4"/>
      <c r="R82" s="4"/>
      <c r="S82" s="4"/>
      <c r="T82" s="4"/>
    </row>
    <row r="83" ht="15.75" customHeight="1">
      <c r="A83" s="80">
        <v>46135.0</v>
      </c>
      <c r="B83" s="79" t="s">
        <v>1524</v>
      </c>
      <c r="C83" s="79" t="s">
        <v>1525</v>
      </c>
      <c r="D83" s="83">
        <v>-12160.0</v>
      </c>
      <c r="E83" s="79"/>
      <c r="F83" s="79"/>
      <c r="G83" s="79" t="s">
        <v>59</v>
      </c>
      <c r="H83" s="82">
        <v>46113.0</v>
      </c>
      <c r="I83" s="79"/>
      <c r="J83" s="79"/>
      <c r="K83" s="79" t="s">
        <v>1525</v>
      </c>
      <c r="L83" s="79"/>
      <c r="M83" s="79"/>
      <c r="N83" s="4" t="s">
        <v>1525</v>
      </c>
      <c r="O83" s="4" t="s">
        <v>1525</v>
      </c>
    </row>
    <row r="84" ht="15.75" customHeight="1">
      <c r="A84" s="80">
        <v>46135.0</v>
      </c>
      <c r="B84" s="79" t="s">
        <v>1526</v>
      </c>
      <c r="C84" s="79" t="s">
        <v>1527</v>
      </c>
      <c r="D84" s="83">
        <v>-33000.0</v>
      </c>
      <c r="E84" s="79"/>
      <c r="F84" s="79"/>
      <c r="G84" s="79" t="s">
        <v>59</v>
      </c>
      <c r="H84" s="82">
        <v>46113.0</v>
      </c>
      <c r="I84" s="79"/>
      <c r="J84" s="79"/>
      <c r="K84" s="79" t="s">
        <v>1527</v>
      </c>
      <c r="L84" s="79"/>
      <c r="M84" s="79"/>
      <c r="N84" s="4" t="s">
        <v>1527</v>
      </c>
      <c r="O84" s="4" t="s">
        <v>1527</v>
      </c>
    </row>
    <row r="85" ht="15.75" customHeight="1">
      <c r="A85" s="80">
        <v>46135.0</v>
      </c>
      <c r="B85" s="79" t="s">
        <v>1446</v>
      </c>
      <c r="C85" s="79"/>
      <c r="D85" s="83">
        <v>-47745.0</v>
      </c>
      <c r="E85" s="79"/>
      <c r="F85" s="79"/>
      <c r="G85" s="79" t="s">
        <v>59</v>
      </c>
      <c r="H85" s="82">
        <v>46113.0</v>
      </c>
      <c r="I85" s="79"/>
      <c r="J85" s="79"/>
      <c r="K85" s="4" t="s">
        <v>1528</v>
      </c>
      <c r="L85" s="79"/>
      <c r="M85" s="79"/>
      <c r="N85" s="4" t="s">
        <v>1528</v>
      </c>
      <c r="O85" s="4" t="s">
        <v>1528</v>
      </c>
    </row>
    <row r="86" ht="15.75" customHeight="1">
      <c r="A86" s="80">
        <v>46135.0</v>
      </c>
      <c r="B86" s="79" t="s">
        <v>1446</v>
      </c>
      <c r="C86" s="79" t="s">
        <v>1529</v>
      </c>
      <c r="D86" s="83">
        <v>-33000.0</v>
      </c>
      <c r="E86" s="79"/>
      <c r="F86" s="79"/>
      <c r="G86" s="79" t="s">
        <v>59</v>
      </c>
      <c r="H86" s="82">
        <v>46113.0</v>
      </c>
      <c r="I86" s="79"/>
      <c r="J86" s="79"/>
      <c r="K86" s="79" t="s">
        <v>1529</v>
      </c>
      <c r="L86" s="79"/>
      <c r="M86" s="79"/>
      <c r="N86" s="4" t="s">
        <v>1529</v>
      </c>
      <c r="O86" s="4" t="s">
        <v>1529</v>
      </c>
    </row>
    <row r="87" ht="15.75" customHeight="1">
      <c r="A87" s="89">
        <v>46136.0</v>
      </c>
      <c r="B87" s="90" t="s">
        <v>1441</v>
      </c>
      <c r="C87" s="90" t="s">
        <v>332</v>
      </c>
      <c r="D87" s="91">
        <v>200000.0</v>
      </c>
      <c r="E87" s="90" t="s">
        <v>333</v>
      </c>
      <c r="F87" s="90" t="s">
        <v>334</v>
      </c>
      <c r="G87" s="90" t="s">
        <v>156</v>
      </c>
      <c r="H87" s="92">
        <v>46113.0</v>
      </c>
      <c r="I87" s="90"/>
      <c r="J87" s="90"/>
      <c r="K87" s="90" t="s">
        <v>332</v>
      </c>
      <c r="L87" s="90">
        <v>2919.0</v>
      </c>
      <c r="M87" s="90">
        <v>0.0</v>
      </c>
      <c r="N87" s="4" t="s">
        <v>332</v>
      </c>
      <c r="O87" s="4" t="s">
        <v>332</v>
      </c>
      <c r="P87" s="4"/>
      <c r="Q87" s="4"/>
      <c r="R87" s="4"/>
      <c r="S87" s="4"/>
      <c r="T87" s="4"/>
    </row>
    <row r="88" ht="15.75" customHeight="1">
      <c r="A88" s="89">
        <v>46136.0</v>
      </c>
      <c r="B88" s="90" t="s">
        <v>1441</v>
      </c>
      <c r="C88" s="90" t="s">
        <v>1530</v>
      </c>
      <c r="D88" s="91">
        <v>50000.0</v>
      </c>
      <c r="E88" s="90" t="s">
        <v>1531</v>
      </c>
      <c r="F88" s="90" t="s">
        <v>320</v>
      </c>
      <c r="G88" s="90" t="s">
        <v>156</v>
      </c>
      <c r="H88" s="92">
        <v>46113.0</v>
      </c>
      <c r="I88" s="90"/>
      <c r="J88" s="90"/>
      <c r="K88" s="90" t="s">
        <v>1530</v>
      </c>
      <c r="L88" s="90">
        <v>2920.0</v>
      </c>
      <c r="M88" s="90">
        <v>0.0</v>
      </c>
      <c r="N88" s="4" t="s">
        <v>1530</v>
      </c>
      <c r="O88" s="4" t="s">
        <v>1530</v>
      </c>
      <c r="P88" s="4"/>
      <c r="Q88" s="4"/>
      <c r="R88" s="4"/>
      <c r="S88" s="4"/>
      <c r="T88" s="4"/>
    </row>
    <row r="89" ht="15.75" customHeight="1">
      <c r="A89" s="80">
        <v>46136.0</v>
      </c>
      <c r="B89" s="79" t="s">
        <v>1446</v>
      </c>
      <c r="C89" s="79" t="s">
        <v>329</v>
      </c>
      <c r="D89" s="83">
        <v>110000.0</v>
      </c>
      <c r="E89" s="79"/>
      <c r="F89" s="79"/>
      <c r="G89" s="79" t="s">
        <v>57</v>
      </c>
      <c r="H89" s="82">
        <v>46113.0</v>
      </c>
      <c r="I89" s="79"/>
      <c r="J89" s="79"/>
      <c r="K89" s="79" t="s">
        <v>329</v>
      </c>
      <c r="L89" s="79">
        <v>2925.0</v>
      </c>
      <c r="M89" s="79">
        <v>0.0</v>
      </c>
      <c r="N89" s="4" t="s">
        <v>329</v>
      </c>
      <c r="O89" s="4" t="s">
        <v>329</v>
      </c>
      <c r="P89" s="4"/>
      <c r="Q89" s="4"/>
      <c r="R89" s="4"/>
      <c r="S89" s="4"/>
      <c r="T89" s="4"/>
    </row>
    <row r="90" ht="15.75" customHeight="1">
      <c r="A90" s="80">
        <v>46136.0</v>
      </c>
      <c r="B90" s="79" t="s">
        <v>1446</v>
      </c>
      <c r="C90" s="79" t="s">
        <v>330</v>
      </c>
      <c r="D90" s="83">
        <v>7500000.0</v>
      </c>
      <c r="E90" s="79"/>
      <c r="F90" s="79"/>
      <c r="G90" s="79" t="s">
        <v>57</v>
      </c>
      <c r="H90" s="82">
        <v>46113.0</v>
      </c>
      <c r="I90" s="79"/>
      <c r="J90" s="79"/>
      <c r="K90" s="79" t="s">
        <v>330</v>
      </c>
      <c r="L90" s="79">
        <v>2917.0</v>
      </c>
      <c r="M90" s="79">
        <v>0.0</v>
      </c>
      <c r="N90" s="4" t="s">
        <v>330</v>
      </c>
      <c r="O90" s="4" t="s">
        <v>330</v>
      </c>
      <c r="P90" s="4"/>
      <c r="Q90" s="4"/>
      <c r="R90" s="4"/>
      <c r="S90" s="4"/>
      <c r="T90" s="4"/>
    </row>
    <row r="91" ht="15.75" customHeight="1">
      <c r="A91" s="80">
        <v>46136.0</v>
      </c>
      <c r="B91" s="79" t="s">
        <v>1446</v>
      </c>
      <c r="C91" s="79" t="s">
        <v>331</v>
      </c>
      <c r="D91" s="83">
        <v>2545300.0</v>
      </c>
      <c r="E91" s="79"/>
      <c r="F91" s="79"/>
      <c r="G91" s="79" t="s">
        <v>57</v>
      </c>
      <c r="H91" s="97">
        <v>46113.0</v>
      </c>
      <c r="I91" s="79"/>
      <c r="J91" s="79"/>
      <c r="K91" s="79" t="s">
        <v>331</v>
      </c>
      <c r="L91" s="79">
        <v>2918.0</v>
      </c>
      <c r="M91" s="79">
        <v>0.0</v>
      </c>
      <c r="N91" s="4" t="s">
        <v>331</v>
      </c>
      <c r="O91" s="4" t="s">
        <v>331</v>
      </c>
      <c r="P91" s="4"/>
      <c r="Q91" s="4"/>
      <c r="R91" s="4"/>
      <c r="S91" s="4"/>
      <c r="T91" s="4"/>
    </row>
    <row r="92" ht="15.75" customHeight="1">
      <c r="A92" s="80">
        <v>46136.0</v>
      </c>
      <c r="B92" s="79" t="s">
        <v>1441</v>
      </c>
      <c r="C92" s="99" t="s">
        <v>332</v>
      </c>
      <c r="D92" s="105" t="s">
        <v>1532</v>
      </c>
      <c r="E92" s="79" t="s">
        <v>333</v>
      </c>
      <c r="F92" s="79" t="s">
        <v>334</v>
      </c>
      <c r="G92" s="79" t="s">
        <v>57</v>
      </c>
      <c r="H92" s="97">
        <v>46113.0</v>
      </c>
      <c r="I92" s="79"/>
      <c r="J92" s="79"/>
      <c r="K92" s="99" t="s">
        <v>332</v>
      </c>
      <c r="L92" s="79"/>
      <c r="M92" s="79"/>
      <c r="N92" s="4" t="s">
        <v>332</v>
      </c>
      <c r="O92" s="4" t="s">
        <v>332</v>
      </c>
      <c r="P92" s="4"/>
      <c r="Q92" s="4"/>
      <c r="R92" s="4"/>
      <c r="S92" s="4"/>
      <c r="T92" s="4"/>
    </row>
    <row r="93" ht="15.75" customHeight="1">
      <c r="A93" s="80">
        <v>46136.0</v>
      </c>
      <c r="B93" s="79" t="s">
        <v>1441</v>
      </c>
      <c r="C93" s="99" t="s">
        <v>335</v>
      </c>
      <c r="D93" s="105" t="s">
        <v>1533</v>
      </c>
      <c r="E93" s="79" t="s">
        <v>3</v>
      </c>
      <c r="F93" s="79" t="s">
        <v>3</v>
      </c>
      <c r="G93" s="79" t="s">
        <v>57</v>
      </c>
      <c r="H93" s="97">
        <v>46113.0</v>
      </c>
      <c r="I93" s="79"/>
      <c r="J93" s="79"/>
      <c r="K93" s="99" t="s">
        <v>335</v>
      </c>
      <c r="L93" s="79"/>
      <c r="M93" s="79"/>
      <c r="N93" s="4" t="s">
        <v>335</v>
      </c>
      <c r="O93" s="4" t="s">
        <v>335</v>
      </c>
      <c r="P93" s="4"/>
      <c r="Q93" s="4"/>
      <c r="R93" s="4"/>
      <c r="S93" s="4"/>
      <c r="T93" s="4"/>
    </row>
    <row r="94" ht="15.75" customHeight="1">
      <c r="A94" s="80">
        <v>46136.0</v>
      </c>
      <c r="B94" s="79" t="s">
        <v>1446</v>
      </c>
      <c r="C94" s="79" t="s">
        <v>1534</v>
      </c>
      <c r="D94" s="105" t="s">
        <v>1535</v>
      </c>
      <c r="E94" s="79" t="s">
        <v>3</v>
      </c>
      <c r="F94" s="79" t="s">
        <v>3</v>
      </c>
      <c r="G94" s="79" t="s">
        <v>59</v>
      </c>
      <c r="H94" s="82">
        <v>46113.0</v>
      </c>
      <c r="I94" s="79"/>
      <c r="J94" s="79"/>
      <c r="K94" s="99" t="s">
        <v>1536</v>
      </c>
      <c r="L94" s="79"/>
      <c r="M94" s="79"/>
      <c r="N94" s="4" t="s">
        <v>1536</v>
      </c>
      <c r="O94" s="4" t="s">
        <v>1536</v>
      </c>
    </row>
    <row r="95" ht="15.75" customHeight="1">
      <c r="A95" s="80">
        <v>46136.0</v>
      </c>
      <c r="B95" s="79" t="s">
        <v>1446</v>
      </c>
      <c r="C95" s="79" t="s">
        <v>1537</v>
      </c>
      <c r="D95" s="83">
        <v>-550000.0</v>
      </c>
      <c r="E95" s="79"/>
      <c r="F95" s="79"/>
      <c r="G95" s="79" t="s">
        <v>59</v>
      </c>
      <c r="H95" s="82">
        <v>46113.0</v>
      </c>
      <c r="I95" s="79"/>
      <c r="J95" s="79"/>
      <c r="K95" s="79" t="s">
        <v>1537</v>
      </c>
      <c r="L95" s="79"/>
      <c r="M95" s="79"/>
      <c r="N95" s="4" t="s">
        <v>1537</v>
      </c>
      <c r="O95" s="4" t="s">
        <v>1537</v>
      </c>
    </row>
    <row r="96" ht="15.75" customHeight="1">
      <c r="A96" s="80">
        <v>46136.0</v>
      </c>
      <c r="B96" s="79" t="s">
        <v>1538</v>
      </c>
      <c r="C96" s="79" t="s">
        <v>1539</v>
      </c>
      <c r="D96" s="83">
        <v>-220000.0</v>
      </c>
      <c r="E96" s="79"/>
      <c r="F96" s="79"/>
      <c r="G96" s="79" t="s">
        <v>59</v>
      </c>
      <c r="H96" s="82">
        <v>46113.0</v>
      </c>
      <c r="I96" s="79"/>
      <c r="J96" s="79"/>
      <c r="K96" s="79" t="s">
        <v>1539</v>
      </c>
      <c r="L96" s="79"/>
      <c r="M96" s="79"/>
      <c r="N96" s="4" t="s">
        <v>1539</v>
      </c>
      <c r="O96" s="4" t="s">
        <v>1539</v>
      </c>
    </row>
    <row r="97" ht="15.75" customHeight="1">
      <c r="A97" s="80">
        <v>46136.0</v>
      </c>
      <c r="B97" s="79" t="s">
        <v>1446</v>
      </c>
      <c r="C97" s="79" t="s">
        <v>1540</v>
      </c>
      <c r="D97" s="83">
        <v>-220000.0</v>
      </c>
      <c r="E97" s="79"/>
      <c r="F97" s="79"/>
      <c r="G97" s="79" t="s">
        <v>59</v>
      </c>
      <c r="H97" s="82">
        <v>46113.0</v>
      </c>
      <c r="I97" s="79"/>
      <c r="J97" s="79"/>
      <c r="K97" s="79" t="s">
        <v>1540</v>
      </c>
      <c r="L97" s="79"/>
      <c r="M97" s="79"/>
      <c r="N97" s="4" t="s">
        <v>1540</v>
      </c>
      <c r="O97" s="4" t="s">
        <v>1540</v>
      </c>
    </row>
    <row r="98" ht="15.75" customHeight="1">
      <c r="A98" s="80">
        <v>46139.0</v>
      </c>
      <c r="B98" s="79" t="s">
        <v>1446</v>
      </c>
      <c r="C98" s="79" t="s">
        <v>1541</v>
      </c>
      <c r="D98" s="83">
        <v>-880000.0</v>
      </c>
      <c r="E98" s="79"/>
      <c r="F98" s="79"/>
      <c r="G98" s="79" t="s">
        <v>59</v>
      </c>
      <c r="H98" s="82">
        <v>46113.0</v>
      </c>
      <c r="I98" s="79"/>
      <c r="J98" s="79"/>
      <c r="K98" s="79" t="s">
        <v>1541</v>
      </c>
      <c r="L98" s="79"/>
      <c r="M98" s="79"/>
      <c r="N98" s="4" t="s">
        <v>1541</v>
      </c>
      <c r="O98" s="4" t="s">
        <v>1541</v>
      </c>
    </row>
    <row r="99" ht="15.75" customHeight="1">
      <c r="A99" s="80">
        <v>46139.0</v>
      </c>
      <c r="B99" s="79" t="s">
        <v>1542</v>
      </c>
      <c r="C99" s="79" t="s">
        <v>1543</v>
      </c>
      <c r="D99" s="83">
        <v>-18480.0</v>
      </c>
      <c r="E99" s="79"/>
      <c r="F99" s="79"/>
      <c r="G99" s="79" t="s">
        <v>59</v>
      </c>
      <c r="H99" s="82">
        <v>46113.0</v>
      </c>
      <c r="I99" s="79"/>
      <c r="J99" s="79"/>
      <c r="K99" s="79" t="s">
        <v>1543</v>
      </c>
      <c r="L99" s="79"/>
      <c r="M99" s="79"/>
      <c r="N99" s="4" t="s">
        <v>1543</v>
      </c>
      <c r="O99" s="4" t="s">
        <v>1543</v>
      </c>
    </row>
    <row r="100" ht="15.75" customHeight="1">
      <c r="A100" s="80">
        <v>46139.0</v>
      </c>
      <c r="B100" s="79" t="s">
        <v>1524</v>
      </c>
      <c r="C100" s="79" t="s">
        <v>1544</v>
      </c>
      <c r="D100" s="83">
        <v>-2602.0</v>
      </c>
      <c r="E100" s="79"/>
      <c r="F100" s="79"/>
      <c r="G100" s="79" t="s">
        <v>59</v>
      </c>
      <c r="H100" s="82">
        <v>46113.0</v>
      </c>
      <c r="I100" s="79"/>
      <c r="J100" s="79"/>
      <c r="K100" s="79" t="s">
        <v>1544</v>
      </c>
      <c r="L100" s="79"/>
      <c r="M100" s="79"/>
      <c r="N100" s="4" t="s">
        <v>1544</v>
      </c>
      <c r="O100" s="4" t="s">
        <v>1544</v>
      </c>
    </row>
    <row r="101" ht="15.75" customHeight="1">
      <c r="A101" s="80">
        <v>46139.0</v>
      </c>
      <c r="B101" s="79" t="s">
        <v>1545</v>
      </c>
      <c r="C101" s="79" t="s">
        <v>1546</v>
      </c>
      <c r="D101" s="83">
        <v>-3900.0</v>
      </c>
      <c r="E101" s="79"/>
      <c r="F101" s="79"/>
      <c r="G101" s="79" t="s">
        <v>59</v>
      </c>
      <c r="H101" s="82">
        <v>46113.0</v>
      </c>
      <c r="I101" s="79"/>
      <c r="J101" s="79"/>
      <c r="K101" s="79" t="s">
        <v>1546</v>
      </c>
      <c r="L101" s="79"/>
      <c r="M101" s="79"/>
      <c r="N101" s="4" t="s">
        <v>1546</v>
      </c>
      <c r="O101" s="4" t="s">
        <v>1546</v>
      </c>
    </row>
    <row r="102" ht="15.75" customHeight="1">
      <c r="A102" s="80">
        <v>46139.0</v>
      </c>
      <c r="B102" s="79" t="s">
        <v>1547</v>
      </c>
      <c r="C102" s="79" t="s">
        <v>1548</v>
      </c>
      <c r="D102" s="83">
        <v>-4620.0</v>
      </c>
      <c r="E102" s="79"/>
      <c r="F102" s="79"/>
      <c r="G102" s="79" t="s">
        <v>59</v>
      </c>
      <c r="H102" s="82">
        <v>46113.0</v>
      </c>
      <c r="I102" s="79"/>
      <c r="J102" s="79"/>
      <c r="K102" s="79" t="s">
        <v>1548</v>
      </c>
      <c r="L102" s="79"/>
      <c r="M102" s="79"/>
      <c r="N102" s="4" t="s">
        <v>1548</v>
      </c>
      <c r="O102" s="4" t="s">
        <v>1548</v>
      </c>
    </row>
    <row r="103" ht="15.75" customHeight="1">
      <c r="A103" s="80">
        <v>46139.0</v>
      </c>
      <c r="B103" s="79" t="s">
        <v>1549</v>
      </c>
      <c r="C103" s="79" t="s">
        <v>1550</v>
      </c>
      <c r="D103" s="83">
        <v>-6015.0</v>
      </c>
      <c r="E103" s="79"/>
      <c r="F103" s="79"/>
      <c r="G103" s="79" t="s">
        <v>59</v>
      </c>
      <c r="H103" s="82">
        <v>46113.0</v>
      </c>
      <c r="I103" s="79"/>
      <c r="J103" s="79"/>
      <c r="K103" s="79" t="s">
        <v>1550</v>
      </c>
      <c r="L103" s="79"/>
      <c r="M103" s="79"/>
      <c r="N103" s="4" t="s">
        <v>1550</v>
      </c>
      <c r="O103" s="4" t="s">
        <v>1550</v>
      </c>
    </row>
    <row r="104" ht="15.75" customHeight="1">
      <c r="A104" s="80">
        <v>46139.0</v>
      </c>
      <c r="B104" s="79" t="s">
        <v>1538</v>
      </c>
      <c r="C104" s="79" t="s">
        <v>1551</v>
      </c>
      <c r="D104" s="83">
        <v>-27293.0</v>
      </c>
      <c r="E104" s="79"/>
      <c r="F104" s="79"/>
      <c r="G104" s="79" t="s">
        <v>59</v>
      </c>
      <c r="H104" s="82">
        <v>46113.0</v>
      </c>
      <c r="I104" s="79"/>
      <c r="J104" s="79"/>
      <c r="K104" s="79" t="s">
        <v>1551</v>
      </c>
      <c r="L104" s="79"/>
      <c r="M104" s="79"/>
      <c r="N104" s="4" t="s">
        <v>1551</v>
      </c>
      <c r="O104" s="4" t="s">
        <v>1551</v>
      </c>
    </row>
    <row r="105" ht="15.75" customHeight="1">
      <c r="A105" s="80">
        <v>46139.0</v>
      </c>
      <c r="B105" s="79" t="s">
        <v>1552</v>
      </c>
      <c r="C105" s="79" t="s">
        <v>1553</v>
      </c>
      <c r="D105" s="83">
        <v>-99000.0</v>
      </c>
      <c r="E105" s="79"/>
      <c r="F105" s="79"/>
      <c r="G105" s="79" t="s">
        <v>59</v>
      </c>
      <c r="H105" s="82">
        <v>46113.0</v>
      </c>
      <c r="I105" s="79"/>
      <c r="J105" s="79"/>
      <c r="K105" s="79" t="s">
        <v>1553</v>
      </c>
      <c r="L105" s="79"/>
      <c r="M105" s="79"/>
      <c r="N105" s="4" t="s">
        <v>1553</v>
      </c>
      <c r="O105" s="4" t="s">
        <v>1553</v>
      </c>
    </row>
    <row r="106" ht="15.75" customHeight="1">
      <c r="A106" s="80">
        <v>46139.0</v>
      </c>
      <c r="B106" s="79" t="s">
        <v>1446</v>
      </c>
      <c r="C106" s="79" t="s">
        <v>1554</v>
      </c>
      <c r="D106" s="83">
        <v>-67440.0</v>
      </c>
      <c r="E106" s="79"/>
      <c r="F106" s="79"/>
      <c r="G106" s="79" t="s">
        <v>59</v>
      </c>
      <c r="H106" s="82">
        <v>46113.0</v>
      </c>
      <c r="I106" s="79"/>
      <c r="J106" s="79"/>
      <c r="K106" s="79" t="s">
        <v>1555</v>
      </c>
      <c r="L106" s="79"/>
      <c r="M106" s="79"/>
      <c r="N106" s="4" t="s">
        <v>1555</v>
      </c>
      <c r="O106" s="4" t="s">
        <v>1555</v>
      </c>
    </row>
    <row r="107" ht="15.75" customHeight="1">
      <c r="A107" s="80">
        <v>46139.0</v>
      </c>
      <c r="B107" s="79" t="s">
        <v>1549</v>
      </c>
      <c r="C107" s="79" t="s">
        <v>1556</v>
      </c>
      <c r="D107" s="83">
        <v>-58201.0</v>
      </c>
      <c r="E107" s="79"/>
      <c r="F107" s="79"/>
      <c r="G107" s="79" t="s">
        <v>59</v>
      </c>
      <c r="H107" s="82">
        <v>46113.0</v>
      </c>
      <c r="I107" s="79"/>
      <c r="J107" s="79"/>
      <c r="K107" s="79" t="s">
        <v>1556</v>
      </c>
      <c r="L107" s="79"/>
      <c r="M107" s="79"/>
      <c r="N107" s="4" t="s">
        <v>1556</v>
      </c>
      <c r="O107" s="4" t="s">
        <v>1556</v>
      </c>
    </row>
    <row r="108" ht="15.75" customHeight="1">
      <c r="A108" s="80">
        <v>46139.0</v>
      </c>
      <c r="B108" s="79" t="s">
        <v>1549</v>
      </c>
      <c r="C108" s="4" t="s">
        <v>1557</v>
      </c>
      <c r="D108" s="105" t="s">
        <v>1558</v>
      </c>
      <c r="E108" s="79" t="s">
        <v>3</v>
      </c>
      <c r="F108" s="79" t="s">
        <v>3</v>
      </c>
      <c r="G108" s="79" t="s">
        <v>59</v>
      </c>
      <c r="H108" s="82">
        <v>46113.0</v>
      </c>
      <c r="I108" s="79"/>
      <c r="J108" s="79"/>
      <c r="K108" s="4" t="s">
        <v>1557</v>
      </c>
      <c r="L108" s="79"/>
      <c r="M108" s="79"/>
      <c r="N108" s="4" t="s">
        <v>1557</v>
      </c>
      <c r="O108" s="4" t="s">
        <v>1557</v>
      </c>
    </row>
    <row r="109" ht="15.75" customHeight="1">
      <c r="A109" s="80">
        <v>46139.0</v>
      </c>
      <c r="B109" s="79" t="s">
        <v>1526</v>
      </c>
      <c r="C109" s="99" t="s">
        <v>1559</v>
      </c>
      <c r="D109" s="105" t="s">
        <v>1560</v>
      </c>
      <c r="E109" s="79" t="s">
        <v>3</v>
      </c>
      <c r="F109" s="79" t="s">
        <v>3</v>
      </c>
      <c r="G109" s="79" t="s">
        <v>59</v>
      </c>
      <c r="H109" s="82">
        <v>46113.0</v>
      </c>
      <c r="I109" s="79"/>
      <c r="J109" s="79"/>
      <c r="K109" s="99" t="s">
        <v>1559</v>
      </c>
      <c r="L109" s="79"/>
      <c r="M109" s="79"/>
      <c r="N109" s="4" t="s">
        <v>1559</v>
      </c>
      <c r="O109" s="4" t="s">
        <v>1559</v>
      </c>
    </row>
    <row r="110" ht="15.75" customHeight="1">
      <c r="A110" s="80">
        <v>46139.0</v>
      </c>
      <c r="B110" s="79" t="s">
        <v>1561</v>
      </c>
      <c r="C110" s="4" t="s">
        <v>1562</v>
      </c>
      <c r="D110" s="83">
        <v>-93408.0</v>
      </c>
      <c r="E110" s="79"/>
      <c r="F110" s="79"/>
      <c r="G110" s="79" t="s">
        <v>59</v>
      </c>
      <c r="H110" s="82">
        <v>46113.0</v>
      </c>
      <c r="I110" s="79"/>
      <c r="J110" s="79"/>
      <c r="K110" s="4" t="s">
        <v>1562</v>
      </c>
      <c r="L110" s="79"/>
      <c r="M110" s="79"/>
      <c r="N110" s="4" t="s">
        <v>1562</v>
      </c>
      <c r="O110" s="4" t="s">
        <v>1562</v>
      </c>
    </row>
    <row r="111" ht="15.75" customHeight="1">
      <c r="A111" s="80">
        <v>46139.0</v>
      </c>
      <c r="B111" s="79" t="s">
        <v>1563</v>
      </c>
      <c r="C111" s="79" t="s">
        <v>1564</v>
      </c>
      <c r="D111" s="83">
        <v>-33000.0</v>
      </c>
      <c r="E111" s="79"/>
      <c r="F111" s="79"/>
      <c r="G111" s="79" t="s">
        <v>59</v>
      </c>
      <c r="H111" s="82">
        <v>46113.0</v>
      </c>
      <c r="I111" s="79"/>
      <c r="J111" s="79"/>
      <c r="K111" s="79" t="s">
        <v>1564</v>
      </c>
      <c r="L111" s="79"/>
      <c r="M111" s="79"/>
      <c r="N111" s="4" t="s">
        <v>1564</v>
      </c>
      <c r="O111" s="4" t="s">
        <v>1564</v>
      </c>
    </row>
    <row r="112" ht="15.75" customHeight="1">
      <c r="A112" s="80">
        <v>46139.0</v>
      </c>
      <c r="B112" s="79" t="s">
        <v>1446</v>
      </c>
      <c r="C112" s="79" t="s">
        <v>1501</v>
      </c>
      <c r="D112" s="83">
        <v>-7130000.0</v>
      </c>
      <c r="E112" s="79"/>
      <c r="F112" s="79"/>
      <c r="G112" s="79" t="s">
        <v>59</v>
      </c>
      <c r="H112" s="82">
        <v>46113.0</v>
      </c>
      <c r="I112" s="79"/>
      <c r="J112" s="79"/>
      <c r="K112" s="79" t="s">
        <v>1501</v>
      </c>
      <c r="L112" s="79"/>
      <c r="M112" s="79"/>
      <c r="N112" s="4" t="s">
        <v>1501</v>
      </c>
      <c r="O112" s="4" t="s">
        <v>1501</v>
      </c>
    </row>
    <row r="113" ht="15.75" customHeight="1">
      <c r="A113" s="80">
        <v>46139.0</v>
      </c>
      <c r="B113" s="79" t="s">
        <v>1446</v>
      </c>
      <c r="C113" s="79" t="s">
        <v>1447</v>
      </c>
      <c r="D113" s="83">
        <v>5000000.0</v>
      </c>
      <c r="E113" s="79"/>
      <c r="F113" s="79"/>
      <c r="G113" s="79" t="s">
        <v>59</v>
      </c>
      <c r="H113" s="82">
        <v>46113.0</v>
      </c>
      <c r="I113" s="79"/>
      <c r="J113" s="79"/>
      <c r="K113" s="79" t="s">
        <v>1447</v>
      </c>
      <c r="L113" s="79"/>
      <c r="M113" s="79"/>
      <c r="N113" s="4" t="s">
        <v>1447</v>
      </c>
      <c r="O113" s="4" t="s">
        <v>1447</v>
      </c>
    </row>
    <row r="114" ht="15.75" customHeight="1">
      <c r="A114" s="80">
        <v>46139.0</v>
      </c>
      <c r="B114" s="79" t="s">
        <v>1446</v>
      </c>
      <c r="C114" s="79" t="s">
        <v>1501</v>
      </c>
      <c r="D114" s="83">
        <v>-5000000.0</v>
      </c>
      <c r="E114" s="79"/>
      <c r="F114" s="79"/>
      <c r="G114" s="79" t="s">
        <v>59</v>
      </c>
      <c r="H114" s="82">
        <v>46113.0</v>
      </c>
      <c r="I114" s="79"/>
      <c r="J114" s="79"/>
      <c r="K114" s="79" t="s">
        <v>1501</v>
      </c>
      <c r="L114" s="79"/>
      <c r="M114" s="79"/>
      <c r="N114" s="4" t="s">
        <v>1501</v>
      </c>
      <c r="O114" s="4" t="s">
        <v>1501</v>
      </c>
    </row>
    <row r="115" ht="15.75" customHeight="1">
      <c r="A115" s="80">
        <v>46139.0</v>
      </c>
      <c r="B115" s="79" t="s">
        <v>1446</v>
      </c>
      <c r="C115" s="79" t="s">
        <v>1565</v>
      </c>
      <c r="D115" s="83">
        <v>880000.0</v>
      </c>
      <c r="E115" s="79"/>
      <c r="F115" s="79"/>
      <c r="G115" s="79" t="s">
        <v>59</v>
      </c>
      <c r="H115" s="82">
        <v>46113.0</v>
      </c>
      <c r="I115" s="79"/>
      <c r="J115" s="79"/>
      <c r="K115" s="79" t="s">
        <v>1565</v>
      </c>
      <c r="L115" s="79"/>
      <c r="M115" s="79"/>
      <c r="N115" s="4" t="s">
        <v>1565</v>
      </c>
      <c r="O115" s="4" t="s">
        <v>1565</v>
      </c>
    </row>
    <row r="116" ht="15.75" customHeight="1">
      <c r="A116" s="80">
        <v>46139.0</v>
      </c>
      <c r="B116" s="79" t="s">
        <v>1446</v>
      </c>
      <c r="C116" s="79" t="s">
        <v>1501</v>
      </c>
      <c r="D116" s="83">
        <v>-200000.0</v>
      </c>
      <c r="E116" s="79"/>
      <c r="F116" s="79"/>
      <c r="G116" s="79" t="s">
        <v>59</v>
      </c>
      <c r="H116" s="82">
        <v>46113.0</v>
      </c>
      <c r="I116" s="79"/>
      <c r="J116" s="79"/>
      <c r="K116" s="79" t="s">
        <v>1501</v>
      </c>
      <c r="L116" s="79"/>
      <c r="M116" s="79"/>
      <c r="N116" s="4" t="s">
        <v>1501</v>
      </c>
      <c r="O116" s="4" t="s">
        <v>1501</v>
      </c>
    </row>
    <row r="117" ht="15.75" customHeight="1">
      <c r="A117" s="17">
        <v>46149.0</v>
      </c>
      <c r="B117" s="4" t="s">
        <v>1441</v>
      </c>
      <c r="C117" s="4" t="s">
        <v>336</v>
      </c>
      <c r="D117" s="23">
        <v>58400.0</v>
      </c>
      <c r="E117" s="4"/>
      <c r="F117" s="4"/>
      <c r="G117" s="4" t="s">
        <v>57</v>
      </c>
      <c r="H117" s="19">
        <v>46143.0</v>
      </c>
      <c r="I117" s="4"/>
      <c r="J117" s="4"/>
      <c r="K117" s="4" t="s">
        <v>336</v>
      </c>
      <c r="L117" s="4"/>
      <c r="M117" s="4" t="s">
        <v>1566</v>
      </c>
      <c r="N117" s="4" t="s">
        <v>336</v>
      </c>
      <c r="O117" s="4" t="s">
        <v>336</v>
      </c>
      <c r="P117" s="4">
        <v>58400.0</v>
      </c>
      <c r="Q117" s="4"/>
      <c r="R117" s="4" t="s">
        <v>1567</v>
      </c>
      <c r="S117" s="4" t="s">
        <v>1568</v>
      </c>
      <c r="T117" s="106">
        <v>46151.551828703705</v>
      </c>
    </row>
    <row r="118" ht="15.75" customHeight="1">
      <c r="A118" s="17">
        <v>46150.0</v>
      </c>
      <c r="B118" s="4" t="s">
        <v>1441</v>
      </c>
      <c r="C118" s="4" t="s">
        <v>338</v>
      </c>
      <c r="D118" s="23">
        <v>93260.0</v>
      </c>
      <c r="E118" s="4"/>
      <c r="F118" s="4"/>
      <c r="G118" s="4" t="s">
        <v>57</v>
      </c>
      <c r="H118" s="19">
        <v>46143.0</v>
      </c>
      <c r="I118" s="4"/>
      <c r="J118" s="4"/>
      <c r="K118" s="4" t="s">
        <v>338</v>
      </c>
      <c r="L118" s="4"/>
      <c r="M118" s="4" t="s">
        <v>1566</v>
      </c>
      <c r="N118" s="4" t="s">
        <v>338</v>
      </c>
      <c r="O118" s="4" t="s">
        <v>338</v>
      </c>
      <c r="P118" s="4">
        <v>93260.0</v>
      </c>
      <c r="Q118" s="4"/>
      <c r="R118" s="4" t="s">
        <v>1567</v>
      </c>
      <c r="S118" s="4" t="s">
        <v>1568</v>
      </c>
      <c r="T118" s="106">
        <v>46151.551828703705</v>
      </c>
    </row>
    <row r="119" ht="15.75" customHeight="1">
      <c r="A119" s="17">
        <v>46150.0</v>
      </c>
      <c r="B119" s="4" t="s">
        <v>1569</v>
      </c>
      <c r="C119" s="4" t="s">
        <v>1570</v>
      </c>
      <c r="D119" s="23">
        <v>-63000.0</v>
      </c>
      <c r="G119" s="4" t="s">
        <v>59</v>
      </c>
      <c r="H119" s="19">
        <v>46143.0</v>
      </c>
      <c r="K119" s="4" t="s">
        <v>1570</v>
      </c>
      <c r="M119" s="4" t="s">
        <v>1571</v>
      </c>
      <c r="N119" s="4" t="s">
        <v>1570</v>
      </c>
      <c r="O119" s="4" t="s">
        <v>1570</v>
      </c>
      <c r="Q119" s="4">
        <v>63000.0</v>
      </c>
      <c r="R119" s="4" t="s">
        <v>1567</v>
      </c>
      <c r="S119" s="4" t="s">
        <v>1568</v>
      </c>
      <c r="T119" s="106">
        <v>46151.551828703705</v>
      </c>
    </row>
    <row r="120" ht="15.75" customHeight="1">
      <c r="A120" s="17">
        <v>46149.0</v>
      </c>
      <c r="B120" s="4" t="s">
        <v>1483</v>
      </c>
      <c r="C120" s="4" t="s">
        <v>1572</v>
      </c>
      <c r="D120" s="23">
        <v>-1210.0</v>
      </c>
      <c r="G120" s="4" t="s">
        <v>59</v>
      </c>
      <c r="H120" s="19">
        <v>46143.0</v>
      </c>
      <c r="K120" s="4" t="s">
        <v>1572</v>
      </c>
      <c r="M120" s="4" t="s">
        <v>1571</v>
      </c>
      <c r="N120" s="4" t="s">
        <v>1572</v>
      </c>
      <c r="O120" s="4" t="s">
        <v>1572</v>
      </c>
      <c r="Q120" s="4">
        <v>1210.0</v>
      </c>
      <c r="R120" s="4" t="s">
        <v>1573</v>
      </c>
      <c r="S120" s="4" t="s">
        <v>1574</v>
      </c>
      <c r="T120" s="106">
        <v>46151.551828703705</v>
      </c>
    </row>
    <row r="121" ht="15.75" customHeight="1">
      <c r="A121" s="17">
        <v>46149.0</v>
      </c>
      <c r="B121" s="4" t="s">
        <v>1446</v>
      </c>
      <c r="C121" s="4" t="s">
        <v>1575</v>
      </c>
      <c r="D121" s="23">
        <v>-106480.0</v>
      </c>
      <c r="G121" s="4" t="s">
        <v>59</v>
      </c>
      <c r="H121" s="19">
        <v>46143.0</v>
      </c>
      <c r="K121" s="4" t="s">
        <v>1576</v>
      </c>
      <c r="M121" s="4" t="s">
        <v>1571</v>
      </c>
      <c r="N121" s="4" t="s">
        <v>1575</v>
      </c>
      <c r="O121" s="4" t="s">
        <v>1576</v>
      </c>
      <c r="Q121" s="4">
        <v>106480.0</v>
      </c>
      <c r="R121" s="4" t="s">
        <v>1573</v>
      </c>
      <c r="S121" s="4" t="s">
        <v>1574</v>
      </c>
      <c r="T121" s="106">
        <v>46151.551828703705</v>
      </c>
    </row>
    <row r="122" ht="15.75" customHeight="1">
      <c r="A122" s="17">
        <v>46149.0</v>
      </c>
      <c r="B122" s="4" t="s">
        <v>1446</v>
      </c>
      <c r="C122" s="4" t="s">
        <v>1577</v>
      </c>
      <c r="D122" s="23">
        <v>-134176.0</v>
      </c>
      <c r="G122" s="4" t="s">
        <v>59</v>
      </c>
      <c r="H122" s="19">
        <v>46143.0</v>
      </c>
      <c r="K122" s="4" t="s">
        <v>1577</v>
      </c>
      <c r="M122" s="4" t="s">
        <v>1571</v>
      </c>
      <c r="N122" s="4" t="s">
        <v>1577</v>
      </c>
      <c r="O122" s="4" t="s">
        <v>1577</v>
      </c>
      <c r="Q122" s="4">
        <v>134176.0</v>
      </c>
      <c r="R122" s="4" t="s">
        <v>1573</v>
      </c>
      <c r="S122" s="4" t="s">
        <v>1574</v>
      </c>
      <c r="T122" s="106">
        <v>46151.551828703705</v>
      </c>
    </row>
    <row r="123" ht="15.75" customHeight="1">
      <c r="A123" s="17">
        <v>46149.0</v>
      </c>
      <c r="B123" s="4" t="s">
        <v>1446</v>
      </c>
      <c r="C123" s="4" t="s">
        <v>340</v>
      </c>
      <c r="D123" s="23">
        <v>8265500.0</v>
      </c>
      <c r="E123" s="4"/>
      <c r="F123" s="4"/>
      <c r="G123" s="4" t="s">
        <v>57</v>
      </c>
      <c r="H123" s="19">
        <v>46143.0</v>
      </c>
      <c r="I123" s="4"/>
      <c r="J123" s="4"/>
      <c r="K123" s="4" t="s">
        <v>340</v>
      </c>
      <c r="L123" s="4"/>
      <c r="M123" s="4" t="s">
        <v>1566</v>
      </c>
      <c r="N123" s="4" t="s">
        <v>340</v>
      </c>
      <c r="O123" s="4" t="s">
        <v>340</v>
      </c>
      <c r="P123" s="4">
        <v>8265500.0</v>
      </c>
      <c r="Q123" s="4"/>
      <c r="R123" s="4" t="s">
        <v>1573</v>
      </c>
      <c r="S123" s="4" t="s">
        <v>1574</v>
      </c>
      <c r="T123" s="106">
        <v>46151.551828703705</v>
      </c>
    </row>
    <row r="124" ht="15.75" customHeight="1">
      <c r="A124" s="17">
        <v>46149.0</v>
      </c>
      <c r="B124" s="4" t="s">
        <v>1578</v>
      </c>
      <c r="C124" s="4" t="s">
        <v>1579</v>
      </c>
      <c r="D124" s="23">
        <v>-88000.0</v>
      </c>
      <c r="G124" s="4" t="s">
        <v>59</v>
      </c>
      <c r="H124" s="19">
        <v>46143.0</v>
      </c>
      <c r="K124" s="4" t="s">
        <v>1579</v>
      </c>
      <c r="M124" s="4" t="s">
        <v>1571</v>
      </c>
      <c r="N124" s="4" t="s">
        <v>1579</v>
      </c>
      <c r="O124" s="4" t="s">
        <v>1579</v>
      </c>
      <c r="Q124" s="4">
        <v>88000.0</v>
      </c>
      <c r="R124" s="4" t="s">
        <v>1573</v>
      </c>
      <c r="S124" s="4" t="s">
        <v>1574</v>
      </c>
      <c r="T124" s="106">
        <v>46151.551828703705</v>
      </c>
    </row>
    <row r="125" ht="15.75" customHeight="1">
      <c r="A125" s="17">
        <v>46149.0</v>
      </c>
      <c r="B125" s="4" t="s">
        <v>1538</v>
      </c>
      <c r="C125" s="4" t="s">
        <v>1580</v>
      </c>
      <c r="D125" s="23">
        <v>-195360.0</v>
      </c>
      <c r="G125" s="4" t="s">
        <v>59</v>
      </c>
      <c r="H125" s="19">
        <v>46143.0</v>
      </c>
      <c r="K125" s="4" t="s">
        <v>1580</v>
      </c>
      <c r="M125" s="4" t="s">
        <v>1571</v>
      </c>
      <c r="N125" s="4" t="s">
        <v>1580</v>
      </c>
      <c r="O125" s="4" t="s">
        <v>1580</v>
      </c>
      <c r="Q125" s="4">
        <v>195360.0</v>
      </c>
      <c r="R125" s="4" t="s">
        <v>1573</v>
      </c>
      <c r="S125" s="4" t="s">
        <v>1574</v>
      </c>
      <c r="T125" s="106">
        <v>46151.551828703705</v>
      </c>
    </row>
    <row r="126" ht="15.75" customHeight="1">
      <c r="A126" s="17">
        <v>46150.0</v>
      </c>
      <c r="B126" s="4" t="s">
        <v>1449</v>
      </c>
      <c r="C126" s="4" t="s">
        <v>1581</v>
      </c>
      <c r="D126" s="23">
        <v>9913699.0</v>
      </c>
      <c r="G126" s="4" t="s">
        <v>59</v>
      </c>
      <c r="H126" s="19">
        <v>46143.0</v>
      </c>
      <c r="K126" s="4" t="s">
        <v>1581</v>
      </c>
      <c r="M126" s="4" t="s">
        <v>1566</v>
      </c>
      <c r="N126" s="4" t="s">
        <v>1581</v>
      </c>
      <c r="O126" s="4" t="s">
        <v>1581</v>
      </c>
      <c r="P126" s="4">
        <v>9913699.0</v>
      </c>
      <c r="R126" s="4" t="s">
        <v>1573</v>
      </c>
      <c r="S126" s="4" t="s">
        <v>1574</v>
      </c>
      <c r="T126" s="106">
        <v>46151.551828703705</v>
      </c>
    </row>
    <row r="127" ht="15.75" customHeight="1">
      <c r="A127" s="17">
        <v>46150.0</v>
      </c>
      <c r="B127" s="4" t="s">
        <v>1446</v>
      </c>
      <c r="C127" s="4" t="s">
        <v>1582</v>
      </c>
      <c r="D127" s="23">
        <v>-7500000.0</v>
      </c>
      <c r="G127" s="4" t="s">
        <v>59</v>
      </c>
      <c r="H127" s="19">
        <v>46143.0</v>
      </c>
      <c r="K127" s="4" t="s">
        <v>1582</v>
      </c>
      <c r="M127" s="4" t="s">
        <v>1571</v>
      </c>
      <c r="N127" s="4" t="s">
        <v>1582</v>
      </c>
      <c r="O127" s="4" t="s">
        <v>1582</v>
      </c>
      <c r="Q127" s="4">
        <v>7500000.0</v>
      </c>
      <c r="R127" s="4" t="s">
        <v>1573</v>
      </c>
      <c r="S127" s="4" t="s">
        <v>1574</v>
      </c>
      <c r="T127" s="106">
        <v>46151.551828703705</v>
      </c>
    </row>
    <row r="128" ht="15.75" customHeight="1">
      <c r="A128" s="17">
        <v>46150.0</v>
      </c>
      <c r="B128" s="4" t="s">
        <v>1446</v>
      </c>
      <c r="C128" s="4" t="s">
        <v>1501</v>
      </c>
      <c r="D128" s="23">
        <v>-14600.0</v>
      </c>
      <c r="G128" s="4" t="s">
        <v>59</v>
      </c>
      <c r="H128" s="19">
        <v>46143.0</v>
      </c>
      <c r="K128" s="4" t="s">
        <v>1501</v>
      </c>
      <c r="M128" s="4" t="s">
        <v>1571</v>
      </c>
      <c r="N128" s="4" t="s">
        <v>1501</v>
      </c>
      <c r="O128" s="4" t="s">
        <v>1501</v>
      </c>
      <c r="Q128" s="4">
        <v>14600.0</v>
      </c>
      <c r="R128" s="4" t="s">
        <v>1573</v>
      </c>
      <c r="S128" s="4" t="s">
        <v>1574</v>
      </c>
      <c r="T128" s="106">
        <v>46151.551828703705</v>
      </c>
    </row>
    <row r="129" ht="15.75" customHeight="1">
      <c r="A129" s="17">
        <v>46150.0</v>
      </c>
      <c r="B129" s="4" t="s">
        <v>1446</v>
      </c>
      <c r="C129" s="4" t="s">
        <v>1501</v>
      </c>
      <c r="D129" s="23">
        <v>-100000.0</v>
      </c>
      <c r="G129" s="4" t="s">
        <v>59</v>
      </c>
      <c r="H129" s="19">
        <v>46143.0</v>
      </c>
      <c r="K129" s="4" t="s">
        <v>1501</v>
      </c>
      <c r="M129" s="4" t="s">
        <v>1571</v>
      </c>
      <c r="N129" s="4" t="s">
        <v>1501</v>
      </c>
      <c r="O129" s="4" t="s">
        <v>1501</v>
      </c>
      <c r="Q129" s="4">
        <v>100000.0</v>
      </c>
      <c r="R129" s="4" t="s">
        <v>1573</v>
      </c>
      <c r="S129" s="4" t="s">
        <v>1574</v>
      </c>
      <c r="T129" s="106">
        <v>46151.551828703705</v>
      </c>
    </row>
    <row r="130" ht="15.75" customHeight="1">
      <c r="A130" s="17">
        <v>46150.0</v>
      </c>
      <c r="B130" s="4" t="s">
        <v>1446</v>
      </c>
      <c r="C130" s="4" t="s">
        <v>1501</v>
      </c>
      <c r="D130" s="23">
        <v>-4612.0</v>
      </c>
      <c r="G130" s="4" t="s">
        <v>59</v>
      </c>
      <c r="H130" s="19">
        <v>46143.0</v>
      </c>
      <c r="K130" s="4" t="s">
        <v>1501</v>
      </c>
      <c r="M130" s="4" t="s">
        <v>1571</v>
      </c>
      <c r="N130" s="4" t="s">
        <v>1501</v>
      </c>
      <c r="O130" s="4" t="s">
        <v>1501</v>
      </c>
      <c r="Q130" s="4">
        <v>4612.0</v>
      </c>
      <c r="R130" s="4" t="s">
        <v>1573</v>
      </c>
      <c r="S130" s="4" t="s">
        <v>1574</v>
      </c>
      <c r="T130" s="106">
        <v>46151.551828703705</v>
      </c>
    </row>
    <row r="131" ht="15.75" customHeight="1">
      <c r="A131" s="17">
        <v>46150.0</v>
      </c>
      <c r="B131" s="4" t="s">
        <v>1446</v>
      </c>
      <c r="C131" s="4" t="s">
        <v>1501</v>
      </c>
      <c r="D131" s="23">
        <v>-134685.0</v>
      </c>
      <c r="G131" s="4" t="s">
        <v>59</v>
      </c>
      <c r="H131" s="19">
        <v>46143.0</v>
      </c>
      <c r="K131" s="4" t="s">
        <v>1501</v>
      </c>
      <c r="M131" s="4" t="s">
        <v>1571</v>
      </c>
      <c r="N131" s="4" t="s">
        <v>1501</v>
      </c>
      <c r="O131" s="4" t="s">
        <v>1501</v>
      </c>
      <c r="Q131" s="4">
        <v>134685.0</v>
      </c>
      <c r="R131" s="4" t="s">
        <v>1573</v>
      </c>
      <c r="S131" s="4" t="s">
        <v>1574</v>
      </c>
      <c r="T131" s="106">
        <v>46151.551828703705</v>
      </c>
    </row>
    <row r="132" ht="15.75" customHeight="1">
      <c r="A132" s="17">
        <v>46150.0</v>
      </c>
      <c r="B132" s="4" t="s">
        <v>1446</v>
      </c>
      <c r="C132" s="4" t="s">
        <v>1501</v>
      </c>
      <c r="D132" s="23">
        <v>-29650.0</v>
      </c>
      <c r="G132" s="4" t="s">
        <v>59</v>
      </c>
      <c r="H132" s="19">
        <v>46143.0</v>
      </c>
      <c r="K132" s="4" t="s">
        <v>1501</v>
      </c>
      <c r="M132" s="4" t="s">
        <v>1571</v>
      </c>
      <c r="N132" s="4" t="s">
        <v>1501</v>
      </c>
      <c r="O132" s="4" t="s">
        <v>1501</v>
      </c>
      <c r="Q132" s="4">
        <v>29650.0</v>
      </c>
      <c r="R132" s="4" t="s">
        <v>1573</v>
      </c>
      <c r="S132" s="4" t="s">
        <v>1574</v>
      </c>
      <c r="T132" s="106">
        <v>46151.551828703705</v>
      </c>
    </row>
    <row r="133" ht="15.75" customHeight="1">
      <c r="A133" s="17">
        <v>46143.0</v>
      </c>
      <c r="B133" s="4" t="s">
        <v>1492</v>
      </c>
      <c r="C133" s="4" t="s">
        <v>1493</v>
      </c>
      <c r="D133" s="23">
        <v>2000000.0</v>
      </c>
      <c r="G133" s="4" t="s">
        <v>59</v>
      </c>
      <c r="H133" s="19">
        <v>46143.0</v>
      </c>
      <c r="K133" s="4" t="s">
        <v>1494</v>
      </c>
      <c r="M133" s="4" t="s">
        <v>1566</v>
      </c>
      <c r="N133" s="4" t="s">
        <v>1493</v>
      </c>
      <c r="O133" s="4" t="s">
        <v>1494</v>
      </c>
      <c r="P133" s="4">
        <v>2000000.0</v>
      </c>
      <c r="R133" s="4" t="s">
        <v>1583</v>
      </c>
      <c r="S133" s="4" t="s">
        <v>1584</v>
      </c>
      <c r="T133" s="106">
        <v>46151.551828703705</v>
      </c>
    </row>
    <row r="134" ht="15.75" customHeight="1">
      <c r="A134" s="17">
        <v>46139.0</v>
      </c>
      <c r="B134" s="4" t="s">
        <v>1585</v>
      </c>
      <c r="C134" s="4" t="s">
        <v>1586</v>
      </c>
      <c r="D134" s="23">
        <v>-880000.0</v>
      </c>
      <c r="G134" s="4" t="s">
        <v>59</v>
      </c>
      <c r="H134" s="19">
        <v>46113.0</v>
      </c>
      <c r="K134" s="4" t="s">
        <v>1587</v>
      </c>
      <c r="M134" s="4" t="s">
        <v>1571</v>
      </c>
      <c r="N134" s="4" t="s">
        <v>1586</v>
      </c>
      <c r="O134" s="4" t="s">
        <v>1587</v>
      </c>
      <c r="Q134" s="4">
        <v>880000.0</v>
      </c>
      <c r="R134" s="4" t="s">
        <v>1588</v>
      </c>
      <c r="S134" s="4" t="s">
        <v>1589</v>
      </c>
      <c r="T134" s="106">
        <v>46151.551828703705</v>
      </c>
    </row>
    <row r="135" ht="15.75" customHeight="1">
      <c r="A135" s="17">
        <v>46140.0</v>
      </c>
      <c r="B135" s="4" t="s">
        <v>1441</v>
      </c>
      <c r="C135" s="4" t="s">
        <v>341</v>
      </c>
      <c r="D135" s="23">
        <v>1100000.0</v>
      </c>
      <c r="E135" s="4"/>
      <c r="F135" s="4"/>
      <c r="G135" s="4" t="s">
        <v>57</v>
      </c>
      <c r="H135" s="19">
        <v>46113.0</v>
      </c>
      <c r="I135" s="4"/>
      <c r="J135" s="4"/>
      <c r="K135" s="4" t="s">
        <v>341</v>
      </c>
      <c r="L135" s="4"/>
      <c r="M135" s="4" t="s">
        <v>1566</v>
      </c>
      <c r="N135" s="4" t="s">
        <v>341</v>
      </c>
      <c r="O135" s="4" t="s">
        <v>341</v>
      </c>
      <c r="P135" s="4">
        <v>1100000.0</v>
      </c>
      <c r="Q135" s="4"/>
      <c r="R135" s="4" t="s">
        <v>1588</v>
      </c>
      <c r="S135" s="4" t="s">
        <v>1589</v>
      </c>
      <c r="T135" s="106">
        <v>46151.551828703705</v>
      </c>
    </row>
    <row r="136" ht="15.75" customHeight="1">
      <c r="A136" s="17">
        <v>46140.0</v>
      </c>
      <c r="B136" s="4" t="s">
        <v>1446</v>
      </c>
      <c r="C136" s="4" t="s">
        <v>328</v>
      </c>
      <c r="D136" s="23">
        <v>100000.0</v>
      </c>
      <c r="E136" s="4"/>
      <c r="F136" s="4"/>
      <c r="G136" s="4" t="s">
        <v>57</v>
      </c>
      <c r="H136" s="19">
        <v>46113.0</v>
      </c>
      <c r="I136" s="4"/>
      <c r="J136" s="4"/>
      <c r="K136" s="4" t="s">
        <v>328</v>
      </c>
      <c r="L136" s="4"/>
      <c r="M136" s="4" t="s">
        <v>1566</v>
      </c>
      <c r="N136" s="4" t="s">
        <v>328</v>
      </c>
      <c r="O136" s="4" t="s">
        <v>328</v>
      </c>
      <c r="P136" s="4">
        <v>100000.0</v>
      </c>
      <c r="Q136" s="4"/>
      <c r="R136" s="4" t="s">
        <v>1588</v>
      </c>
      <c r="S136" s="4" t="s">
        <v>1589</v>
      </c>
      <c r="T136" s="106">
        <v>46151.551828703705</v>
      </c>
    </row>
    <row r="137" ht="15.75" customHeight="1">
      <c r="A137" s="17">
        <v>46140.0</v>
      </c>
      <c r="B137" s="4" t="s">
        <v>1441</v>
      </c>
      <c r="C137" s="4" t="s">
        <v>1590</v>
      </c>
      <c r="D137" s="23">
        <v>93720.0</v>
      </c>
      <c r="E137" s="4" t="s">
        <v>1391</v>
      </c>
      <c r="F137" s="4" t="s">
        <v>1398</v>
      </c>
      <c r="G137" s="4" t="s">
        <v>156</v>
      </c>
      <c r="H137" s="19">
        <v>46113.0</v>
      </c>
      <c r="I137" s="4"/>
      <c r="J137" s="4"/>
      <c r="K137" s="4" t="s">
        <v>1590</v>
      </c>
      <c r="L137" s="4"/>
      <c r="M137" s="4" t="s">
        <v>1566</v>
      </c>
      <c r="N137" s="4" t="s">
        <v>1590</v>
      </c>
      <c r="O137" s="4" t="s">
        <v>1590</v>
      </c>
      <c r="P137" s="4">
        <v>93720.0</v>
      </c>
      <c r="Q137" s="4"/>
      <c r="R137" s="4" t="s">
        <v>1588</v>
      </c>
      <c r="S137" s="4" t="s">
        <v>1589</v>
      </c>
      <c r="T137" s="106">
        <v>46151.551828703705</v>
      </c>
    </row>
    <row r="138" ht="15.75" customHeight="1">
      <c r="A138" s="17">
        <v>46142.0</v>
      </c>
      <c r="B138" s="4" t="s">
        <v>1441</v>
      </c>
      <c r="C138" s="4" t="s">
        <v>349</v>
      </c>
      <c r="D138" s="23">
        <v>282690.0</v>
      </c>
      <c r="E138" s="4"/>
      <c r="F138" s="4"/>
      <c r="G138" s="4" t="s">
        <v>57</v>
      </c>
      <c r="H138" s="19">
        <v>46113.0</v>
      </c>
      <c r="I138" s="4"/>
      <c r="J138" s="4"/>
      <c r="K138" s="4" t="s">
        <v>349</v>
      </c>
      <c r="L138" s="4"/>
      <c r="M138" s="4" t="s">
        <v>1566</v>
      </c>
      <c r="N138" s="4" t="s">
        <v>349</v>
      </c>
      <c r="O138" s="4" t="s">
        <v>349</v>
      </c>
      <c r="P138" s="4">
        <v>282690.0</v>
      </c>
      <c r="Q138" s="4"/>
      <c r="R138" s="4" t="s">
        <v>1588</v>
      </c>
      <c r="S138" s="4" t="s">
        <v>1589</v>
      </c>
      <c r="T138" s="106">
        <v>46151.551828703705</v>
      </c>
    </row>
    <row r="139" ht="15.75" customHeight="1">
      <c r="A139" s="17">
        <v>46142.0</v>
      </c>
      <c r="B139" s="4" t="s">
        <v>1441</v>
      </c>
      <c r="C139" s="4" t="s">
        <v>1591</v>
      </c>
      <c r="D139" s="23">
        <v>3850.0</v>
      </c>
      <c r="E139" s="4" t="s">
        <v>755</v>
      </c>
      <c r="F139" s="4" t="s">
        <v>762</v>
      </c>
      <c r="G139" s="4" t="s">
        <v>156</v>
      </c>
      <c r="H139" s="19">
        <v>46113.0</v>
      </c>
      <c r="I139" s="4"/>
      <c r="J139" s="4"/>
      <c r="K139" s="4" t="s">
        <v>1591</v>
      </c>
      <c r="L139" s="4"/>
      <c r="M139" s="4" t="s">
        <v>1566</v>
      </c>
      <c r="N139" s="4" t="s">
        <v>1591</v>
      </c>
      <c r="O139" s="4" t="s">
        <v>1591</v>
      </c>
      <c r="P139" s="4">
        <v>3850.0</v>
      </c>
      <c r="Q139" s="4"/>
      <c r="R139" s="4" t="s">
        <v>1588</v>
      </c>
      <c r="S139" s="4" t="s">
        <v>1589</v>
      </c>
      <c r="T139" s="106">
        <v>46151.551828703705</v>
      </c>
    </row>
    <row r="140" ht="15.75" customHeight="1">
      <c r="A140" s="17">
        <v>46142.0</v>
      </c>
      <c r="B140" s="4" t="s">
        <v>1441</v>
      </c>
      <c r="C140" s="4" t="s">
        <v>343</v>
      </c>
      <c r="D140" s="23">
        <v>842430.0</v>
      </c>
      <c r="E140" s="4"/>
      <c r="F140" s="4"/>
      <c r="G140" s="4" t="s">
        <v>57</v>
      </c>
      <c r="H140" s="19">
        <v>46113.0</v>
      </c>
      <c r="I140" s="4"/>
      <c r="J140" s="4"/>
      <c r="K140" s="4" t="s">
        <v>343</v>
      </c>
      <c r="L140" s="4"/>
      <c r="M140" s="4" t="s">
        <v>1566</v>
      </c>
      <c r="N140" s="4" t="s">
        <v>343</v>
      </c>
      <c r="O140" s="4" t="s">
        <v>343</v>
      </c>
      <c r="P140" s="4">
        <v>842430.0</v>
      </c>
      <c r="Q140" s="4"/>
      <c r="R140" s="4" t="s">
        <v>1588</v>
      </c>
      <c r="S140" s="4" t="s">
        <v>1589</v>
      </c>
      <c r="T140" s="106">
        <v>46151.551828703705</v>
      </c>
    </row>
    <row r="141" ht="15.75" customHeight="1">
      <c r="A141" s="17">
        <v>46142.0</v>
      </c>
      <c r="B141" s="4" t="s">
        <v>1441</v>
      </c>
      <c r="C141" s="4" t="s">
        <v>1592</v>
      </c>
      <c r="D141" s="23">
        <v>137410.0</v>
      </c>
      <c r="E141" s="4" t="s">
        <v>1071</v>
      </c>
      <c r="F141" s="4" t="s">
        <v>1080</v>
      </c>
      <c r="G141" s="4" t="s">
        <v>156</v>
      </c>
      <c r="H141" s="19">
        <v>46113.0</v>
      </c>
      <c r="I141" s="4"/>
      <c r="J141" s="4"/>
      <c r="K141" s="4" t="s">
        <v>1592</v>
      </c>
      <c r="L141" s="4"/>
      <c r="M141" s="4" t="s">
        <v>1566</v>
      </c>
      <c r="N141" s="4" t="s">
        <v>1592</v>
      </c>
      <c r="O141" s="4" t="s">
        <v>1592</v>
      </c>
      <c r="P141" s="4">
        <v>137410.0</v>
      </c>
      <c r="Q141" s="4"/>
      <c r="R141" s="4" t="s">
        <v>1588</v>
      </c>
      <c r="S141" s="4" t="s">
        <v>1589</v>
      </c>
      <c r="T141" s="106">
        <v>46151.551828703705</v>
      </c>
    </row>
    <row r="142" ht="15.75" customHeight="1">
      <c r="A142" s="17">
        <v>46142.0</v>
      </c>
      <c r="B142" s="4" t="s">
        <v>1441</v>
      </c>
      <c r="C142" s="4" t="s">
        <v>345</v>
      </c>
      <c r="D142" s="23">
        <v>188100.0</v>
      </c>
      <c r="E142" s="4"/>
      <c r="F142" s="4"/>
      <c r="G142" s="4" t="s">
        <v>57</v>
      </c>
      <c r="H142" s="19">
        <v>46113.0</v>
      </c>
      <c r="I142" s="4"/>
      <c r="J142" s="4"/>
      <c r="K142" s="4" t="s">
        <v>345</v>
      </c>
      <c r="L142" s="4"/>
      <c r="M142" s="4" t="s">
        <v>1566</v>
      </c>
      <c r="N142" s="4" t="s">
        <v>345</v>
      </c>
      <c r="O142" s="4" t="s">
        <v>345</v>
      </c>
      <c r="P142" s="4">
        <v>188100.0</v>
      </c>
      <c r="Q142" s="4"/>
      <c r="R142" s="4" t="s">
        <v>1588</v>
      </c>
      <c r="S142" s="4" t="s">
        <v>1589</v>
      </c>
      <c r="T142" s="106">
        <v>46151.551828703705</v>
      </c>
    </row>
    <row r="143" ht="15.75" customHeight="1">
      <c r="A143" s="17">
        <v>46139.0</v>
      </c>
      <c r="B143" s="4" t="s">
        <v>1542</v>
      </c>
      <c r="C143" s="4" t="s">
        <v>1543</v>
      </c>
      <c r="D143" s="23">
        <v>-18480.0</v>
      </c>
      <c r="G143" s="4" t="s">
        <v>59</v>
      </c>
      <c r="H143" s="19">
        <v>46113.0</v>
      </c>
      <c r="K143" s="4" t="s">
        <v>1543</v>
      </c>
      <c r="M143" s="4" t="s">
        <v>1571</v>
      </c>
      <c r="N143" s="4" t="s">
        <v>1543</v>
      </c>
      <c r="O143" s="4" t="s">
        <v>1543</v>
      </c>
      <c r="Q143" s="4">
        <v>18480.0</v>
      </c>
      <c r="R143" s="4" t="s">
        <v>1593</v>
      </c>
      <c r="S143" s="4" t="s">
        <v>1594</v>
      </c>
      <c r="T143" s="106">
        <v>46151.551828703705</v>
      </c>
    </row>
    <row r="144" ht="15.75" customHeight="1">
      <c r="A144" s="17">
        <v>46139.0</v>
      </c>
      <c r="B144" s="4" t="s">
        <v>1524</v>
      </c>
      <c r="C144" s="4" t="s">
        <v>1544</v>
      </c>
      <c r="D144" s="23">
        <v>-2602.0</v>
      </c>
      <c r="G144" s="4" t="s">
        <v>59</v>
      </c>
      <c r="H144" s="19">
        <v>46113.0</v>
      </c>
      <c r="K144" s="4" t="s">
        <v>1544</v>
      </c>
      <c r="M144" s="4" t="s">
        <v>1571</v>
      </c>
      <c r="N144" s="4" t="s">
        <v>1544</v>
      </c>
      <c r="O144" s="4" t="s">
        <v>1544</v>
      </c>
      <c r="Q144" s="4">
        <v>2602.0</v>
      </c>
      <c r="R144" s="4" t="s">
        <v>1593</v>
      </c>
      <c r="S144" s="4" t="s">
        <v>1594</v>
      </c>
      <c r="T144" s="106">
        <v>46151.551828703705</v>
      </c>
    </row>
    <row r="145" ht="15.75" customHeight="1">
      <c r="A145" s="17">
        <v>46139.0</v>
      </c>
      <c r="B145" s="4" t="s">
        <v>1545</v>
      </c>
      <c r="C145" s="4" t="s">
        <v>1546</v>
      </c>
      <c r="D145" s="23">
        <v>-3900.0</v>
      </c>
      <c r="G145" s="4" t="s">
        <v>59</v>
      </c>
      <c r="H145" s="19">
        <v>46113.0</v>
      </c>
      <c r="K145" s="4" t="s">
        <v>1546</v>
      </c>
      <c r="M145" s="4" t="s">
        <v>1571</v>
      </c>
      <c r="N145" s="4" t="s">
        <v>1546</v>
      </c>
      <c r="O145" s="4" t="s">
        <v>1546</v>
      </c>
      <c r="Q145" s="4">
        <v>3900.0</v>
      </c>
      <c r="R145" s="4" t="s">
        <v>1593</v>
      </c>
      <c r="S145" s="4" t="s">
        <v>1594</v>
      </c>
      <c r="T145" s="106">
        <v>46151.551828703705</v>
      </c>
    </row>
    <row r="146" ht="15.75" customHeight="1">
      <c r="A146" s="17">
        <v>46139.0</v>
      </c>
      <c r="B146" s="4" t="s">
        <v>1547</v>
      </c>
      <c r="C146" s="4" t="s">
        <v>1548</v>
      </c>
      <c r="D146" s="23">
        <v>-4620.0</v>
      </c>
      <c r="G146" s="4" t="s">
        <v>59</v>
      </c>
      <c r="H146" s="19">
        <v>46113.0</v>
      </c>
      <c r="K146" s="4" t="s">
        <v>1548</v>
      </c>
      <c r="M146" s="4" t="s">
        <v>1571</v>
      </c>
      <c r="N146" s="4" t="s">
        <v>1548</v>
      </c>
      <c r="O146" s="4" t="s">
        <v>1548</v>
      </c>
      <c r="Q146" s="4">
        <v>4620.0</v>
      </c>
      <c r="R146" s="4" t="s">
        <v>1593</v>
      </c>
      <c r="S146" s="4" t="s">
        <v>1594</v>
      </c>
      <c r="T146" s="106">
        <v>46151.551828703705</v>
      </c>
    </row>
    <row r="147" ht="15.75" customHeight="1">
      <c r="A147" s="17">
        <v>46139.0</v>
      </c>
      <c r="B147" s="4" t="s">
        <v>1549</v>
      </c>
      <c r="C147" s="4" t="s">
        <v>1550</v>
      </c>
      <c r="D147" s="23">
        <v>-6015.0</v>
      </c>
      <c r="G147" s="4" t="s">
        <v>59</v>
      </c>
      <c r="H147" s="19">
        <v>46113.0</v>
      </c>
      <c r="K147" s="4" t="s">
        <v>1550</v>
      </c>
      <c r="M147" s="4" t="s">
        <v>1571</v>
      </c>
      <c r="N147" s="4" t="s">
        <v>1550</v>
      </c>
      <c r="O147" s="4" t="s">
        <v>1550</v>
      </c>
      <c r="Q147" s="4">
        <v>6015.0</v>
      </c>
      <c r="R147" s="4" t="s">
        <v>1593</v>
      </c>
      <c r="S147" s="4" t="s">
        <v>1594</v>
      </c>
      <c r="T147" s="106">
        <v>46151.551828703705</v>
      </c>
    </row>
    <row r="148" ht="15.75" customHeight="1">
      <c r="A148" s="17">
        <v>46139.0</v>
      </c>
      <c r="B148" s="4" t="s">
        <v>1538</v>
      </c>
      <c r="C148" s="4" t="s">
        <v>1551</v>
      </c>
      <c r="D148" s="23">
        <v>-27293.0</v>
      </c>
      <c r="G148" s="4" t="s">
        <v>59</v>
      </c>
      <c r="H148" s="19">
        <v>46113.0</v>
      </c>
      <c r="K148" s="4" t="s">
        <v>1551</v>
      </c>
      <c r="M148" s="4" t="s">
        <v>1571</v>
      </c>
      <c r="N148" s="4" t="s">
        <v>1551</v>
      </c>
      <c r="O148" s="4" t="s">
        <v>1551</v>
      </c>
      <c r="Q148" s="4">
        <v>27293.0</v>
      </c>
      <c r="R148" s="4" t="s">
        <v>1593</v>
      </c>
      <c r="S148" s="4" t="s">
        <v>1594</v>
      </c>
      <c r="T148" s="106">
        <v>46151.551828703705</v>
      </c>
    </row>
    <row r="149" ht="15.75" customHeight="1">
      <c r="A149" s="17">
        <v>46139.0</v>
      </c>
      <c r="B149" s="4" t="s">
        <v>1552</v>
      </c>
      <c r="C149" s="4" t="s">
        <v>1553</v>
      </c>
      <c r="D149" s="23">
        <v>-99000.0</v>
      </c>
      <c r="G149" s="4" t="s">
        <v>59</v>
      </c>
      <c r="H149" s="19">
        <v>46113.0</v>
      </c>
      <c r="K149" s="4" t="s">
        <v>1553</v>
      </c>
      <c r="M149" s="4" t="s">
        <v>1571</v>
      </c>
      <c r="N149" s="4" t="s">
        <v>1553</v>
      </c>
      <c r="O149" s="4" t="s">
        <v>1553</v>
      </c>
      <c r="Q149" s="4">
        <v>99000.0</v>
      </c>
      <c r="R149" s="4" t="s">
        <v>1593</v>
      </c>
      <c r="S149" s="4" t="s">
        <v>1594</v>
      </c>
      <c r="T149" s="106">
        <v>46151.551828703705</v>
      </c>
    </row>
    <row r="150" ht="15.75" customHeight="1">
      <c r="A150" s="17">
        <v>46139.0</v>
      </c>
      <c r="B150" s="4" t="s">
        <v>1446</v>
      </c>
      <c r="C150" s="4" t="s">
        <v>1554</v>
      </c>
      <c r="D150" s="23">
        <v>-67440.0</v>
      </c>
      <c r="G150" s="4" t="s">
        <v>59</v>
      </c>
      <c r="H150" s="19">
        <v>46113.0</v>
      </c>
      <c r="K150" s="4" t="s">
        <v>1595</v>
      </c>
      <c r="M150" s="4" t="s">
        <v>1571</v>
      </c>
      <c r="N150" s="4" t="s">
        <v>1554</v>
      </c>
      <c r="O150" s="4" t="s">
        <v>1595</v>
      </c>
      <c r="Q150" s="4">
        <v>67440.0</v>
      </c>
      <c r="R150" s="4" t="s">
        <v>1593</v>
      </c>
      <c r="S150" s="4" t="s">
        <v>1594</v>
      </c>
      <c r="T150" s="106">
        <v>46151.551828703705</v>
      </c>
    </row>
    <row r="151" ht="15.75" customHeight="1">
      <c r="A151" s="17">
        <v>46139.0</v>
      </c>
      <c r="B151" s="4" t="s">
        <v>1549</v>
      </c>
      <c r="C151" s="4" t="s">
        <v>1556</v>
      </c>
      <c r="D151" s="23">
        <v>-58201.0</v>
      </c>
      <c r="G151" s="4" t="s">
        <v>59</v>
      </c>
      <c r="H151" s="19">
        <v>46113.0</v>
      </c>
      <c r="K151" s="4" t="s">
        <v>1556</v>
      </c>
      <c r="M151" s="4" t="s">
        <v>1571</v>
      </c>
      <c r="N151" s="4" t="s">
        <v>1556</v>
      </c>
      <c r="O151" s="4" t="s">
        <v>1556</v>
      </c>
      <c r="Q151" s="4">
        <v>58201.0</v>
      </c>
      <c r="R151" s="4" t="s">
        <v>1593</v>
      </c>
      <c r="S151" s="4" t="s">
        <v>1594</v>
      </c>
      <c r="T151" s="106">
        <v>46151.551828703705</v>
      </c>
    </row>
    <row r="152" ht="15.75" customHeight="1">
      <c r="A152" s="17">
        <v>46139.0</v>
      </c>
      <c r="B152" s="4" t="s">
        <v>1549</v>
      </c>
      <c r="C152" s="4" t="s">
        <v>1596</v>
      </c>
      <c r="D152" s="23">
        <v>-140710.0</v>
      </c>
      <c r="G152" s="4" t="s">
        <v>59</v>
      </c>
      <c r="H152" s="19">
        <v>46113.0</v>
      </c>
      <c r="K152" s="4" t="s">
        <v>1596</v>
      </c>
      <c r="M152" s="4" t="s">
        <v>1571</v>
      </c>
      <c r="N152" s="4" t="s">
        <v>1596</v>
      </c>
      <c r="O152" s="4" t="s">
        <v>1596</v>
      </c>
      <c r="Q152" s="4">
        <v>140710.0</v>
      </c>
      <c r="R152" s="4" t="s">
        <v>1593</v>
      </c>
      <c r="S152" s="4" t="s">
        <v>1594</v>
      </c>
      <c r="T152" s="106">
        <v>46151.551828703705</v>
      </c>
    </row>
    <row r="153" ht="15.75" customHeight="1">
      <c r="A153" s="17">
        <v>46139.0</v>
      </c>
      <c r="B153" s="4" t="s">
        <v>1526</v>
      </c>
      <c r="C153" s="4" t="s">
        <v>1597</v>
      </c>
      <c r="D153" s="23">
        <v>-4400.0</v>
      </c>
      <c r="G153" s="4" t="s">
        <v>59</v>
      </c>
      <c r="H153" s="19">
        <v>46113.0</v>
      </c>
      <c r="K153" s="4" t="s">
        <v>1597</v>
      </c>
      <c r="M153" s="4" t="s">
        <v>1571</v>
      </c>
      <c r="N153" s="4" t="s">
        <v>1597</v>
      </c>
      <c r="O153" s="4" t="s">
        <v>1597</v>
      </c>
      <c r="Q153" s="4">
        <v>4400.0</v>
      </c>
      <c r="R153" s="4" t="s">
        <v>1593</v>
      </c>
      <c r="S153" s="4" t="s">
        <v>1594</v>
      </c>
      <c r="T153" s="106">
        <v>46151.551828703705</v>
      </c>
    </row>
    <row r="154" ht="15.75" customHeight="1">
      <c r="A154" s="17">
        <v>46139.0</v>
      </c>
      <c r="B154" s="4" t="s">
        <v>1561</v>
      </c>
      <c r="C154" s="4" t="s">
        <v>1598</v>
      </c>
      <c r="D154" s="23">
        <v>-93408.0</v>
      </c>
      <c r="G154" s="4" t="s">
        <v>59</v>
      </c>
      <c r="H154" s="19">
        <v>46113.0</v>
      </c>
      <c r="K154" s="4" t="s">
        <v>1598</v>
      </c>
      <c r="M154" s="4" t="s">
        <v>1571</v>
      </c>
      <c r="N154" s="4" t="s">
        <v>1598</v>
      </c>
      <c r="O154" s="4" t="s">
        <v>1598</v>
      </c>
      <c r="Q154" s="4">
        <v>93408.0</v>
      </c>
      <c r="R154" s="4" t="s">
        <v>1593</v>
      </c>
      <c r="S154" s="4" t="s">
        <v>1594</v>
      </c>
      <c r="T154" s="106">
        <v>46151.551828703705</v>
      </c>
    </row>
    <row r="155" ht="15.75" customHeight="1">
      <c r="A155" s="17">
        <v>46139.0</v>
      </c>
      <c r="B155" s="4" t="s">
        <v>1563</v>
      </c>
      <c r="C155" s="4" t="s">
        <v>1564</v>
      </c>
      <c r="D155" s="23">
        <v>-33000.0</v>
      </c>
      <c r="G155" s="4" t="s">
        <v>59</v>
      </c>
      <c r="H155" s="19">
        <v>46113.0</v>
      </c>
      <c r="K155" s="4" t="s">
        <v>1564</v>
      </c>
      <c r="M155" s="4" t="s">
        <v>1571</v>
      </c>
      <c r="N155" s="4" t="s">
        <v>1564</v>
      </c>
      <c r="O155" s="4" t="s">
        <v>1564</v>
      </c>
      <c r="Q155" s="4">
        <v>33000.0</v>
      </c>
      <c r="R155" s="4" t="s">
        <v>1593</v>
      </c>
      <c r="S155" s="4" t="s">
        <v>1594</v>
      </c>
      <c r="T155" s="106">
        <v>46151.551828703705</v>
      </c>
    </row>
    <row r="156" ht="15.75" customHeight="1">
      <c r="A156" s="17">
        <v>46139.0</v>
      </c>
      <c r="B156" s="4" t="s">
        <v>1446</v>
      </c>
      <c r="C156" s="4" t="s">
        <v>1501</v>
      </c>
      <c r="D156" s="23">
        <v>-7130000.0</v>
      </c>
      <c r="G156" s="4" t="s">
        <v>59</v>
      </c>
      <c r="H156" s="19">
        <v>46113.0</v>
      </c>
      <c r="K156" s="4" t="s">
        <v>1501</v>
      </c>
      <c r="M156" s="4" t="s">
        <v>1571</v>
      </c>
      <c r="N156" s="4" t="s">
        <v>1501</v>
      </c>
      <c r="O156" s="4" t="s">
        <v>1501</v>
      </c>
      <c r="Q156" s="4">
        <v>7130000.0</v>
      </c>
      <c r="R156" s="4" t="s">
        <v>1593</v>
      </c>
      <c r="S156" s="4" t="s">
        <v>1594</v>
      </c>
      <c r="T156" s="106">
        <v>46151.551828703705</v>
      </c>
    </row>
    <row r="157" ht="15.75" customHeight="1">
      <c r="A157" s="17">
        <v>46139.0</v>
      </c>
      <c r="B157" s="4" t="s">
        <v>1585</v>
      </c>
      <c r="C157" s="4" t="s">
        <v>1502</v>
      </c>
      <c r="D157" s="23">
        <v>5000000.0</v>
      </c>
      <c r="G157" s="4" t="s">
        <v>59</v>
      </c>
      <c r="H157" s="19">
        <v>46113.0</v>
      </c>
      <c r="K157" s="4" t="s">
        <v>1599</v>
      </c>
      <c r="M157" s="4" t="s">
        <v>1566</v>
      </c>
      <c r="N157" s="4" t="s">
        <v>1502</v>
      </c>
      <c r="O157" s="4" t="s">
        <v>1599</v>
      </c>
      <c r="P157" s="4">
        <v>5000000.0</v>
      </c>
      <c r="R157" s="4" t="s">
        <v>1593</v>
      </c>
      <c r="S157" s="4" t="s">
        <v>1594</v>
      </c>
      <c r="T157" s="106">
        <v>46151.551828703705</v>
      </c>
    </row>
    <row r="158" ht="15.75" customHeight="1">
      <c r="A158" s="17">
        <v>46139.0</v>
      </c>
      <c r="B158" s="4" t="s">
        <v>1585</v>
      </c>
      <c r="C158" s="4" t="s">
        <v>1599</v>
      </c>
      <c r="D158" s="23">
        <v>-5000000.0</v>
      </c>
      <c r="G158" s="4" t="s">
        <v>59</v>
      </c>
      <c r="H158" s="19">
        <v>46113.0</v>
      </c>
      <c r="K158" s="4" t="s">
        <v>1502</v>
      </c>
      <c r="M158" s="4" t="s">
        <v>1571</v>
      </c>
      <c r="N158" s="4" t="s">
        <v>1599</v>
      </c>
      <c r="O158" s="4" t="s">
        <v>1502</v>
      </c>
      <c r="Q158" s="4">
        <v>5000000.0</v>
      </c>
      <c r="R158" s="4" t="s">
        <v>1593</v>
      </c>
      <c r="S158" s="4" t="s">
        <v>1594</v>
      </c>
      <c r="T158" s="106">
        <v>46151.551828703705</v>
      </c>
    </row>
    <row r="159" ht="15.75" customHeight="1">
      <c r="A159" s="17">
        <v>46139.0</v>
      </c>
      <c r="B159" s="4" t="s">
        <v>1492</v>
      </c>
      <c r="C159" s="4" t="s">
        <v>1587</v>
      </c>
      <c r="D159" s="23">
        <v>880000.0</v>
      </c>
      <c r="G159" s="4" t="s">
        <v>59</v>
      </c>
      <c r="H159" s="19">
        <v>46113.0</v>
      </c>
      <c r="K159" s="4" t="s">
        <v>1586</v>
      </c>
      <c r="M159" s="4" t="s">
        <v>1566</v>
      </c>
      <c r="N159" s="4" t="s">
        <v>1587</v>
      </c>
      <c r="O159" s="4" t="s">
        <v>1586</v>
      </c>
      <c r="P159" s="4">
        <v>880000.0</v>
      </c>
      <c r="R159" s="4" t="s">
        <v>1593</v>
      </c>
      <c r="S159" s="4" t="s">
        <v>1594</v>
      </c>
      <c r="T159" s="106">
        <v>46151.551828703705</v>
      </c>
    </row>
    <row r="160" ht="15.75" customHeight="1">
      <c r="A160" s="17">
        <v>46139.0</v>
      </c>
      <c r="B160" s="4" t="s">
        <v>1446</v>
      </c>
      <c r="C160" s="4" t="s">
        <v>1501</v>
      </c>
      <c r="D160" s="23">
        <v>-200000.0</v>
      </c>
      <c r="G160" s="4" t="s">
        <v>59</v>
      </c>
      <c r="H160" s="19">
        <v>46113.0</v>
      </c>
      <c r="K160" s="4" t="s">
        <v>1501</v>
      </c>
      <c r="M160" s="4" t="s">
        <v>1571</v>
      </c>
      <c r="N160" s="4" t="s">
        <v>1501</v>
      </c>
      <c r="O160" s="4" t="s">
        <v>1501</v>
      </c>
      <c r="Q160" s="4">
        <v>200000.0</v>
      </c>
      <c r="R160" s="4" t="s">
        <v>1593</v>
      </c>
      <c r="S160" s="4" t="s">
        <v>1594</v>
      </c>
      <c r="T160" s="106">
        <v>46151.551828703705</v>
      </c>
    </row>
    <row r="161" ht="15.75" customHeight="1">
      <c r="A161" s="17">
        <v>46140.0</v>
      </c>
      <c r="B161" s="4" t="s">
        <v>1446</v>
      </c>
      <c r="C161" s="4" t="s">
        <v>1600</v>
      </c>
      <c r="D161" s="23">
        <v>-12000.0</v>
      </c>
      <c r="G161" s="4" t="s">
        <v>59</v>
      </c>
      <c r="H161" s="19">
        <v>46113.0</v>
      </c>
      <c r="K161" s="4" t="s">
        <v>1600</v>
      </c>
      <c r="M161" s="4" t="s">
        <v>1571</v>
      </c>
      <c r="N161" s="4" t="s">
        <v>1600</v>
      </c>
      <c r="O161" s="4" t="s">
        <v>1600</v>
      </c>
      <c r="Q161" s="4">
        <v>12000.0</v>
      </c>
      <c r="R161" s="4" t="s">
        <v>1593</v>
      </c>
      <c r="S161" s="4" t="s">
        <v>1594</v>
      </c>
      <c r="T161" s="106">
        <v>46151.551828703705</v>
      </c>
    </row>
    <row r="162" ht="15.75" customHeight="1">
      <c r="A162" s="17">
        <v>46140.0</v>
      </c>
      <c r="B162" s="4" t="s">
        <v>1446</v>
      </c>
      <c r="C162" s="4" t="s">
        <v>1600</v>
      </c>
      <c r="D162" s="23">
        <v>-2000.0</v>
      </c>
      <c r="G162" s="4" t="s">
        <v>59</v>
      </c>
      <c r="H162" s="19">
        <v>46113.0</v>
      </c>
      <c r="K162" s="4" t="s">
        <v>1600</v>
      </c>
      <c r="M162" s="4" t="s">
        <v>1571</v>
      </c>
      <c r="N162" s="4" t="s">
        <v>1600</v>
      </c>
      <c r="O162" s="4" t="s">
        <v>1600</v>
      </c>
      <c r="Q162" s="4">
        <v>2000.0</v>
      </c>
      <c r="R162" s="4" t="s">
        <v>1593</v>
      </c>
      <c r="S162" s="4" t="s">
        <v>1594</v>
      </c>
      <c r="T162" s="106">
        <v>46151.551828703705</v>
      </c>
    </row>
    <row r="163" ht="15.75" customHeight="1">
      <c r="A163" s="17">
        <v>46142.0</v>
      </c>
      <c r="B163" s="4" t="s">
        <v>1446</v>
      </c>
      <c r="C163" s="4" t="s">
        <v>1601</v>
      </c>
      <c r="D163" s="23">
        <v>-516251.0</v>
      </c>
      <c r="G163" s="4" t="s">
        <v>59</v>
      </c>
      <c r="H163" s="19">
        <v>46113.0</v>
      </c>
      <c r="K163" s="4" t="s">
        <v>1601</v>
      </c>
      <c r="M163" s="4" t="s">
        <v>1571</v>
      </c>
      <c r="N163" s="4" t="s">
        <v>1601</v>
      </c>
      <c r="O163" s="4" t="s">
        <v>1601</v>
      </c>
      <c r="Q163" s="4">
        <v>516251.0</v>
      </c>
      <c r="R163" s="4" t="s">
        <v>1593</v>
      </c>
      <c r="S163" s="4" t="s">
        <v>1594</v>
      </c>
      <c r="T163" s="106">
        <v>46151.551828703705</v>
      </c>
    </row>
    <row r="164" ht="15.75" customHeight="1">
      <c r="A164" s="17">
        <v>46142.0</v>
      </c>
      <c r="B164" s="4" t="s">
        <v>1446</v>
      </c>
      <c r="C164" s="4" t="s">
        <v>1602</v>
      </c>
      <c r="D164" s="23">
        <v>-100684.0</v>
      </c>
      <c r="G164" s="4" t="s">
        <v>59</v>
      </c>
      <c r="H164" s="19">
        <v>46113.0</v>
      </c>
      <c r="K164" s="4" t="s">
        <v>1602</v>
      </c>
      <c r="M164" s="4" t="s">
        <v>1571</v>
      </c>
      <c r="N164" s="4" t="s">
        <v>1602</v>
      </c>
      <c r="O164" s="4" t="s">
        <v>1602</v>
      </c>
      <c r="Q164" s="4">
        <v>100684.0</v>
      </c>
      <c r="R164" s="4" t="s">
        <v>1593</v>
      </c>
      <c r="S164" s="4" t="s">
        <v>1594</v>
      </c>
      <c r="T164" s="106">
        <v>46151.551828703705</v>
      </c>
    </row>
    <row r="165" ht="15.75" customHeight="1">
      <c r="A165" s="17">
        <v>46142.0</v>
      </c>
      <c r="B165" s="4" t="s">
        <v>1446</v>
      </c>
      <c r="C165" s="4" t="s">
        <v>1601</v>
      </c>
      <c r="D165" s="23">
        <v>-389243.0</v>
      </c>
      <c r="G165" s="4" t="s">
        <v>59</v>
      </c>
      <c r="H165" s="19">
        <v>46113.0</v>
      </c>
      <c r="K165" s="4" t="s">
        <v>1601</v>
      </c>
      <c r="M165" s="4" t="s">
        <v>1571</v>
      </c>
      <c r="N165" s="4" t="s">
        <v>1601</v>
      </c>
      <c r="O165" s="4" t="s">
        <v>1601</v>
      </c>
      <c r="Q165" s="4">
        <v>389243.0</v>
      </c>
      <c r="R165" s="4" t="s">
        <v>1593</v>
      </c>
      <c r="S165" s="4" t="s">
        <v>1594</v>
      </c>
      <c r="T165" s="106">
        <v>46151.551828703705</v>
      </c>
    </row>
    <row r="166" ht="15.75" customHeight="1">
      <c r="A166" s="17">
        <v>46142.0</v>
      </c>
      <c r="B166" s="4" t="s">
        <v>1446</v>
      </c>
      <c r="C166" s="4" t="s">
        <v>1601</v>
      </c>
      <c r="D166" s="23">
        <v>-1677726.0</v>
      </c>
      <c r="G166" s="4" t="s">
        <v>59</v>
      </c>
      <c r="H166" s="19">
        <v>46113.0</v>
      </c>
      <c r="K166" s="4" t="s">
        <v>1601</v>
      </c>
      <c r="M166" s="4" t="s">
        <v>1571</v>
      </c>
      <c r="N166" s="4" t="s">
        <v>1601</v>
      </c>
      <c r="O166" s="4" t="s">
        <v>1601</v>
      </c>
      <c r="Q166" s="4">
        <v>1677726.0</v>
      </c>
      <c r="R166" s="4" t="s">
        <v>1593</v>
      </c>
      <c r="S166" s="4" t="s">
        <v>1594</v>
      </c>
      <c r="T166" s="106">
        <v>46151.551828703705</v>
      </c>
    </row>
    <row r="167" ht="15.75" customHeight="1">
      <c r="A167" s="17">
        <v>46142.0</v>
      </c>
      <c r="B167" s="4" t="s">
        <v>1446</v>
      </c>
      <c r="C167" s="4" t="s">
        <v>1601</v>
      </c>
      <c r="D167" s="23">
        <v>-148835.0</v>
      </c>
      <c r="G167" s="4" t="s">
        <v>59</v>
      </c>
      <c r="H167" s="19">
        <v>46113.0</v>
      </c>
      <c r="K167" s="4" t="s">
        <v>1601</v>
      </c>
      <c r="M167" s="4" t="s">
        <v>1571</v>
      </c>
      <c r="N167" s="4" t="s">
        <v>1601</v>
      </c>
      <c r="O167" s="4" t="s">
        <v>1601</v>
      </c>
      <c r="Q167" s="4">
        <v>148835.0</v>
      </c>
      <c r="R167" s="4" t="s">
        <v>1593</v>
      </c>
      <c r="S167" s="4" t="s">
        <v>1594</v>
      </c>
      <c r="T167" s="106">
        <v>46151.551828703705</v>
      </c>
    </row>
    <row r="168" ht="15.75" customHeight="1">
      <c r="A168" s="17">
        <v>46142.0</v>
      </c>
      <c r="B168" s="4" t="s">
        <v>1446</v>
      </c>
      <c r="C168" s="4" t="s">
        <v>1603</v>
      </c>
      <c r="D168" s="23">
        <v>-221917.0</v>
      </c>
      <c r="G168" s="4" t="s">
        <v>59</v>
      </c>
      <c r="H168" s="19">
        <v>46113.0</v>
      </c>
      <c r="K168" s="4" t="s">
        <v>1603</v>
      </c>
      <c r="M168" s="4" t="s">
        <v>1571</v>
      </c>
      <c r="N168" s="4" t="s">
        <v>1603</v>
      </c>
      <c r="O168" s="4" t="s">
        <v>1603</v>
      </c>
      <c r="Q168" s="4">
        <v>221917.0</v>
      </c>
      <c r="R168" s="4" t="s">
        <v>1593</v>
      </c>
      <c r="S168" s="4" t="s">
        <v>1594</v>
      </c>
      <c r="T168" s="106">
        <v>46151.551828703705</v>
      </c>
    </row>
    <row r="169" ht="15.75" customHeight="1">
      <c r="A169" s="17">
        <v>46142.0</v>
      </c>
      <c r="B169" s="4" t="s">
        <v>1446</v>
      </c>
      <c r="C169" s="4" t="s">
        <v>1603</v>
      </c>
      <c r="D169" s="23">
        <v>-1743624.0</v>
      </c>
      <c r="G169" s="4" t="s">
        <v>59</v>
      </c>
      <c r="H169" s="19">
        <v>46113.0</v>
      </c>
      <c r="K169" s="4" t="s">
        <v>1603</v>
      </c>
      <c r="M169" s="4" t="s">
        <v>1571</v>
      </c>
      <c r="N169" s="4" t="s">
        <v>1603</v>
      </c>
      <c r="O169" s="4" t="s">
        <v>1603</v>
      </c>
      <c r="Q169" s="4">
        <v>1743624.0</v>
      </c>
      <c r="R169" s="4" t="s">
        <v>1593</v>
      </c>
      <c r="S169" s="4" t="s">
        <v>1594</v>
      </c>
      <c r="T169" s="106">
        <v>46151.551828703705</v>
      </c>
    </row>
    <row r="170" ht="15.75" customHeight="1">
      <c r="A170" s="17">
        <v>46142.0</v>
      </c>
      <c r="B170" s="4" t="s">
        <v>1446</v>
      </c>
      <c r="C170" s="4" t="s">
        <v>1603</v>
      </c>
      <c r="D170" s="23">
        <v>-374208.0</v>
      </c>
      <c r="G170" s="4" t="s">
        <v>59</v>
      </c>
      <c r="H170" s="19">
        <v>46113.0</v>
      </c>
      <c r="K170" s="4" t="s">
        <v>1603</v>
      </c>
      <c r="M170" s="4" t="s">
        <v>1571</v>
      </c>
      <c r="N170" s="4" t="s">
        <v>1603</v>
      </c>
      <c r="O170" s="4" t="s">
        <v>1603</v>
      </c>
      <c r="Q170" s="4">
        <v>374208.0</v>
      </c>
      <c r="R170" s="4" t="s">
        <v>1593</v>
      </c>
      <c r="S170" s="4" t="s">
        <v>1594</v>
      </c>
      <c r="T170" s="106">
        <v>46151.551828703705</v>
      </c>
    </row>
    <row r="171" ht="15.75" customHeight="1">
      <c r="A171" s="17">
        <v>46142.0</v>
      </c>
      <c r="B171" s="4" t="s">
        <v>1446</v>
      </c>
      <c r="C171" s="4" t="s">
        <v>1604</v>
      </c>
      <c r="D171" s="23">
        <v>4327083.0</v>
      </c>
      <c r="G171" s="4" t="s">
        <v>59</v>
      </c>
      <c r="H171" s="19">
        <v>46113.0</v>
      </c>
      <c r="K171" s="4" t="s">
        <v>1604</v>
      </c>
      <c r="M171" s="4" t="s">
        <v>1566</v>
      </c>
      <c r="N171" s="4" t="s">
        <v>1604</v>
      </c>
      <c r="O171" s="4" t="s">
        <v>1604</v>
      </c>
      <c r="P171" s="4">
        <v>4327083.0</v>
      </c>
      <c r="R171" s="4" t="s">
        <v>1593</v>
      </c>
      <c r="S171" s="4" t="s">
        <v>1594</v>
      </c>
      <c r="T171" s="106">
        <v>46151.551828703705</v>
      </c>
    </row>
    <row r="172" ht="15.75" customHeight="1">
      <c r="A172" s="17">
        <v>46142.0</v>
      </c>
      <c r="B172" s="4" t="s">
        <v>1446</v>
      </c>
      <c r="C172" s="4" t="s">
        <v>322</v>
      </c>
      <c r="D172" s="23">
        <v>296214.0</v>
      </c>
      <c r="E172" s="4"/>
      <c r="F172" s="4"/>
      <c r="G172" s="4" t="s">
        <v>57</v>
      </c>
      <c r="H172" s="19">
        <v>46113.0</v>
      </c>
      <c r="I172" s="4"/>
      <c r="J172" s="4"/>
      <c r="K172" s="4" t="s">
        <v>322</v>
      </c>
      <c r="L172" s="4"/>
      <c r="M172" s="4" t="s">
        <v>1566</v>
      </c>
      <c r="N172" s="4" t="s">
        <v>322</v>
      </c>
      <c r="O172" s="4" t="s">
        <v>322</v>
      </c>
      <c r="P172" s="4">
        <v>296214.0</v>
      </c>
      <c r="Q172" s="4"/>
      <c r="R172" s="4" t="s">
        <v>1593</v>
      </c>
      <c r="S172" s="4" t="s">
        <v>1594</v>
      </c>
      <c r="T172" s="106">
        <v>46151.551828703705</v>
      </c>
    </row>
    <row r="173" ht="15.75" customHeight="1">
      <c r="A173" s="17">
        <v>46142.0</v>
      </c>
      <c r="B173" s="4" t="s">
        <v>1446</v>
      </c>
      <c r="C173" s="4" t="s">
        <v>347</v>
      </c>
      <c r="D173" s="23">
        <v>269946.0</v>
      </c>
      <c r="E173" s="4"/>
      <c r="F173" s="4"/>
      <c r="G173" s="4" t="s">
        <v>57</v>
      </c>
      <c r="H173" s="19">
        <v>46113.0</v>
      </c>
      <c r="I173" s="4"/>
      <c r="J173" s="4"/>
      <c r="K173" s="4" t="s">
        <v>347</v>
      </c>
      <c r="L173" s="4"/>
      <c r="M173" s="4" t="s">
        <v>1566</v>
      </c>
      <c r="N173" s="4" t="s">
        <v>347</v>
      </c>
      <c r="O173" s="4" t="s">
        <v>347</v>
      </c>
      <c r="P173" s="4">
        <v>269946.0</v>
      </c>
      <c r="Q173" s="4"/>
      <c r="R173" s="4" t="s">
        <v>1593</v>
      </c>
      <c r="S173" s="4" t="s">
        <v>1594</v>
      </c>
      <c r="T173" s="106">
        <v>46151.551828703705</v>
      </c>
    </row>
    <row r="174" ht="15.75" customHeight="1">
      <c r="A174" s="17">
        <v>46142.0</v>
      </c>
      <c r="B174" s="4" t="s">
        <v>1605</v>
      </c>
      <c r="C174" s="4" t="s">
        <v>1606</v>
      </c>
      <c r="D174" s="23">
        <v>-35945.0</v>
      </c>
      <c r="G174" s="4" t="s">
        <v>59</v>
      </c>
      <c r="H174" s="19">
        <v>46113.0</v>
      </c>
      <c r="K174" s="4" t="s">
        <v>1606</v>
      </c>
      <c r="M174" s="4" t="s">
        <v>1571</v>
      </c>
      <c r="N174" s="4" t="s">
        <v>1606</v>
      </c>
      <c r="O174" s="4" t="s">
        <v>1606</v>
      </c>
      <c r="Q174" s="4">
        <v>35945.0</v>
      </c>
      <c r="R174" s="4" t="s">
        <v>1593</v>
      </c>
      <c r="S174" s="4" t="s">
        <v>1594</v>
      </c>
      <c r="T174" s="106">
        <v>46151.551828703705</v>
      </c>
    </row>
    <row r="175" ht="15.75" customHeight="1">
      <c r="A175" s="17">
        <v>46142.0</v>
      </c>
      <c r="B175" s="4" t="s">
        <v>1524</v>
      </c>
      <c r="C175" s="4" t="s">
        <v>1607</v>
      </c>
      <c r="D175" s="23">
        <v>-2200.0</v>
      </c>
      <c r="G175" s="4" t="s">
        <v>59</v>
      </c>
      <c r="H175" s="19">
        <v>46113.0</v>
      </c>
      <c r="K175" s="4" t="s">
        <v>1607</v>
      </c>
      <c r="M175" s="4" t="s">
        <v>1571</v>
      </c>
      <c r="N175" s="4" t="s">
        <v>1607</v>
      </c>
      <c r="O175" s="4" t="s">
        <v>1607</v>
      </c>
      <c r="Q175" s="4">
        <v>2200.0</v>
      </c>
      <c r="R175" s="4" t="s">
        <v>1593</v>
      </c>
      <c r="S175" s="4" t="s">
        <v>1594</v>
      </c>
      <c r="T175" s="106">
        <v>46151.551828703705</v>
      </c>
    </row>
    <row r="176" ht="15.75" customHeight="1">
      <c r="A176" s="17">
        <v>46142.0</v>
      </c>
      <c r="B176" s="4" t="s">
        <v>1563</v>
      </c>
      <c r="C176" s="4" t="s">
        <v>1608</v>
      </c>
      <c r="D176" s="23">
        <v>-15000.0</v>
      </c>
      <c r="G176" s="4" t="s">
        <v>59</v>
      </c>
      <c r="H176" s="19">
        <v>46113.0</v>
      </c>
      <c r="K176" s="4" t="s">
        <v>1608</v>
      </c>
      <c r="M176" s="4" t="s">
        <v>1571</v>
      </c>
      <c r="N176" s="4" t="s">
        <v>1608</v>
      </c>
      <c r="O176" s="4" t="s">
        <v>1608</v>
      </c>
      <c r="Q176" s="4">
        <v>15000.0</v>
      </c>
      <c r="R176" s="4" t="s">
        <v>1593</v>
      </c>
      <c r="S176" s="4" t="s">
        <v>1594</v>
      </c>
      <c r="T176" s="106">
        <v>46151.551828703705</v>
      </c>
    </row>
    <row r="177" ht="15.75" customHeight="1">
      <c r="A177" s="17">
        <v>46142.0</v>
      </c>
      <c r="B177" s="4" t="s">
        <v>1563</v>
      </c>
      <c r="C177" s="4" t="s">
        <v>1609</v>
      </c>
      <c r="D177" s="23">
        <v>-2000.0</v>
      </c>
      <c r="G177" s="4" t="s">
        <v>59</v>
      </c>
      <c r="H177" s="19">
        <v>46113.0</v>
      </c>
      <c r="K177" s="4" t="s">
        <v>1609</v>
      </c>
      <c r="M177" s="4" t="s">
        <v>1571</v>
      </c>
      <c r="N177" s="4" t="s">
        <v>1609</v>
      </c>
      <c r="O177" s="4" t="s">
        <v>1609</v>
      </c>
      <c r="Q177" s="4">
        <v>2000.0</v>
      </c>
      <c r="R177" s="4" t="s">
        <v>1593</v>
      </c>
      <c r="S177" s="4" t="s">
        <v>1594</v>
      </c>
      <c r="T177" s="106">
        <v>46151.551828703705</v>
      </c>
    </row>
    <row r="178" ht="15.75" customHeight="1">
      <c r="A178" s="17">
        <v>46142.0</v>
      </c>
      <c r="B178" s="4" t="s">
        <v>1610</v>
      </c>
      <c r="C178" s="4" t="s">
        <v>1611</v>
      </c>
      <c r="D178" s="23">
        <v>-464760.0</v>
      </c>
      <c r="G178" s="4" t="s">
        <v>59</v>
      </c>
      <c r="H178" s="19">
        <v>46113.0</v>
      </c>
      <c r="K178" s="4" t="s">
        <v>1611</v>
      </c>
      <c r="M178" s="4" t="s">
        <v>1571</v>
      </c>
      <c r="N178" s="4" t="s">
        <v>1611</v>
      </c>
      <c r="O178" s="4" t="s">
        <v>1611</v>
      </c>
      <c r="Q178" s="4">
        <v>464760.0</v>
      </c>
      <c r="R178" s="4" t="s">
        <v>1593</v>
      </c>
      <c r="S178" s="4" t="s">
        <v>1594</v>
      </c>
      <c r="T178" s="106">
        <v>46151.551828703705</v>
      </c>
    </row>
    <row r="179" ht="15.75" customHeight="1">
      <c r="A179" s="17">
        <v>46142.0</v>
      </c>
      <c r="B179" s="4" t="s">
        <v>1446</v>
      </c>
      <c r="C179" s="4" t="s">
        <v>1600</v>
      </c>
      <c r="D179" s="23">
        <v>-8000000.0</v>
      </c>
      <c r="G179" s="4" t="s">
        <v>59</v>
      </c>
      <c r="H179" s="19">
        <v>46113.0</v>
      </c>
      <c r="K179" s="4" t="s">
        <v>1600</v>
      </c>
      <c r="M179" s="4" t="s">
        <v>1571</v>
      </c>
      <c r="N179" s="4" t="s">
        <v>1600</v>
      </c>
      <c r="O179" s="4" t="s">
        <v>1600</v>
      </c>
      <c r="Q179" s="4">
        <v>8000000.0</v>
      </c>
      <c r="R179" s="4" t="s">
        <v>1593</v>
      </c>
      <c r="S179" s="4" t="s">
        <v>1594</v>
      </c>
      <c r="T179" s="106">
        <v>46151.551828703705</v>
      </c>
    </row>
    <row r="180" ht="15.75" customHeight="1">
      <c r="A180" s="17">
        <v>46142.0</v>
      </c>
      <c r="B180" s="4" t="s">
        <v>1446</v>
      </c>
      <c r="C180" s="4" t="s">
        <v>1600</v>
      </c>
      <c r="D180" s="23">
        <v>-283559.0</v>
      </c>
      <c r="G180" s="4" t="s">
        <v>59</v>
      </c>
      <c r="H180" s="19">
        <v>46113.0</v>
      </c>
      <c r="K180" s="4" t="s">
        <v>1600</v>
      </c>
      <c r="M180" s="4" t="s">
        <v>1571</v>
      </c>
      <c r="N180" s="4" t="s">
        <v>1600</v>
      </c>
      <c r="O180" s="4" t="s">
        <v>1600</v>
      </c>
      <c r="Q180" s="4">
        <v>283559.0</v>
      </c>
      <c r="R180" s="4" t="s">
        <v>1593</v>
      </c>
      <c r="S180" s="4" t="s">
        <v>1594</v>
      </c>
      <c r="T180" s="106">
        <v>46151.551828703705</v>
      </c>
    </row>
    <row r="181" ht="15.75" customHeight="1">
      <c r="A181" s="17">
        <v>46142.0</v>
      </c>
      <c r="B181" s="4" t="s">
        <v>1446</v>
      </c>
      <c r="C181" s="4" t="s">
        <v>1501</v>
      </c>
      <c r="D181" s="23">
        <v>-9900.0</v>
      </c>
      <c r="G181" s="4" t="s">
        <v>59</v>
      </c>
      <c r="H181" s="19">
        <v>46113.0</v>
      </c>
      <c r="K181" s="4" t="s">
        <v>1501</v>
      </c>
      <c r="M181" s="4" t="s">
        <v>1571</v>
      </c>
      <c r="N181" s="4" t="s">
        <v>1501</v>
      </c>
      <c r="O181" s="4" t="s">
        <v>1501</v>
      </c>
      <c r="Q181" s="4">
        <v>9900.0</v>
      </c>
      <c r="R181" s="4" t="s">
        <v>1593</v>
      </c>
      <c r="S181" s="4" t="s">
        <v>1594</v>
      </c>
      <c r="T181" s="106">
        <v>46151.551828703705</v>
      </c>
    </row>
    <row r="182" ht="15.75" customHeight="1">
      <c r="A182" s="17">
        <v>46142.0</v>
      </c>
      <c r="B182" s="4" t="s">
        <v>1446</v>
      </c>
      <c r="C182" s="4" t="s">
        <v>1501</v>
      </c>
      <c r="D182" s="23">
        <v>-11255.0</v>
      </c>
      <c r="G182" s="4" t="s">
        <v>59</v>
      </c>
      <c r="H182" s="19">
        <v>46113.0</v>
      </c>
      <c r="K182" s="4" t="s">
        <v>1501</v>
      </c>
      <c r="M182" s="4" t="s">
        <v>1571</v>
      </c>
      <c r="N182" s="4" t="s">
        <v>1501</v>
      </c>
      <c r="O182" s="4" t="s">
        <v>1501</v>
      </c>
      <c r="Q182" s="4">
        <v>11255.0</v>
      </c>
      <c r="R182" s="4" t="s">
        <v>1593</v>
      </c>
      <c r="S182" s="4" t="s">
        <v>1594</v>
      </c>
      <c r="T182" s="106">
        <v>46151.551828703705</v>
      </c>
    </row>
    <row r="183" ht="15.75" customHeight="1">
      <c r="A183" s="17">
        <v>46142.0</v>
      </c>
      <c r="B183" s="4" t="s">
        <v>1446</v>
      </c>
      <c r="C183" s="4" t="s">
        <v>1501</v>
      </c>
      <c r="D183" s="23">
        <v>-5500.0</v>
      </c>
      <c r="G183" s="4" t="s">
        <v>59</v>
      </c>
      <c r="H183" s="19">
        <v>46113.0</v>
      </c>
      <c r="K183" s="4" t="s">
        <v>1501</v>
      </c>
      <c r="M183" s="4" t="s">
        <v>1571</v>
      </c>
      <c r="N183" s="4" t="s">
        <v>1501</v>
      </c>
      <c r="O183" s="4" t="s">
        <v>1501</v>
      </c>
      <c r="Q183" s="4">
        <v>5500.0</v>
      </c>
      <c r="R183" s="4" t="s">
        <v>1593</v>
      </c>
      <c r="S183" s="4" t="s">
        <v>1594</v>
      </c>
      <c r="T183" s="106">
        <v>46151.551828703705</v>
      </c>
    </row>
    <row r="184" ht="15.75" customHeight="1">
      <c r="A184" s="17">
        <v>46142.0</v>
      </c>
      <c r="B184" s="4" t="s">
        <v>1446</v>
      </c>
      <c r="C184" s="4" t="s">
        <v>1501</v>
      </c>
      <c r="D184" s="23">
        <v>-136512.0</v>
      </c>
      <c r="G184" s="4" t="s">
        <v>59</v>
      </c>
      <c r="H184" s="19">
        <v>46113.0</v>
      </c>
      <c r="K184" s="4" t="s">
        <v>1501</v>
      </c>
      <c r="M184" s="4" t="s">
        <v>1571</v>
      </c>
      <c r="N184" s="4" t="s">
        <v>1501</v>
      </c>
      <c r="O184" s="4" t="s">
        <v>1501</v>
      </c>
      <c r="Q184" s="4">
        <v>136512.0</v>
      </c>
      <c r="R184" s="4" t="s">
        <v>1593</v>
      </c>
      <c r="S184" s="4" t="s">
        <v>1594</v>
      </c>
      <c r="T184" s="106">
        <v>46151.551828703705</v>
      </c>
    </row>
    <row r="185" ht="15.75" customHeight="1">
      <c r="A185" s="17">
        <v>46142.0</v>
      </c>
      <c r="B185" s="4" t="s">
        <v>1446</v>
      </c>
      <c r="C185" s="4" t="s">
        <v>1501</v>
      </c>
      <c r="D185" s="23">
        <v>-9480.0</v>
      </c>
      <c r="G185" s="4" t="s">
        <v>59</v>
      </c>
      <c r="H185" s="19">
        <v>46113.0</v>
      </c>
      <c r="K185" s="4" t="s">
        <v>1501</v>
      </c>
      <c r="M185" s="4" t="s">
        <v>1571</v>
      </c>
      <c r="N185" s="4" t="s">
        <v>1501</v>
      </c>
      <c r="O185" s="4" t="s">
        <v>1501</v>
      </c>
      <c r="Q185" s="4">
        <v>9480.0</v>
      </c>
      <c r="R185" s="4" t="s">
        <v>1593</v>
      </c>
      <c r="S185" s="4" t="s">
        <v>1594</v>
      </c>
      <c r="T185" s="106">
        <v>46151.551828703705</v>
      </c>
    </row>
    <row r="186" ht="15.75" customHeight="1">
      <c r="A186" s="17">
        <v>46142.0</v>
      </c>
      <c r="B186" s="4" t="s">
        <v>1446</v>
      </c>
      <c r="C186" s="4" t="s">
        <v>1501</v>
      </c>
      <c r="D186" s="23">
        <v>-1364.0</v>
      </c>
      <c r="G186" s="4" t="s">
        <v>59</v>
      </c>
      <c r="H186" s="19">
        <v>46113.0</v>
      </c>
      <c r="K186" s="4" t="s">
        <v>1501</v>
      </c>
      <c r="M186" s="4" t="s">
        <v>1571</v>
      </c>
      <c r="N186" s="4" t="s">
        <v>1501</v>
      </c>
      <c r="O186" s="4" t="s">
        <v>1501</v>
      </c>
      <c r="Q186" s="4">
        <v>1364.0</v>
      </c>
      <c r="R186" s="4" t="s">
        <v>1593</v>
      </c>
      <c r="S186" s="4" t="s">
        <v>1594</v>
      </c>
      <c r="T186" s="106">
        <v>46151.551828703705</v>
      </c>
    </row>
    <row r="187" ht="15.75" customHeight="1">
      <c r="A187" s="17">
        <v>46142.0</v>
      </c>
      <c r="B187" s="4" t="s">
        <v>1446</v>
      </c>
      <c r="C187" s="4" t="s">
        <v>1501</v>
      </c>
      <c r="D187" s="23">
        <v>-165000.0</v>
      </c>
      <c r="G187" s="4" t="s">
        <v>59</v>
      </c>
      <c r="H187" s="19">
        <v>46113.0</v>
      </c>
      <c r="K187" s="4" t="s">
        <v>1501</v>
      </c>
      <c r="M187" s="4" t="s">
        <v>1571</v>
      </c>
      <c r="N187" s="4" t="s">
        <v>1501</v>
      </c>
      <c r="O187" s="4" t="s">
        <v>1501</v>
      </c>
      <c r="Q187" s="4">
        <v>165000.0</v>
      </c>
      <c r="R187" s="4" t="s">
        <v>1593</v>
      </c>
      <c r="S187" s="4" t="s">
        <v>1594</v>
      </c>
      <c r="T187" s="106">
        <v>46151.551828703705</v>
      </c>
    </row>
    <row r="188" ht="15.75" customHeight="1">
      <c r="A188" s="17">
        <v>46142.0</v>
      </c>
      <c r="B188" s="4" t="s">
        <v>1446</v>
      </c>
      <c r="C188" s="4" t="s">
        <v>1501</v>
      </c>
      <c r="D188" s="23">
        <v>-160000.0</v>
      </c>
      <c r="G188" s="4" t="s">
        <v>59</v>
      </c>
      <c r="H188" s="19">
        <v>46113.0</v>
      </c>
      <c r="K188" s="4" t="s">
        <v>1501</v>
      </c>
      <c r="M188" s="4" t="s">
        <v>1571</v>
      </c>
      <c r="N188" s="4" t="s">
        <v>1501</v>
      </c>
      <c r="O188" s="4" t="s">
        <v>1501</v>
      </c>
      <c r="Q188" s="4">
        <v>160000.0</v>
      </c>
      <c r="R188" s="4" t="s">
        <v>1593</v>
      </c>
      <c r="S188" s="4" t="s">
        <v>1594</v>
      </c>
      <c r="T188" s="106">
        <v>46151.551828703705</v>
      </c>
    </row>
    <row r="189" ht="15.75" customHeight="1">
      <c r="A189" s="17">
        <v>46142.0</v>
      </c>
      <c r="B189" s="4" t="s">
        <v>1446</v>
      </c>
      <c r="C189" s="4" t="s">
        <v>1501</v>
      </c>
      <c r="D189" s="23">
        <v>-36300.0</v>
      </c>
      <c r="G189" s="4" t="s">
        <v>59</v>
      </c>
      <c r="H189" s="19">
        <v>46113.0</v>
      </c>
      <c r="K189" s="4" t="s">
        <v>1501</v>
      </c>
      <c r="M189" s="4" t="s">
        <v>1571</v>
      </c>
      <c r="N189" s="4" t="s">
        <v>1501</v>
      </c>
      <c r="O189" s="4" t="s">
        <v>1501</v>
      </c>
      <c r="Q189" s="4">
        <v>36300.0</v>
      </c>
      <c r="R189" s="4" t="s">
        <v>1593</v>
      </c>
      <c r="S189" s="4" t="s">
        <v>1594</v>
      </c>
      <c r="T189" s="106">
        <v>46151.551828703705</v>
      </c>
    </row>
    <row r="190" ht="15.75" customHeight="1">
      <c r="A190" s="17">
        <v>46142.0</v>
      </c>
      <c r="B190" s="4" t="s">
        <v>1446</v>
      </c>
      <c r="C190" s="4" t="s">
        <v>1501</v>
      </c>
      <c r="D190" s="23">
        <v>-20931.0</v>
      </c>
      <c r="G190" s="4" t="s">
        <v>59</v>
      </c>
      <c r="H190" s="19">
        <v>46113.0</v>
      </c>
      <c r="K190" s="4" t="s">
        <v>1501</v>
      </c>
      <c r="M190" s="4" t="s">
        <v>1571</v>
      </c>
      <c r="N190" s="4" t="s">
        <v>1501</v>
      </c>
      <c r="O190" s="4" t="s">
        <v>1501</v>
      </c>
      <c r="Q190" s="4">
        <v>20931.0</v>
      </c>
      <c r="R190" s="4" t="s">
        <v>1593</v>
      </c>
      <c r="S190" s="4" t="s">
        <v>1594</v>
      </c>
      <c r="T190" s="106">
        <v>46151.551828703705</v>
      </c>
    </row>
    <row r="191" ht="15.75" customHeight="1">
      <c r="A191" s="17">
        <v>46142.0</v>
      </c>
      <c r="B191" s="4" t="s">
        <v>1446</v>
      </c>
      <c r="C191" s="4" t="s">
        <v>1501</v>
      </c>
      <c r="D191" s="23">
        <v>-1848.0</v>
      </c>
      <c r="G191" s="4" t="s">
        <v>59</v>
      </c>
      <c r="H191" s="19">
        <v>46113.0</v>
      </c>
      <c r="K191" s="4" t="s">
        <v>1501</v>
      </c>
      <c r="M191" s="4" t="s">
        <v>1571</v>
      </c>
      <c r="N191" s="4" t="s">
        <v>1501</v>
      </c>
      <c r="O191" s="4" t="s">
        <v>1501</v>
      </c>
      <c r="Q191" s="4">
        <v>1848.0</v>
      </c>
      <c r="R191" s="4" t="s">
        <v>1593</v>
      </c>
      <c r="S191" s="4" t="s">
        <v>1594</v>
      </c>
      <c r="T191" s="106">
        <v>46151.551828703705</v>
      </c>
    </row>
    <row r="192" ht="15.75" customHeight="1">
      <c r="A192" s="17">
        <v>46142.0</v>
      </c>
      <c r="B192" s="4" t="s">
        <v>1446</v>
      </c>
      <c r="C192" s="4" t="s">
        <v>1501</v>
      </c>
      <c r="D192" s="23">
        <v>-76933.0</v>
      </c>
      <c r="G192" s="4" t="s">
        <v>59</v>
      </c>
      <c r="H192" s="19">
        <v>46113.0</v>
      </c>
      <c r="K192" s="4" t="s">
        <v>1501</v>
      </c>
      <c r="M192" s="4" t="s">
        <v>1571</v>
      </c>
      <c r="N192" s="4" t="s">
        <v>1501</v>
      </c>
      <c r="O192" s="4" t="s">
        <v>1501</v>
      </c>
      <c r="Q192" s="4">
        <v>76933.0</v>
      </c>
      <c r="R192" s="4" t="s">
        <v>1593</v>
      </c>
      <c r="S192" s="4" t="s">
        <v>1594</v>
      </c>
      <c r="T192" s="106">
        <v>46151.551828703705</v>
      </c>
    </row>
    <row r="193" ht="15.75" customHeight="1">
      <c r="A193" s="17">
        <v>46142.0</v>
      </c>
      <c r="B193" s="4" t="s">
        <v>1446</v>
      </c>
      <c r="C193" s="4" t="s">
        <v>1501</v>
      </c>
      <c r="D193" s="23">
        <v>-692508.0</v>
      </c>
      <c r="G193" s="4" t="s">
        <v>59</v>
      </c>
      <c r="H193" s="19">
        <v>46113.0</v>
      </c>
      <c r="K193" s="4" t="s">
        <v>1501</v>
      </c>
      <c r="M193" s="4" t="s">
        <v>1571</v>
      </c>
      <c r="N193" s="4" t="s">
        <v>1501</v>
      </c>
      <c r="O193" s="4" t="s">
        <v>1501</v>
      </c>
      <c r="Q193" s="4">
        <v>692508.0</v>
      </c>
      <c r="R193" s="4" t="s">
        <v>1593</v>
      </c>
      <c r="S193" s="4" t="s">
        <v>1594</v>
      </c>
      <c r="T193" s="106">
        <v>46151.551828703705</v>
      </c>
    </row>
    <row r="194" ht="15.75" customHeight="1">
      <c r="A194" s="17">
        <v>46142.0</v>
      </c>
      <c r="B194" s="4" t="s">
        <v>1446</v>
      </c>
      <c r="C194" s="4" t="s">
        <v>1501</v>
      </c>
      <c r="D194" s="23">
        <v>-598015.0</v>
      </c>
      <c r="G194" s="4" t="s">
        <v>59</v>
      </c>
      <c r="H194" s="19">
        <v>46113.0</v>
      </c>
      <c r="K194" s="4" t="s">
        <v>1501</v>
      </c>
      <c r="M194" s="4" t="s">
        <v>1571</v>
      </c>
      <c r="N194" s="4" t="s">
        <v>1501</v>
      </c>
      <c r="O194" s="4" t="s">
        <v>1501</v>
      </c>
      <c r="Q194" s="4">
        <v>598015.0</v>
      </c>
      <c r="R194" s="4" t="s">
        <v>1593</v>
      </c>
      <c r="S194" s="4" t="s">
        <v>1594</v>
      </c>
      <c r="T194" s="106">
        <v>46151.551828703705</v>
      </c>
    </row>
    <row r="195" ht="15.75" customHeight="1">
      <c r="A195" s="17">
        <v>46142.0</v>
      </c>
      <c r="B195" s="4" t="s">
        <v>1446</v>
      </c>
      <c r="C195" s="4" t="s">
        <v>1501</v>
      </c>
      <c r="D195" s="23">
        <v>-154242.0</v>
      </c>
      <c r="G195" s="4" t="s">
        <v>59</v>
      </c>
      <c r="H195" s="19">
        <v>46113.0</v>
      </c>
      <c r="K195" s="4" t="s">
        <v>1501</v>
      </c>
      <c r="M195" s="4" t="s">
        <v>1571</v>
      </c>
      <c r="N195" s="4" t="s">
        <v>1501</v>
      </c>
      <c r="O195" s="4" t="s">
        <v>1501</v>
      </c>
      <c r="Q195" s="4">
        <v>154242.0</v>
      </c>
      <c r="R195" s="4" t="s">
        <v>1593</v>
      </c>
      <c r="S195" s="4" t="s">
        <v>1594</v>
      </c>
      <c r="T195" s="106">
        <v>46151.551828703705</v>
      </c>
    </row>
    <row r="196" ht="15.75" customHeight="1">
      <c r="A196" s="17">
        <v>46142.0</v>
      </c>
      <c r="B196" s="4" t="s">
        <v>1446</v>
      </c>
      <c r="C196" s="4" t="s">
        <v>1501</v>
      </c>
      <c r="D196" s="23">
        <v>-74933.0</v>
      </c>
      <c r="G196" s="4" t="s">
        <v>59</v>
      </c>
      <c r="H196" s="19">
        <v>46113.0</v>
      </c>
      <c r="K196" s="4" t="s">
        <v>1501</v>
      </c>
      <c r="M196" s="4" t="s">
        <v>1571</v>
      </c>
      <c r="N196" s="4" t="s">
        <v>1501</v>
      </c>
      <c r="O196" s="4" t="s">
        <v>1501</v>
      </c>
      <c r="Q196" s="4">
        <v>74933.0</v>
      </c>
      <c r="R196" s="4" t="s">
        <v>1593</v>
      </c>
      <c r="S196" s="4" t="s">
        <v>1594</v>
      </c>
      <c r="T196" s="106">
        <v>46151.551828703705</v>
      </c>
    </row>
    <row r="197" ht="15.75" customHeight="1">
      <c r="A197" s="17">
        <v>46142.0</v>
      </c>
      <c r="B197" s="4" t="s">
        <v>1446</v>
      </c>
      <c r="C197" s="4" t="s">
        <v>1501</v>
      </c>
      <c r="D197" s="23">
        <v>-3000.0</v>
      </c>
      <c r="G197" s="4" t="s">
        <v>59</v>
      </c>
      <c r="H197" s="19">
        <v>46113.0</v>
      </c>
      <c r="K197" s="4" t="s">
        <v>1501</v>
      </c>
      <c r="M197" s="4" t="s">
        <v>1571</v>
      </c>
      <c r="N197" s="4" t="s">
        <v>1501</v>
      </c>
      <c r="O197" s="4" t="s">
        <v>1501</v>
      </c>
      <c r="Q197" s="4">
        <v>3000.0</v>
      </c>
      <c r="R197" s="4" t="s">
        <v>1593</v>
      </c>
      <c r="S197" s="4" t="s">
        <v>1594</v>
      </c>
      <c r="T197" s="106">
        <v>46151.551828703705</v>
      </c>
    </row>
    <row r="198" ht="15.75" customHeight="1">
      <c r="A198" s="17">
        <v>46142.0</v>
      </c>
      <c r="B198" s="4" t="s">
        <v>1446</v>
      </c>
      <c r="C198" s="4" t="s">
        <v>1501</v>
      </c>
      <c r="D198" s="23">
        <v>-12000.0</v>
      </c>
      <c r="G198" s="4" t="s">
        <v>59</v>
      </c>
      <c r="H198" s="19">
        <v>46113.0</v>
      </c>
      <c r="K198" s="4" t="s">
        <v>1501</v>
      </c>
      <c r="M198" s="4" t="s">
        <v>1571</v>
      </c>
      <c r="N198" s="4" t="s">
        <v>1501</v>
      </c>
      <c r="O198" s="4" t="s">
        <v>1501</v>
      </c>
      <c r="Q198" s="4">
        <v>12000.0</v>
      </c>
      <c r="R198" s="4" t="s">
        <v>1593</v>
      </c>
      <c r="S198" s="4" t="s">
        <v>1594</v>
      </c>
      <c r="T198" s="106">
        <v>46151.551828703705</v>
      </c>
    </row>
    <row r="199" ht="15.75" customHeight="1">
      <c r="A199" s="17">
        <v>46142.0</v>
      </c>
      <c r="B199" s="4" t="s">
        <v>1446</v>
      </c>
      <c r="C199" s="4" t="s">
        <v>1501</v>
      </c>
      <c r="D199" s="23">
        <v>-27650.0</v>
      </c>
      <c r="G199" s="4" t="s">
        <v>59</v>
      </c>
      <c r="H199" s="19">
        <v>46113.0</v>
      </c>
      <c r="K199" s="4" t="s">
        <v>1501</v>
      </c>
      <c r="M199" s="4" t="s">
        <v>1571</v>
      </c>
      <c r="N199" s="4" t="s">
        <v>1501</v>
      </c>
      <c r="O199" s="4" t="s">
        <v>1501</v>
      </c>
      <c r="Q199" s="4">
        <v>27650.0</v>
      </c>
      <c r="R199" s="4" t="s">
        <v>1593</v>
      </c>
      <c r="S199" s="4" t="s">
        <v>1594</v>
      </c>
      <c r="T199" s="106">
        <v>46151.551828703705</v>
      </c>
    </row>
    <row r="200" ht="15.75" customHeight="1">
      <c r="A200" s="17">
        <v>46142.0</v>
      </c>
      <c r="B200" s="4" t="s">
        <v>1446</v>
      </c>
      <c r="C200" s="4" t="s">
        <v>1501</v>
      </c>
      <c r="D200" s="23">
        <v>-35300.0</v>
      </c>
      <c r="G200" s="4" t="s">
        <v>59</v>
      </c>
      <c r="H200" s="19">
        <v>46113.0</v>
      </c>
      <c r="K200" s="4" t="s">
        <v>1501</v>
      </c>
      <c r="M200" s="4" t="s">
        <v>1571</v>
      </c>
      <c r="N200" s="4" t="s">
        <v>1501</v>
      </c>
      <c r="O200" s="4" t="s">
        <v>1501</v>
      </c>
      <c r="Q200" s="4">
        <v>35300.0</v>
      </c>
      <c r="R200" s="4" t="s">
        <v>1593</v>
      </c>
      <c r="S200" s="4" t="s">
        <v>1594</v>
      </c>
      <c r="T200" s="106">
        <v>46151.551828703705</v>
      </c>
    </row>
    <row r="201" ht="15.75" customHeight="1">
      <c r="A201" s="17">
        <v>46142.0</v>
      </c>
      <c r="B201" s="4" t="s">
        <v>1446</v>
      </c>
      <c r="C201" s="4" t="s">
        <v>1612</v>
      </c>
      <c r="D201" s="23">
        <v>-19300.0</v>
      </c>
      <c r="G201" s="4" t="s">
        <v>59</v>
      </c>
      <c r="H201" s="19">
        <v>46113.0</v>
      </c>
      <c r="K201" s="4" t="s">
        <v>1612</v>
      </c>
      <c r="M201" s="4" t="s">
        <v>1571</v>
      </c>
      <c r="N201" s="4" t="s">
        <v>1612</v>
      </c>
      <c r="O201" s="4" t="s">
        <v>1612</v>
      </c>
      <c r="Q201" s="4">
        <v>19300.0</v>
      </c>
      <c r="R201" s="4" t="s">
        <v>1593</v>
      </c>
      <c r="S201" s="4" t="s">
        <v>1594</v>
      </c>
      <c r="T201" s="106">
        <v>46151.551828703705</v>
      </c>
    </row>
    <row r="202" ht="15.75" customHeight="1">
      <c r="A202" s="17">
        <v>46142.0</v>
      </c>
      <c r="B202" s="4" t="s">
        <v>1446</v>
      </c>
      <c r="C202" s="4" t="s">
        <v>1613</v>
      </c>
      <c r="D202" s="23">
        <v>-244530.0</v>
      </c>
      <c r="G202" s="4" t="s">
        <v>59</v>
      </c>
      <c r="H202" s="19">
        <v>46113.0</v>
      </c>
      <c r="K202" s="4" t="s">
        <v>1613</v>
      </c>
      <c r="M202" s="4" t="s">
        <v>1571</v>
      </c>
      <c r="N202" s="4" t="s">
        <v>1613</v>
      </c>
      <c r="O202" s="4" t="s">
        <v>1613</v>
      </c>
      <c r="Q202" s="4">
        <v>244530.0</v>
      </c>
      <c r="R202" s="4" t="s">
        <v>1593</v>
      </c>
      <c r="S202" s="4" t="s">
        <v>1594</v>
      </c>
      <c r="T202" s="106">
        <v>46151.551828703705</v>
      </c>
    </row>
    <row r="203" ht="15.75" customHeight="1">
      <c r="A203" s="17">
        <v>46142.0</v>
      </c>
      <c r="B203" s="4" t="s">
        <v>1446</v>
      </c>
      <c r="C203" s="4" t="s">
        <v>1614</v>
      </c>
      <c r="D203" s="23">
        <v>-221430.0</v>
      </c>
      <c r="G203" s="4" t="s">
        <v>59</v>
      </c>
      <c r="H203" s="19">
        <v>46113.0</v>
      </c>
      <c r="K203" s="4" t="s">
        <v>1614</v>
      </c>
      <c r="M203" s="4" t="s">
        <v>1571</v>
      </c>
      <c r="N203" s="4" t="s">
        <v>1614</v>
      </c>
      <c r="O203" s="4" t="s">
        <v>1614</v>
      </c>
      <c r="Q203" s="4">
        <v>221430.0</v>
      </c>
      <c r="R203" s="4" t="s">
        <v>1593</v>
      </c>
      <c r="S203" s="4" t="s">
        <v>1594</v>
      </c>
      <c r="T203" s="106">
        <v>46151.551828703705</v>
      </c>
    </row>
    <row r="204" ht="15.75" customHeight="1">
      <c r="A204" s="17">
        <v>46142.0</v>
      </c>
      <c r="B204" s="4" t="s">
        <v>1446</v>
      </c>
      <c r="C204" s="4" t="s">
        <v>1615</v>
      </c>
      <c r="D204" s="23">
        <v>-13310.0</v>
      </c>
      <c r="G204" s="4" t="s">
        <v>59</v>
      </c>
      <c r="H204" s="19">
        <v>46113.0</v>
      </c>
      <c r="K204" s="4" t="s">
        <v>1615</v>
      </c>
      <c r="M204" s="4" t="s">
        <v>1571</v>
      </c>
      <c r="N204" s="4" t="s">
        <v>1615</v>
      </c>
      <c r="O204" s="4" t="s">
        <v>1615</v>
      </c>
      <c r="Q204" s="4">
        <v>13310.0</v>
      </c>
      <c r="R204" s="4" t="s">
        <v>1593</v>
      </c>
      <c r="S204" s="4" t="s">
        <v>1594</v>
      </c>
      <c r="T204" s="106">
        <v>46151.551828703705</v>
      </c>
    </row>
    <row r="205" ht="15.75" customHeight="1">
      <c r="A205" s="17">
        <v>46142.0</v>
      </c>
      <c r="B205" s="4" t="s">
        <v>1446</v>
      </c>
      <c r="C205" s="4" t="s">
        <v>1616</v>
      </c>
      <c r="D205" s="23">
        <v>-58020.0</v>
      </c>
      <c r="G205" s="4" t="s">
        <v>59</v>
      </c>
      <c r="H205" s="19">
        <v>46113.0</v>
      </c>
      <c r="K205" s="4" t="s">
        <v>1616</v>
      </c>
      <c r="M205" s="4" t="s">
        <v>1571</v>
      </c>
      <c r="N205" s="4" t="s">
        <v>1616</v>
      </c>
      <c r="O205" s="4" t="s">
        <v>1616</v>
      </c>
      <c r="Q205" s="4">
        <v>58020.0</v>
      </c>
      <c r="R205" s="4" t="s">
        <v>1593</v>
      </c>
      <c r="S205" s="4" t="s">
        <v>1594</v>
      </c>
      <c r="T205" s="106">
        <v>46151.551828703705</v>
      </c>
    </row>
    <row r="206" ht="15.75" customHeight="1">
      <c r="A206" s="17">
        <v>46142.0</v>
      </c>
      <c r="B206" s="4" t="s">
        <v>1446</v>
      </c>
      <c r="C206" s="4" t="s">
        <v>1617</v>
      </c>
      <c r="D206" s="23">
        <v>-45580.0</v>
      </c>
      <c r="G206" s="4" t="s">
        <v>59</v>
      </c>
      <c r="H206" s="19">
        <v>46113.0</v>
      </c>
      <c r="K206" s="4" t="s">
        <v>1617</v>
      </c>
      <c r="M206" s="4" t="s">
        <v>1571</v>
      </c>
      <c r="N206" s="4" t="s">
        <v>1617</v>
      </c>
      <c r="O206" s="4" t="s">
        <v>1617</v>
      </c>
      <c r="Q206" s="4">
        <v>45580.0</v>
      </c>
      <c r="R206" s="4" t="s">
        <v>1593</v>
      </c>
      <c r="S206" s="4" t="s">
        <v>1594</v>
      </c>
      <c r="T206" s="106">
        <v>46151.551828703705</v>
      </c>
    </row>
    <row r="207" ht="15.75" customHeight="1">
      <c r="A207" s="17">
        <v>46142.0</v>
      </c>
      <c r="B207" s="4" t="s">
        <v>1446</v>
      </c>
      <c r="C207" s="4" t="s">
        <v>1618</v>
      </c>
      <c r="D207" s="23">
        <v>-66000.0</v>
      </c>
      <c r="G207" s="4" t="s">
        <v>59</v>
      </c>
      <c r="H207" s="19">
        <v>46113.0</v>
      </c>
      <c r="K207" s="4" t="s">
        <v>1618</v>
      </c>
      <c r="M207" s="4" t="s">
        <v>1571</v>
      </c>
      <c r="N207" s="4" t="s">
        <v>1618</v>
      </c>
      <c r="O207" s="4" t="s">
        <v>1618</v>
      </c>
      <c r="Q207" s="4">
        <v>66000.0</v>
      </c>
      <c r="R207" s="4" t="s">
        <v>1593</v>
      </c>
      <c r="S207" s="4" t="s">
        <v>1594</v>
      </c>
      <c r="T207" s="106">
        <v>46151.551828703705</v>
      </c>
    </row>
    <row r="208" ht="15.75" customHeight="1">
      <c r="A208" s="17">
        <v>46142.0</v>
      </c>
      <c r="B208" s="4" t="s">
        <v>1441</v>
      </c>
      <c r="C208" s="4" t="s">
        <v>348</v>
      </c>
      <c r="D208" s="23">
        <v>150000.0</v>
      </c>
      <c r="E208" s="4"/>
      <c r="F208" s="4"/>
      <c r="G208" s="4" t="s">
        <v>57</v>
      </c>
      <c r="H208" s="19">
        <v>46113.0</v>
      </c>
      <c r="I208" s="4"/>
      <c r="J208" s="4"/>
      <c r="K208" s="4" t="s">
        <v>348</v>
      </c>
      <c r="L208" s="4"/>
      <c r="M208" s="4" t="s">
        <v>1566</v>
      </c>
      <c r="N208" s="4" t="s">
        <v>348</v>
      </c>
      <c r="O208" s="4" t="s">
        <v>348</v>
      </c>
      <c r="P208" s="4">
        <v>150000.0</v>
      </c>
      <c r="Q208" s="4"/>
      <c r="R208" s="4" t="s">
        <v>1593</v>
      </c>
      <c r="S208" s="4" t="s">
        <v>1594</v>
      </c>
      <c r="T208" s="106">
        <v>46151.551828703705</v>
      </c>
    </row>
    <row r="209" ht="15.75" customHeight="1">
      <c r="A209" s="17"/>
      <c r="D209" s="23"/>
      <c r="G209" s="4"/>
      <c r="H209" s="19"/>
    </row>
    <row r="210" ht="15.75" customHeight="1">
      <c r="A210" s="17"/>
      <c r="D210" s="23"/>
      <c r="G210" s="4"/>
      <c r="H210" s="19"/>
    </row>
    <row r="211" ht="15.75" customHeight="1">
      <c r="A211" s="17"/>
      <c r="D211" s="23"/>
      <c r="G211" s="4"/>
      <c r="H211" s="19"/>
    </row>
    <row r="212" ht="15.75" customHeight="1">
      <c r="A212" s="17"/>
      <c r="D212" s="23"/>
      <c r="G212" s="4"/>
      <c r="H212" s="19"/>
    </row>
    <row r="213" ht="15.75" customHeight="1">
      <c r="A213" s="17"/>
      <c r="D213" s="23"/>
      <c r="G213" s="4"/>
      <c r="H213" s="19"/>
    </row>
    <row r="214" ht="15.75" customHeight="1">
      <c r="A214" s="17"/>
      <c r="D214" s="23"/>
      <c r="G214" s="4"/>
      <c r="H214" s="19"/>
    </row>
    <row r="215" ht="15.75" customHeight="1">
      <c r="A215" s="17"/>
      <c r="D215" s="23"/>
      <c r="G215" s="4"/>
      <c r="H215" s="19"/>
    </row>
    <row r="216" ht="15.75" customHeight="1">
      <c r="A216" s="17"/>
      <c r="D216" s="23"/>
      <c r="G216" s="4"/>
      <c r="H216" s="19"/>
    </row>
    <row r="217" ht="15.75" customHeight="1">
      <c r="A217" s="17"/>
      <c r="D217" s="23"/>
      <c r="G217" s="4"/>
      <c r="H217" s="19"/>
    </row>
    <row r="218" ht="15.75" customHeight="1">
      <c r="A218" s="17"/>
      <c r="D218" s="23"/>
      <c r="G218" s="4"/>
      <c r="H218" s="19"/>
    </row>
    <row r="219" ht="15.75" customHeight="1">
      <c r="A219" s="17"/>
      <c r="D219" s="23"/>
      <c r="G219" s="4"/>
      <c r="H219" s="19"/>
    </row>
    <row r="220" ht="15.75" customHeight="1">
      <c r="A220" s="17"/>
      <c r="D220" s="23"/>
      <c r="G220" s="4"/>
      <c r="H220" s="19"/>
    </row>
    <row r="221" ht="15.75" customHeight="1">
      <c r="A221" s="17"/>
      <c r="D221" s="23"/>
      <c r="G221" s="4"/>
      <c r="H221" s="19"/>
    </row>
    <row r="222" ht="15.75" customHeight="1">
      <c r="A222" s="17"/>
      <c r="D222" s="23"/>
      <c r="G222" s="4"/>
      <c r="H222" s="19"/>
    </row>
    <row r="223" ht="15.75" customHeight="1">
      <c r="A223" s="17"/>
      <c r="D223" s="23"/>
      <c r="G223" s="4"/>
      <c r="H223" s="19"/>
    </row>
    <row r="224" ht="15.75" customHeight="1">
      <c r="A224" s="17"/>
      <c r="D224" s="23"/>
      <c r="G224" s="4"/>
      <c r="H224" s="19"/>
    </row>
    <row r="225" ht="15.75" customHeight="1">
      <c r="A225" s="17"/>
      <c r="D225" s="23"/>
      <c r="G225" s="4"/>
      <c r="H225" s="19"/>
    </row>
    <row r="226" ht="15.75" customHeight="1">
      <c r="A226" s="17"/>
      <c r="D226" s="23"/>
      <c r="G226" s="4"/>
      <c r="H226" s="19"/>
    </row>
    <row r="227" ht="15.75" customHeight="1">
      <c r="A227" s="17"/>
      <c r="D227" s="23"/>
      <c r="G227" s="4"/>
      <c r="H227" s="19"/>
    </row>
    <row r="228" ht="15.75" customHeight="1">
      <c r="A228" s="17"/>
      <c r="D228" s="23"/>
      <c r="G228" s="4"/>
      <c r="H228" s="19"/>
    </row>
    <row r="229" ht="15.75" customHeight="1">
      <c r="A229" s="17"/>
      <c r="D229" s="23"/>
      <c r="G229" s="4"/>
      <c r="H229" s="19"/>
    </row>
    <row r="230" ht="15.75" customHeight="1">
      <c r="A230" s="17"/>
      <c r="D230" s="23"/>
      <c r="G230" s="4"/>
      <c r="H230" s="19"/>
    </row>
    <row r="231" ht="15.75" customHeight="1">
      <c r="A231" s="17"/>
      <c r="D231" s="23"/>
      <c r="G231" s="4"/>
      <c r="H231" s="19"/>
    </row>
    <row r="232" ht="15.75" customHeight="1">
      <c r="A232" s="17"/>
      <c r="D232" s="23"/>
      <c r="G232" s="4"/>
      <c r="H232" s="19"/>
    </row>
    <row r="233" ht="15.75" customHeight="1">
      <c r="A233" s="17"/>
      <c r="D233" s="23"/>
      <c r="G233" s="4"/>
      <c r="H233" s="19"/>
    </row>
    <row r="234" ht="15.75" customHeight="1">
      <c r="A234" s="17"/>
      <c r="D234" s="23"/>
      <c r="G234" s="4"/>
      <c r="H234" s="19"/>
    </row>
    <row r="235" ht="15.75" customHeight="1">
      <c r="A235" s="17"/>
      <c r="D235" s="23"/>
      <c r="G235" s="4"/>
      <c r="H235" s="19"/>
    </row>
    <row r="236" ht="15.75" customHeight="1">
      <c r="A236" s="17"/>
      <c r="D236" s="23"/>
      <c r="G236" s="4"/>
      <c r="H236" s="19"/>
    </row>
    <row r="237" ht="15.75" customHeight="1">
      <c r="A237" s="17"/>
      <c r="D237" s="23"/>
      <c r="G237" s="4"/>
      <c r="H237" s="19"/>
    </row>
    <row r="238" ht="15.75" customHeight="1">
      <c r="A238" s="17"/>
      <c r="D238" s="23"/>
      <c r="G238" s="4"/>
      <c r="H238" s="19"/>
    </row>
    <row r="239" ht="15.75" customHeight="1">
      <c r="A239" s="17"/>
      <c r="D239" s="23"/>
      <c r="G239" s="4"/>
      <c r="H239" s="19"/>
    </row>
    <row r="240" ht="15.75" customHeight="1">
      <c r="A240" s="17"/>
      <c r="D240" s="23"/>
      <c r="G240" s="4"/>
      <c r="H240" s="19"/>
    </row>
    <row r="241" ht="15.75" customHeight="1">
      <c r="A241" s="17"/>
      <c r="D241" s="23"/>
      <c r="G241" s="4"/>
      <c r="H241" s="19"/>
    </row>
    <row r="242" ht="15.75" customHeight="1">
      <c r="A242" s="17"/>
      <c r="D242" s="23"/>
      <c r="G242" s="4"/>
      <c r="H242" s="19"/>
    </row>
    <row r="243" ht="15.75" customHeight="1">
      <c r="A243" s="17"/>
      <c r="D243" s="23"/>
      <c r="G243" s="4"/>
      <c r="H243" s="19"/>
    </row>
    <row r="244" ht="15.75" customHeight="1">
      <c r="A244" s="17"/>
      <c r="D244" s="23"/>
      <c r="G244" s="4"/>
      <c r="H244" s="19"/>
    </row>
    <row r="245" ht="15.75" customHeight="1">
      <c r="A245" s="17"/>
      <c r="D245" s="23"/>
      <c r="G245" s="4"/>
      <c r="H245" s="19"/>
    </row>
    <row r="246" ht="15.75" customHeight="1">
      <c r="A246" s="17"/>
      <c r="D246" s="23"/>
      <c r="G246" s="4"/>
      <c r="H246" s="19"/>
    </row>
    <row r="247" ht="15.75" customHeight="1">
      <c r="A247" s="17"/>
      <c r="D247" s="23"/>
      <c r="G247" s="4"/>
      <c r="H247" s="19"/>
    </row>
    <row r="248" ht="15.75" customHeight="1">
      <c r="A248" s="17"/>
      <c r="D248" s="23"/>
      <c r="G248" s="4"/>
      <c r="H248" s="19"/>
    </row>
    <row r="249" ht="15.75" customHeight="1">
      <c r="A249" s="17"/>
      <c r="D249" s="23"/>
      <c r="G249" s="4"/>
      <c r="H249" s="19"/>
    </row>
    <row r="250" ht="15.75" customHeight="1">
      <c r="A250" s="17"/>
      <c r="D250" s="23"/>
      <c r="G250" s="4"/>
      <c r="H250" s="19"/>
    </row>
    <row r="251" ht="15.75" customHeight="1">
      <c r="A251" s="17"/>
      <c r="D251" s="23"/>
      <c r="G251" s="4"/>
      <c r="H251" s="19"/>
    </row>
    <row r="252" ht="15.75" customHeight="1">
      <c r="A252" s="17"/>
      <c r="D252" s="23"/>
      <c r="G252" s="4"/>
      <c r="H252" s="19"/>
    </row>
    <row r="253" ht="15.75" customHeight="1">
      <c r="A253" s="17"/>
      <c r="D253" s="23"/>
      <c r="G253" s="4"/>
      <c r="H253" s="19"/>
    </row>
    <row r="254" ht="15.75" customHeight="1">
      <c r="A254" s="17"/>
      <c r="D254" s="23"/>
      <c r="G254" s="4"/>
      <c r="H254" s="19"/>
    </row>
    <row r="255" ht="15.75" customHeight="1">
      <c r="A255" s="17"/>
      <c r="D255" s="23"/>
      <c r="G255" s="4"/>
      <c r="H255" s="19"/>
    </row>
    <row r="256" ht="15.75" customHeight="1">
      <c r="A256" s="17"/>
      <c r="D256" s="23"/>
      <c r="G256" s="4"/>
      <c r="H256" s="19"/>
    </row>
    <row r="257" ht="15.75" customHeight="1">
      <c r="A257" s="17"/>
      <c r="D257" s="23"/>
      <c r="G257" s="4"/>
      <c r="H257" s="19"/>
    </row>
    <row r="258" ht="15.75" customHeight="1">
      <c r="A258" s="17"/>
      <c r="D258" s="23"/>
      <c r="G258" s="4"/>
      <c r="H258" s="19"/>
    </row>
    <row r="259" ht="15.75" customHeight="1">
      <c r="A259" s="17"/>
      <c r="D259" s="23"/>
      <c r="G259" s="4"/>
      <c r="H259" s="19"/>
    </row>
    <row r="260" ht="15.75" customHeight="1">
      <c r="A260" s="17"/>
      <c r="D260" s="23"/>
      <c r="G260" s="4"/>
      <c r="H260" s="19"/>
    </row>
    <row r="261" ht="15.75" customHeight="1">
      <c r="A261" s="17"/>
      <c r="D261" s="23"/>
      <c r="G261" s="4"/>
      <c r="H261" s="19"/>
    </row>
    <row r="262" ht="15.75" customHeight="1">
      <c r="A262" s="17"/>
      <c r="D262" s="23"/>
      <c r="G262" s="4"/>
      <c r="H262" s="19"/>
    </row>
    <row r="263" ht="15.75" customHeight="1">
      <c r="A263" s="17"/>
      <c r="D263" s="23"/>
      <c r="G263" s="4"/>
      <c r="H263" s="19"/>
    </row>
    <row r="264" ht="15.75" customHeight="1">
      <c r="A264" s="17"/>
      <c r="D264" s="23"/>
      <c r="G264" s="4"/>
      <c r="H264" s="19"/>
    </row>
    <row r="265" ht="15.75" customHeight="1">
      <c r="A265" s="17"/>
      <c r="D265" s="23"/>
      <c r="G265" s="4"/>
      <c r="H265" s="19"/>
    </row>
    <row r="266" ht="15.75" customHeight="1">
      <c r="A266" s="17"/>
      <c r="D266" s="23"/>
      <c r="G266" s="4"/>
      <c r="H266" s="19"/>
    </row>
    <row r="267" ht="15.75" customHeight="1">
      <c r="A267" s="17"/>
      <c r="D267" s="23"/>
      <c r="G267" s="4"/>
      <c r="H267" s="19"/>
    </row>
    <row r="268" ht="15.75" customHeight="1">
      <c r="A268" s="17"/>
      <c r="D268" s="23"/>
      <c r="G268" s="4"/>
      <c r="H268" s="19"/>
    </row>
    <row r="269" ht="15.75" customHeight="1">
      <c r="A269" s="17"/>
      <c r="D269" s="23"/>
      <c r="G269" s="4"/>
      <c r="H269" s="19"/>
    </row>
    <row r="270" ht="15.75" customHeight="1">
      <c r="A270" s="17"/>
      <c r="D270" s="23"/>
      <c r="G270" s="4"/>
      <c r="H270" s="19"/>
    </row>
    <row r="271" ht="15.75" customHeight="1">
      <c r="A271" s="17"/>
      <c r="D271" s="23"/>
      <c r="G271" s="4"/>
      <c r="H271" s="19"/>
    </row>
    <row r="272" ht="15.75" customHeight="1">
      <c r="A272" s="17"/>
      <c r="D272" s="23"/>
      <c r="G272" s="4"/>
      <c r="H272" s="19"/>
    </row>
    <row r="273" ht="15.75" customHeight="1">
      <c r="A273" s="17"/>
      <c r="D273" s="23"/>
      <c r="G273" s="4"/>
      <c r="H273" s="19"/>
    </row>
    <row r="274" ht="15.75" customHeight="1">
      <c r="A274" s="17"/>
      <c r="D274" s="23"/>
      <c r="G274" s="4"/>
      <c r="H274" s="19"/>
    </row>
    <row r="275" ht="15.75" customHeight="1">
      <c r="A275" s="17"/>
      <c r="D275" s="23"/>
      <c r="G275" s="4"/>
      <c r="H275" s="19"/>
    </row>
    <row r="276" ht="15.75" customHeight="1">
      <c r="A276" s="17"/>
      <c r="D276" s="23"/>
      <c r="G276" s="4"/>
      <c r="H276" s="19"/>
    </row>
    <row r="277" ht="15.75" customHeight="1">
      <c r="A277" s="17"/>
      <c r="D277" s="23"/>
      <c r="G277" s="4"/>
      <c r="H277" s="19"/>
    </row>
    <row r="278" ht="15.75" customHeight="1">
      <c r="A278" s="17"/>
      <c r="D278" s="23"/>
      <c r="G278" s="4"/>
      <c r="H278" s="19"/>
    </row>
    <row r="279" ht="15.75" customHeight="1">
      <c r="A279" s="17"/>
      <c r="D279" s="23"/>
      <c r="G279" s="4"/>
      <c r="H279" s="19"/>
    </row>
    <row r="280" ht="15.75" customHeight="1">
      <c r="A280" s="17"/>
      <c r="D280" s="23"/>
      <c r="G280" s="4"/>
      <c r="H280" s="19"/>
    </row>
    <row r="281" ht="15.75" customHeight="1">
      <c r="A281" s="17"/>
      <c r="D281" s="23"/>
      <c r="G281" s="4"/>
      <c r="H281" s="19"/>
    </row>
    <row r="282" ht="15.75" customHeight="1">
      <c r="A282" s="17"/>
      <c r="D282" s="23"/>
      <c r="G282" s="4"/>
      <c r="H282" s="19"/>
    </row>
    <row r="283" ht="15.75" customHeight="1">
      <c r="A283" s="17"/>
      <c r="D283" s="23"/>
      <c r="G283" s="4"/>
      <c r="H283" s="19"/>
    </row>
    <row r="284" ht="15.75" customHeight="1">
      <c r="A284" s="17"/>
      <c r="D284" s="23"/>
      <c r="G284" s="4"/>
      <c r="H284" s="19"/>
    </row>
    <row r="285" ht="15.75" customHeight="1">
      <c r="A285" s="17"/>
      <c r="D285" s="23"/>
      <c r="G285" s="4"/>
      <c r="H285" s="19"/>
    </row>
    <row r="286" ht="15.75" customHeight="1">
      <c r="A286" s="17"/>
      <c r="D286" s="23"/>
      <c r="G286" s="4"/>
      <c r="H286" s="19"/>
    </row>
    <row r="287" ht="15.75" customHeight="1">
      <c r="A287" s="17"/>
      <c r="D287" s="23"/>
      <c r="G287" s="4"/>
      <c r="H287" s="19"/>
    </row>
    <row r="288" ht="15.75" customHeight="1">
      <c r="A288" s="17"/>
      <c r="D288" s="23"/>
      <c r="G288" s="4"/>
      <c r="H288" s="19"/>
    </row>
    <row r="289" ht="15.75" customHeight="1">
      <c r="A289" s="17"/>
      <c r="D289" s="23"/>
      <c r="G289" s="4"/>
      <c r="H289" s="19"/>
    </row>
    <row r="290" ht="15.75" customHeight="1">
      <c r="A290" s="17"/>
      <c r="D290" s="23"/>
      <c r="G290" s="4"/>
      <c r="H290" s="19"/>
    </row>
    <row r="291" ht="15.75" customHeight="1">
      <c r="A291" s="17"/>
      <c r="D291" s="23"/>
      <c r="G291" s="4"/>
      <c r="H291" s="19"/>
    </row>
    <row r="292" ht="15.75" customHeight="1">
      <c r="A292" s="17"/>
      <c r="D292" s="23"/>
      <c r="G292" s="4"/>
      <c r="H292" s="19"/>
    </row>
    <row r="293" ht="15.75" customHeight="1">
      <c r="A293" s="17"/>
      <c r="D293" s="23"/>
      <c r="G293" s="4"/>
      <c r="H293" s="19"/>
    </row>
    <row r="294" ht="15.75" customHeight="1">
      <c r="A294" s="17"/>
      <c r="D294" s="23"/>
      <c r="G294" s="4"/>
      <c r="H294" s="19"/>
    </row>
    <row r="295" ht="15.75" customHeight="1">
      <c r="A295" s="17"/>
      <c r="D295" s="23"/>
      <c r="G295" s="4"/>
      <c r="H295" s="19"/>
    </row>
    <row r="296" ht="15.75" customHeight="1">
      <c r="A296" s="17"/>
      <c r="D296" s="23"/>
      <c r="G296" s="4"/>
      <c r="H296" s="19"/>
    </row>
    <row r="297" ht="15.75" customHeight="1">
      <c r="A297" s="17"/>
      <c r="D297" s="23"/>
      <c r="G297" s="4"/>
      <c r="H297" s="19"/>
    </row>
    <row r="298" ht="15.75" customHeight="1">
      <c r="A298" s="17"/>
      <c r="D298" s="23"/>
      <c r="G298" s="4"/>
      <c r="H298" s="19"/>
    </row>
    <row r="299" ht="15.75" customHeight="1">
      <c r="A299" s="17"/>
      <c r="D299" s="23"/>
      <c r="G299" s="4"/>
      <c r="H299" s="19"/>
    </row>
    <row r="300" ht="15.75" customHeight="1">
      <c r="A300" s="17"/>
      <c r="D300" s="23"/>
      <c r="G300" s="4"/>
      <c r="H300" s="19"/>
    </row>
    <row r="301" ht="15.75" customHeight="1">
      <c r="A301" s="17"/>
      <c r="D301" s="23"/>
      <c r="G301" s="4"/>
      <c r="H301" s="19"/>
    </row>
    <row r="302" ht="15.75" customHeight="1">
      <c r="A302" s="17"/>
      <c r="D302" s="23"/>
      <c r="G302" s="4"/>
      <c r="H302" s="19"/>
    </row>
    <row r="303" ht="15.75" customHeight="1">
      <c r="A303" s="17"/>
      <c r="D303" s="23"/>
      <c r="G303" s="4"/>
      <c r="H303" s="19"/>
    </row>
    <row r="304" ht="15.75" customHeight="1">
      <c r="A304" s="17"/>
      <c r="D304" s="23"/>
      <c r="G304" s="4"/>
      <c r="H304" s="19"/>
    </row>
    <row r="305" ht="15.75" customHeight="1">
      <c r="A305" s="17"/>
      <c r="D305" s="23"/>
      <c r="G305" s="4"/>
      <c r="H305" s="19"/>
    </row>
    <row r="306" ht="15.75" customHeight="1">
      <c r="A306" s="17"/>
      <c r="D306" s="23"/>
      <c r="G306" s="4"/>
      <c r="H306" s="19"/>
    </row>
    <row r="307" ht="15.75" customHeight="1">
      <c r="A307" s="17"/>
      <c r="D307" s="23"/>
      <c r="G307" s="4"/>
      <c r="H307" s="19"/>
    </row>
    <row r="308" ht="15.75" customHeight="1">
      <c r="A308" s="17"/>
      <c r="D308" s="23"/>
      <c r="G308" s="4"/>
      <c r="H308" s="19"/>
    </row>
    <row r="309" ht="15.75" customHeight="1">
      <c r="A309" s="17"/>
      <c r="D309" s="23"/>
      <c r="G309" s="4"/>
      <c r="H309" s="19"/>
    </row>
    <row r="310" ht="15.75" customHeight="1">
      <c r="A310" s="17"/>
      <c r="D310" s="23"/>
      <c r="G310" s="4"/>
      <c r="H310" s="19"/>
    </row>
    <row r="311" ht="15.75" customHeight="1">
      <c r="A311" s="17"/>
      <c r="D311" s="23"/>
      <c r="G311" s="4"/>
      <c r="H311" s="19"/>
    </row>
    <row r="312" ht="15.75" customHeight="1">
      <c r="A312" s="17"/>
      <c r="D312" s="23"/>
      <c r="G312" s="4"/>
      <c r="H312" s="19"/>
    </row>
    <row r="313" ht="15.75" customHeight="1">
      <c r="A313" s="17"/>
      <c r="D313" s="23"/>
      <c r="G313" s="4"/>
      <c r="H313" s="19"/>
    </row>
    <row r="314" ht="15.75" customHeight="1">
      <c r="A314" s="17"/>
      <c r="D314" s="23"/>
      <c r="G314" s="4"/>
      <c r="H314" s="19"/>
    </row>
    <row r="315" ht="15.75" customHeight="1">
      <c r="A315" s="17"/>
      <c r="D315" s="23"/>
      <c r="G315" s="4"/>
      <c r="H315" s="19"/>
    </row>
    <row r="316" ht="15.75" customHeight="1">
      <c r="A316" s="17"/>
      <c r="D316" s="23"/>
      <c r="G316" s="4"/>
      <c r="H316" s="19"/>
    </row>
    <row r="317" ht="15.75" customHeight="1">
      <c r="A317" s="17"/>
      <c r="D317" s="23"/>
      <c r="G317" s="4"/>
      <c r="H317" s="19"/>
    </row>
    <row r="318" ht="15.75" customHeight="1">
      <c r="A318" s="17"/>
      <c r="D318" s="23"/>
      <c r="G318" s="4"/>
      <c r="H318" s="19"/>
    </row>
    <row r="319" ht="15.75" customHeight="1">
      <c r="A319" s="17"/>
      <c r="D319" s="23"/>
      <c r="G319" s="4"/>
      <c r="H319" s="19"/>
    </row>
    <row r="320" ht="15.75" customHeight="1">
      <c r="A320" s="17"/>
      <c r="D320" s="23"/>
      <c r="G320" s="4"/>
      <c r="H320" s="19"/>
    </row>
    <row r="321" ht="15.75" customHeight="1">
      <c r="A321" s="17"/>
      <c r="D321" s="23"/>
      <c r="G321" s="4"/>
      <c r="H321" s="19"/>
    </row>
    <row r="322" ht="15.75" customHeight="1">
      <c r="A322" s="17"/>
      <c r="D322" s="23"/>
      <c r="G322" s="4"/>
      <c r="H322" s="19"/>
    </row>
    <row r="323" ht="15.75" customHeight="1">
      <c r="A323" s="17"/>
      <c r="D323" s="23"/>
      <c r="G323" s="4"/>
      <c r="H323" s="19"/>
    </row>
    <row r="324" ht="15.75" customHeight="1">
      <c r="A324" s="17"/>
      <c r="D324" s="23"/>
      <c r="G324" s="4"/>
      <c r="H324" s="19"/>
    </row>
    <row r="325" ht="15.75" customHeight="1">
      <c r="A325" s="17"/>
      <c r="D325" s="23"/>
      <c r="G325" s="4"/>
      <c r="H325" s="19"/>
    </row>
    <row r="326" ht="15.75" customHeight="1">
      <c r="A326" s="17"/>
      <c r="D326" s="23"/>
      <c r="G326" s="4"/>
      <c r="H326" s="19"/>
    </row>
    <row r="327" ht="15.75" customHeight="1">
      <c r="A327" s="17"/>
      <c r="D327" s="23"/>
      <c r="G327" s="4"/>
      <c r="H327" s="19"/>
    </row>
    <row r="328" ht="15.75" customHeight="1">
      <c r="A328" s="17"/>
      <c r="D328" s="23"/>
      <c r="G328" s="4"/>
      <c r="H328" s="19"/>
    </row>
    <row r="329" ht="15.75" customHeight="1">
      <c r="A329" s="17"/>
      <c r="D329" s="23"/>
      <c r="G329" s="4"/>
      <c r="H329" s="19"/>
    </row>
    <row r="330" ht="15.75" customHeight="1">
      <c r="A330" s="17"/>
      <c r="D330" s="23"/>
      <c r="G330" s="4"/>
      <c r="H330" s="19"/>
    </row>
    <row r="331" ht="15.75" customHeight="1">
      <c r="A331" s="17"/>
      <c r="D331" s="23"/>
      <c r="G331" s="4"/>
      <c r="H331" s="19"/>
    </row>
    <row r="332" ht="15.75" customHeight="1">
      <c r="A332" s="17"/>
      <c r="D332" s="23"/>
      <c r="G332" s="4"/>
      <c r="H332" s="19"/>
    </row>
    <row r="333" ht="15.75" customHeight="1">
      <c r="A333" s="17"/>
      <c r="D333" s="23"/>
      <c r="G333" s="4"/>
      <c r="H333" s="19"/>
    </row>
    <row r="334" ht="15.75" customHeight="1">
      <c r="A334" s="17"/>
      <c r="D334" s="23"/>
      <c r="G334" s="4"/>
      <c r="H334" s="19"/>
    </row>
    <row r="335" ht="15.75" customHeight="1">
      <c r="A335" s="17"/>
      <c r="D335" s="23"/>
      <c r="G335" s="4"/>
      <c r="H335" s="19"/>
    </row>
    <row r="336" ht="15.75" customHeight="1">
      <c r="A336" s="17"/>
      <c r="D336" s="23"/>
      <c r="G336" s="4"/>
      <c r="H336" s="19"/>
    </row>
    <row r="337" ht="15.75" customHeight="1">
      <c r="A337" s="17"/>
      <c r="D337" s="23"/>
      <c r="G337" s="4"/>
      <c r="H337" s="19"/>
    </row>
    <row r="338" ht="15.75" customHeight="1">
      <c r="A338" s="17"/>
      <c r="D338" s="23"/>
      <c r="G338" s="4"/>
      <c r="H338" s="19"/>
    </row>
    <row r="339" ht="15.75" customHeight="1">
      <c r="A339" s="17"/>
      <c r="D339" s="23"/>
      <c r="G339" s="4"/>
      <c r="H339" s="19"/>
    </row>
    <row r="340" ht="15.75" customHeight="1">
      <c r="A340" s="17"/>
      <c r="D340" s="23"/>
      <c r="G340" s="4"/>
      <c r="H340" s="19"/>
    </row>
    <row r="341" ht="15.75" customHeight="1">
      <c r="A341" s="17"/>
      <c r="D341" s="23"/>
      <c r="G341" s="4"/>
      <c r="H341" s="19"/>
    </row>
    <row r="342" ht="15.75" customHeight="1">
      <c r="A342" s="17"/>
      <c r="D342" s="23"/>
      <c r="G342" s="4"/>
      <c r="H342" s="19"/>
    </row>
    <row r="343" ht="15.75" customHeight="1">
      <c r="A343" s="17"/>
      <c r="D343" s="23"/>
      <c r="G343" s="4"/>
      <c r="H343" s="19"/>
    </row>
    <row r="344" ht="15.75" customHeight="1">
      <c r="A344" s="17"/>
      <c r="D344" s="23"/>
      <c r="G344" s="4"/>
      <c r="H344" s="19"/>
    </row>
    <row r="345" ht="15.75" customHeight="1">
      <c r="A345" s="17"/>
      <c r="D345" s="23"/>
      <c r="G345" s="4"/>
      <c r="H345" s="19"/>
    </row>
    <row r="346" ht="15.75" customHeight="1">
      <c r="A346" s="17"/>
      <c r="D346" s="23"/>
      <c r="G346" s="4"/>
      <c r="H346" s="19"/>
    </row>
    <row r="347" ht="15.75" customHeight="1">
      <c r="A347" s="17"/>
      <c r="D347" s="23"/>
      <c r="G347" s="4"/>
      <c r="H347" s="19"/>
    </row>
    <row r="348" ht="15.75" customHeight="1">
      <c r="A348" s="17"/>
      <c r="D348" s="23"/>
      <c r="G348" s="4"/>
      <c r="H348" s="19"/>
    </row>
    <row r="349" ht="15.75" customHeight="1">
      <c r="A349" s="17"/>
      <c r="D349" s="23"/>
      <c r="G349" s="4"/>
      <c r="H349" s="19"/>
    </row>
    <row r="350" ht="15.75" customHeight="1">
      <c r="A350" s="17"/>
      <c r="D350" s="23"/>
      <c r="G350" s="4"/>
      <c r="H350" s="19"/>
    </row>
    <row r="351" ht="15.75" customHeight="1">
      <c r="A351" s="17"/>
      <c r="D351" s="23"/>
      <c r="G351" s="4"/>
      <c r="H351" s="19"/>
    </row>
    <row r="352" ht="15.75" customHeight="1">
      <c r="A352" s="17"/>
      <c r="D352" s="23"/>
      <c r="G352" s="4"/>
      <c r="H352" s="19"/>
    </row>
    <row r="353" ht="15.75" customHeight="1">
      <c r="A353" s="17"/>
      <c r="D353" s="23"/>
      <c r="G353" s="4"/>
      <c r="H353" s="19"/>
    </row>
    <row r="354" ht="15.75" customHeight="1">
      <c r="A354" s="17"/>
      <c r="D354" s="23"/>
      <c r="G354" s="4"/>
      <c r="H354" s="19"/>
    </row>
    <row r="355" ht="15.75" customHeight="1">
      <c r="A355" s="17"/>
      <c r="D355" s="23"/>
      <c r="G355" s="4"/>
      <c r="H355" s="19"/>
    </row>
    <row r="356" ht="15.75" customHeight="1">
      <c r="A356" s="17"/>
      <c r="D356" s="23"/>
      <c r="G356" s="4"/>
      <c r="H356" s="19"/>
    </row>
    <row r="357" ht="15.75" customHeight="1">
      <c r="A357" s="17"/>
      <c r="D357" s="23"/>
      <c r="G357" s="4"/>
      <c r="H357" s="19"/>
    </row>
    <row r="358" ht="15.75" customHeight="1">
      <c r="A358" s="17"/>
      <c r="D358" s="23"/>
      <c r="G358" s="4"/>
      <c r="H358" s="19"/>
    </row>
    <row r="359" ht="15.75" customHeight="1">
      <c r="A359" s="17"/>
      <c r="D359" s="23"/>
      <c r="G359" s="4"/>
      <c r="H359" s="19"/>
    </row>
    <row r="360" ht="15.75" customHeight="1">
      <c r="A360" s="17"/>
      <c r="D360" s="23"/>
      <c r="G360" s="4"/>
      <c r="H360" s="19"/>
    </row>
    <row r="361" ht="15.75" customHeight="1">
      <c r="A361" s="17"/>
      <c r="D361" s="23"/>
      <c r="G361" s="4"/>
      <c r="H361" s="19"/>
    </row>
    <row r="362" ht="15.75" customHeight="1">
      <c r="A362" s="17"/>
      <c r="D362" s="23"/>
      <c r="G362" s="4"/>
      <c r="H362" s="19"/>
    </row>
    <row r="363" ht="15.75" customHeight="1">
      <c r="A363" s="17"/>
      <c r="D363" s="23"/>
      <c r="G363" s="4"/>
      <c r="H363" s="19"/>
    </row>
    <row r="364" ht="15.75" customHeight="1">
      <c r="A364" s="17"/>
      <c r="D364" s="23"/>
      <c r="G364" s="4"/>
      <c r="H364" s="19"/>
    </row>
    <row r="365" ht="15.75" customHeight="1">
      <c r="A365" s="17"/>
      <c r="D365" s="23"/>
      <c r="G365" s="4"/>
      <c r="H365" s="19"/>
    </row>
    <row r="366" ht="15.75" customHeight="1">
      <c r="A366" s="17"/>
      <c r="D366" s="23"/>
      <c r="G366" s="4"/>
      <c r="H366" s="19"/>
    </row>
    <row r="367" ht="15.75" customHeight="1">
      <c r="A367" s="17"/>
      <c r="D367" s="23"/>
      <c r="G367" s="4"/>
      <c r="H367" s="19"/>
    </row>
    <row r="368" ht="15.75" customHeight="1">
      <c r="A368" s="17"/>
      <c r="D368" s="23"/>
      <c r="G368" s="4"/>
      <c r="H368" s="19"/>
    </row>
    <row r="369" ht="15.75" customHeight="1">
      <c r="A369" s="17"/>
      <c r="D369" s="23"/>
      <c r="G369" s="4"/>
      <c r="H369" s="19"/>
    </row>
    <row r="370" ht="15.75" customHeight="1">
      <c r="A370" s="17"/>
      <c r="D370" s="23"/>
      <c r="G370" s="4"/>
      <c r="H370" s="19"/>
    </row>
    <row r="371" ht="15.75" customHeight="1">
      <c r="A371" s="17"/>
      <c r="D371" s="23"/>
      <c r="G371" s="4"/>
      <c r="H371" s="19"/>
    </row>
    <row r="372" ht="15.75" customHeight="1">
      <c r="A372" s="17"/>
      <c r="D372" s="23"/>
      <c r="G372" s="4"/>
      <c r="H372" s="19"/>
    </row>
    <row r="373" ht="15.75" customHeight="1">
      <c r="A373" s="17"/>
      <c r="D373" s="23"/>
      <c r="G373" s="4"/>
      <c r="H373" s="19"/>
    </row>
    <row r="374" ht="15.75" customHeight="1">
      <c r="A374" s="17"/>
      <c r="D374" s="23"/>
      <c r="G374" s="4"/>
      <c r="H374" s="19"/>
    </row>
    <row r="375" ht="15.75" customHeight="1">
      <c r="A375" s="17"/>
      <c r="D375" s="23"/>
      <c r="G375" s="4"/>
      <c r="H375" s="19"/>
    </row>
    <row r="376" ht="15.75" customHeight="1">
      <c r="A376" s="17"/>
      <c r="D376" s="23"/>
      <c r="G376" s="4"/>
      <c r="H376" s="19"/>
    </row>
    <row r="377" ht="15.75" customHeight="1">
      <c r="A377" s="17"/>
      <c r="D377" s="23"/>
      <c r="G377" s="4"/>
      <c r="H377" s="19"/>
    </row>
    <row r="378" ht="15.75" customHeight="1">
      <c r="A378" s="17"/>
      <c r="D378" s="23"/>
      <c r="G378" s="4"/>
      <c r="H378" s="19"/>
    </row>
    <row r="379" ht="15.75" customHeight="1">
      <c r="A379" s="17"/>
      <c r="D379" s="23"/>
      <c r="G379" s="4"/>
      <c r="H379" s="19"/>
    </row>
    <row r="380" ht="15.75" customHeight="1">
      <c r="A380" s="17"/>
      <c r="D380" s="23"/>
      <c r="G380" s="4"/>
      <c r="H380" s="19"/>
    </row>
    <row r="381" ht="15.75" customHeight="1">
      <c r="A381" s="17"/>
      <c r="D381" s="23"/>
      <c r="G381" s="4"/>
      <c r="H381" s="19"/>
    </row>
    <row r="382" ht="15.75" customHeight="1">
      <c r="A382" s="17"/>
      <c r="D382" s="23"/>
      <c r="G382" s="4"/>
      <c r="H382" s="19"/>
    </row>
    <row r="383" ht="15.75" customHeight="1">
      <c r="A383" s="17"/>
      <c r="D383" s="23"/>
      <c r="G383" s="4"/>
      <c r="H383" s="19"/>
    </row>
    <row r="384" ht="15.75" customHeight="1">
      <c r="A384" s="17"/>
      <c r="D384" s="23"/>
      <c r="G384" s="4"/>
      <c r="H384" s="19"/>
    </row>
    <row r="385" ht="15.75" customHeight="1">
      <c r="A385" s="17"/>
      <c r="D385" s="23"/>
      <c r="G385" s="4"/>
      <c r="H385" s="19"/>
    </row>
    <row r="386" ht="15.75" customHeight="1">
      <c r="A386" s="17"/>
      <c r="D386" s="23"/>
      <c r="G386" s="4"/>
      <c r="H386" s="19"/>
    </row>
    <row r="387" ht="15.75" customHeight="1">
      <c r="A387" s="17"/>
      <c r="D387" s="23"/>
      <c r="G387" s="4"/>
      <c r="H387" s="19"/>
    </row>
    <row r="388" ht="15.75" customHeight="1">
      <c r="A388" s="17"/>
      <c r="D388" s="23"/>
      <c r="G388" s="4"/>
      <c r="H388" s="19"/>
    </row>
    <row r="389" ht="15.75" customHeight="1">
      <c r="A389" s="17"/>
      <c r="D389" s="23"/>
      <c r="G389" s="4"/>
      <c r="H389" s="19"/>
    </row>
    <row r="390" ht="15.75" customHeight="1">
      <c r="A390" s="17"/>
      <c r="D390" s="23"/>
      <c r="G390" s="4"/>
      <c r="H390" s="19"/>
    </row>
    <row r="391" ht="15.75" customHeight="1">
      <c r="A391" s="17"/>
      <c r="D391" s="23"/>
      <c r="G391" s="4"/>
      <c r="H391" s="19"/>
    </row>
    <row r="392" ht="15.75" customHeight="1">
      <c r="A392" s="17"/>
      <c r="D392" s="23"/>
      <c r="G392" s="4"/>
      <c r="H392" s="19"/>
    </row>
    <row r="393" ht="15.75" customHeight="1">
      <c r="A393" s="17"/>
      <c r="D393" s="23"/>
      <c r="G393" s="4"/>
      <c r="H393" s="19"/>
    </row>
    <row r="394" ht="15.75" customHeight="1">
      <c r="A394" s="17"/>
      <c r="D394" s="23"/>
      <c r="G394" s="4"/>
      <c r="H394" s="19"/>
    </row>
    <row r="395" ht="15.75" customHeight="1">
      <c r="A395" s="17"/>
      <c r="D395" s="23"/>
      <c r="G395" s="4"/>
      <c r="H395" s="19"/>
    </row>
    <row r="396" ht="15.75" customHeight="1">
      <c r="A396" s="17"/>
      <c r="D396" s="23"/>
      <c r="G396" s="4"/>
      <c r="H396" s="19"/>
    </row>
    <row r="397" ht="15.75" customHeight="1">
      <c r="A397" s="17"/>
      <c r="D397" s="23"/>
      <c r="G397" s="4"/>
      <c r="H397" s="19"/>
    </row>
    <row r="398" ht="15.75" customHeight="1">
      <c r="A398" s="17"/>
      <c r="D398" s="23"/>
      <c r="G398" s="4"/>
      <c r="H398" s="19"/>
    </row>
    <row r="399" ht="15.75" customHeight="1">
      <c r="A399" s="17"/>
      <c r="D399" s="23"/>
      <c r="G399" s="4"/>
      <c r="H399" s="19"/>
    </row>
    <row r="400" ht="15.75" customHeight="1">
      <c r="A400" s="17"/>
      <c r="D400" s="23"/>
      <c r="G400" s="4"/>
      <c r="H400" s="19"/>
    </row>
    <row r="401" ht="15.75" customHeight="1">
      <c r="A401" s="17"/>
      <c r="D401" s="23"/>
      <c r="G401" s="4"/>
      <c r="H401" s="19"/>
    </row>
    <row r="402" ht="15.75" customHeight="1">
      <c r="A402" s="17"/>
      <c r="D402" s="23"/>
      <c r="G402" s="4"/>
      <c r="H402" s="19"/>
    </row>
    <row r="403" ht="15.75" customHeight="1">
      <c r="A403" s="17"/>
      <c r="D403" s="23"/>
      <c r="G403" s="4"/>
      <c r="H403" s="19"/>
    </row>
    <row r="404" ht="15.75" customHeight="1">
      <c r="A404" s="17"/>
      <c r="D404" s="23"/>
      <c r="G404" s="4"/>
      <c r="H404" s="19"/>
    </row>
    <row r="405" ht="15.75" customHeight="1">
      <c r="A405" s="17"/>
      <c r="D405" s="23"/>
      <c r="G405" s="4"/>
      <c r="H405" s="19"/>
    </row>
    <row r="406" ht="15.75" customHeight="1">
      <c r="A406" s="17"/>
      <c r="D406" s="23"/>
      <c r="G406" s="4"/>
      <c r="H406" s="19"/>
    </row>
    <row r="407" ht="15.75" customHeight="1">
      <c r="A407" s="17"/>
      <c r="D407" s="23"/>
      <c r="G407" s="4"/>
      <c r="H407" s="19"/>
    </row>
    <row r="408" ht="15.75" customHeight="1">
      <c r="A408" s="17"/>
      <c r="D408" s="23"/>
      <c r="G408" s="4"/>
      <c r="H408" s="19"/>
    </row>
    <row r="409" ht="15.75" customHeight="1">
      <c r="G409" s="61"/>
    </row>
    <row r="410" ht="15.75" customHeight="1">
      <c r="G410" s="61"/>
    </row>
    <row r="411" ht="15.75" customHeight="1">
      <c r="G411" s="61"/>
    </row>
    <row r="412" ht="15.75" customHeight="1">
      <c r="G412" s="61"/>
    </row>
    <row r="413" ht="15.75" customHeight="1">
      <c r="G413" s="61"/>
    </row>
    <row r="414" ht="15.75" customHeight="1">
      <c r="G414" s="61"/>
    </row>
    <row r="415" ht="15.75" customHeight="1">
      <c r="G415" s="61"/>
    </row>
    <row r="416" ht="15.75" customHeight="1">
      <c r="G416" s="61"/>
    </row>
    <row r="417" ht="15.75" customHeight="1">
      <c r="G417" s="61"/>
    </row>
    <row r="418" ht="15.75" customHeight="1">
      <c r="G418" s="61"/>
    </row>
    <row r="419" ht="15.75" customHeight="1">
      <c r="G419" s="61"/>
    </row>
    <row r="420" ht="15.75" customHeight="1">
      <c r="G420" s="61"/>
    </row>
    <row r="421" ht="15.75" customHeight="1">
      <c r="G421" s="61"/>
    </row>
    <row r="422" ht="15.75" customHeight="1">
      <c r="G422" s="61"/>
    </row>
    <row r="423" ht="15.75" customHeight="1">
      <c r="G423" s="61"/>
    </row>
    <row r="424" ht="15.75" customHeight="1">
      <c r="G424" s="61"/>
    </row>
    <row r="425" ht="15.75" customHeight="1">
      <c r="G425" s="61"/>
    </row>
    <row r="426" ht="15.75" customHeight="1">
      <c r="G426" s="61"/>
    </row>
    <row r="427" ht="15.75" customHeight="1">
      <c r="G427" s="61"/>
    </row>
    <row r="428" ht="15.75" customHeight="1">
      <c r="G428" s="61"/>
    </row>
    <row r="429" ht="15.75" customHeight="1">
      <c r="G429" s="61"/>
    </row>
    <row r="430" ht="15.75" customHeight="1">
      <c r="G430" s="61"/>
    </row>
    <row r="431" ht="15.75" customHeight="1">
      <c r="G431" s="61"/>
    </row>
    <row r="432" ht="15.75" customHeight="1">
      <c r="G432" s="61"/>
    </row>
    <row r="433" ht="15.75" customHeight="1">
      <c r="G433" s="61"/>
    </row>
    <row r="434" ht="15.75" customHeight="1">
      <c r="G434" s="61"/>
    </row>
    <row r="435" ht="15.75" customHeight="1">
      <c r="G435" s="61"/>
    </row>
    <row r="436" ht="15.75" customHeight="1">
      <c r="G436" s="61"/>
    </row>
    <row r="437" ht="15.75" customHeight="1">
      <c r="G437" s="61"/>
    </row>
    <row r="438" ht="15.75" customHeight="1">
      <c r="G438" s="61"/>
    </row>
    <row r="439" ht="15.75" customHeight="1">
      <c r="G439" s="61"/>
    </row>
    <row r="440" ht="15.75" customHeight="1">
      <c r="G440" s="61"/>
    </row>
    <row r="441" ht="15.75" customHeight="1">
      <c r="G441" s="61"/>
    </row>
    <row r="442" ht="15.75" customHeight="1">
      <c r="G442" s="61"/>
    </row>
    <row r="443" ht="15.75" customHeight="1">
      <c r="G443" s="61"/>
    </row>
    <row r="444" ht="15.75" customHeight="1">
      <c r="G444" s="61"/>
    </row>
    <row r="445" ht="15.75" customHeight="1">
      <c r="G445" s="61"/>
    </row>
    <row r="446" ht="15.75" customHeight="1">
      <c r="G446" s="61"/>
    </row>
    <row r="447" ht="15.75" customHeight="1">
      <c r="G447" s="61"/>
    </row>
    <row r="448" ht="15.75" customHeight="1">
      <c r="G448" s="61"/>
    </row>
    <row r="449" ht="15.75" customHeight="1">
      <c r="G449" s="61"/>
    </row>
    <row r="450" ht="15.75" customHeight="1">
      <c r="G450" s="61"/>
    </row>
    <row r="451" ht="15.75" customHeight="1">
      <c r="G451" s="61"/>
    </row>
    <row r="452" ht="15.75" customHeight="1">
      <c r="G452" s="61"/>
    </row>
    <row r="453" ht="15.75" customHeight="1">
      <c r="G453" s="61"/>
    </row>
    <row r="454" ht="15.75" customHeight="1">
      <c r="G454" s="61"/>
    </row>
    <row r="455" ht="15.75" customHeight="1">
      <c r="G455" s="61"/>
    </row>
    <row r="456" ht="15.75" customHeight="1">
      <c r="G456" s="61"/>
    </row>
    <row r="457" ht="15.75" customHeight="1">
      <c r="G457" s="61"/>
    </row>
    <row r="458" ht="15.75" customHeight="1">
      <c r="G458" s="61"/>
    </row>
    <row r="459" ht="15.75" customHeight="1">
      <c r="G459" s="61"/>
    </row>
    <row r="460" ht="15.75" customHeight="1">
      <c r="G460" s="61"/>
    </row>
    <row r="461" ht="15.75" customHeight="1">
      <c r="G461" s="61"/>
    </row>
    <row r="462" ht="15.75" customHeight="1">
      <c r="G462" s="61"/>
    </row>
    <row r="463" ht="15.75" customHeight="1">
      <c r="G463" s="61"/>
    </row>
    <row r="464" ht="15.75" customHeight="1">
      <c r="G464" s="61"/>
    </row>
    <row r="465" ht="15.75" customHeight="1">
      <c r="G465" s="61"/>
    </row>
    <row r="466" ht="15.75" customHeight="1">
      <c r="G466" s="61"/>
    </row>
    <row r="467" ht="15.75" customHeight="1">
      <c r="G467" s="61"/>
    </row>
    <row r="468" ht="15.75" customHeight="1">
      <c r="G468" s="61"/>
    </row>
    <row r="469" ht="15.75" customHeight="1">
      <c r="G469" s="61"/>
    </row>
    <row r="470" ht="15.75" customHeight="1">
      <c r="G470" s="61"/>
    </row>
    <row r="471" ht="15.75" customHeight="1">
      <c r="G471" s="61"/>
    </row>
    <row r="472" ht="15.75" customHeight="1">
      <c r="G472" s="61"/>
    </row>
    <row r="473" ht="15.75" customHeight="1">
      <c r="G473" s="61"/>
    </row>
    <row r="474" ht="15.75" customHeight="1">
      <c r="G474" s="61"/>
    </row>
    <row r="475" ht="15.75" customHeight="1">
      <c r="G475" s="61"/>
    </row>
    <row r="476" ht="15.75" customHeight="1">
      <c r="G476" s="61"/>
    </row>
    <row r="477" ht="15.75" customHeight="1">
      <c r="G477" s="61"/>
    </row>
    <row r="478" ht="15.75" customHeight="1">
      <c r="G478" s="61"/>
    </row>
    <row r="479" ht="15.75" customHeight="1">
      <c r="G479" s="61"/>
    </row>
    <row r="480" ht="15.75" customHeight="1">
      <c r="G480" s="61"/>
    </row>
    <row r="481" ht="15.75" customHeight="1">
      <c r="G481" s="61"/>
    </row>
    <row r="482" ht="15.75" customHeight="1">
      <c r="G482" s="61"/>
    </row>
    <row r="483" ht="15.75" customHeight="1">
      <c r="G483" s="61"/>
    </row>
    <row r="484" ht="15.75" customHeight="1">
      <c r="G484" s="61"/>
    </row>
    <row r="485" ht="15.75" customHeight="1">
      <c r="G485" s="61"/>
    </row>
    <row r="486" ht="15.75" customHeight="1">
      <c r="G486" s="61"/>
    </row>
    <row r="487" ht="15.75" customHeight="1">
      <c r="G487" s="61"/>
    </row>
    <row r="488" ht="15.75" customHeight="1">
      <c r="G488" s="61"/>
    </row>
    <row r="489" ht="15.75" customHeight="1">
      <c r="G489" s="61"/>
    </row>
    <row r="490" ht="15.75" customHeight="1">
      <c r="G490" s="61"/>
    </row>
    <row r="491" ht="15.75" customHeight="1">
      <c r="G491" s="61"/>
    </row>
    <row r="492" ht="15.75" customHeight="1">
      <c r="G492" s="61"/>
    </row>
    <row r="493" ht="15.75" customHeight="1">
      <c r="G493" s="61"/>
    </row>
    <row r="494" ht="15.75" customHeight="1">
      <c r="G494" s="61"/>
    </row>
    <row r="495" ht="15.75" customHeight="1">
      <c r="G495" s="61"/>
    </row>
    <row r="496" ht="15.75" customHeight="1">
      <c r="G496" s="61"/>
    </row>
    <row r="497" ht="15.75" customHeight="1">
      <c r="G497" s="61"/>
    </row>
    <row r="498" ht="15.75" customHeight="1">
      <c r="G498" s="61"/>
    </row>
    <row r="499" ht="15.75" customHeight="1">
      <c r="G499" s="61"/>
    </row>
    <row r="500" ht="15.75" customHeight="1">
      <c r="G500" s="61"/>
    </row>
    <row r="501" ht="15.75" customHeight="1">
      <c r="G501" s="61"/>
    </row>
    <row r="502" ht="15.75" customHeight="1">
      <c r="G502" s="61"/>
    </row>
    <row r="503" ht="15.75" customHeight="1">
      <c r="G503" s="61"/>
    </row>
    <row r="504" ht="15.75" customHeight="1">
      <c r="G504" s="61"/>
    </row>
    <row r="505" ht="15.75" customHeight="1">
      <c r="G505" s="61"/>
    </row>
    <row r="506" ht="15.75" customHeight="1">
      <c r="G506" s="61"/>
    </row>
    <row r="507" ht="15.75" customHeight="1">
      <c r="G507" s="61"/>
    </row>
    <row r="508" ht="15.75" customHeight="1">
      <c r="G508" s="61"/>
    </row>
    <row r="509" ht="15.75" customHeight="1">
      <c r="G509" s="61"/>
    </row>
    <row r="510" ht="15.75" customHeight="1">
      <c r="G510" s="61"/>
    </row>
    <row r="511" ht="15.75" customHeight="1">
      <c r="G511" s="61"/>
    </row>
    <row r="512" ht="15.75" customHeight="1">
      <c r="G512" s="61"/>
    </row>
    <row r="513" ht="15.75" customHeight="1">
      <c r="G513" s="61"/>
    </row>
    <row r="514" ht="15.75" customHeight="1">
      <c r="G514" s="61"/>
    </row>
    <row r="515" ht="15.75" customHeight="1">
      <c r="G515" s="61"/>
    </row>
    <row r="516" ht="15.75" customHeight="1">
      <c r="G516" s="61"/>
    </row>
    <row r="517" ht="15.75" customHeight="1">
      <c r="G517" s="61"/>
    </row>
    <row r="518" ht="15.75" customHeight="1">
      <c r="G518" s="61"/>
    </row>
    <row r="519" ht="15.75" customHeight="1">
      <c r="G519" s="61"/>
    </row>
    <row r="520" ht="15.75" customHeight="1">
      <c r="G520" s="61"/>
    </row>
    <row r="521" ht="15.75" customHeight="1">
      <c r="G521" s="61"/>
    </row>
    <row r="522" ht="15.75" customHeight="1">
      <c r="G522" s="61"/>
    </row>
    <row r="523" ht="15.75" customHeight="1">
      <c r="G523" s="61"/>
    </row>
    <row r="524" ht="15.75" customHeight="1">
      <c r="G524" s="61"/>
    </row>
    <row r="525" ht="15.75" customHeight="1">
      <c r="G525" s="61"/>
    </row>
    <row r="526" ht="15.75" customHeight="1">
      <c r="G526" s="61"/>
    </row>
    <row r="527" ht="15.75" customHeight="1">
      <c r="G527" s="61"/>
    </row>
    <row r="528" ht="15.75" customHeight="1">
      <c r="G528" s="61"/>
    </row>
    <row r="529" ht="15.75" customHeight="1">
      <c r="G529" s="61"/>
    </row>
    <row r="530" ht="15.75" customHeight="1">
      <c r="G530" s="61"/>
    </row>
    <row r="531" ht="15.75" customHeight="1">
      <c r="G531" s="61"/>
    </row>
    <row r="532" ht="15.75" customHeight="1">
      <c r="G532" s="61"/>
    </row>
    <row r="533" ht="15.75" customHeight="1">
      <c r="G533" s="61"/>
    </row>
    <row r="534" ht="15.75" customHeight="1">
      <c r="G534" s="61"/>
    </row>
    <row r="535" ht="15.75" customHeight="1">
      <c r="G535" s="61"/>
    </row>
    <row r="536" ht="15.75" customHeight="1">
      <c r="G536" s="61"/>
    </row>
    <row r="537" ht="15.75" customHeight="1">
      <c r="G537" s="61"/>
    </row>
    <row r="538" ht="15.75" customHeight="1">
      <c r="G538" s="61"/>
    </row>
    <row r="539" ht="15.75" customHeight="1">
      <c r="G539" s="61"/>
    </row>
    <row r="540" ht="15.75" customHeight="1">
      <c r="G540" s="61"/>
    </row>
    <row r="541" ht="15.75" customHeight="1">
      <c r="G541" s="61"/>
    </row>
    <row r="542" ht="15.75" customHeight="1">
      <c r="G542" s="61"/>
    </row>
    <row r="543" ht="15.75" customHeight="1">
      <c r="G543" s="61"/>
    </row>
    <row r="544" ht="15.75" customHeight="1">
      <c r="G544" s="61"/>
    </row>
    <row r="545" ht="15.75" customHeight="1">
      <c r="G545" s="61"/>
    </row>
    <row r="546" ht="15.75" customHeight="1">
      <c r="G546" s="61"/>
    </row>
    <row r="547" ht="15.75" customHeight="1">
      <c r="G547" s="61"/>
    </row>
    <row r="548" ht="15.75" customHeight="1">
      <c r="G548" s="61"/>
    </row>
    <row r="549" ht="15.75" customHeight="1">
      <c r="G549" s="61"/>
    </row>
    <row r="550" ht="15.75" customHeight="1">
      <c r="G550" s="61"/>
    </row>
    <row r="551" ht="15.75" customHeight="1">
      <c r="G551" s="61"/>
    </row>
    <row r="552" ht="15.75" customHeight="1">
      <c r="G552" s="61"/>
    </row>
    <row r="553" ht="15.75" customHeight="1">
      <c r="G553" s="61"/>
    </row>
    <row r="554" ht="15.75" customHeight="1">
      <c r="G554" s="61"/>
    </row>
    <row r="555" ht="15.75" customHeight="1">
      <c r="G555" s="61"/>
    </row>
    <row r="556" ht="15.75" customHeight="1">
      <c r="G556" s="61"/>
    </row>
    <row r="557" ht="15.75" customHeight="1">
      <c r="G557" s="61"/>
    </row>
    <row r="558" ht="15.75" customHeight="1">
      <c r="G558" s="61"/>
    </row>
    <row r="559" ht="15.75" customHeight="1">
      <c r="G559" s="61"/>
    </row>
    <row r="560" ht="15.75" customHeight="1">
      <c r="G560" s="61"/>
    </row>
    <row r="561" ht="15.75" customHeight="1">
      <c r="G561" s="61"/>
    </row>
    <row r="562" ht="15.75" customHeight="1">
      <c r="G562" s="61"/>
    </row>
    <row r="563" ht="15.75" customHeight="1">
      <c r="G563" s="61"/>
    </row>
    <row r="564" ht="15.75" customHeight="1">
      <c r="G564" s="61"/>
    </row>
    <row r="565" ht="15.75" customHeight="1">
      <c r="G565" s="61"/>
    </row>
    <row r="566" ht="15.75" customHeight="1">
      <c r="G566" s="61"/>
    </row>
    <row r="567" ht="15.75" customHeight="1">
      <c r="G567" s="61"/>
    </row>
    <row r="568" ht="15.75" customHeight="1">
      <c r="G568" s="61"/>
    </row>
    <row r="569" ht="15.75" customHeight="1">
      <c r="G569" s="61"/>
    </row>
    <row r="570" ht="15.75" customHeight="1">
      <c r="G570" s="61"/>
    </row>
    <row r="571" ht="15.75" customHeight="1">
      <c r="G571" s="61"/>
    </row>
    <row r="572" ht="15.75" customHeight="1">
      <c r="G572" s="61"/>
    </row>
    <row r="573" ht="15.75" customHeight="1">
      <c r="G573" s="61"/>
    </row>
    <row r="574" ht="15.75" customHeight="1">
      <c r="G574" s="61"/>
    </row>
    <row r="575" ht="15.75" customHeight="1">
      <c r="G575" s="61"/>
    </row>
    <row r="576" ht="15.75" customHeight="1">
      <c r="G576" s="61"/>
    </row>
    <row r="577" ht="15.75" customHeight="1">
      <c r="G577" s="61"/>
    </row>
    <row r="578" ht="15.75" customHeight="1">
      <c r="G578" s="61"/>
    </row>
    <row r="579" ht="15.75" customHeight="1">
      <c r="G579" s="61"/>
    </row>
    <row r="580" ht="15.75" customHeight="1">
      <c r="G580" s="61"/>
    </row>
    <row r="581" ht="15.75" customHeight="1">
      <c r="G581" s="61"/>
    </row>
    <row r="582" ht="15.75" customHeight="1">
      <c r="G582" s="61"/>
    </row>
    <row r="583" ht="15.75" customHeight="1">
      <c r="G583" s="61"/>
    </row>
    <row r="584" ht="15.75" customHeight="1">
      <c r="G584" s="61"/>
    </row>
    <row r="585" ht="15.75" customHeight="1">
      <c r="G585" s="61"/>
    </row>
    <row r="586" ht="15.75" customHeight="1">
      <c r="G586" s="61"/>
    </row>
    <row r="587" ht="15.75" customHeight="1">
      <c r="G587" s="61"/>
    </row>
    <row r="588" ht="15.75" customHeight="1">
      <c r="G588" s="61"/>
    </row>
    <row r="589" ht="15.75" customHeight="1">
      <c r="G589" s="61"/>
    </row>
    <row r="590" ht="15.75" customHeight="1">
      <c r="G590" s="61"/>
    </row>
    <row r="591" ht="15.75" customHeight="1">
      <c r="G591" s="61"/>
    </row>
    <row r="592" ht="15.75" customHeight="1">
      <c r="G592" s="61"/>
    </row>
    <row r="593" ht="15.75" customHeight="1">
      <c r="G593" s="61"/>
    </row>
    <row r="594" ht="15.75" customHeight="1">
      <c r="G594" s="61"/>
    </row>
    <row r="595" ht="15.75" customHeight="1">
      <c r="G595" s="61"/>
    </row>
    <row r="596" ht="15.75" customHeight="1">
      <c r="G596" s="61"/>
    </row>
    <row r="597" ht="15.75" customHeight="1">
      <c r="G597" s="61"/>
    </row>
    <row r="598" ht="15.75" customHeight="1">
      <c r="G598" s="61"/>
    </row>
    <row r="599" ht="15.75" customHeight="1">
      <c r="G599" s="61"/>
    </row>
    <row r="600" ht="15.75" customHeight="1">
      <c r="G600" s="61"/>
    </row>
    <row r="601" ht="15.75" customHeight="1">
      <c r="G601" s="61"/>
    </row>
    <row r="602" ht="15.75" customHeight="1">
      <c r="G602" s="61"/>
    </row>
    <row r="603" ht="15.75" customHeight="1">
      <c r="G603" s="61"/>
    </row>
    <row r="604" ht="15.75" customHeight="1">
      <c r="G604" s="61"/>
    </row>
    <row r="605" ht="15.75" customHeight="1">
      <c r="G605" s="61"/>
    </row>
    <row r="606" ht="15.75" customHeight="1">
      <c r="G606" s="61"/>
    </row>
    <row r="607" ht="15.75" customHeight="1">
      <c r="G607" s="61"/>
    </row>
    <row r="608" ht="15.75" customHeight="1">
      <c r="G608" s="61"/>
    </row>
    <row r="609" ht="15.75" customHeight="1">
      <c r="G609" s="61"/>
    </row>
    <row r="610" ht="15.75" customHeight="1">
      <c r="G610" s="61"/>
    </row>
    <row r="611" ht="15.75" customHeight="1">
      <c r="G611" s="61"/>
    </row>
    <row r="612" ht="15.75" customHeight="1">
      <c r="G612" s="61"/>
    </row>
    <row r="613" ht="15.75" customHeight="1">
      <c r="G613" s="61"/>
    </row>
    <row r="614" ht="15.75" customHeight="1">
      <c r="G614" s="61"/>
    </row>
    <row r="615" ht="15.75" customHeight="1">
      <c r="G615" s="61"/>
    </row>
    <row r="616" ht="15.75" customHeight="1">
      <c r="G616" s="61"/>
    </row>
    <row r="617" ht="15.75" customHeight="1">
      <c r="G617" s="61"/>
    </row>
    <row r="618" ht="15.75" customHeight="1">
      <c r="G618" s="61"/>
    </row>
    <row r="619" ht="15.75" customHeight="1">
      <c r="G619" s="61"/>
    </row>
    <row r="620" ht="15.75" customHeight="1">
      <c r="G620" s="61"/>
    </row>
    <row r="621" ht="15.75" customHeight="1">
      <c r="G621" s="61"/>
    </row>
    <row r="622" ht="15.75" customHeight="1">
      <c r="G622" s="61"/>
    </row>
    <row r="623" ht="15.75" customHeight="1">
      <c r="G623" s="61"/>
    </row>
    <row r="624" ht="15.75" customHeight="1">
      <c r="G624" s="61"/>
    </row>
    <row r="625" ht="15.75" customHeight="1">
      <c r="G625" s="61"/>
    </row>
    <row r="626" ht="15.75" customHeight="1">
      <c r="G626" s="61"/>
    </row>
    <row r="627" ht="15.75" customHeight="1">
      <c r="G627" s="61"/>
    </row>
    <row r="628" ht="15.75" customHeight="1">
      <c r="G628" s="61"/>
    </row>
    <row r="629" ht="15.75" customHeight="1">
      <c r="G629" s="61"/>
    </row>
    <row r="630" ht="15.75" customHeight="1">
      <c r="G630" s="61"/>
    </row>
    <row r="631" ht="15.75" customHeight="1">
      <c r="G631" s="61"/>
    </row>
    <row r="632" ht="15.75" customHeight="1">
      <c r="G632" s="61"/>
    </row>
    <row r="633" ht="15.75" customHeight="1">
      <c r="G633" s="61"/>
    </row>
    <row r="634" ht="15.75" customHeight="1">
      <c r="G634" s="61"/>
    </row>
    <row r="635" ht="15.75" customHeight="1">
      <c r="G635" s="61"/>
    </row>
    <row r="636" ht="15.75" customHeight="1">
      <c r="G636" s="61"/>
    </row>
    <row r="637" ht="15.75" customHeight="1">
      <c r="G637" s="61"/>
    </row>
    <row r="638" ht="15.75" customHeight="1">
      <c r="G638" s="61"/>
    </row>
    <row r="639" ht="15.75" customHeight="1">
      <c r="G639" s="61"/>
    </row>
    <row r="640" ht="15.75" customHeight="1">
      <c r="G640" s="61"/>
    </row>
    <row r="641" ht="15.75" customHeight="1">
      <c r="G641" s="61"/>
    </row>
    <row r="642" ht="15.75" customHeight="1">
      <c r="G642" s="61"/>
    </row>
    <row r="643" ht="15.75" customHeight="1">
      <c r="G643" s="61"/>
    </row>
    <row r="644" ht="15.75" customHeight="1">
      <c r="G644" s="61"/>
    </row>
    <row r="645" ht="15.75" customHeight="1">
      <c r="G645" s="61"/>
    </row>
    <row r="646" ht="15.75" customHeight="1">
      <c r="G646" s="61"/>
    </row>
    <row r="647" ht="15.75" customHeight="1">
      <c r="G647" s="61"/>
    </row>
    <row r="648" ht="15.75" customHeight="1">
      <c r="G648" s="61"/>
    </row>
    <row r="649" ht="15.75" customHeight="1">
      <c r="G649" s="61"/>
    </row>
    <row r="650" ht="15.75" customHeight="1">
      <c r="G650" s="61"/>
    </row>
    <row r="651" ht="15.75" customHeight="1">
      <c r="G651" s="61"/>
    </row>
    <row r="652" ht="15.75" customHeight="1">
      <c r="G652" s="61"/>
    </row>
    <row r="653" ht="15.75" customHeight="1">
      <c r="G653" s="61"/>
    </row>
    <row r="654" ht="15.75" customHeight="1">
      <c r="G654" s="61"/>
    </row>
    <row r="655" ht="15.75" customHeight="1">
      <c r="G655" s="61"/>
    </row>
    <row r="656" ht="15.75" customHeight="1">
      <c r="G656" s="61"/>
    </row>
    <row r="657" ht="15.75" customHeight="1">
      <c r="G657" s="61"/>
    </row>
    <row r="658" ht="15.75" customHeight="1">
      <c r="G658" s="61"/>
    </row>
    <row r="659" ht="15.75" customHeight="1">
      <c r="G659" s="61"/>
    </row>
    <row r="660" ht="15.75" customHeight="1">
      <c r="G660" s="61"/>
    </row>
    <row r="661" ht="15.75" customHeight="1">
      <c r="G661" s="61"/>
    </row>
    <row r="662" ht="15.75" customHeight="1">
      <c r="G662" s="61"/>
    </row>
    <row r="663" ht="15.75" customHeight="1">
      <c r="G663" s="61"/>
    </row>
    <row r="664" ht="15.75" customHeight="1">
      <c r="G664" s="61"/>
    </row>
    <row r="665" ht="15.75" customHeight="1">
      <c r="G665" s="61"/>
    </row>
    <row r="666" ht="15.75" customHeight="1">
      <c r="G666" s="61"/>
    </row>
    <row r="667" ht="15.75" customHeight="1">
      <c r="G667" s="61"/>
    </row>
    <row r="668" ht="15.75" customHeight="1">
      <c r="G668" s="61"/>
    </row>
    <row r="669" ht="15.75" customHeight="1">
      <c r="G669" s="61"/>
    </row>
    <row r="670" ht="15.75" customHeight="1">
      <c r="G670" s="61"/>
    </row>
    <row r="671" ht="15.75" customHeight="1">
      <c r="G671" s="61"/>
    </row>
    <row r="672" ht="15.75" customHeight="1">
      <c r="G672" s="61"/>
    </row>
    <row r="673" ht="15.75" customHeight="1">
      <c r="G673" s="61"/>
    </row>
    <row r="674" ht="15.75" customHeight="1">
      <c r="G674" s="61"/>
    </row>
    <row r="675" ht="15.75" customHeight="1">
      <c r="G675" s="61"/>
    </row>
    <row r="676" ht="15.75" customHeight="1">
      <c r="G676" s="61"/>
    </row>
    <row r="677" ht="15.75" customHeight="1">
      <c r="G677" s="61"/>
    </row>
    <row r="678" ht="15.75" customHeight="1">
      <c r="G678" s="61"/>
    </row>
    <row r="679" ht="15.75" customHeight="1">
      <c r="G679" s="61"/>
    </row>
    <row r="680" ht="15.75" customHeight="1">
      <c r="G680" s="61"/>
    </row>
    <row r="681" ht="15.75" customHeight="1">
      <c r="G681" s="61"/>
    </row>
    <row r="682" ht="15.75" customHeight="1">
      <c r="G682" s="61"/>
    </row>
    <row r="683" ht="15.75" customHeight="1">
      <c r="G683" s="61"/>
    </row>
    <row r="684" ht="15.75" customHeight="1">
      <c r="G684" s="61"/>
    </row>
    <row r="685" ht="15.75" customHeight="1">
      <c r="G685" s="61"/>
    </row>
    <row r="686" ht="15.75" customHeight="1">
      <c r="G686" s="61"/>
    </row>
    <row r="687" ht="15.75" customHeight="1">
      <c r="G687" s="61"/>
    </row>
    <row r="688" ht="15.75" customHeight="1">
      <c r="G688" s="61"/>
    </row>
    <row r="689" ht="15.75" customHeight="1">
      <c r="G689" s="61"/>
    </row>
    <row r="690" ht="15.75" customHeight="1">
      <c r="G690" s="61"/>
    </row>
    <row r="691" ht="15.75" customHeight="1">
      <c r="G691" s="61"/>
    </row>
    <row r="692" ht="15.75" customHeight="1">
      <c r="G692" s="61"/>
    </row>
    <row r="693" ht="15.75" customHeight="1">
      <c r="G693" s="61"/>
    </row>
    <row r="694" ht="15.75" customHeight="1">
      <c r="G694" s="61"/>
    </row>
    <row r="695" ht="15.75" customHeight="1">
      <c r="G695" s="61"/>
    </row>
    <row r="696" ht="15.75" customHeight="1">
      <c r="G696" s="61"/>
    </row>
    <row r="697" ht="15.75" customHeight="1">
      <c r="G697" s="61"/>
    </row>
    <row r="698" ht="15.75" customHeight="1">
      <c r="G698" s="61"/>
    </row>
    <row r="699" ht="15.75" customHeight="1">
      <c r="G699" s="61"/>
    </row>
    <row r="700" ht="15.75" customHeight="1">
      <c r="G700" s="61"/>
    </row>
    <row r="701" ht="15.75" customHeight="1">
      <c r="G701" s="61"/>
    </row>
    <row r="702" ht="15.75" customHeight="1">
      <c r="G702" s="61"/>
    </row>
    <row r="703" ht="15.75" customHeight="1">
      <c r="G703" s="61"/>
    </row>
    <row r="704" ht="15.75" customHeight="1">
      <c r="G704" s="61"/>
    </row>
    <row r="705" ht="15.75" customHeight="1">
      <c r="G705" s="61"/>
    </row>
    <row r="706" ht="15.75" customHeight="1">
      <c r="G706" s="61"/>
    </row>
    <row r="707" ht="15.75" customHeight="1">
      <c r="G707" s="61"/>
    </row>
    <row r="708" ht="15.75" customHeight="1">
      <c r="G708" s="61"/>
    </row>
    <row r="709" ht="15.75" customHeight="1">
      <c r="G709" s="61"/>
    </row>
    <row r="710" ht="15.75" customHeight="1">
      <c r="G710" s="61"/>
    </row>
    <row r="711" ht="15.75" customHeight="1">
      <c r="G711" s="61"/>
    </row>
    <row r="712" ht="15.75" customHeight="1">
      <c r="G712" s="61"/>
    </row>
    <row r="713" ht="15.75" customHeight="1">
      <c r="G713" s="61"/>
    </row>
    <row r="714" ht="15.75" customHeight="1">
      <c r="G714" s="61"/>
    </row>
    <row r="715" ht="15.75" customHeight="1">
      <c r="G715" s="61"/>
    </row>
    <row r="716" ht="15.75" customHeight="1">
      <c r="G716" s="61"/>
    </row>
    <row r="717" ht="15.75" customHeight="1">
      <c r="G717" s="61"/>
    </row>
    <row r="718" ht="15.75" customHeight="1">
      <c r="G718" s="61"/>
    </row>
    <row r="719" ht="15.75" customHeight="1">
      <c r="G719" s="61"/>
    </row>
    <row r="720" ht="15.75" customHeight="1">
      <c r="G720" s="61"/>
    </row>
    <row r="721" ht="15.75" customHeight="1">
      <c r="G721" s="61"/>
    </row>
    <row r="722" ht="15.75" customHeight="1">
      <c r="G722" s="61"/>
    </row>
    <row r="723" ht="15.75" customHeight="1">
      <c r="G723" s="61"/>
    </row>
    <row r="724" ht="15.75" customHeight="1">
      <c r="G724" s="61"/>
    </row>
    <row r="725" ht="15.75" customHeight="1">
      <c r="G725" s="61"/>
    </row>
    <row r="726" ht="15.75" customHeight="1">
      <c r="G726" s="61"/>
    </row>
    <row r="727" ht="15.75" customHeight="1">
      <c r="G727" s="61"/>
    </row>
    <row r="728" ht="15.75" customHeight="1">
      <c r="G728" s="61"/>
    </row>
    <row r="729" ht="15.75" customHeight="1">
      <c r="G729" s="61"/>
    </row>
    <row r="730" ht="15.75" customHeight="1">
      <c r="G730" s="61"/>
    </row>
    <row r="731" ht="15.75" customHeight="1">
      <c r="G731" s="61"/>
    </row>
    <row r="732" ht="15.75" customHeight="1">
      <c r="G732" s="61"/>
    </row>
    <row r="733" ht="15.75" customHeight="1">
      <c r="G733" s="61"/>
    </row>
    <row r="734" ht="15.75" customHeight="1">
      <c r="G734" s="61"/>
    </row>
    <row r="735" ht="15.75" customHeight="1">
      <c r="G735" s="61"/>
    </row>
    <row r="736" ht="15.75" customHeight="1">
      <c r="G736" s="61"/>
    </row>
    <row r="737" ht="15.75" customHeight="1">
      <c r="G737" s="61"/>
    </row>
    <row r="738" ht="15.75" customHeight="1">
      <c r="G738" s="61"/>
    </row>
    <row r="739" ht="15.75" customHeight="1">
      <c r="G739" s="61"/>
    </row>
    <row r="740" ht="15.75" customHeight="1">
      <c r="G740" s="61"/>
    </row>
    <row r="741" ht="15.75" customHeight="1">
      <c r="G741" s="61"/>
    </row>
    <row r="742" ht="15.75" customHeight="1">
      <c r="G742" s="61"/>
    </row>
    <row r="743" ht="15.75" customHeight="1">
      <c r="G743" s="61"/>
    </row>
    <row r="744" ht="15.75" customHeight="1">
      <c r="G744" s="61"/>
    </row>
    <row r="745" ht="15.75" customHeight="1">
      <c r="G745" s="61"/>
    </row>
    <row r="746" ht="15.75" customHeight="1">
      <c r="G746" s="61"/>
    </row>
    <row r="747" ht="15.75" customHeight="1">
      <c r="G747" s="61"/>
    </row>
    <row r="748" ht="15.75" customHeight="1">
      <c r="G748" s="61"/>
    </row>
    <row r="749" ht="15.75" customHeight="1">
      <c r="G749" s="61"/>
    </row>
    <row r="750" ht="15.75" customHeight="1">
      <c r="G750" s="61"/>
    </row>
    <row r="751" ht="15.75" customHeight="1">
      <c r="G751" s="61"/>
    </row>
    <row r="752" ht="15.75" customHeight="1">
      <c r="G752" s="61"/>
    </row>
    <row r="753" ht="15.75" customHeight="1">
      <c r="G753" s="61"/>
    </row>
    <row r="754" ht="15.75" customHeight="1">
      <c r="G754" s="61"/>
    </row>
    <row r="755" ht="15.75" customHeight="1">
      <c r="G755" s="61"/>
    </row>
    <row r="756" ht="15.75" customHeight="1">
      <c r="G756" s="61"/>
    </row>
    <row r="757" ht="15.75" customHeight="1">
      <c r="G757" s="61"/>
    </row>
    <row r="758" ht="15.75" customHeight="1">
      <c r="G758" s="61"/>
    </row>
    <row r="759" ht="15.75" customHeight="1">
      <c r="G759" s="61"/>
    </row>
    <row r="760" ht="15.75" customHeight="1">
      <c r="G760" s="61"/>
    </row>
    <row r="761" ht="15.75" customHeight="1">
      <c r="G761" s="61"/>
    </row>
    <row r="762" ht="15.75" customHeight="1">
      <c r="G762" s="61"/>
    </row>
    <row r="763" ht="15.75" customHeight="1">
      <c r="G763" s="61"/>
    </row>
    <row r="764" ht="15.75" customHeight="1">
      <c r="G764" s="61"/>
    </row>
    <row r="765" ht="15.75" customHeight="1">
      <c r="G765" s="61"/>
    </row>
    <row r="766" ht="15.75" customHeight="1">
      <c r="G766" s="61"/>
    </row>
    <row r="767" ht="15.75" customHeight="1">
      <c r="G767" s="61"/>
    </row>
    <row r="768" ht="15.75" customHeight="1">
      <c r="G768" s="61"/>
    </row>
    <row r="769" ht="15.75" customHeight="1">
      <c r="G769" s="61"/>
    </row>
    <row r="770" ht="15.75" customHeight="1">
      <c r="G770" s="61"/>
    </row>
    <row r="771" ht="15.75" customHeight="1">
      <c r="G771" s="61"/>
    </row>
    <row r="772" ht="15.75" customHeight="1">
      <c r="G772" s="61"/>
    </row>
    <row r="773" ht="15.75" customHeight="1">
      <c r="G773" s="61"/>
    </row>
    <row r="774" ht="15.75" customHeight="1">
      <c r="G774" s="61"/>
    </row>
    <row r="775" ht="15.75" customHeight="1">
      <c r="G775" s="61"/>
    </row>
    <row r="776" ht="15.75" customHeight="1">
      <c r="G776" s="61"/>
    </row>
    <row r="777" ht="15.75" customHeight="1">
      <c r="G777" s="61"/>
    </row>
    <row r="778" ht="15.75" customHeight="1">
      <c r="G778" s="61"/>
    </row>
    <row r="779" ht="15.75" customHeight="1">
      <c r="G779" s="61"/>
    </row>
    <row r="780" ht="15.75" customHeight="1">
      <c r="G780" s="61"/>
    </row>
    <row r="781" ht="15.75" customHeight="1">
      <c r="G781" s="61"/>
    </row>
    <row r="782" ht="15.75" customHeight="1">
      <c r="G782" s="61"/>
    </row>
    <row r="783" ht="15.75" customHeight="1">
      <c r="G783" s="61"/>
    </row>
    <row r="784" ht="15.75" customHeight="1">
      <c r="G784" s="61"/>
    </row>
    <row r="785" ht="15.75" customHeight="1">
      <c r="G785" s="61"/>
    </row>
    <row r="786" ht="15.75" customHeight="1">
      <c r="G786" s="61"/>
    </row>
    <row r="787" ht="15.75" customHeight="1">
      <c r="G787" s="61"/>
    </row>
    <row r="788" ht="15.75" customHeight="1">
      <c r="G788" s="61"/>
    </row>
    <row r="789" ht="15.75" customHeight="1">
      <c r="G789" s="61"/>
    </row>
    <row r="790" ht="15.75" customHeight="1">
      <c r="G790" s="61"/>
    </row>
    <row r="791" ht="15.75" customHeight="1">
      <c r="G791" s="61"/>
    </row>
    <row r="792" ht="15.75" customHeight="1">
      <c r="G792" s="61"/>
    </row>
    <row r="793" ht="15.75" customHeight="1">
      <c r="G793" s="61"/>
    </row>
    <row r="794" ht="15.75" customHeight="1">
      <c r="G794" s="61"/>
    </row>
    <row r="795" ht="15.75" customHeight="1">
      <c r="G795" s="61"/>
    </row>
    <row r="796" ht="15.75" customHeight="1">
      <c r="G796" s="61"/>
    </row>
    <row r="797" ht="15.75" customHeight="1">
      <c r="G797" s="61"/>
    </row>
    <row r="798" ht="15.75" customHeight="1">
      <c r="G798" s="61"/>
    </row>
    <row r="799" ht="15.75" customHeight="1">
      <c r="G799" s="61"/>
    </row>
    <row r="800" ht="15.75" customHeight="1">
      <c r="G800" s="61"/>
    </row>
    <row r="801" ht="15.75" customHeight="1">
      <c r="G801" s="61"/>
    </row>
    <row r="802" ht="15.75" customHeight="1">
      <c r="G802" s="61"/>
    </row>
    <row r="803" ht="15.75" customHeight="1">
      <c r="G803" s="61"/>
    </row>
    <row r="804" ht="15.75" customHeight="1">
      <c r="G804" s="61"/>
    </row>
    <row r="805" ht="15.75" customHeight="1">
      <c r="G805" s="61"/>
    </row>
    <row r="806" ht="15.75" customHeight="1">
      <c r="G806" s="61"/>
    </row>
    <row r="807" ht="15.75" customHeight="1">
      <c r="G807" s="61"/>
    </row>
    <row r="808" ht="15.75" customHeight="1">
      <c r="G808" s="61"/>
    </row>
    <row r="809" ht="15.75" customHeight="1">
      <c r="G809" s="61"/>
    </row>
    <row r="810" ht="15.75" customHeight="1">
      <c r="G810" s="61"/>
    </row>
    <row r="811" ht="15.75" customHeight="1">
      <c r="G811" s="61"/>
    </row>
    <row r="812" ht="15.75" customHeight="1">
      <c r="G812" s="61"/>
    </row>
    <row r="813" ht="15.75" customHeight="1">
      <c r="G813" s="61"/>
    </row>
    <row r="814" ht="15.75" customHeight="1">
      <c r="G814" s="61"/>
    </row>
    <row r="815" ht="15.75" customHeight="1">
      <c r="G815" s="61"/>
    </row>
    <row r="816" ht="15.75" customHeight="1">
      <c r="G816" s="61"/>
    </row>
    <row r="817" ht="15.75" customHeight="1">
      <c r="G817" s="61"/>
    </row>
    <row r="818" ht="15.75" customHeight="1">
      <c r="G818" s="61"/>
    </row>
    <row r="819" ht="15.75" customHeight="1">
      <c r="G819" s="61"/>
    </row>
    <row r="820" ht="15.75" customHeight="1">
      <c r="G820" s="61"/>
    </row>
    <row r="821" ht="15.75" customHeight="1">
      <c r="G821" s="61"/>
    </row>
    <row r="822" ht="15.75" customHeight="1">
      <c r="G822" s="61"/>
    </row>
    <row r="823" ht="15.75" customHeight="1">
      <c r="G823" s="61"/>
    </row>
    <row r="824" ht="15.75" customHeight="1">
      <c r="G824" s="61"/>
    </row>
    <row r="825" ht="15.75" customHeight="1">
      <c r="G825" s="61"/>
    </row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2:G1000">
    <cfRule type="cellIs" dxfId="19" priority="1" stopIfTrue="1" operator="equal">
      <formula>"対象外"</formula>
    </cfRule>
  </conditionalFormatting>
  <conditionalFormatting sqref="G2:G1000">
    <cfRule type="cellIs" dxfId="17" priority="2" stopIfTrue="1" operator="equal">
      <formula>"自動消込"</formula>
    </cfRule>
  </conditionalFormatting>
  <conditionalFormatting sqref="G2:G1000">
    <cfRule type="cellIs" dxfId="16" priority="3" stopIfTrue="1" operator="equal">
      <formula>"要確認"</formula>
    </cfRule>
  </conditionalFormatting>
  <conditionalFormatting sqref="A2:T1000">
    <cfRule type="expression" dxfId="9" priority="4">
      <formula>AND($G2&lt;&gt;"", $G2="自動消込")</formula>
    </cfRule>
  </conditionalFormatting>
  <conditionalFormatting sqref="A2:T1000">
    <cfRule type="expression" dxfId="10" priority="5">
      <formula>AND($G2&lt;&gt;"", $G2="要確認")</formula>
    </cfRule>
  </conditionalFormatting>
  <dataValidations>
    <dataValidation type="custom" allowBlank="1" showDropDown="1" sqref="G2:G825">
      <formula1>OR($G2="未照合",$G2="自動消込",$G2="要確認",)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107" t="s">
        <v>1619</v>
      </c>
      <c r="B1" s="107" t="s">
        <v>1620</v>
      </c>
      <c r="C1" s="107" t="s">
        <v>1621</v>
      </c>
      <c r="D1" s="107" t="s">
        <v>1622</v>
      </c>
      <c r="E1" s="107" t="s">
        <v>1623</v>
      </c>
      <c r="F1" s="107" t="s">
        <v>1624</v>
      </c>
      <c r="G1" s="107" t="s">
        <v>1625</v>
      </c>
    </row>
    <row r="2" ht="15.75" customHeight="1">
      <c r="A2" s="4" t="b">
        <v>1</v>
      </c>
      <c r="B2" s="4" t="s">
        <v>199</v>
      </c>
      <c r="C2" s="4" t="s">
        <v>63</v>
      </c>
      <c r="D2" s="4" t="s">
        <v>1626</v>
      </c>
      <c r="E2" s="4" t="s">
        <v>1627</v>
      </c>
      <c r="F2" s="4" t="s">
        <v>1628</v>
      </c>
      <c r="G2" s="4" t="s">
        <v>1629</v>
      </c>
    </row>
    <row r="3" ht="15.75" customHeight="1">
      <c r="A3" s="4" t="b">
        <v>1</v>
      </c>
      <c r="B3" s="4" t="s">
        <v>199</v>
      </c>
      <c r="C3" s="4" t="s">
        <v>63</v>
      </c>
      <c r="D3" s="4" t="s">
        <v>1630</v>
      </c>
      <c r="E3" s="4" t="s">
        <v>1631</v>
      </c>
      <c r="F3" s="4" t="s">
        <v>1628</v>
      </c>
      <c r="G3" s="4" t="s">
        <v>1629</v>
      </c>
    </row>
    <row r="4" ht="15.75" customHeight="1">
      <c r="A4" s="4" t="b">
        <v>1</v>
      </c>
      <c r="B4" s="4" t="s">
        <v>199</v>
      </c>
      <c r="C4" s="4" t="s">
        <v>63</v>
      </c>
      <c r="D4" s="4" t="s">
        <v>1632</v>
      </c>
      <c r="E4" s="4" t="s">
        <v>1633</v>
      </c>
      <c r="F4" s="4" t="s">
        <v>1628</v>
      </c>
      <c r="G4" s="4" t="s">
        <v>1629</v>
      </c>
    </row>
    <row r="5" ht="15.75" customHeight="1">
      <c r="A5" s="4" t="b">
        <v>1</v>
      </c>
      <c r="B5" s="4" t="s">
        <v>199</v>
      </c>
      <c r="C5" s="4" t="s">
        <v>63</v>
      </c>
      <c r="D5" s="4" t="s">
        <v>1634</v>
      </c>
      <c r="E5" s="4" t="s">
        <v>1635</v>
      </c>
      <c r="F5" s="4" t="s">
        <v>1628</v>
      </c>
      <c r="G5" s="4" t="s">
        <v>1629</v>
      </c>
    </row>
    <row r="6" ht="15.75" customHeight="1">
      <c r="A6" s="4" t="b">
        <v>1</v>
      </c>
      <c r="B6" s="4" t="s">
        <v>199</v>
      </c>
      <c r="C6" s="4" t="s">
        <v>63</v>
      </c>
      <c r="D6" s="4" t="s">
        <v>1636</v>
      </c>
      <c r="E6" s="4" t="s">
        <v>1637</v>
      </c>
      <c r="F6" s="4" t="s">
        <v>1628</v>
      </c>
      <c r="G6" s="4" t="s">
        <v>1629</v>
      </c>
    </row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6" width="20.13"/>
  </cols>
  <sheetData>
    <row r="1" ht="15.75" customHeight="1">
      <c r="A1" s="108" t="s">
        <v>1638</v>
      </c>
      <c r="B1" s="108" t="s">
        <v>1639</v>
      </c>
      <c r="C1" s="108" t="s">
        <v>1640</v>
      </c>
      <c r="D1" s="108" t="s">
        <v>1641</v>
      </c>
      <c r="E1" s="108" t="s">
        <v>1642</v>
      </c>
      <c r="F1" s="108" t="s">
        <v>1643</v>
      </c>
      <c r="G1" s="108" t="s">
        <v>1644</v>
      </c>
      <c r="H1" s="108" t="s">
        <v>1645</v>
      </c>
      <c r="I1" s="108" t="s">
        <v>1646</v>
      </c>
      <c r="J1" s="108" t="s">
        <v>1647</v>
      </c>
      <c r="K1" s="108" t="s">
        <v>82</v>
      </c>
      <c r="L1" s="108" t="s">
        <v>1648</v>
      </c>
      <c r="M1" s="108" t="s">
        <v>1649</v>
      </c>
      <c r="N1" s="108" t="s">
        <v>1650</v>
      </c>
      <c r="O1" s="108" t="s">
        <v>1651</v>
      </c>
      <c r="P1" s="108" t="s">
        <v>1652</v>
      </c>
    </row>
    <row r="2" ht="15.75" customHeight="1">
      <c r="A2" s="109" t="s">
        <v>1653</v>
      </c>
      <c r="B2" s="109" t="s">
        <v>1654</v>
      </c>
      <c r="C2" s="109" t="s">
        <v>1655</v>
      </c>
      <c r="D2" s="109" t="s">
        <v>1656</v>
      </c>
      <c r="E2" s="109" t="s">
        <v>1657</v>
      </c>
      <c r="F2" s="109" t="s">
        <v>1658</v>
      </c>
      <c r="G2" s="109" t="s">
        <v>1659</v>
      </c>
      <c r="H2" s="109" t="s">
        <v>1660</v>
      </c>
      <c r="I2" s="109" t="s">
        <v>1661</v>
      </c>
      <c r="J2" s="109" t="s">
        <v>1662</v>
      </c>
      <c r="K2" s="109" t="s">
        <v>1663</v>
      </c>
      <c r="L2" s="109" t="s">
        <v>1664</v>
      </c>
      <c r="M2" s="109" t="s">
        <v>1665</v>
      </c>
      <c r="N2" s="109">
        <v>0.0</v>
      </c>
      <c r="O2" s="109" t="s">
        <v>1664</v>
      </c>
      <c r="P2" s="109" t="s">
        <v>1666</v>
      </c>
    </row>
    <row r="3" ht="15.75" customHeight="1">
      <c r="A3" s="110" t="s">
        <v>1506</v>
      </c>
      <c r="B3" s="110" t="s">
        <v>1667</v>
      </c>
      <c r="C3" s="110" t="s">
        <v>1668</v>
      </c>
      <c r="D3" s="110" t="s">
        <v>1669</v>
      </c>
      <c r="E3" s="110" t="s">
        <v>1670</v>
      </c>
      <c r="F3" s="110" t="s">
        <v>1671</v>
      </c>
      <c r="G3" s="110" t="s">
        <v>475</v>
      </c>
      <c r="H3" s="110" t="s">
        <v>3</v>
      </c>
      <c r="I3" s="110" t="s">
        <v>1672</v>
      </c>
      <c r="J3" s="110" t="s">
        <v>1673</v>
      </c>
      <c r="K3" s="110" t="s">
        <v>1674</v>
      </c>
      <c r="L3" s="111" t="s">
        <v>1675</v>
      </c>
      <c r="M3" s="110" t="s">
        <v>1676</v>
      </c>
      <c r="N3" s="110">
        <v>1.0</v>
      </c>
      <c r="O3" s="111" t="s">
        <v>1677</v>
      </c>
      <c r="P3" s="110" t="s">
        <v>3</v>
      </c>
    </row>
    <row r="4" ht="15.75" customHeight="1">
      <c r="A4" s="110" t="s">
        <v>1321</v>
      </c>
      <c r="B4" s="110" t="s">
        <v>1678</v>
      </c>
      <c r="C4" s="110" t="s">
        <v>1321</v>
      </c>
      <c r="D4" s="110" t="s">
        <v>203</v>
      </c>
      <c r="E4" s="110" t="s">
        <v>1679</v>
      </c>
      <c r="F4" s="110" t="s">
        <v>3</v>
      </c>
      <c r="G4" s="110" t="s">
        <v>468</v>
      </c>
      <c r="H4" s="110" t="s">
        <v>3</v>
      </c>
      <c r="I4" s="110" t="s">
        <v>1680</v>
      </c>
      <c r="J4" s="110" t="s">
        <v>1673</v>
      </c>
      <c r="K4" s="110" t="s">
        <v>1681</v>
      </c>
      <c r="L4" s="111" t="s">
        <v>1675</v>
      </c>
      <c r="M4" s="110" t="s">
        <v>1676</v>
      </c>
      <c r="N4" s="110">
        <v>1.0</v>
      </c>
      <c r="O4" s="111" t="s">
        <v>1682</v>
      </c>
      <c r="P4" s="110" t="s">
        <v>3</v>
      </c>
    </row>
    <row r="5" ht="15.75" customHeight="1">
      <c r="A5" s="110" t="s">
        <v>322</v>
      </c>
      <c r="B5" s="110" t="s">
        <v>1683</v>
      </c>
      <c r="C5" s="110" t="s">
        <v>3</v>
      </c>
      <c r="D5" s="110" t="s">
        <v>1684</v>
      </c>
      <c r="E5" s="110" t="s">
        <v>1685</v>
      </c>
      <c r="F5" s="110" t="s">
        <v>3</v>
      </c>
      <c r="G5" s="110" t="s">
        <v>605</v>
      </c>
      <c r="H5" s="110" t="s">
        <v>3</v>
      </c>
      <c r="I5" s="110" t="s">
        <v>1686</v>
      </c>
      <c r="J5" s="110" t="s">
        <v>1687</v>
      </c>
      <c r="K5" s="110" t="s">
        <v>1688</v>
      </c>
      <c r="L5" s="111" t="s">
        <v>1675</v>
      </c>
      <c r="M5" s="110" t="s">
        <v>1676</v>
      </c>
      <c r="N5" s="110">
        <v>1.0</v>
      </c>
      <c r="O5" s="111" t="s">
        <v>1677</v>
      </c>
      <c r="P5" s="110" t="s">
        <v>3</v>
      </c>
    </row>
    <row r="6" ht="15.75" customHeight="1">
      <c r="A6" s="112" t="s">
        <v>1689</v>
      </c>
      <c r="B6" s="112" t="s">
        <v>1690</v>
      </c>
      <c r="C6" s="112" t="s">
        <v>1691</v>
      </c>
      <c r="D6" s="112" t="s">
        <v>3</v>
      </c>
      <c r="E6" s="112" t="s">
        <v>3</v>
      </c>
      <c r="F6" s="112" t="s">
        <v>3</v>
      </c>
      <c r="G6" s="112" t="s">
        <v>3</v>
      </c>
      <c r="H6" s="112" t="s">
        <v>3</v>
      </c>
      <c r="I6" s="112" t="s">
        <v>3</v>
      </c>
      <c r="J6" s="112" t="s">
        <v>3</v>
      </c>
      <c r="K6" s="112" t="s">
        <v>1692</v>
      </c>
      <c r="L6" s="112" t="s">
        <v>3</v>
      </c>
      <c r="M6" s="112" t="s">
        <v>3</v>
      </c>
      <c r="N6" s="112" t="s">
        <v>3</v>
      </c>
      <c r="O6" s="112" t="s">
        <v>3</v>
      </c>
      <c r="P6" s="112" t="s">
        <v>3</v>
      </c>
    </row>
    <row r="7" ht="15.75" customHeight="1">
      <c r="A7" s="113" t="s">
        <v>1693</v>
      </c>
      <c r="B7" s="113" t="s">
        <v>1694</v>
      </c>
      <c r="C7" s="113" t="s">
        <v>814</v>
      </c>
      <c r="D7" s="113" t="s">
        <v>1694</v>
      </c>
      <c r="E7" s="113"/>
      <c r="F7" s="113"/>
      <c r="G7" s="113" t="s">
        <v>468</v>
      </c>
      <c r="H7" s="113"/>
      <c r="I7" s="113" t="s">
        <v>1680</v>
      </c>
      <c r="J7" s="113" t="s">
        <v>1673</v>
      </c>
      <c r="K7" s="113" t="s">
        <v>1695</v>
      </c>
      <c r="L7" s="114">
        <v>46139.0</v>
      </c>
      <c r="M7" s="113" t="s">
        <v>1696</v>
      </c>
      <c r="N7" s="113">
        <v>1.0</v>
      </c>
      <c r="O7" s="113"/>
      <c r="P7" s="113" t="s">
        <v>1697</v>
      </c>
    </row>
    <row r="8" ht="15.75" customHeight="1">
      <c r="A8" s="113" t="s">
        <v>1698</v>
      </c>
      <c r="B8" s="113" t="s">
        <v>1698</v>
      </c>
      <c r="C8" s="113" t="s">
        <v>1039</v>
      </c>
      <c r="D8" s="113" t="s">
        <v>1698</v>
      </c>
      <c r="E8" s="113"/>
      <c r="F8" s="113"/>
      <c r="G8" s="113" t="s">
        <v>468</v>
      </c>
      <c r="H8" s="113"/>
      <c r="I8" s="113" t="s">
        <v>1686</v>
      </c>
      <c r="J8" s="113" t="s">
        <v>1687</v>
      </c>
      <c r="K8" s="113" t="s">
        <v>1699</v>
      </c>
      <c r="L8" s="114">
        <v>46139.0</v>
      </c>
      <c r="M8" s="113" t="s">
        <v>1696</v>
      </c>
      <c r="N8" s="113">
        <v>1.0</v>
      </c>
      <c r="O8" s="113"/>
      <c r="P8" s="113" t="s">
        <v>1700</v>
      </c>
    </row>
    <row r="9" ht="15.75" customHeight="1">
      <c r="A9" s="113" t="s">
        <v>1452</v>
      </c>
      <c r="B9" s="113" t="s">
        <v>1701</v>
      </c>
      <c r="C9" s="113" t="s">
        <v>725</v>
      </c>
      <c r="D9" s="113" t="s">
        <v>219</v>
      </c>
      <c r="E9" s="113" t="s">
        <v>1702</v>
      </c>
      <c r="F9" s="113" t="s">
        <v>1703</v>
      </c>
      <c r="G9" s="113" t="s">
        <v>591</v>
      </c>
      <c r="H9" s="113"/>
      <c r="I9" s="113" t="s">
        <v>1672</v>
      </c>
      <c r="J9" s="113" t="s">
        <v>1673</v>
      </c>
      <c r="K9" s="113"/>
      <c r="L9" s="113"/>
      <c r="M9" s="113"/>
      <c r="N9" s="113"/>
      <c r="O9" s="113"/>
      <c r="P9" s="113"/>
    </row>
    <row r="10" ht="15.75" customHeight="1">
      <c r="A10" s="113" t="s">
        <v>318</v>
      </c>
      <c r="B10" s="113" t="s">
        <v>1704</v>
      </c>
      <c r="C10" s="113" t="s">
        <v>1041</v>
      </c>
      <c r="D10" s="113" t="s">
        <v>1705</v>
      </c>
      <c r="E10" s="113" t="s">
        <v>1706</v>
      </c>
      <c r="F10" s="113"/>
      <c r="G10" s="113" t="s">
        <v>530</v>
      </c>
      <c r="H10" s="113"/>
      <c r="I10" s="113" t="s">
        <v>1672</v>
      </c>
      <c r="J10" s="113" t="s">
        <v>1687</v>
      </c>
      <c r="K10" s="113"/>
      <c r="L10" s="113"/>
      <c r="M10" s="113"/>
      <c r="N10" s="113"/>
      <c r="O10" s="113"/>
      <c r="P10" s="113"/>
    </row>
    <row r="11" ht="15.75" customHeight="1">
      <c r="A11" s="113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</row>
    <row r="12" ht="15.75" customHeight="1">
      <c r="A12" s="113"/>
      <c r="B12" s="113"/>
      <c r="C12" s="113"/>
      <c r="D12" s="113"/>
      <c r="E12" s="113"/>
      <c r="F12" s="113"/>
      <c r="G12" s="113"/>
      <c r="H12" s="113"/>
      <c r="I12" s="113"/>
      <c r="J12" s="113"/>
      <c r="K12" s="113"/>
      <c r="L12" s="113"/>
      <c r="M12" s="113"/>
      <c r="N12" s="113"/>
      <c r="O12" s="113"/>
      <c r="P12" s="113"/>
    </row>
    <row r="13" ht="15.75" customHeight="1">
      <c r="A13" s="113"/>
      <c r="B13" s="113"/>
      <c r="C13" s="113"/>
      <c r="D13" s="113"/>
      <c r="E13" s="113"/>
      <c r="F13" s="113"/>
      <c r="G13" s="113"/>
      <c r="H13" s="113"/>
      <c r="I13" s="113"/>
      <c r="J13" s="113"/>
      <c r="K13" s="113"/>
      <c r="L13" s="113"/>
      <c r="M13" s="113"/>
      <c r="N13" s="113"/>
      <c r="O13" s="113"/>
      <c r="P13" s="113"/>
    </row>
    <row r="14" ht="15.75" customHeight="1">
      <c r="A14" s="113"/>
      <c r="B14" s="113"/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O14" s="113"/>
      <c r="P14" s="113"/>
    </row>
    <row r="15" ht="15.75" customHeight="1">
      <c r="A15" s="113"/>
      <c r="B15" s="113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  <c r="O15" s="113"/>
      <c r="P15" s="113"/>
    </row>
    <row r="16" ht="15.75" customHeight="1">
      <c r="A16" s="113"/>
      <c r="B16" s="113"/>
      <c r="C16" s="113"/>
      <c r="D16" s="113"/>
      <c r="E16" s="113"/>
      <c r="F16" s="113"/>
      <c r="G16" s="113"/>
      <c r="H16" s="113"/>
      <c r="I16" s="113"/>
      <c r="J16" s="113"/>
      <c r="K16" s="113"/>
      <c r="L16" s="113"/>
      <c r="M16" s="113"/>
      <c r="N16" s="113"/>
      <c r="O16" s="113"/>
      <c r="P16" s="113"/>
    </row>
    <row r="17" ht="15.75" customHeight="1">
      <c r="A17" s="113"/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/>
    </row>
    <row r="18" ht="15.75" customHeight="1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/>
      <c r="L18" s="113"/>
      <c r="M18" s="113"/>
      <c r="N18" s="113"/>
      <c r="O18" s="113"/>
      <c r="P18" s="113"/>
    </row>
    <row r="19" ht="15.75" customHeight="1">
      <c r="A19" s="113"/>
      <c r="B19" s="113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  <c r="O19" s="113"/>
      <c r="P19" s="113"/>
    </row>
    <row r="20" ht="15.75" customHeight="1">
      <c r="A20" s="113"/>
      <c r="B20" s="113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  <c r="O20" s="113"/>
      <c r="P20" s="113"/>
    </row>
    <row r="21" ht="15.75" customHeight="1">
      <c r="A21" s="113"/>
      <c r="B21" s="113"/>
      <c r="C21" s="113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</row>
    <row r="22" ht="15.75" customHeight="1">
      <c r="A22" s="113"/>
      <c r="B22" s="113"/>
      <c r="C22" s="113"/>
      <c r="D22" s="113"/>
      <c r="E22" s="113"/>
      <c r="F22" s="113"/>
      <c r="G22" s="113"/>
      <c r="H22" s="113"/>
      <c r="I22" s="113"/>
      <c r="J22" s="113"/>
      <c r="K22" s="113"/>
      <c r="L22" s="113"/>
      <c r="M22" s="113"/>
      <c r="N22" s="113"/>
      <c r="O22" s="113"/>
      <c r="P22" s="113"/>
    </row>
    <row r="23" ht="15.75" customHeight="1">
      <c r="A23" s="113"/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</row>
    <row r="24" ht="15.75" customHeight="1">
      <c r="A24" s="113"/>
      <c r="B24" s="113"/>
      <c r="C24" s="113"/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</row>
    <row r="25" ht="15.75" customHeight="1">
      <c r="A25" s="113"/>
      <c r="B25" s="113"/>
      <c r="C25" s="113"/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</row>
    <row r="26" ht="15.75" customHeight="1">
      <c r="A26" s="113"/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</row>
    <row r="27" ht="15.75" customHeight="1">
      <c r="A27" s="113"/>
      <c r="B27" s="113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</row>
    <row r="28" ht="15.75" customHeight="1">
      <c r="A28" s="113"/>
      <c r="B28" s="113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</row>
    <row r="29" ht="15.75" customHeight="1">
      <c r="A29" s="113"/>
      <c r="B29" s="113"/>
      <c r="C29" s="113"/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</row>
    <row r="30" ht="15.75" customHeight="1">
      <c r="A30" s="113"/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</row>
    <row r="31" ht="15.75" customHeight="1">
      <c r="A31" s="113"/>
      <c r="B31" s="113"/>
      <c r="C31" s="113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</row>
    <row r="32" ht="15.75" customHeight="1">
      <c r="A32" s="113"/>
      <c r="B32" s="113"/>
      <c r="C32" s="113"/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</row>
    <row r="33" ht="15.75" customHeight="1">
      <c r="A33" s="113"/>
      <c r="B33" s="113"/>
      <c r="C33" s="113"/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</row>
    <row r="34" ht="15.7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</row>
    <row r="35" ht="15.75" customHeight="1">
      <c r="A35" s="113"/>
      <c r="B35" s="113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3"/>
      <c r="O35" s="113"/>
      <c r="P35" s="113"/>
    </row>
    <row r="36" ht="15.7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</row>
    <row r="37" ht="15.75" customHeight="1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</row>
    <row r="38" ht="15.75" customHeight="1">
      <c r="A38" s="113"/>
      <c r="B38" s="113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</row>
    <row r="39" ht="15.75" customHeight="1">
      <c r="A39" s="113"/>
      <c r="B39" s="113"/>
      <c r="C39" s="113"/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</row>
    <row r="40" ht="15.7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</row>
    <row r="41" ht="15.75" customHeight="1">
      <c r="A41" s="113"/>
      <c r="B41" s="113"/>
      <c r="C41" s="113"/>
      <c r="D41" s="113"/>
      <c r="E41" s="113"/>
      <c r="F41" s="113"/>
      <c r="G41" s="113"/>
      <c r="H41" s="113"/>
      <c r="I41" s="113"/>
      <c r="J41" s="113"/>
      <c r="K41" s="113"/>
      <c r="L41" s="113"/>
      <c r="M41" s="113"/>
      <c r="N41" s="113"/>
      <c r="O41" s="113"/>
      <c r="P41" s="113"/>
    </row>
    <row r="42" ht="15.75" customHeight="1">
      <c r="A42" s="113"/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O42" s="113"/>
      <c r="P42" s="113"/>
    </row>
    <row r="43" ht="15.75" customHeight="1">
      <c r="A43" s="113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</row>
    <row r="44" ht="15.75" customHeight="1">
      <c r="A44" s="113"/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  <c r="O44" s="113"/>
      <c r="P44" s="113"/>
    </row>
    <row r="45" ht="15.75" customHeight="1">
      <c r="A45" s="113"/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ht="15.75" customHeight="1">
      <c r="A46" s="113"/>
      <c r="B46" s="113"/>
      <c r="C46" s="113"/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</row>
    <row r="47" ht="15.7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</row>
    <row r="48" ht="15.75" customHeight="1">
      <c r="A48" s="113"/>
      <c r="B48" s="11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</row>
    <row r="49" ht="15.7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</row>
    <row r="50" ht="15.75" customHeight="1">
      <c r="A50" s="113"/>
      <c r="B50" s="113"/>
      <c r="C50" s="113"/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</row>
    <row r="51" ht="15.7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</row>
    <row r="52" ht="15.75" customHeight="1">
      <c r="A52" s="113"/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113"/>
    </row>
    <row r="53" ht="15.75" customHeight="1">
      <c r="A53" s="113"/>
      <c r="B53" s="113"/>
      <c r="C53" s="113"/>
      <c r="D53" s="113"/>
      <c r="E53" s="113"/>
      <c r="F53" s="113"/>
      <c r="G53" s="113"/>
      <c r="H53" s="113"/>
      <c r="I53" s="113"/>
      <c r="J53" s="113"/>
      <c r="K53" s="113"/>
      <c r="L53" s="113"/>
      <c r="M53" s="113"/>
      <c r="N53" s="113"/>
      <c r="O53" s="113"/>
      <c r="P53" s="113"/>
    </row>
    <row r="54" ht="15.75" customHeight="1">
      <c r="A54" s="113"/>
      <c r="B54" s="113"/>
      <c r="C54" s="113"/>
      <c r="D54" s="113"/>
      <c r="E54" s="113"/>
      <c r="F54" s="113"/>
      <c r="G54" s="113"/>
      <c r="H54" s="113"/>
      <c r="I54" s="113"/>
      <c r="J54" s="113"/>
      <c r="K54" s="113"/>
      <c r="L54" s="113"/>
      <c r="M54" s="113"/>
      <c r="N54" s="113"/>
      <c r="O54" s="113"/>
      <c r="P54" s="113"/>
    </row>
    <row r="55" ht="15.75" customHeight="1">
      <c r="A55" s="113"/>
      <c r="B55" s="113"/>
      <c r="C55" s="113"/>
      <c r="D55" s="113"/>
      <c r="E55" s="113"/>
      <c r="F55" s="113"/>
      <c r="G55" s="113"/>
      <c r="H55" s="113"/>
      <c r="I55" s="113"/>
      <c r="J55" s="113"/>
      <c r="K55" s="113"/>
      <c r="L55" s="113"/>
      <c r="M55" s="113"/>
      <c r="N55" s="113"/>
      <c r="O55" s="113"/>
      <c r="P55" s="113"/>
    </row>
    <row r="56" ht="15.75" customHeight="1">
      <c r="A56" s="113"/>
      <c r="B56" s="113"/>
      <c r="C56" s="113"/>
      <c r="D56" s="113"/>
      <c r="E56" s="113"/>
      <c r="F56" s="113"/>
      <c r="G56" s="113"/>
      <c r="H56" s="113"/>
      <c r="I56" s="113"/>
      <c r="J56" s="113"/>
      <c r="K56" s="113"/>
      <c r="L56" s="113"/>
      <c r="M56" s="113"/>
      <c r="N56" s="113"/>
      <c r="O56" s="113"/>
      <c r="P56" s="113"/>
    </row>
    <row r="57" ht="15.75" customHeight="1">
      <c r="A57" s="113"/>
      <c r="B57" s="113"/>
      <c r="C57" s="113"/>
      <c r="D57" s="113"/>
      <c r="E57" s="113"/>
      <c r="F57" s="113"/>
      <c r="G57" s="113"/>
      <c r="H57" s="113"/>
      <c r="I57" s="113"/>
      <c r="J57" s="113"/>
      <c r="K57" s="113"/>
      <c r="L57" s="113"/>
      <c r="M57" s="113"/>
      <c r="N57" s="113"/>
      <c r="O57" s="113"/>
      <c r="P57" s="113"/>
    </row>
    <row r="58" ht="15.75" customHeight="1">
      <c r="A58" s="113"/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</row>
    <row r="59" ht="15.75" customHeight="1">
      <c r="A59" s="113"/>
      <c r="B59" s="113"/>
      <c r="C59" s="113"/>
      <c r="D59" s="113"/>
      <c r="E59" s="113"/>
      <c r="F59" s="113"/>
      <c r="G59" s="113"/>
      <c r="H59" s="113"/>
      <c r="I59" s="113"/>
      <c r="J59" s="113"/>
      <c r="K59" s="113"/>
      <c r="L59" s="113"/>
      <c r="M59" s="113"/>
      <c r="N59" s="113"/>
      <c r="O59" s="113"/>
      <c r="P59" s="113"/>
    </row>
    <row r="60" ht="15.75" customHeight="1">
      <c r="A60" s="113"/>
      <c r="B60" s="113"/>
      <c r="C60" s="113"/>
      <c r="D60" s="113"/>
      <c r="E60" s="113"/>
      <c r="F60" s="113"/>
      <c r="G60" s="113"/>
      <c r="H60" s="113"/>
      <c r="I60" s="113"/>
      <c r="J60" s="113"/>
      <c r="K60" s="113"/>
      <c r="L60" s="113"/>
      <c r="M60" s="113"/>
      <c r="N60" s="113"/>
      <c r="O60" s="113"/>
      <c r="P60" s="113"/>
    </row>
    <row r="61" ht="15.75" customHeight="1">
      <c r="A61" s="113"/>
      <c r="B61" s="113"/>
      <c r="C61" s="113"/>
      <c r="D61" s="113"/>
      <c r="E61" s="113"/>
      <c r="F61" s="113"/>
      <c r="G61" s="113"/>
      <c r="H61" s="113"/>
      <c r="I61" s="113"/>
      <c r="J61" s="113"/>
      <c r="K61" s="113"/>
      <c r="L61" s="113"/>
      <c r="M61" s="113"/>
      <c r="N61" s="113"/>
      <c r="O61" s="113"/>
      <c r="P61" s="113"/>
    </row>
    <row r="62" ht="15.75" customHeight="1">
      <c r="A62" s="113"/>
      <c r="B62" s="113"/>
      <c r="C62" s="113"/>
      <c r="D62" s="113"/>
      <c r="E62" s="113"/>
      <c r="F62" s="113"/>
      <c r="G62" s="113"/>
      <c r="H62" s="113"/>
      <c r="I62" s="113"/>
      <c r="J62" s="113"/>
      <c r="K62" s="113"/>
      <c r="L62" s="113"/>
      <c r="M62" s="113"/>
      <c r="N62" s="113"/>
      <c r="O62" s="113"/>
      <c r="P62" s="113"/>
    </row>
    <row r="63" ht="15.75" customHeight="1">
      <c r="A63" s="113"/>
      <c r="B63" s="113"/>
      <c r="C63" s="113"/>
      <c r="D63" s="113"/>
      <c r="E63" s="113"/>
      <c r="F63" s="113"/>
      <c r="G63" s="113"/>
      <c r="H63" s="113"/>
      <c r="I63" s="113"/>
      <c r="J63" s="113"/>
      <c r="K63" s="113"/>
      <c r="L63" s="113"/>
      <c r="M63" s="113"/>
      <c r="N63" s="113"/>
      <c r="O63" s="113"/>
      <c r="P63" s="113"/>
    </row>
    <row r="64" ht="15.75" customHeight="1">
      <c r="A64" s="113"/>
      <c r="B64" s="113"/>
      <c r="C64" s="113"/>
      <c r="D64" s="113"/>
      <c r="E64" s="113"/>
      <c r="F64" s="113"/>
      <c r="G64" s="113"/>
      <c r="H64" s="113"/>
      <c r="I64" s="113"/>
      <c r="J64" s="113"/>
      <c r="K64" s="113"/>
      <c r="L64" s="113"/>
      <c r="M64" s="113"/>
      <c r="N64" s="113"/>
      <c r="O64" s="113"/>
      <c r="P64" s="113"/>
    </row>
    <row r="65" ht="15.75" customHeight="1">
      <c r="A65" s="113"/>
      <c r="B65" s="113"/>
      <c r="C65" s="113"/>
      <c r="D65" s="113"/>
      <c r="E65" s="113"/>
      <c r="F65" s="113"/>
      <c r="G65" s="113"/>
      <c r="H65" s="113"/>
      <c r="I65" s="113"/>
      <c r="J65" s="113"/>
      <c r="K65" s="113"/>
      <c r="L65" s="113"/>
      <c r="M65" s="113"/>
      <c r="N65" s="113"/>
      <c r="O65" s="113"/>
      <c r="P65" s="113"/>
    </row>
    <row r="66" ht="15.75" customHeight="1">
      <c r="A66" s="113"/>
      <c r="B66" s="113"/>
      <c r="C66" s="113"/>
      <c r="D66" s="113"/>
      <c r="E66" s="113"/>
      <c r="F66" s="113"/>
      <c r="G66" s="113"/>
      <c r="H66" s="113"/>
      <c r="I66" s="113"/>
      <c r="J66" s="113"/>
      <c r="K66" s="113"/>
      <c r="L66" s="113"/>
      <c r="M66" s="113"/>
      <c r="N66" s="113"/>
      <c r="O66" s="113"/>
      <c r="P66" s="113"/>
    </row>
    <row r="67" ht="15.75" customHeight="1">
      <c r="A67" s="113"/>
      <c r="B67" s="113"/>
      <c r="C67" s="113"/>
      <c r="D67" s="113"/>
      <c r="E67" s="113"/>
      <c r="F67" s="113"/>
      <c r="G67" s="113"/>
      <c r="H67" s="113"/>
      <c r="I67" s="113"/>
      <c r="J67" s="113"/>
      <c r="K67" s="113"/>
      <c r="L67" s="113"/>
      <c r="M67" s="113"/>
      <c r="N67" s="113"/>
      <c r="O67" s="113"/>
      <c r="P67" s="113"/>
    </row>
    <row r="68" ht="15.75" customHeight="1">
      <c r="A68" s="113"/>
      <c r="B68" s="113"/>
      <c r="C68" s="113"/>
      <c r="D68" s="113"/>
      <c r="E68" s="113"/>
      <c r="F68" s="113"/>
      <c r="G68" s="113"/>
      <c r="H68" s="113"/>
      <c r="I68" s="113"/>
      <c r="J68" s="113"/>
      <c r="K68" s="113"/>
      <c r="L68" s="113"/>
      <c r="M68" s="113"/>
      <c r="N68" s="113"/>
      <c r="O68" s="113"/>
      <c r="P68" s="113"/>
    </row>
    <row r="69" ht="15.75" customHeight="1">
      <c r="A69" s="113"/>
      <c r="B69" s="113"/>
      <c r="C69" s="113"/>
      <c r="D69" s="113"/>
      <c r="E69" s="113"/>
      <c r="F69" s="113"/>
      <c r="G69" s="113"/>
      <c r="H69" s="113"/>
      <c r="I69" s="113"/>
      <c r="J69" s="113"/>
      <c r="K69" s="113"/>
      <c r="L69" s="113"/>
      <c r="M69" s="113"/>
      <c r="N69" s="113"/>
      <c r="O69" s="113"/>
      <c r="P69" s="113"/>
    </row>
    <row r="70" ht="15.75" customHeight="1">
      <c r="A70" s="113"/>
      <c r="B70" s="113"/>
      <c r="C70" s="113"/>
      <c r="D70" s="113"/>
      <c r="E70" s="113"/>
      <c r="F70" s="113"/>
      <c r="G70" s="113"/>
      <c r="H70" s="113"/>
      <c r="I70" s="113"/>
      <c r="J70" s="113"/>
      <c r="K70" s="113"/>
      <c r="L70" s="113"/>
      <c r="M70" s="113"/>
      <c r="N70" s="113"/>
      <c r="O70" s="113"/>
      <c r="P70" s="113"/>
    </row>
    <row r="71" ht="15.75" customHeight="1">
      <c r="A71" s="113"/>
      <c r="B71" s="113"/>
      <c r="C71" s="113"/>
      <c r="D71" s="113"/>
      <c r="E71" s="113"/>
      <c r="F71" s="113"/>
      <c r="G71" s="113"/>
      <c r="H71" s="113"/>
      <c r="I71" s="113"/>
      <c r="J71" s="113"/>
      <c r="K71" s="113"/>
      <c r="L71" s="113"/>
      <c r="M71" s="113"/>
      <c r="N71" s="113"/>
      <c r="O71" s="113"/>
      <c r="P71" s="113"/>
    </row>
    <row r="72" ht="15.75" customHeight="1">
      <c r="A72" s="113"/>
      <c r="B72" s="113"/>
      <c r="C72" s="113"/>
      <c r="D72" s="113"/>
      <c r="E72" s="113"/>
      <c r="F72" s="113"/>
      <c r="G72" s="113"/>
      <c r="H72" s="113"/>
      <c r="I72" s="113"/>
      <c r="J72" s="113"/>
      <c r="K72" s="113"/>
      <c r="L72" s="113"/>
      <c r="M72" s="113"/>
      <c r="N72" s="113"/>
      <c r="O72" s="113"/>
      <c r="P72" s="113"/>
    </row>
    <row r="73" ht="15.75" customHeight="1">
      <c r="A73" s="113"/>
      <c r="B73" s="113"/>
      <c r="C73" s="113"/>
      <c r="D73" s="113"/>
      <c r="E73" s="113"/>
      <c r="F73" s="113"/>
      <c r="G73" s="113"/>
      <c r="H73" s="113"/>
      <c r="I73" s="113"/>
      <c r="J73" s="113"/>
      <c r="K73" s="113"/>
      <c r="L73" s="113"/>
      <c r="M73" s="113"/>
      <c r="N73" s="113"/>
      <c r="O73" s="113"/>
      <c r="P73" s="113"/>
    </row>
    <row r="74" ht="15.75" customHeight="1">
      <c r="A74" s="113"/>
      <c r="B74" s="113"/>
      <c r="C74" s="113"/>
      <c r="D74" s="113"/>
      <c r="E74" s="113"/>
      <c r="F74" s="113"/>
      <c r="G74" s="113"/>
      <c r="H74" s="113"/>
      <c r="I74" s="113"/>
      <c r="J74" s="113"/>
      <c r="K74" s="113"/>
      <c r="L74" s="113"/>
      <c r="M74" s="113"/>
      <c r="N74" s="113"/>
      <c r="O74" s="113"/>
      <c r="P74" s="113"/>
    </row>
    <row r="75" ht="15.75" customHeight="1">
      <c r="A75" s="113"/>
      <c r="B75" s="113"/>
      <c r="C75" s="113"/>
      <c r="D75" s="113"/>
      <c r="E75" s="113"/>
      <c r="F75" s="113"/>
      <c r="G75" s="113"/>
      <c r="H75" s="113"/>
      <c r="I75" s="113"/>
      <c r="J75" s="113"/>
      <c r="K75" s="113"/>
      <c r="L75" s="113"/>
      <c r="M75" s="113"/>
      <c r="N75" s="113"/>
      <c r="O75" s="113"/>
      <c r="P75" s="113"/>
    </row>
    <row r="76" ht="15.75" customHeight="1">
      <c r="A76" s="113"/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3"/>
      <c r="N76" s="113"/>
      <c r="O76" s="113"/>
      <c r="P76" s="113"/>
    </row>
    <row r="77" ht="15.75" customHeight="1">
      <c r="A77" s="113"/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3"/>
      <c r="N77" s="113"/>
      <c r="O77" s="113"/>
      <c r="P77" s="113"/>
    </row>
    <row r="78" ht="15.75" customHeight="1">
      <c r="A78" s="113"/>
      <c r="B78" s="113"/>
      <c r="C78" s="113"/>
      <c r="D78" s="113"/>
      <c r="E78" s="113"/>
      <c r="F78" s="113"/>
      <c r="G78" s="113"/>
      <c r="H78" s="113"/>
      <c r="I78" s="113"/>
      <c r="J78" s="113"/>
      <c r="K78" s="113"/>
      <c r="L78" s="113"/>
      <c r="M78" s="113"/>
      <c r="N78" s="113"/>
      <c r="O78" s="113"/>
      <c r="P78" s="113"/>
    </row>
    <row r="79" ht="15.75" customHeight="1">
      <c r="A79" s="113"/>
      <c r="B79" s="113"/>
      <c r="C79" s="113"/>
      <c r="D79" s="113"/>
      <c r="E79" s="113"/>
      <c r="F79" s="113"/>
      <c r="G79" s="113"/>
      <c r="H79" s="113"/>
      <c r="I79" s="113"/>
      <c r="J79" s="113"/>
      <c r="K79" s="113"/>
      <c r="L79" s="113"/>
      <c r="M79" s="113"/>
      <c r="N79" s="113"/>
      <c r="O79" s="113"/>
      <c r="P79" s="113"/>
    </row>
    <row r="80" ht="15.75" customHeight="1">
      <c r="A80" s="113"/>
      <c r="B80" s="113"/>
      <c r="C80" s="113"/>
      <c r="D80" s="113"/>
      <c r="E80" s="113"/>
      <c r="F80" s="113"/>
      <c r="G80" s="113"/>
      <c r="H80" s="113"/>
      <c r="I80" s="113"/>
      <c r="J80" s="113"/>
      <c r="K80" s="113"/>
      <c r="L80" s="113"/>
      <c r="M80" s="113"/>
      <c r="N80" s="113"/>
      <c r="O80" s="113"/>
      <c r="P80" s="113"/>
    </row>
    <row r="81" ht="15.75" customHeight="1">
      <c r="A81" s="113"/>
      <c r="B81" s="113"/>
      <c r="C81" s="113"/>
      <c r="D81" s="113"/>
      <c r="E81" s="113"/>
      <c r="F81" s="113"/>
      <c r="G81" s="113"/>
      <c r="H81" s="113"/>
      <c r="I81" s="113"/>
      <c r="J81" s="113"/>
      <c r="K81" s="113"/>
      <c r="L81" s="113"/>
      <c r="M81" s="113"/>
      <c r="N81" s="113"/>
      <c r="O81" s="113"/>
      <c r="P81" s="113"/>
    </row>
    <row r="82" ht="15.75" customHeight="1">
      <c r="A82" s="113"/>
      <c r="B82" s="113"/>
      <c r="C82" s="113"/>
      <c r="D82" s="113"/>
      <c r="E82" s="113"/>
      <c r="F82" s="113"/>
      <c r="G82" s="113"/>
      <c r="H82" s="113"/>
      <c r="I82" s="113"/>
      <c r="J82" s="113"/>
      <c r="K82" s="113"/>
      <c r="L82" s="113"/>
      <c r="M82" s="113"/>
      <c r="N82" s="113"/>
      <c r="O82" s="113"/>
      <c r="P82" s="113"/>
    </row>
    <row r="83" ht="15.75" customHeight="1">
      <c r="A83" s="113"/>
      <c r="B83" s="113"/>
      <c r="C83" s="113"/>
      <c r="D83" s="113"/>
      <c r="E83" s="113"/>
      <c r="F83" s="113"/>
      <c r="G83" s="113"/>
      <c r="H83" s="113"/>
      <c r="I83" s="113"/>
      <c r="J83" s="113"/>
      <c r="K83" s="113"/>
      <c r="L83" s="113"/>
      <c r="M83" s="113"/>
      <c r="N83" s="113"/>
      <c r="O83" s="113"/>
      <c r="P83" s="113"/>
    </row>
    <row r="84" ht="15.75" customHeight="1">
      <c r="A84" s="113"/>
      <c r="B84" s="113"/>
      <c r="C84" s="113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13"/>
    </row>
    <row r="85" ht="15.75" customHeight="1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  <c r="M85" s="113"/>
      <c r="N85" s="113"/>
      <c r="O85" s="113"/>
      <c r="P85" s="113"/>
    </row>
    <row r="86" ht="15.75" customHeight="1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  <c r="M86" s="113"/>
      <c r="N86" s="113"/>
      <c r="O86" s="113"/>
      <c r="P86" s="113"/>
    </row>
    <row r="87" ht="15.75" customHeight="1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  <c r="M87" s="113"/>
      <c r="N87" s="113"/>
      <c r="O87" s="113"/>
      <c r="P87" s="113"/>
    </row>
    <row r="88" ht="15.75" customHeight="1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  <c r="M88" s="113"/>
      <c r="N88" s="113"/>
      <c r="O88" s="113"/>
      <c r="P88" s="113"/>
    </row>
    <row r="89" ht="15.75" customHeight="1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  <c r="M89" s="113"/>
      <c r="N89" s="113"/>
      <c r="O89" s="113"/>
      <c r="P89" s="113"/>
    </row>
    <row r="90" ht="15.75" customHeight="1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  <c r="M90" s="113"/>
      <c r="N90" s="113"/>
      <c r="O90" s="113"/>
      <c r="P90" s="113"/>
    </row>
    <row r="91" ht="15.75" customHeight="1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  <c r="M91" s="113"/>
      <c r="N91" s="113"/>
      <c r="O91" s="113"/>
      <c r="P91" s="113"/>
    </row>
    <row r="92" ht="15.75" customHeight="1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  <c r="M92" s="113"/>
      <c r="N92" s="113"/>
      <c r="O92" s="113"/>
      <c r="P92" s="113"/>
    </row>
    <row r="93" ht="15.75" customHeight="1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  <c r="M93" s="113"/>
      <c r="N93" s="113"/>
      <c r="O93" s="113"/>
      <c r="P93" s="113"/>
    </row>
    <row r="94" ht="15.75" customHeight="1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  <c r="M94" s="113"/>
      <c r="N94" s="113"/>
      <c r="O94" s="113"/>
      <c r="P94" s="113"/>
    </row>
    <row r="95" ht="15.75" customHeight="1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  <c r="M95" s="113"/>
      <c r="N95" s="113"/>
      <c r="O95" s="113"/>
      <c r="P95" s="113"/>
    </row>
    <row r="96" ht="15.75" customHeight="1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  <c r="M96" s="113"/>
      <c r="N96" s="113"/>
      <c r="O96" s="113"/>
      <c r="P96" s="113"/>
    </row>
    <row r="97" ht="15.75" customHeight="1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  <c r="M97" s="113"/>
      <c r="N97" s="113"/>
      <c r="O97" s="113"/>
      <c r="P97" s="113"/>
    </row>
    <row r="98" ht="15.75" customHeight="1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  <c r="M98" s="113"/>
      <c r="N98" s="113"/>
      <c r="O98" s="113"/>
      <c r="P98" s="113"/>
    </row>
    <row r="99" ht="15.75" customHeight="1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  <c r="M99" s="113"/>
      <c r="N99" s="113"/>
      <c r="O99" s="113"/>
      <c r="P99" s="113"/>
    </row>
    <row r="100" ht="15.75" customHeight="1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  <c r="M100" s="113"/>
      <c r="N100" s="113"/>
      <c r="O100" s="113"/>
      <c r="P100" s="113"/>
    </row>
    <row r="101" ht="15.75" customHeight="1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  <c r="M101" s="113"/>
      <c r="N101" s="113"/>
      <c r="O101" s="113"/>
      <c r="P101" s="113"/>
    </row>
    <row r="102" ht="15.75" customHeight="1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  <c r="M102" s="113"/>
      <c r="N102" s="113"/>
      <c r="O102" s="113"/>
      <c r="P102" s="113"/>
    </row>
    <row r="103" ht="15.75" customHeight="1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  <c r="M103" s="113"/>
      <c r="N103" s="113"/>
      <c r="O103" s="113"/>
      <c r="P103" s="113"/>
    </row>
    <row r="104" ht="15.75" customHeight="1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  <c r="M104" s="113"/>
      <c r="N104" s="113"/>
      <c r="O104" s="113"/>
      <c r="P104" s="113"/>
    </row>
    <row r="105" ht="15.75" customHeight="1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  <c r="M105" s="113"/>
      <c r="N105" s="113"/>
      <c r="O105" s="113"/>
      <c r="P105" s="113"/>
    </row>
    <row r="106" ht="15.75" customHeight="1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  <c r="M106" s="113"/>
      <c r="N106" s="113"/>
      <c r="O106" s="113"/>
      <c r="P106" s="113"/>
    </row>
    <row r="107" ht="15.75" customHeight="1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  <c r="M107" s="113"/>
      <c r="N107" s="113"/>
      <c r="O107" s="113"/>
      <c r="P107" s="113"/>
    </row>
    <row r="108" ht="15.75" customHeight="1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  <c r="M108" s="113"/>
      <c r="N108" s="113"/>
      <c r="O108" s="113"/>
      <c r="P108" s="113"/>
    </row>
    <row r="109" ht="15.75" customHeight="1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  <c r="M109" s="113"/>
      <c r="N109" s="113"/>
      <c r="O109" s="113"/>
      <c r="P109" s="113"/>
    </row>
    <row r="110" ht="15.75" customHeight="1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  <c r="M110" s="113"/>
      <c r="N110" s="113"/>
      <c r="O110" s="113"/>
      <c r="P110" s="113"/>
    </row>
    <row r="111" ht="15.75" customHeight="1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  <c r="M111" s="113"/>
      <c r="N111" s="113"/>
      <c r="O111" s="113"/>
      <c r="P111" s="113"/>
    </row>
    <row r="112" ht="15.75" customHeight="1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  <c r="M112" s="113"/>
      <c r="N112" s="113"/>
      <c r="O112" s="113"/>
      <c r="P112" s="113"/>
    </row>
    <row r="113" ht="15.75" customHeight="1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</row>
    <row r="114" ht="15.75" customHeight="1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ht="15.75" customHeight="1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  <c r="M115" s="113"/>
      <c r="N115" s="113"/>
      <c r="O115" s="113"/>
      <c r="P115" s="113"/>
    </row>
    <row r="116" ht="15.75" customHeight="1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  <c r="M116" s="113"/>
      <c r="N116" s="113"/>
      <c r="O116" s="113"/>
      <c r="P116" s="113"/>
    </row>
    <row r="117" ht="15.75" customHeight="1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  <c r="M117" s="113"/>
      <c r="N117" s="113"/>
      <c r="O117" s="113"/>
      <c r="P117" s="113"/>
    </row>
    <row r="118" ht="15.75" customHeight="1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  <c r="M118" s="113"/>
      <c r="N118" s="113"/>
      <c r="O118" s="113"/>
      <c r="P118" s="113"/>
    </row>
    <row r="119" ht="15.75" customHeight="1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  <c r="M119" s="113"/>
      <c r="N119" s="113"/>
      <c r="O119" s="113"/>
      <c r="P119" s="113"/>
    </row>
    <row r="120" ht="15.75" customHeight="1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  <c r="M120" s="113"/>
      <c r="N120" s="113"/>
      <c r="O120" s="113"/>
      <c r="P120" s="113"/>
    </row>
    <row r="121" ht="15.75" customHeight="1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  <c r="M121" s="113"/>
      <c r="N121" s="113"/>
      <c r="O121" s="113"/>
      <c r="P121" s="113"/>
    </row>
    <row r="122" ht="15.75" customHeight="1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  <c r="M122" s="113"/>
      <c r="N122" s="113"/>
      <c r="O122" s="113"/>
      <c r="P122" s="113"/>
    </row>
    <row r="123" ht="15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  <c r="M123" s="113"/>
      <c r="N123" s="113"/>
      <c r="O123" s="113"/>
      <c r="P123" s="113"/>
    </row>
    <row r="124" ht="15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  <c r="M124" s="113"/>
      <c r="N124" s="113"/>
      <c r="O124" s="113"/>
      <c r="P124" s="113"/>
    </row>
    <row r="125" ht="15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  <c r="M125" s="113"/>
      <c r="N125" s="113"/>
      <c r="O125" s="113"/>
      <c r="P125" s="113"/>
    </row>
    <row r="126" ht="15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  <c r="M126" s="113"/>
      <c r="N126" s="113"/>
      <c r="O126" s="113"/>
      <c r="P126" s="113"/>
    </row>
    <row r="127" ht="15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  <c r="M127" s="113"/>
      <c r="N127" s="113"/>
      <c r="O127" s="113"/>
      <c r="P127" s="113"/>
    </row>
    <row r="128" ht="15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  <c r="M128" s="113"/>
      <c r="N128" s="113"/>
      <c r="O128" s="113"/>
      <c r="P128" s="113"/>
    </row>
    <row r="129" ht="15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  <c r="M129" s="113"/>
      <c r="N129" s="113"/>
      <c r="O129" s="113"/>
      <c r="P129" s="113"/>
    </row>
    <row r="130" ht="15.75" customHeight="1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  <c r="M130" s="113"/>
      <c r="N130" s="113"/>
      <c r="O130" s="113"/>
      <c r="P130" s="113"/>
    </row>
    <row r="131" ht="15.75" customHeight="1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  <c r="M131" s="113"/>
      <c r="N131" s="113"/>
      <c r="O131" s="113"/>
      <c r="P131" s="113"/>
    </row>
    <row r="132" ht="15.75" customHeight="1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  <c r="M132" s="113"/>
      <c r="N132" s="113"/>
      <c r="O132" s="113"/>
      <c r="P132" s="113"/>
    </row>
    <row r="133" ht="15.75" customHeight="1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  <c r="M133" s="113"/>
      <c r="N133" s="113"/>
      <c r="O133" s="113"/>
      <c r="P133" s="113"/>
    </row>
    <row r="134" ht="15.75" customHeight="1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</row>
    <row r="135" ht="15.75" customHeight="1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</row>
    <row r="136" ht="15.75" customHeight="1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</row>
    <row r="137" ht="15.75" customHeight="1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</row>
    <row r="138" ht="15.75" customHeight="1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</row>
    <row r="139" ht="15.75" customHeight="1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</row>
    <row r="140" ht="15.75" customHeight="1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</row>
    <row r="141" ht="15.75" customHeight="1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</row>
    <row r="142" ht="15.75" customHeight="1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</row>
    <row r="143" ht="15.75" customHeight="1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  <c r="M143" s="113"/>
      <c r="N143" s="113"/>
      <c r="O143" s="113"/>
      <c r="P143" s="113"/>
    </row>
    <row r="144" ht="15.75" customHeight="1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</row>
    <row r="145" ht="15.75" customHeight="1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</row>
    <row r="146" ht="15.75" customHeight="1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</row>
    <row r="147" ht="15.75" customHeight="1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</row>
    <row r="148" ht="15.75" customHeight="1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</row>
    <row r="149" ht="15.75" customHeight="1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</row>
    <row r="150" ht="15.75" customHeight="1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</row>
    <row r="151" ht="15.75" customHeight="1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  <c r="M151" s="113"/>
      <c r="N151" s="113"/>
      <c r="O151" s="113"/>
      <c r="P151" s="113"/>
    </row>
    <row r="152" ht="15.75" customHeight="1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  <c r="M152" s="113"/>
      <c r="N152" s="113"/>
      <c r="O152" s="113"/>
      <c r="P152" s="113"/>
    </row>
    <row r="153" ht="15.75" customHeight="1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  <c r="M153" s="113"/>
      <c r="N153" s="113"/>
      <c r="O153" s="113"/>
      <c r="P153" s="113"/>
    </row>
    <row r="154" ht="15.75" customHeight="1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  <c r="M154" s="113"/>
      <c r="N154" s="113"/>
      <c r="O154" s="113"/>
      <c r="P154" s="113"/>
    </row>
    <row r="155" ht="15.75" customHeight="1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  <c r="M155" s="113"/>
      <c r="N155" s="113"/>
      <c r="O155" s="113"/>
      <c r="P155" s="113"/>
    </row>
    <row r="156" ht="15.75" customHeight="1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  <c r="M156" s="113"/>
      <c r="N156" s="113"/>
      <c r="O156" s="113"/>
      <c r="P156" s="113"/>
    </row>
    <row r="157" ht="15.75" customHeight="1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  <c r="M157" s="113"/>
      <c r="N157" s="113"/>
      <c r="O157" s="113"/>
      <c r="P157" s="113"/>
    </row>
    <row r="158" ht="15.75" customHeight="1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  <c r="M158" s="113"/>
      <c r="N158" s="113"/>
      <c r="O158" s="113"/>
      <c r="P158" s="113"/>
    </row>
    <row r="159" ht="15.75" customHeight="1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  <c r="M159" s="113"/>
      <c r="N159" s="113"/>
      <c r="O159" s="113"/>
      <c r="P159" s="113"/>
    </row>
    <row r="160" ht="15.75" customHeight="1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  <c r="M160" s="113"/>
      <c r="N160" s="113"/>
      <c r="O160" s="113"/>
      <c r="P160" s="113"/>
    </row>
    <row r="161" ht="15.75" customHeight="1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  <c r="M161" s="113"/>
      <c r="N161" s="113"/>
      <c r="O161" s="113"/>
      <c r="P161" s="113"/>
    </row>
    <row r="162" ht="15.75" customHeight="1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  <c r="M162" s="113"/>
      <c r="N162" s="113"/>
      <c r="O162" s="113"/>
      <c r="P162" s="113"/>
    </row>
    <row r="163" ht="15.75" customHeight="1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  <c r="M163" s="113"/>
      <c r="N163" s="113"/>
      <c r="O163" s="113"/>
      <c r="P163" s="113"/>
    </row>
    <row r="164" ht="15.75" customHeight="1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  <c r="M164" s="113"/>
      <c r="N164" s="113"/>
      <c r="O164" s="113"/>
      <c r="P164" s="113"/>
    </row>
    <row r="165" ht="15.75" customHeight="1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  <c r="M165" s="113"/>
      <c r="N165" s="113"/>
      <c r="O165" s="113"/>
      <c r="P165" s="113"/>
    </row>
    <row r="166" ht="15.75" customHeight="1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  <c r="M166" s="113"/>
      <c r="N166" s="113"/>
      <c r="O166" s="113"/>
      <c r="P166" s="113"/>
    </row>
    <row r="167" ht="15.75" customHeight="1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  <c r="M167" s="113"/>
      <c r="N167" s="113"/>
      <c r="O167" s="113"/>
      <c r="P167" s="113"/>
    </row>
    <row r="168" ht="15.75" customHeight="1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  <c r="M168" s="113"/>
      <c r="N168" s="113"/>
      <c r="O168" s="113"/>
      <c r="P168" s="113"/>
    </row>
    <row r="169" ht="15.75" customHeight="1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  <c r="M169" s="113"/>
      <c r="N169" s="113"/>
      <c r="O169" s="113"/>
      <c r="P169" s="113"/>
    </row>
    <row r="170" ht="15.75" customHeight="1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  <c r="M170" s="113"/>
      <c r="N170" s="113"/>
      <c r="O170" s="113"/>
      <c r="P170" s="113"/>
    </row>
    <row r="171" ht="15.75" customHeight="1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  <c r="M171" s="113"/>
      <c r="N171" s="113"/>
      <c r="O171" s="113"/>
      <c r="P171" s="113"/>
    </row>
    <row r="172" ht="15.75" customHeight="1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  <c r="M172" s="113"/>
      <c r="N172" s="113"/>
      <c r="O172" s="113"/>
      <c r="P172" s="113"/>
    </row>
    <row r="173" ht="15.75" customHeight="1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  <c r="M173" s="113"/>
      <c r="N173" s="113"/>
      <c r="O173" s="113"/>
      <c r="P173" s="113"/>
    </row>
    <row r="174" ht="15.75" customHeight="1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  <c r="M174" s="113"/>
      <c r="N174" s="113"/>
      <c r="O174" s="113"/>
      <c r="P174" s="113"/>
    </row>
    <row r="175" ht="15.75" customHeight="1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</row>
    <row r="176" ht="15.75" customHeight="1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</row>
    <row r="177" ht="15.75" customHeight="1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</row>
    <row r="178" ht="15.75" customHeight="1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</row>
    <row r="179" ht="15.75" customHeight="1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</row>
    <row r="180" ht="15.75" customHeight="1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</row>
    <row r="181" ht="15.75" customHeight="1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</row>
    <row r="182" ht="15.75" customHeight="1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</row>
    <row r="183" ht="15.75" customHeight="1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</row>
    <row r="184" ht="15.75" customHeight="1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  <c r="M184" s="113"/>
      <c r="N184" s="113"/>
      <c r="O184" s="113"/>
      <c r="P184" s="113"/>
    </row>
    <row r="185" ht="15.75" customHeight="1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</row>
    <row r="186" ht="15.75" customHeight="1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</row>
    <row r="187" ht="15.75" customHeight="1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</row>
    <row r="188" ht="15.75" customHeight="1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</row>
    <row r="189" ht="15.75" customHeight="1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</row>
    <row r="190" ht="15.75" customHeight="1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</row>
    <row r="191" ht="15.75" customHeight="1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</row>
    <row r="192" ht="15.75" customHeight="1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  <c r="M192" s="113"/>
      <c r="N192" s="113"/>
      <c r="O192" s="113"/>
      <c r="P192" s="113"/>
    </row>
    <row r="193" ht="15.75" customHeight="1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  <c r="M193" s="113"/>
      <c r="N193" s="113"/>
      <c r="O193" s="113"/>
      <c r="P193" s="113"/>
    </row>
    <row r="194" ht="15.75" customHeight="1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  <c r="M194" s="113"/>
      <c r="N194" s="113"/>
      <c r="O194" s="113"/>
      <c r="P194" s="113"/>
    </row>
    <row r="195" ht="15.75" customHeight="1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  <c r="M195" s="113"/>
      <c r="N195" s="113"/>
      <c r="O195" s="113"/>
      <c r="P195" s="113"/>
    </row>
    <row r="196" ht="15.75" customHeight="1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  <c r="M196" s="113"/>
      <c r="N196" s="113"/>
      <c r="O196" s="113"/>
      <c r="P196" s="113"/>
    </row>
    <row r="197" ht="15.75" customHeight="1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  <c r="M197" s="113"/>
      <c r="N197" s="113"/>
      <c r="O197" s="113"/>
      <c r="P197" s="113"/>
    </row>
    <row r="198" ht="15.75" customHeight="1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  <c r="M198" s="113"/>
      <c r="N198" s="113"/>
      <c r="O198" s="113"/>
      <c r="P198" s="113"/>
    </row>
    <row r="199" ht="15.75" customHeight="1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  <c r="M199" s="113"/>
      <c r="N199" s="113"/>
      <c r="O199" s="113"/>
      <c r="P199" s="113"/>
    </row>
    <row r="200" ht="15.75" customHeight="1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  <c r="M200" s="113"/>
      <c r="N200" s="113"/>
      <c r="O200" s="113"/>
      <c r="P200" s="113"/>
    </row>
    <row r="201" ht="15.75" customHeight="1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  <c r="M201" s="113"/>
      <c r="N201" s="113"/>
      <c r="O201" s="113"/>
      <c r="P201" s="113"/>
    </row>
    <row r="202" ht="15.75" customHeight="1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  <c r="M202" s="113"/>
      <c r="N202" s="113"/>
      <c r="O202" s="113"/>
      <c r="P202" s="113"/>
    </row>
    <row r="203" ht="15.75" customHeight="1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  <c r="M203" s="113"/>
      <c r="N203" s="113"/>
      <c r="O203" s="113"/>
      <c r="P203" s="113"/>
    </row>
    <row r="204" ht="15.75" customHeight="1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  <c r="M204" s="113"/>
      <c r="N204" s="113"/>
      <c r="O204" s="113"/>
      <c r="P204" s="113"/>
    </row>
    <row r="205" ht="15.75" customHeight="1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  <c r="M205" s="113"/>
      <c r="N205" s="113"/>
      <c r="O205" s="113"/>
      <c r="P205" s="113"/>
    </row>
    <row r="206" ht="15.75" customHeight="1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  <c r="M206" s="113"/>
      <c r="N206" s="113"/>
      <c r="O206" s="113"/>
      <c r="P206" s="113"/>
    </row>
    <row r="207" ht="15.75" customHeight="1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  <c r="M207" s="113"/>
      <c r="N207" s="113"/>
      <c r="O207" s="113"/>
      <c r="P207" s="113"/>
    </row>
    <row r="208" ht="15.75" customHeight="1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  <c r="M208" s="113"/>
      <c r="N208" s="113"/>
      <c r="O208" s="113"/>
      <c r="P208" s="113"/>
    </row>
    <row r="209" ht="15.75" customHeight="1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  <c r="M209" s="113"/>
      <c r="N209" s="113"/>
      <c r="O209" s="113"/>
      <c r="P209" s="113"/>
    </row>
    <row r="210" ht="15.75" customHeight="1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  <c r="M210" s="113"/>
      <c r="N210" s="113"/>
      <c r="O210" s="113"/>
      <c r="P210" s="113"/>
    </row>
    <row r="211" ht="15.75" customHeight="1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  <c r="M211" s="113"/>
      <c r="N211" s="113"/>
      <c r="O211" s="113"/>
      <c r="P211" s="113"/>
    </row>
    <row r="212" ht="15.75" customHeight="1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  <c r="M212" s="113"/>
      <c r="N212" s="113"/>
      <c r="O212" s="113"/>
      <c r="P212" s="113"/>
    </row>
    <row r="213" ht="15.75" customHeight="1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  <c r="M213" s="113"/>
      <c r="N213" s="113"/>
      <c r="O213" s="113"/>
      <c r="P213" s="113"/>
    </row>
    <row r="214" ht="15.75" customHeight="1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  <c r="M214" s="113"/>
      <c r="N214" s="113"/>
      <c r="O214" s="113"/>
      <c r="P214" s="113"/>
    </row>
    <row r="215" ht="15.75" customHeight="1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  <c r="M215" s="113"/>
      <c r="N215" s="113"/>
      <c r="O215" s="113"/>
      <c r="P215" s="113"/>
    </row>
    <row r="216" ht="15.75" customHeight="1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  <c r="M216" s="113"/>
      <c r="N216" s="113"/>
      <c r="O216" s="113"/>
      <c r="P216" s="113"/>
    </row>
    <row r="217" ht="15.75" customHeight="1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  <c r="M217" s="113"/>
      <c r="N217" s="113"/>
      <c r="O217" s="113"/>
      <c r="P217" s="113"/>
    </row>
    <row r="218" ht="15.75" customHeight="1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  <c r="M218" s="113"/>
      <c r="N218" s="113"/>
      <c r="O218" s="113"/>
      <c r="P218" s="113"/>
    </row>
    <row r="219" ht="15.75" customHeight="1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  <c r="M219" s="113"/>
      <c r="N219" s="113"/>
      <c r="O219" s="113"/>
      <c r="P219" s="113"/>
    </row>
    <row r="220" ht="15.75" customHeight="1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  <c r="M220" s="113"/>
      <c r="N220" s="113"/>
      <c r="O220" s="113"/>
      <c r="P220" s="11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107" t="s">
        <v>61</v>
      </c>
      <c r="B1" s="107" t="s">
        <v>62</v>
      </c>
      <c r="C1" s="107" t="s">
        <v>64</v>
      </c>
      <c r="D1" s="107" t="s">
        <v>63</v>
      </c>
      <c r="E1" s="107" t="s">
        <v>65</v>
      </c>
      <c r="F1" s="107" t="s">
        <v>1436</v>
      </c>
      <c r="G1" s="107" t="s">
        <v>66</v>
      </c>
      <c r="H1" s="107" t="s">
        <v>68</v>
      </c>
      <c r="I1" s="107" t="s">
        <v>1432</v>
      </c>
      <c r="J1" s="107" t="s">
        <v>1431</v>
      </c>
      <c r="K1" s="107" t="s">
        <v>71</v>
      </c>
      <c r="L1" s="107" t="s">
        <v>1435</v>
      </c>
      <c r="M1" s="107" t="s">
        <v>72</v>
      </c>
    </row>
    <row r="2" ht="15.75" customHeight="1">
      <c r="A2" s="17">
        <v>46084.0</v>
      </c>
      <c r="B2" s="4" t="s">
        <v>1442</v>
      </c>
      <c r="C2" s="4" t="s">
        <v>1442</v>
      </c>
      <c r="D2" s="4" t="s">
        <v>1442</v>
      </c>
      <c r="E2" s="4" t="s">
        <v>1441</v>
      </c>
      <c r="F2" s="18">
        <v>8000000.0</v>
      </c>
      <c r="G2" s="18">
        <v>8000000.0</v>
      </c>
      <c r="H2" s="4" t="s">
        <v>156</v>
      </c>
      <c r="K2" s="78">
        <v>46082.0</v>
      </c>
      <c r="L2" s="4">
        <v>0.0</v>
      </c>
      <c r="M2" s="4">
        <v>2419.0</v>
      </c>
    </row>
    <row r="3" ht="15.75" customHeight="1">
      <c r="A3" s="17">
        <v>46090.0</v>
      </c>
      <c r="B3" s="4" t="s">
        <v>1444</v>
      </c>
      <c r="C3" s="4" t="s">
        <v>1444</v>
      </c>
      <c r="D3" s="4" t="s">
        <v>1444</v>
      </c>
      <c r="E3" s="4" t="s">
        <v>1443</v>
      </c>
      <c r="F3" s="18">
        <v>3026.0</v>
      </c>
      <c r="G3" s="18">
        <v>3026.0</v>
      </c>
      <c r="H3" s="4" t="s">
        <v>79</v>
      </c>
      <c r="K3" s="78">
        <v>46082.0</v>
      </c>
      <c r="L3" s="4">
        <v>0.0</v>
      </c>
      <c r="M3" s="4">
        <v>2465.0</v>
      </c>
    </row>
    <row r="4" ht="15.75" customHeight="1">
      <c r="A4" s="17">
        <v>46090.0</v>
      </c>
      <c r="B4" s="4" t="s">
        <v>1445</v>
      </c>
      <c r="C4" s="4" t="s">
        <v>1445</v>
      </c>
      <c r="D4" s="4" t="s">
        <v>1445</v>
      </c>
      <c r="E4" s="4" t="s">
        <v>1443</v>
      </c>
      <c r="F4" s="18">
        <v>3754.0</v>
      </c>
      <c r="G4" s="18">
        <v>3754.0</v>
      </c>
      <c r="H4" s="4" t="s">
        <v>79</v>
      </c>
      <c r="K4" s="78">
        <v>46082.0</v>
      </c>
      <c r="L4" s="4">
        <v>0.0</v>
      </c>
      <c r="M4" s="4">
        <v>2467.0</v>
      </c>
    </row>
    <row r="5" ht="15.75" customHeight="1">
      <c r="A5" s="17">
        <v>46090.0</v>
      </c>
      <c r="B5" s="4" t="s">
        <v>1447</v>
      </c>
      <c r="C5" s="4" t="s">
        <v>1447</v>
      </c>
      <c r="D5" s="4" t="s">
        <v>1447</v>
      </c>
      <c r="E5" s="4" t="s">
        <v>1446</v>
      </c>
      <c r="F5" s="18">
        <v>3000000.0</v>
      </c>
      <c r="G5" s="18">
        <v>3000000.0</v>
      </c>
      <c r="H5" s="4" t="s">
        <v>156</v>
      </c>
      <c r="K5" s="78">
        <v>46082.0</v>
      </c>
      <c r="L5" s="4" t="s">
        <v>1566</v>
      </c>
      <c r="M5" s="4">
        <v>2481.0</v>
      </c>
    </row>
    <row r="6" ht="15.75" customHeight="1">
      <c r="A6" s="17">
        <v>46091.0</v>
      </c>
      <c r="B6" s="4" t="s">
        <v>1448</v>
      </c>
      <c r="C6" s="4" t="s">
        <v>1448</v>
      </c>
      <c r="D6" s="4" t="s">
        <v>1448</v>
      </c>
      <c r="E6" s="4" t="s">
        <v>1441</v>
      </c>
      <c r="F6" s="18">
        <v>150000.0</v>
      </c>
      <c r="G6" s="18">
        <v>150000.0</v>
      </c>
      <c r="H6" s="4" t="s">
        <v>156</v>
      </c>
      <c r="K6" s="78">
        <v>46082.0</v>
      </c>
      <c r="L6" s="4">
        <v>0.0</v>
      </c>
      <c r="M6" s="4">
        <v>2509.0</v>
      </c>
    </row>
    <row r="7" ht="15.75" customHeight="1">
      <c r="A7" s="17">
        <v>46092.0</v>
      </c>
      <c r="B7" s="4" t="s">
        <v>1450</v>
      </c>
      <c r="C7" s="4" t="s">
        <v>1450</v>
      </c>
      <c r="D7" s="4" t="s">
        <v>1450</v>
      </c>
      <c r="E7" s="4" t="s">
        <v>1449</v>
      </c>
      <c r="F7" s="18">
        <v>3.2676781E7</v>
      </c>
      <c r="G7" s="18">
        <v>3.2676781E7</v>
      </c>
      <c r="H7" s="4" t="s">
        <v>79</v>
      </c>
      <c r="K7" s="78">
        <v>46082.0</v>
      </c>
      <c r="L7" s="4">
        <v>0.0</v>
      </c>
      <c r="M7" s="4">
        <v>2590.0</v>
      </c>
    </row>
    <row r="8" ht="15.75" customHeight="1">
      <c r="A8" s="17">
        <v>46093.0</v>
      </c>
      <c r="B8" s="4" t="s">
        <v>1451</v>
      </c>
      <c r="C8" s="4" t="s">
        <v>1451</v>
      </c>
      <c r="D8" s="4" t="s">
        <v>1451</v>
      </c>
      <c r="E8" s="4" t="s">
        <v>1441</v>
      </c>
      <c r="F8" s="18">
        <v>401860.0</v>
      </c>
      <c r="G8" s="18">
        <v>401860.0</v>
      </c>
      <c r="H8" s="4" t="s">
        <v>156</v>
      </c>
      <c r="K8" s="78">
        <v>46082.0</v>
      </c>
      <c r="L8" s="4">
        <v>0.0</v>
      </c>
      <c r="M8" s="4">
        <v>2530.0</v>
      </c>
    </row>
    <row r="9" ht="15.75" customHeight="1">
      <c r="A9" s="17">
        <v>46097.0</v>
      </c>
      <c r="B9" s="4" t="s">
        <v>1453</v>
      </c>
      <c r="C9" s="4" t="s">
        <v>1453</v>
      </c>
      <c r="D9" s="4" t="s">
        <v>1452</v>
      </c>
      <c r="E9" s="4" t="s">
        <v>1441</v>
      </c>
      <c r="F9" s="18">
        <v>380712.0</v>
      </c>
      <c r="G9" s="18">
        <v>380712.0</v>
      </c>
      <c r="H9" s="4" t="s">
        <v>156</v>
      </c>
      <c r="K9" s="78">
        <v>46082.0</v>
      </c>
      <c r="L9" s="4">
        <v>0.0</v>
      </c>
      <c r="M9" s="4">
        <v>2565.0</v>
      </c>
    </row>
    <row r="10" ht="15.75" customHeight="1">
      <c r="A10" s="17">
        <v>46097.0</v>
      </c>
      <c r="B10" s="4" t="s">
        <v>1454</v>
      </c>
      <c r="C10" s="4" t="s">
        <v>1454</v>
      </c>
      <c r="D10" s="4" t="s">
        <v>1454</v>
      </c>
      <c r="E10" s="4" t="s">
        <v>1446</v>
      </c>
      <c r="F10" s="18">
        <v>117612.0</v>
      </c>
      <c r="G10" s="18">
        <v>117612.0</v>
      </c>
      <c r="H10" s="4" t="s">
        <v>156</v>
      </c>
      <c r="K10" s="78">
        <v>46082.0</v>
      </c>
      <c r="L10" s="4">
        <v>0.0</v>
      </c>
      <c r="M10" s="4">
        <v>2566.0</v>
      </c>
    </row>
    <row r="11" ht="15.75" customHeight="1">
      <c r="A11" s="17">
        <v>46097.0</v>
      </c>
      <c r="B11" s="4" t="s">
        <v>1456</v>
      </c>
      <c r="C11" s="4" t="s">
        <v>1456</v>
      </c>
      <c r="D11" s="4" t="s">
        <v>1456</v>
      </c>
      <c r="E11" s="4" t="s">
        <v>1455</v>
      </c>
      <c r="F11" s="18">
        <v>194799.0</v>
      </c>
      <c r="G11" s="18">
        <v>194799.0</v>
      </c>
      <c r="H11" s="4" t="s">
        <v>79</v>
      </c>
      <c r="K11" s="78">
        <v>46082.0</v>
      </c>
      <c r="L11" s="4">
        <v>0.0</v>
      </c>
      <c r="M11" s="4">
        <v>2567.0</v>
      </c>
    </row>
    <row r="12" ht="15.75" customHeight="1">
      <c r="A12" s="17">
        <v>46099.0</v>
      </c>
      <c r="B12" s="4" t="s">
        <v>1457</v>
      </c>
      <c r="C12" s="4" t="s">
        <v>1457</v>
      </c>
      <c r="D12" s="4" t="s">
        <v>1457</v>
      </c>
      <c r="E12" s="4" t="s">
        <v>1441</v>
      </c>
      <c r="F12" s="18">
        <v>9283350.0</v>
      </c>
      <c r="G12" s="18">
        <v>9283350.0</v>
      </c>
      <c r="H12" s="4" t="s">
        <v>156</v>
      </c>
      <c r="K12" s="78">
        <v>46082.0</v>
      </c>
      <c r="L12" s="4">
        <v>0.0</v>
      </c>
      <c r="M12" s="4">
        <v>2575.0</v>
      </c>
    </row>
    <row r="13" ht="15.75" customHeight="1">
      <c r="A13" s="17">
        <v>46105.0</v>
      </c>
      <c r="B13" s="4" t="s">
        <v>1459</v>
      </c>
      <c r="C13" s="4" t="s">
        <v>1459</v>
      </c>
      <c r="D13" s="4" t="s">
        <v>1459</v>
      </c>
      <c r="E13" s="4" t="s">
        <v>1458</v>
      </c>
      <c r="F13" s="18">
        <v>9882700.0</v>
      </c>
      <c r="G13" s="18">
        <v>9882700.0</v>
      </c>
      <c r="H13" s="4" t="s">
        <v>156</v>
      </c>
      <c r="K13" s="78">
        <v>46082.0</v>
      </c>
      <c r="L13" s="4">
        <v>0.0</v>
      </c>
      <c r="M13" s="4">
        <v>2613.0</v>
      </c>
    </row>
    <row r="14" ht="15.75" customHeight="1">
      <c r="A14" s="17">
        <v>46112.0</v>
      </c>
      <c r="B14" s="4" t="s">
        <v>1453</v>
      </c>
      <c r="C14" s="4" t="s">
        <v>1453</v>
      </c>
      <c r="D14" s="4" t="s">
        <v>311</v>
      </c>
      <c r="E14" s="4" t="s">
        <v>1441</v>
      </c>
      <c r="F14" s="18">
        <v>258698.0</v>
      </c>
      <c r="G14" s="18">
        <v>258698.0</v>
      </c>
      <c r="H14" s="4" t="s">
        <v>79</v>
      </c>
      <c r="K14" s="78">
        <v>46082.0</v>
      </c>
      <c r="L14" s="4">
        <v>0.0</v>
      </c>
      <c r="M14" s="4">
        <v>2701.0</v>
      </c>
    </row>
    <row r="15" ht="15.75" customHeight="1">
      <c r="A15" s="17">
        <v>46112.0</v>
      </c>
      <c r="B15" s="4" t="s">
        <v>1454</v>
      </c>
      <c r="C15" s="4" t="s">
        <v>1454</v>
      </c>
      <c r="D15" s="4" t="s">
        <v>1454</v>
      </c>
      <c r="E15" s="4" t="s">
        <v>1446</v>
      </c>
      <c r="F15" s="18">
        <v>508157.0</v>
      </c>
      <c r="G15" s="18">
        <v>508157.0</v>
      </c>
      <c r="H15" s="4" t="s">
        <v>156</v>
      </c>
      <c r="K15" s="78">
        <v>46082.0</v>
      </c>
      <c r="L15" s="4">
        <v>0.0</v>
      </c>
      <c r="M15" s="4">
        <v>2702.0</v>
      </c>
    </row>
    <row r="16" ht="15.75" customHeight="1">
      <c r="A16" s="17">
        <v>46112.0</v>
      </c>
      <c r="B16" s="4" t="s">
        <v>1460</v>
      </c>
      <c r="C16" s="4" t="s">
        <v>1460</v>
      </c>
      <c r="D16" s="4" t="s">
        <v>1460</v>
      </c>
      <c r="E16" s="4" t="s">
        <v>1446</v>
      </c>
      <c r="F16" s="18">
        <v>1457088.0</v>
      </c>
      <c r="G16" s="18">
        <v>1457088.0</v>
      </c>
      <c r="H16" s="4" t="s">
        <v>156</v>
      </c>
      <c r="K16" s="78">
        <v>46082.0</v>
      </c>
      <c r="L16" s="4">
        <v>0.0</v>
      </c>
      <c r="M16" s="4">
        <v>2736.0</v>
      </c>
    </row>
    <row r="17" ht="15.75" customHeight="1">
      <c r="A17" s="17">
        <v>46112.0</v>
      </c>
      <c r="B17" s="4" t="s">
        <v>1462</v>
      </c>
      <c r="C17" s="4" t="s">
        <v>1462</v>
      </c>
      <c r="D17" s="4" t="s">
        <v>1461</v>
      </c>
      <c r="E17" s="4" t="s">
        <v>1446</v>
      </c>
      <c r="F17" s="18">
        <v>1457088.0</v>
      </c>
      <c r="G17" s="18">
        <v>1457088.0</v>
      </c>
      <c r="H17" s="4" t="s">
        <v>156</v>
      </c>
      <c r="K17" s="78">
        <v>46082.0</v>
      </c>
      <c r="L17" s="4" t="s">
        <v>1566</v>
      </c>
      <c r="M17" s="4">
        <v>2696.0</v>
      </c>
    </row>
    <row r="18" ht="15.75" customHeight="1">
      <c r="A18" s="17">
        <v>46113.0</v>
      </c>
      <c r="B18" s="4" t="s">
        <v>1463</v>
      </c>
      <c r="C18" s="4" t="s">
        <v>1463</v>
      </c>
      <c r="D18" s="4" t="s">
        <v>314</v>
      </c>
      <c r="E18" s="4" t="s">
        <v>1446</v>
      </c>
      <c r="F18" s="18">
        <v>66850.0</v>
      </c>
      <c r="G18" s="18">
        <v>66850.0</v>
      </c>
      <c r="H18" s="4" t="s">
        <v>79</v>
      </c>
      <c r="K18" s="78">
        <v>46113.0</v>
      </c>
      <c r="L18" s="4" t="s">
        <v>1566</v>
      </c>
      <c r="M18" s="4">
        <v>2700.0</v>
      </c>
    </row>
    <row r="19" ht="15.75" customHeight="1">
      <c r="A19" s="17">
        <v>46114.0</v>
      </c>
      <c r="B19" s="4" t="s">
        <v>1466</v>
      </c>
      <c r="C19" s="4" t="s">
        <v>1466</v>
      </c>
      <c r="D19" s="4" t="s">
        <v>1465</v>
      </c>
      <c r="E19" s="4" t="s">
        <v>1464</v>
      </c>
      <c r="F19" s="18">
        <v>27280.0</v>
      </c>
      <c r="G19" s="18">
        <v>27280.0</v>
      </c>
      <c r="H19" s="4" t="s">
        <v>156</v>
      </c>
      <c r="I19" s="4" t="s">
        <v>509</v>
      </c>
      <c r="J19" s="4" t="s">
        <v>502</v>
      </c>
      <c r="K19" s="78">
        <v>46113.0</v>
      </c>
      <c r="L19" s="4" t="s">
        <v>1566</v>
      </c>
      <c r="M19" s="4">
        <v>2707.0</v>
      </c>
    </row>
    <row r="20" ht="15.75" customHeight="1">
      <c r="A20" s="17">
        <v>46115.0</v>
      </c>
      <c r="B20" s="4" t="s">
        <v>1470</v>
      </c>
      <c r="C20" s="4" t="s">
        <v>1470</v>
      </c>
      <c r="D20" s="4" t="s">
        <v>1467</v>
      </c>
      <c r="E20" s="4" t="s">
        <v>1446</v>
      </c>
      <c r="F20" s="18">
        <v>70000.0</v>
      </c>
      <c r="G20" s="18">
        <v>70000.0</v>
      </c>
      <c r="H20" s="4" t="s">
        <v>156</v>
      </c>
      <c r="I20" s="4" t="s">
        <v>1469</v>
      </c>
      <c r="J20" s="4" t="s">
        <v>1468</v>
      </c>
      <c r="K20" s="78">
        <v>46113.0</v>
      </c>
      <c r="L20" s="4" t="s">
        <v>1566</v>
      </c>
      <c r="M20" s="4">
        <v>2722.0</v>
      </c>
    </row>
    <row r="21" ht="15.75" customHeight="1">
      <c r="A21" s="17">
        <v>46115.0</v>
      </c>
      <c r="B21" s="4" t="s">
        <v>1472</v>
      </c>
      <c r="C21" s="4" t="s">
        <v>1472</v>
      </c>
      <c r="D21" s="4" t="s">
        <v>1471</v>
      </c>
      <c r="E21" s="4" t="s">
        <v>1446</v>
      </c>
      <c r="F21" s="18">
        <v>1550000.0</v>
      </c>
      <c r="G21" s="18">
        <v>1550000.0</v>
      </c>
      <c r="H21" s="4" t="s">
        <v>156</v>
      </c>
      <c r="K21" s="78">
        <v>46113.0</v>
      </c>
      <c r="L21" s="4" t="s">
        <v>1566</v>
      </c>
      <c r="M21" s="4">
        <v>2728.0</v>
      </c>
    </row>
    <row r="22" ht="15.75" customHeight="1">
      <c r="A22" s="17">
        <v>46118.0</v>
      </c>
      <c r="B22" s="4" t="s">
        <v>1473</v>
      </c>
      <c r="C22" s="4" t="s">
        <v>1473</v>
      </c>
      <c r="D22" s="4" t="s">
        <v>1473</v>
      </c>
      <c r="E22" s="4" t="s">
        <v>1441</v>
      </c>
      <c r="F22" s="18">
        <v>99000.0</v>
      </c>
      <c r="G22" s="18">
        <v>99000.0</v>
      </c>
      <c r="H22" s="4" t="s">
        <v>156</v>
      </c>
      <c r="I22" s="4" t="s">
        <v>907</v>
      </c>
      <c r="J22" s="4" t="s">
        <v>1474</v>
      </c>
      <c r="K22" s="78">
        <v>46113.0</v>
      </c>
      <c r="L22" s="4" t="s">
        <v>1566</v>
      </c>
      <c r="M22" s="4">
        <v>2741.0</v>
      </c>
    </row>
    <row r="23" ht="15.75" customHeight="1">
      <c r="A23" s="17">
        <v>46119.0</v>
      </c>
      <c r="B23" s="4" t="s">
        <v>315</v>
      </c>
      <c r="C23" s="4" t="s">
        <v>315</v>
      </c>
      <c r="D23" s="4" t="s">
        <v>315</v>
      </c>
      <c r="E23" s="4" t="s">
        <v>1446</v>
      </c>
      <c r="F23" s="18">
        <v>1150000.0</v>
      </c>
      <c r="G23" s="18">
        <v>1150000.0</v>
      </c>
      <c r="H23" s="4" t="s">
        <v>79</v>
      </c>
      <c r="K23" s="78">
        <v>46113.0</v>
      </c>
      <c r="L23" s="4" t="s">
        <v>1566</v>
      </c>
      <c r="M23" s="4">
        <v>2746.0</v>
      </c>
    </row>
    <row r="24" ht="15.75" customHeight="1">
      <c r="A24" s="17">
        <v>46120.0</v>
      </c>
      <c r="B24" s="4" t="s">
        <v>1477</v>
      </c>
      <c r="C24" s="4" t="s">
        <v>1477</v>
      </c>
      <c r="D24" s="4" t="s">
        <v>1475</v>
      </c>
      <c r="E24" s="4" t="s">
        <v>1446</v>
      </c>
      <c r="F24" s="18">
        <v>302670.0</v>
      </c>
      <c r="G24" s="18">
        <v>302670.0</v>
      </c>
      <c r="H24" s="4" t="s">
        <v>156</v>
      </c>
      <c r="I24" s="4" t="s">
        <v>1169</v>
      </c>
      <c r="J24" s="4" t="s">
        <v>1476</v>
      </c>
      <c r="K24" s="78">
        <v>46113.0</v>
      </c>
      <c r="L24" s="4" t="s">
        <v>1566</v>
      </c>
      <c r="M24" s="4">
        <v>2747.0</v>
      </c>
    </row>
    <row r="25" ht="15.75" customHeight="1">
      <c r="A25" s="17">
        <v>46121.0</v>
      </c>
      <c r="B25" s="4" t="s">
        <v>316</v>
      </c>
      <c r="C25" s="4" t="s">
        <v>316</v>
      </c>
      <c r="D25" s="4" t="s">
        <v>316</v>
      </c>
      <c r="E25" s="4" t="s">
        <v>1441</v>
      </c>
      <c r="F25" s="18">
        <v>25000.0</v>
      </c>
      <c r="G25" s="18">
        <v>25000.0</v>
      </c>
      <c r="H25" s="4" t="s">
        <v>79</v>
      </c>
      <c r="K25" s="78">
        <v>46113.0</v>
      </c>
      <c r="L25" s="4" t="s">
        <v>1566</v>
      </c>
      <c r="M25" s="4">
        <v>2779.0</v>
      </c>
    </row>
    <row r="26" ht="15.75" customHeight="1">
      <c r="A26" s="17">
        <v>46121.0</v>
      </c>
      <c r="B26" s="4" t="s">
        <v>1478</v>
      </c>
      <c r="C26" s="4" t="s">
        <v>1478</v>
      </c>
      <c r="D26" s="4" t="s">
        <v>317</v>
      </c>
      <c r="E26" s="4" t="s">
        <v>1441</v>
      </c>
      <c r="F26" s="18">
        <v>150000.0</v>
      </c>
      <c r="G26" s="18">
        <v>150000.0</v>
      </c>
      <c r="H26" s="4" t="s">
        <v>79</v>
      </c>
      <c r="K26" s="78">
        <v>46113.0</v>
      </c>
      <c r="L26" s="4" t="s">
        <v>1566</v>
      </c>
      <c r="M26" s="4">
        <v>2754.0</v>
      </c>
    </row>
    <row r="27" ht="15.75" customHeight="1">
      <c r="A27" s="17">
        <v>46122.0</v>
      </c>
      <c r="B27" s="4" t="s">
        <v>1480</v>
      </c>
      <c r="C27" s="4" t="s">
        <v>1480</v>
      </c>
      <c r="D27" s="4" t="s">
        <v>1480</v>
      </c>
      <c r="E27" s="4" t="s">
        <v>1479</v>
      </c>
      <c r="F27" s="18">
        <v>159158.0</v>
      </c>
      <c r="G27" s="18">
        <v>159158.0</v>
      </c>
      <c r="H27" s="4" t="s">
        <v>79</v>
      </c>
      <c r="K27" s="78">
        <v>46113.0</v>
      </c>
      <c r="L27" s="4">
        <v>0.0</v>
      </c>
      <c r="M27" s="4">
        <v>2767.0</v>
      </c>
    </row>
    <row r="28" ht="15.75" customHeight="1">
      <c r="A28" s="17">
        <v>46122.0</v>
      </c>
      <c r="B28" s="4" t="s">
        <v>1480</v>
      </c>
      <c r="C28" s="4" t="s">
        <v>1480</v>
      </c>
      <c r="D28" s="4" t="s">
        <v>1480</v>
      </c>
      <c r="E28" s="4" t="s">
        <v>1479</v>
      </c>
      <c r="F28" s="18">
        <v>79577.0</v>
      </c>
      <c r="G28" s="18">
        <v>79577.0</v>
      </c>
      <c r="H28" s="4" t="s">
        <v>79</v>
      </c>
      <c r="K28" s="78">
        <v>46113.0</v>
      </c>
      <c r="L28" s="4">
        <v>0.0</v>
      </c>
      <c r="M28" s="4">
        <v>2768.0</v>
      </c>
    </row>
    <row r="29" ht="15.75" customHeight="1">
      <c r="A29" s="17">
        <v>46122.0</v>
      </c>
      <c r="B29" s="4" t="s">
        <v>1481</v>
      </c>
      <c r="C29" s="4" t="s">
        <v>1481</v>
      </c>
      <c r="D29" s="4" t="s">
        <v>1481</v>
      </c>
      <c r="E29" s="4" t="s">
        <v>1441</v>
      </c>
      <c r="F29" s="18">
        <v>104643.0</v>
      </c>
      <c r="G29" s="18">
        <v>104643.0</v>
      </c>
      <c r="H29" s="4" t="s">
        <v>156</v>
      </c>
      <c r="I29" s="4" t="s">
        <v>691</v>
      </c>
      <c r="J29" s="4" t="s">
        <v>683</v>
      </c>
      <c r="K29" s="78">
        <v>46113.0</v>
      </c>
      <c r="L29" s="4" t="s">
        <v>1566</v>
      </c>
      <c r="M29" s="4">
        <v>2771.0</v>
      </c>
    </row>
    <row r="30" ht="15.75" customHeight="1">
      <c r="A30" s="17">
        <v>46122.0</v>
      </c>
      <c r="B30" s="4" t="s">
        <v>318</v>
      </c>
      <c r="C30" s="4" t="s">
        <v>318</v>
      </c>
      <c r="D30" s="4" t="s">
        <v>318</v>
      </c>
      <c r="E30" s="4" t="s">
        <v>1446</v>
      </c>
      <c r="F30" s="18">
        <v>57700.0</v>
      </c>
      <c r="G30" s="18">
        <v>57700.0</v>
      </c>
      <c r="H30" s="4" t="s">
        <v>79</v>
      </c>
      <c r="K30" s="78">
        <v>46113.0</v>
      </c>
      <c r="L30" s="4" t="s">
        <v>1566</v>
      </c>
      <c r="M30" s="4">
        <v>2772.0</v>
      </c>
    </row>
    <row r="31" ht="15.75" customHeight="1">
      <c r="A31" s="17">
        <v>46122.0</v>
      </c>
      <c r="B31" s="4" t="s">
        <v>203</v>
      </c>
      <c r="C31" s="4" t="s">
        <v>203</v>
      </c>
      <c r="D31" s="4" t="s">
        <v>203</v>
      </c>
      <c r="E31" s="4" t="s">
        <v>1441</v>
      </c>
      <c r="F31" s="18">
        <v>8439760.0</v>
      </c>
      <c r="G31" s="18">
        <v>8439760.0</v>
      </c>
      <c r="H31" s="4" t="s">
        <v>156</v>
      </c>
      <c r="K31" s="78">
        <v>46113.0</v>
      </c>
      <c r="L31" s="4">
        <v>0.0</v>
      </c>
      <c r="M31" s="4">
        <v>2815.0</v>
      </c>
    </row>
    <row r="32" ht="15.75" customHeight="1">
      <c r="A32" s="17">
        <v>46122.0</v>
      </c>
      <c r="B32" s="4" t="s">
        <v>1494</v>
      </c>
      <c r="C32" s="4" t="s">
        <v>1494</v>
      </c>
      <c r="D32" s="4" t="s">
        <v>1493</v>
      </c>
      <c r="E32" s="4" t="s">
        <v>1492</v>
      </c>
      <c r="F32" s="18">
        <v>1000000.0</v>
      </c>
      <c r="G32" s="18">
        <v>1000000.0</v>
      </c>
      <c r="H32" s="4" t="s">
        <v>79</v>
      </c>
      <c r="K32" s="78">
        <v>46113.0</v>
      </c>
      <c r="L32" s="4" t="s">
        <v>1566</v>
      </c>
    </row>
    <row r="33" ht="15.75" customHeight="1">
      <c r="A33" s="17">
        <v>46122.0</v>
      </c>
      <c r="B33" s="4" t="s">
        <v>1503</v>
      </c>
      <c r="C33" s="4" t="s">
        <v>1503</v>
      </c>
      <c r="D33" s="4" t="s">
        <v>1502</v>
      </c>
      <c r="E33" s="4" t="s">
        <v>1492</v>
      </c>
      <c r="F33" s="18">
        <v>2700000.0</v>
      </c>
      <c r="G33" s="18">
        <v>2700000.0</v>
      </c>
      <c r="H33" s="4" t="s">
        <v>79</v>
      </c>
      <c r="K33" s="78">
        <v>46113.0</v>
      </c>
      <c r="L33" s="4" t="s">
        <v>1566</v>
      </c>
    </row>
    <row r="34" ht="15.75" customHeight="1">
      <c r="A34" s="17">
        <v>46126.0</v>
      </c>
      <c r="B34" s="4" t="s">
        <v>321</v>
      </c>
      <c r="C34" s="4" t="s">
        <v>321</v>
      </c>
      <c r="D34" s="4" t="s">
        <v>321</v>
      </c>
      <c r="E34" s="4" t="s">
        <v>1446</v>
      </c>
      <c r="F34" s="18">
        <v>198000.0</v>
      </c>
      <c r="G34" s="18">
        <v>198000.0</v>
      </c>
      <c r="H34" s="4" t="s">
        <v>79</v>
      </c>
      <c r="K34" s="78">
        <v>46113.0</v>
      </c>
      <c r="L34" s="4">
        <v>0.0</v>
      </c>
      <c r="M34" s="4">
        <v>2833.0</v>
      </c>
    </row>
    <row r="35" ht="15.75" customHeight="1">
      <c r="A35" s="17">
        <v>46127.0</v>
      </c>
      <c r="B35" s="4" t="s">
        <v>1506</v>
      </c>
      <c r="C35" s="4" t="s">
        <v>1506</v>
      </c>
      <c r="D35" s="4" t="s">
        <v>1506</v>
      </c>
      <c r="E35" s="4" t="s">
        <v>1441</v>
      </c>
      <c r="F35" s="18">
        <v>50270.0</v>
      </c>
      <c r="G35" s="18">
        <v>50270.0</v>
      </c>
      <c r="H35" s="4" t="s">
        <v>156</v>
      </c>
      <c r="I35" s="4" t="s">
        <v>1508</v>
      </c>
      <c r="J35" s="4" t="s">
        <v>1507</v>
      </c>
      <c r="K35" s="78">
        <v>46113.0</v>
      </c>
      <c r="L35" s="4">
        <v>0.0</v>
      </c>
      <c r="M35" s="4">
        <v>2834.0</v>
      </c>
    </row>
    <row r="36" ht="15.75" customHeight="1">
      <c r="A36" s="17">
        <v>46127.0</v>
      </c>
      <c r="B36" s="4" t="s">
        <v>322</v>
      </c>
      <c r="C36" s="4" t="s">
        <v>322</v>
      </c>
      <c r="D36" s="4" t="s">
        <v>322</v>
      </c>
      <c r="E36" s="4" t="s">
        <v>1446</v>
      </c>
      <c r="F36" s="18">
        <v>440822.0</v>
      </c>
      <c r="G36" s="18">
        <v>440822.0</v>
      </c>
      <c r="H36" s="4" t="s">
        <v>57</v>
      </c>
      <c r="K36" s="78">
        <v>46113.0</v>
      </c>
      <c r="L36" s="4">
        <v>0.0</v>
      </c>
      <c r="M36" s="4">
        <v>2836.0</v>
      </c>
    </row>
    <row r="37" ht="15.75" customHeight="1">
      <c r="A37" s="17">
        <v>46127.0</v>
      </c>
      <c r="B37" s="4" t="s">
        <v>323</v>
      </c>
      <c r="C37" s="4" t="s">
        <v>323</v>
      </c>
      <c r="D37" s="4" t="s">
        <v>323</v>
      </c>
      <c r="E37" s="4" t="s">
        <v>1446</v>
      </c>
      <c r="F37" s="18">
        <v>14520.0</v>
      </c>
      <c r="G37" s="18">
        <v>14520.0</v>
      </c>
      <c r="H37" s="4" t="s">
        <v>79</v>
      </c>
      <c r="K37" s="78">
        <v>46113.0</v>
      </c>
      <c r="L37" s="4">
        <v>0.0</v>
      </c>
      <c r="M37" s="4">
        <v>2837.0</v>
      </c>
    </row>
    <row r="38" ht="15.75" customHeight="1">
      <c r="A38" s="17">
        <v>46127.0</v>
      </c>
      <c r="B38" s="4" t="s">
        <v>1456</v>
      </c>
      <c r="C38" s="4" t="s">
        <v>1456</v>
      </c>
      <c r="D38" s="4" t="s">
        <v>1456</v>
      </c>
      <c r="E38" s="4" t="s">
        <v>1455</v>
      </c>
      <c r="F38" s="18">
        <v>187886.0</v>
      </c>
      <c r="G38" s="18">
        <v>187886.0</v>
      </c>
      <c r="H38" s="4" t="s">
        <v>79</v>
      </c>
      <c r="K38" s="78">
        <v>46113.0</v>
      </c>
      <c r="L38" s="4">
        <v>0.0</v>
      </c>
      <c r="M38" s="4">
        <v>2838.0</v>
      </c>
    </row>
    <row r="39" ht="15.75" customHeight="1">
      <c r="A39" s="17">
        <v>46128.0</v>
      </c>
      <c r="B39" s="4" t="s">
        <v>1509</v>
      </c>
      <c r="C39" s="4" t="s">
        <v>1509</v>
      </c>
      <c r="D39" s="4" t="s">
        <v>1509</v>
      </c>
      <c r="E39" s="4" t="s">
        <v>1441</v>
      </c>
      <c r="F39" s="18">
        <v>75000.0</v>
      </c>
      <c r="G39" s="18">
        <v>75000.0</v>
      </c>
      <c r="H39" s="4" t="s">
        <v>156</v>
      </c>
      <c r="I39" s="4" t="s">
        <v>1169</v>
      </c>
      <c r="J39" s="4" t="s">
        <v>1161</v>
      </c>
      <c r="K39" s="78">
        <v>46113.0</v>
      </c>
      <c r="L39" s="4">
        <v>0.0</v>
      </c>
      <c r="M39" s="4">
        <v>2835.0</v>
      </c>
    </row>
    <row r="40" ht="15.75" customHeight="1">
      <c r="A40" s="17">
        <v>46129.0</v>
      </c>
      <c r="B40" s="4" t="s">
        <v>1510</v>
      </c>
      <c r="C40" s="4" t="s">
        <v>1510</v>
      </c>
      <c r="D40" s="4" t="s">
        <v>1510</v>
      </c>
      <c r="E40" s="4" t="s">
        <v>1441</v>
      </c>
      <c r="F40" s="18">
        <v>210000.0</v>
      </c>
      <c r="G40" s="18">
        <v>210000.0</v>
      </c>
      <c r="H40" s="4" t="s">
        <v>156</v>
      </c>
      <c r="I40" s="4" t="s">
        <v>320</v>
      </c>
      <c r="J40" s="4" t="s">
        <v>1135</v>
      </c>
      <c r="K40" s="78">
        <v>46113.0</v>
      </c>
      <c r="L40" s="4">
        <v>0.0</v>
      </c>
      <c r="M40" s="4">
        <v>2857.0</v>
      </c>
    </row>
    <row r="41" ht="15.75" customHeight="1">
      <c r="A41" s="17">
        <v>46132.0</v>
      </c>
      <c r="B41" s="4" t="s">
        <v>328</v>
      </c>
      <c r="C41" s="4" t="s">
        <v>328</v>
      </c>
      <c r="D41" s="4" t="s">
        <v>328</v>
      </c>
      <c r="E41" s="4" t="s">
        <v>1446</v>
      </c>
      <c r="F41" s="18">
        <v>1132941.0</v>
      </c>
      <c r="G41" s="18">
        <v>1132941.0</v>
      </c>
      <c r="H41" s="4" t="s">
        <v>156</v>
      </c>
      <c r="I41" s="4" t="s">
        <v>185</v>
      </c>
      <c r="J41" s="4" t="s">
        <v>1101</v>
      </c>
      <c r="K41" s="78">
        <v>46113.0</v>
      </c>
      <c r="L41" s="4">
        <v>0.0</v>
      </c>
      <c r="M41" s="4">
        <v>2874.0</v>
      </c>
    </row>
    <row r="42" ht="15.75" customHeight="1">
      <c r="A42" s="17">
        <v>46133.0</v>
      </c>
      <c r="B42" s="4" t="s">
        <v>326</v>
      </c>
      <c r="C42" s="4" t="s">
        <v>326</v>
      </c>
      <c r="D42" s="4" t="s">
        <v>326</v>
      </c>
      <c r="E42" s="4" t="s">
        <v>1446</v>
      </c>
      <c r="F42" s="18">
        <v>64350.0</v>
      </c>
      <c r="G42" s="18">
        <v>64350.0</v>
      </c>
      <c r="H42" s="4" t="s">
        <v>57</v>
      </c>
      <c r="K42" s="78">
        <v>46113.0</v>
      </c>
      <c r="L42" s="4">
        <v>0.0</v>
      </c>
      <c r="M42" s="4">
        <v>2899.0</v>
      </c>
    </row>
    <row r="43" ht="15.75" customHeight="1">
      <c r="A43" s="17">
        <v>46135.0</v>
      </c>
      <c r="B43" s="4" t="s">
        <v>328</v>
      </c>
      <c r="C43" s="4" t="s">
        <v>328</v>
      </c>
      <c r="D43" s="4" t="s">
        <v>328</v>
      </c>
      <c r="E43" s="4" t="s">
        <v>1446</v>
      </c>
      <c r="F43" s="18">
        <v>57310.0</v>
      </c>
      <c r="G43" s="18">
        <v>57310.0</v>
      </c>
      <c r="H43" s="4" t="s">
        <v>79</v>
      </c>
      <c r="K43" s="78">
        <v>46113.0</v>
      </c>
      <c r="L43" s="4">
        <v>0.0</v>
      </c>
      <c r="M43" s="4">
        <v>2900.0</v>
      </c>
    </row>
    <row r="44" ht="15.75" customHeight="1">
      <c r="A44" s="17">
        <v>46136.0</v>
      </c>
      <c r="B44" s="4" t="s">
        <v>332</v>
      </c>
      <c r="C44" s="4" t="s">
        <v>332</v>
      </c>
      <c r="D44" s="4" t="s">
        <v>332</v>
      </c>
      <c r="E44" s="4" t="s">
        <v>1441</v>
      </c>
      <c r="F44" s="18">
        <v>200000.0</v>
      </c>
      <c r="G44" s="18">
        <v>200000.0</v>
      </c>
      <c r="H44" s="4" t="s">
        <v>156</v>
      </c>
      <c r="I44" s="4" t="s">
        <v>334</v>
      </c>
      <c r="J44" s="4" t="s">
        <v>333</v>
      </c>
      <c r="K44" s="78">
        <v>46113.0</v>
      </c>
      <c r="L44" s="4">
        <v>0.0</v>
      </c>
      <c r="M44" s="4">
        <v>2919.0</v>
      </c>
    </row>
    <row r="45" ht="15.75" customHeight="1">
      <c r="A45" s="17">
        <v>46136.0</v>
      </c>
      <c r="B45" s="4" t="s">
        <v>1530</v>
      </c>
      <c r="C45" s="4" t="s">
        <v>1530</v>
      </c>
      <c r="D45" s="4" t="s">
        <v>1530</v>
      </c>
      <c r="E45" s="4" t="s">
        <v>1441</v>
      </c>
      <c r="F45" s="18">
        <v>50000.0</v>
      </c>
      <c r="G45" s="18">
        <v>50000.0</v>
      </c>
      <c r="H45" s="4" t="s">
        <v>156</v>
      </c>
      <c r="I45" s="4" t="s">
        <v>320</v>
      </c>
      <c r="J45" s="4" t="s">
        <v>1531</v>
      </c>
      <c r="K45" s="78">
        <v>46113.0</v>
      </c>
      <c r="L45" s="4">
        <v>0.0</v>
      </c>
      <c r="M45" s="4">
        <v>2920.0</v>
      </c>
    </row>
    <row r="46" ht="15.75" customHeight="1">
      <c r="A46" s="17">
        <v>46136.0</v>
      </c>
      <c r="B46" s="4" t="s">
        <v>329</v>
      </c>
      <c r="C46" s="4" t="s">
        <v>329</v>
      </c>
      <c r="D46" s="4" t="s">
        <v>329</v>
      </c>
      <c r="E46" s="4" t="s">
        <v>1446</v>
      </c>
      <c r="F46" s="18">
        <v>110000.0</v>
      </c>
      <c r="G46" s="18">
        <v>110000.0</v>
      </c>
      <c r="H46" s="4" t="s">
        <v>79</v>
      </c>
      <c r="K46" s="78">
        <v>46113.0</v>
      </c>
      <c r="L46" s="4">
        <v>0.0</v>
      </c>
      <c r="M46" s="4">
        <v>2925.0</v>
      </c>
    </row>
    <row r="47" ht="15.75" customHeight="1">
      <c r="A47" s="17">
        <v>46136.0</v>
      </c>
      <c r="B47" s="4" t="s">
        <v>330</v>
      </c>
      <c r="C47" s="4" t="s">
        <v>330</v>
      </c>
      <c r="D47" s="4" t="s">
        <v>330</v>
      </c>
      <c r="E47" s="4" t="s">
        <v>1446</v>
      </c>
      <c r="F47" s="18">
        <v>7500000.0</v>
      </c>
      <c r="G47" s="18">
        <v>7500000.0</v>
      </c>
      <c r="H47" s="4" t="s">
        <v>79</v>
      </c>
      <c r="K47" s="78">
        <v>46113.0</v>
      </c>
      <c r="L47" s="4">
        <v>0.0</v>
      </c>
      <c r="M47" s="4">
        <v>2917.0</v>
      </c>
    </row>
    <row r="48" ht="15.75" customHeight="1">
      <c r="A48" s="17">
        <v>46136.0</v>
      </c>
      <c r="B48" s="4" t="s">
        <v>331</v>
      </c>
      <c r="C48" s="4" t="s">
        <v>331</v>
      </c>
      <c r="D48" s="4" t="s">
        <v>331</v>
      </c>
      <c r="E48" s="4" t="s">
        <v>1446</v>
      </c>
      <c r="F48" s="18">
        <v>2545300.0</v>
      </c>
      <c r="G48" s="18">
        <v>2545300.0</v>
      </c>
      <c r="H48" s="4" t="s">
        <v>79</v>
      </c>
      <c r="K48" s="78">
        <v>46113.0</v>
      </c>
      <c r="L48" s="4">
        <v>0.0</v>
      </c>
      <c r="M48" s="4">
        <v>2918.0</v>
      </c>
    </row>
    <row r="49" ht="15.75" customHeight="1">
      <c r="A49" s="17">
        <v>46136.0</v>
      </c>
      <c r="B49" s="4" t="s">
        <v>266</v>
      </c>
      <c r="C49" s="4" t="s">
        <v>266</v>
      </c>
      <c r="D49" s="4" t="s">
        <v>266</v>
      </c>
      <c r="E49" s="4" t="s">
        <v>1441</v>
      </c>
      <c r="F49" s="18">
        <v>200000.0</v>
      </c>
      <c r="G49" s="18">
        <v>200000.0</v>
      </c>
      <c r="H49" s="4" t="s">
        <v>79</v>
      </c>
      <c r="K49" s="78">
        <v>46113.0</v>
      </c>
      <c r="L49" s="4" t="s">
        <v>1566</v>
      </c>
    </row>
    <row r="50" ht="15.75" customHeight="1">
      <c r="A50" s="17">
        <v>46136.0</v>
      </c>
      <c r="B50" s="4" t="s">
        <v>267</v>
      </c>
      <c r="C50" s="4" t="s">
        <v>267</v>
      </c>
      <c r="D50" s="4" t="s">
        <v>267</v>
      </c>
      <c r="E50" s="4" t="s">
        <v>1441</v>
      </c>
      <c r="F50" s="18">
        <v>110000.0</v>
      </c>
      <c r="G50" s="18">
        <v>110000.0</v>
      </c>
      <c r="H50" s="4" t="s">
        <v>79</v>
      </c>
      <c r="K50" s="78">
        <v>46113.0</v>
      </c>
      <c r="L50" s="4" t="s">
        <v>1566</v>
      </c>
    </row>
    <row r="51" ht="15.75" customHeight="1">
      <c r="A51" s="17">
        <v>46139.0</v>
      </c>
      <c r="B51" s="4" t="s">
        <v>1447</v>
      </c>
      <c r="C51" s="4" t="s">
        <v>1447</v>
      </c>
      <c r="D51" s="4" t="s">
        <v>1447</v>
      </c>
      <c r="E51" s="4" t="s">
        <v>1446</v>
      </c>
      <c r="F51" s="18">
        <v>5000000.0</v>
      </c>
      <c r="G51" s="18">
        <v>5000000.0</v>
      </c>
      <c r="H51" s="4" t="s">
        <v>79</v>
      </c>
      <c r="K51" s="78">
        <v>46113.0</v>
      </c>
      <c r="L51" s="4" t="s">
        <v>1566</v>
      </c>
    </row>
    <row r="52" ht="15.75" customHeight="1">
      <c r="A52" s="17">
        <v>46139.0</v>
      </c>
      <c r="B52" s="4" t="s">
        <v>1565</v>
      </c>
      <c r="C52" s="4" t="s">
        <v>1565</v>
      </c>
      <c r="D52" s="4" t="s">
        <v>1565</v>
      </c>
      <c r="E52" s="4" t="s">
        <v>1446</v>
      </c>
      <c r="F52" s="18">
        <v>880000.0</v>
      </c>
      <c r="G52" s="18">
        <v>880000.0</v>
      </c>
      <c r="H52" s="4" t="s">
        <v>79</v>
      </c>
      <c r="K52" s="78">
        <v>46113.0</v>
      </c>
      <c r="L52" s="4" t="s">
        <v>1566</v>
      </c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107" t="s">
        <v>61</v>
      </c>
      <c r="B1" s="107" t="s">
        <v>62</v>
      </c>
      <c r="C1" s="107" t="s">
        <v>64</v>
      </c>
      <c r="D1" s="107" t="s">
        <v>63</v>
      </c>
      <c r="E1" s="107" t="s">
        <v>65</v>
      </c>
      <c r="F1" s="107" t="s">
        <v>1437</v>
      </c>
      <c r="G1" s="107" t="s">
        <v>66</v>
      </c>
      <c r="H1" s="107" t="s">
        <v>68</v>
      </c>
      <c r="I1" s="107" t="s">
        <v>1432</v>
      </c>
      <c r="J1" s="107" t="s">
        <v>1431</v>
      </c>
      <c r="K1" s="107" t="s">
        <v>71</v>
      </c>
      <c r="L1" s="107" t="s">
        <v>1435</v>
      </c>
      <c r="M1" s="107" t="s">
        <v>72</v>
      </c>
    </row>
    <row r="2" ht="15.75" customHeight="1">
      <c r="A2" s="17">
        <v>46122.0</v>
      </c>
      <c r="B2" s="4" t="s">
        <v>1482</v>
      </c>
      <c r="C2" s="4" t="s">
        <v>1482</v>
      </c>
      <c r="D2" s="4" t="s">
        <v>1482</v>
      </c>
      <c r="E2" s="4" t="s">
        <v>1446</v>
      </c>
      <c r="F2" s="18">
        <v>177132.0</v>
      </c>
      <c r="G2" s="18">
        <v>177132.0</v>
      </c>
      <c r="H2" s="4" t="s">
        <v>79</v>
      </c>
      <c r="K2" s="78">
        <v>46113.0</v>
      </c>
      <c r="L2" s="4" t="s">
        <v>1571</v>
      </c>
    </row>
    <row r="3" ht="15.75" customHeight="1">
      <c r="A3" s="17">
        <v>46122.0</v>
      </c>
      <c r="B3" s="4" t="s">
        <v>1484</v>
      </c>
      <c r="C3" s="4" t="s">
        <v>1484</v>
      </c>
      <c r="D3" s="4" t="s">
        <v>1484</v>
      </c>
      <c r="E3" s="4" t="s">
        <v>1483</v>
      </c>
      <c r="F3" s="18">
        <v>1650.0</v>
      </c>
      <c r="G3" s="18">
        <v>1650.0</v>
      </c>
      <c r="H3" s="4" t="s">
        <v>79</v>
      </c>
      <c r="K3" s="78">
        <v>46113.0</v>
      </c>
      <c r="L3" s="4" t="s">
        <v>1571</v>
      </c>
    </row>
    <row r="4" ht="15.75" customHeight="1">
      <c r="A4" s="17">
        <v>46122.0</v>
      </c>
      <c r="B4" s="4" t="s">
        <v>1485</v>
      </c>
      <c r="C4" s="4" t="s">
        <v>1485</v>
      </c>
      <c r="D4" s="4" t="s">
        <v>1485</v>
      </c>
      <c r="E4" s="4" t="s">
        <v>1483</v>
      </c>
      <c r="F4" s="18">
        <v>2530.0</v>
      </c>
      <c r="G4" s="18">
        <v>2530.0</v>
      </c>
      <c r="H4" s="4" t="s">
        <v>79</v>
      </c>
      <c r="K4" s="78">
        <v>46113.0</v>
      </c>
      <c r="L4" s="4" t="s">
        <v>1571</v>
      </c>
    </row>
    <row r="5" ht="15.75" customHeight="1">
      <c r="A5" s="17">
        <v>46122.0</v>
      </c>
      <c r="B5" s="4" t="s">
        <v>1486</v>
      </c>
      <c r="C5" s="4" t="s">
        <v>1486</v>
      </c>
      <c r="D5" s="4" t="s">
        <v>1486</v>
      </c>
      <c r="E5" s="4" t="s">
        <v>1483</v>
      </c>
      <c r="F5" s="18">
        <v>11385.0</v>
      </c>
      <c r="G5" s="18">
        <v>11385.0</v>
      </c>
      <c r="H5" s="4" t="s">
        <v>79</v>
      </c>
      <c r="K5" s="78">
        <v>46113.0</v>
      </c>
      <c r="L5" s="4" t="s">
        <v>1571</v>
      </c>
    </row>
    <row r="6" ht="15.75" customHeight="1">
      <c r="A6" s="17">
        <v>46122.0</v>
      </c>
      <c r="B6" s="4" t="s">
        <v>1487</v>
      </c>
      <c r="C6" s="4" t="s">
        <v>1487</v>
      </c>
      <c r="D6" s="4" t="s">
        <v>1487</v>
      </c>
      <c r="E6" s="4" t="s">
        <v>1483</v>
      </c>
      <c r="F6" s="18">
        <v>440.0</v>
      </c>
      <c r="G6" s="18">
        <v>440.0</v>
      </c>
      <c r="H6" s="4" t="s">
        <v>79</v>
      </c>
      <c r="K6" s="78">
        <v>46113.0</v>
      </c>
      <c r="L6" s="4" t="s">
        <v>1571</v>
      </c>
    </row>
    <row r="7" ht="15.75" customHeight="1">
      <c r="A7" s="17">
        <v>46122.0</v>
      </c>
      <c r="B7" s="4" t="s">
        <v>1488</v>
      </c>
      <c r="C7" s="4" t="s">
        <v>1488</v>
      </c>
      <c r="D7" s="4" t="s">
        <v>1488</v>
      </c>
      <c r="E7" s="4" t="s">
        <v>1483</v>
      </c>
      <c r="F7" s="18">
        <v>3850.0</v>
      </c>
      <c r="G7" s="18">
        <v>3850.0</v>
      </c>
      <c r="H7" s="4" t="s">
        <v>79</v>
      </c>
      <c r="K7" s="78">
        <v>46113.0</v>
      </c>
      <c r="L7" s="4" t="s">
        <v>1571</v>
      </c>
    </row>
    <row r="8" ht="15.75" customHeight="1">
      <c r="A8" s="17">
        <v>46122.0</v>
      </c>
      <c r="B8" s="4" t="s">
        <v>1489</v>
      </c>
      <c r="C8" s="4" t="s">
        <v>1489</v>
      </c>
      <c r="D8" s="4" t="s">
        <v>1489</v>
      </c>
      <c r="E8" s="4" t="s">
        <v>1446</v>
      </c>
      <c r="F8" s="18">
        <v>440.0</v>
      </c>
      <c r="G8" s="18">
        <v>440.0</v>
      </c>
      <c r="H8" s="4" t="s">
        <v>79</v>
      </c>
      <c r="K8" s="78">
        <v>46113.0</v>
      </c>
      <c r="L8" s="4" t="s">
        <v>1571</v>
      </c>
    </row>
    <row r="9" ht="15.75" customHeight="1">
      <c r="A9" s="17">
        <v>46122.0</v>
      </c>
      <c r="B9" s="4" t="s">
        <v>1490</v>
      </c>
      <c r="C9" s="4" t="s">
        <v>1490</v>
      </c>
      <c r="D9" s="4" t="s">
        <v>1490</v>
      </c>
      <c r="E9" s="4" t="s">
        <v>1483</v>
      </c>
      <c r="F9" s="18">
        <v>3630.0</v>
      </c>
      <c r="G9" s="18">
        <v>3630.0</v>
      </c>
      <c r="H9" s="4" t="s">
        <v>79</v>
      </c>
      <c r="K9" s="78">
        <v>46113.0</v>
      </c>
      <c r="L9" s="4" t="s">
        <v>1571</v>
      </c>
    </row>
    <row r="10" ht="15.75" customHeight="1">
      <c r="A10" s="17">
        <v>46122.0</v>
      </c>
      <c r="B10" s="4" t="s">
        <v>1491</v>
      </c>
      <c r="C10" s="4" t="s">
        <v>1491</v>
      </c>
      <c r="D10" s="4" t="s">
        <v>1491</v>
      </c>
      <c r="E10" s="4" t="s">
        <v>1446</v>
      </c>
      <c r="F10" s="18">
        <v>455500.0</v>
      </c>
      <c r="G10" s="18">
        <v>455500.0</v>
      </c>
      <c r="H10" s="4" t="s">
        <v>79</v>
      </c>
      <c r="K10" s="78">
        <v>46113.0</v>
      </c>
      <c r="L10" s="4" t="s">
        <v>1571</v>
      </c>
    </row>
    <row r="11" ht="15.75" customHeight="1">
      <c r="A11" s="17">
        <v>46122.0</v>
      </c>
      <c r="B11" s="4" t="s">
        <v>1491</v>
      </c>
      <c r="C11" s="4" t="s">
        <v>1491</v>
      </c>
      <c r="D11" s="4" t="s">
        <v>1491</v>
      </c>
      <c r="E11" s="4" t="s">
        <v>1446</v>
      </c>
      <c r="F11" s="18">
        <v>593649.0</v>
      </c>
      <c r="G11" s="18">
        <v>593649.0</v>
      </c>
      <c r="H11" s="4" t="s">
        <v>79</v>
      </c>
      <c r="K11" s="78">
        <v>46113.0</v>
      </c>
      <c r="L11" s="4" t="s">
        <v>1571</v>
      </c>
    </row>
    <row r="12" ht="15.75" customHeight="1">
      <c r="A12" s="17">
        <v>46122.0</v>
      </c>
      <c r="B12" s="4" t="s">
        <v>1495</v>
      </c>
      <c r="C12" s="4" t="s">
        <v>1495</v>
      </c>
      <c r="D12" s="4" t="s">
        <v>1495</v>
      </c>
      <c r="E12" s="4" t="s">
        <v>1446</v>
      </c>
      <c r="F12" s="18">
        <v>515000.0</v>
      </c>
      <c r="G12" s="18">
        <v>515000.0</v>
      </c>
      <c r="H12" s="4" t="s">
        <v>79</v>
      </c>
      <c r="K12" s="78">
        <v>46113.0</v>
      </c>
      <c r="L12" s="4" t="s">
        <v>1571</v>
      </c>
    </row>
    <row r="13" ht="15.75" customHeight="1">
      <c r="A13" s="17">
        <v>46122.0</v>
      </c>
      <c r="B13" s="4" t="s">
        <v>1497</v>
      </c>
      <c r="C13" s="4" t="s">
        <v>1497</v>
      </c>
      <c r="D13" s="4" t="s">
        <v>1497</v>
      </c>
      <c r="E13" s="4" t="s">
        <v>1496</v>
      </c>
      <c r="F13" s="18">
        <v>154399.0</v>
      </c>
      <c r="G13" s="18">
        <v>154399.0</v>
      </c>
      <c r="H13" s="4" t="s">
        <v>79</v>
      </c>
      <c r="K13" s="78">
        <v>46113.0</v>
      </c>
      <c r="L13" s="4" t="s">
        <v>1571</v>
      </c>
    </row>
    <row r="14" ht="15.75" customHeight="1">
      <c r="A14" s="17">
        <v>46122.0</v>
      </c>
      <c r="B14" s="4" t="s">
        <v>1498</v>
      </c>
      <c r="C14" s="4" t="s">
        <v>1498</v>
      </c>
      <c r="D14" s="4" t="s">
        <v>1498</v>
      </c>
      <c r="E14" s="4" t="s">
        <v>1446</v>
      </c>
      <c r="F14" s="18">
        <v>114161.0</v>
      </c>
      <c r="G14" s="18">
        <v>114161.0</v>
      </c>
      <c r="H14" s="4" t="s">
        <v>79</v>
      </c>
      <c r="K14" s="78">
        <v>46113.0</v>
      </c>
      <c r="L14" s="4" t="s">
        <v>1571</v>
      </c>
    </row>
    <row r="15" ht="15.75" customHeight="1">
      <c r="A15" s="17">
        <v>46122.0</v>
      </c>
      <c r="B15" s="4" t="s">
        <v>1499</v>
      </c>
      <c r="C15" s="4" t="s">
        <v>1499</v>
      </c>
      <c r="D15" s="4" t="s">
        <v>1499</v>
      </c>
      <c r="E15" s="4" t="s">
        <v>1446</v>
      </c>
      <c r="F15" s="18">
        <v>148325.0</v>
      </c>
      <c r="G15" s="18">
        <v>148325.0</v>
      </c>
      <c r="H15" s="4" t="s">
        <v>79</v>
      </c>
      <c r="K15" s="78">
        <v>46113.0</v>
      </c>
      <c r="L15" s="4" t="s">
        <v>1571</v>
      </c>
    </row>
    <row r="16" ht="15.75" customHeight="1">
      <c r="A16" s="17">
        <v>46122.0</v>
      </c>
      <c r="B16" s="4" t="s">
        <v>1500</v>
      </c>
      <c r="C16" s="4" t="s">
        <v>1500</v>
      </c>
      <c r="D16" s="4" t="s">
        <v>1500</v>
      </c>
      <c r="E16" s="4" t="s">
        <v>1446</v>
      </c>
      <c r="F16" s="18">
        <v>249313.0</v>
      </c>
      <c r="G16" s="18">
        <v>249313.0</v>
      </c>
      <c r="H16" s="4" t="s">
        <v>79</v>
      </c>
      <c r="K16" s="78">
        <v>46113.0</v>
      </c>
      <c r="L16" s="4" t="s">
        <v>1571</v>
      </c>
    </row>
    <row r="17" ht="15.75" customHeight="1">
      <c r="A17" s="17">
        <v>46122.0</v>
      </c>
      <c r="B17" s="4" t="s">
        <v>1501</v>
      </c>
      <c r="C17" s="4" t="s">
        <v>1501</v>
      </c>
      <c r="D17" s="4" t="s">
        <v>1501</v>
      </c>
      <c r="E17" s="4" t="s">
        <v>1446</v>
      </c>
      <c r="F17" s="18">
        <v>327537.0</v>
      </c>
      <c r="G17" s="18">
        <v>327537.0</v>
      </c>
      <c r="H17" s="4" t="s">
        <v>79</v>
      </c>
      <c r="K17" s="78">
        <v>46113.0</v>
      </c>
      <c r="L17" s="4" t="s">
        <v>1571</v>
      </c>
    </row>
    <row r="18" ht="15.75" customHeight="1">
      <c r="A18" s="17">
        <v>46122.0</v>
      </c>
      <c r="B18" s="4" t="s">
        <v>1501</v>
      </c>
      <c r="C18" s="4" t="s">
        <v>1501</v>
      </c>
      <c r="D18" s="4" t="s">
        <v>1501</v>
      </c>
      <c r="E18" s="4" t="s">
        <v>1446</v>
      </c>
      <c r="F18" s="18">
        <v>130000.0</v>
      </c>
      <c r="G18" s="18">
        <v>130000.0</v>
      </c>
      <c r="H18" s="4" t="s">
        <v>79</v>
      </c>
      <c r="K18" s="78">
        <v>46113.0</v>
      </c>
      <c r="L18" s="4" t="s">
        <v>1571</v>
      </c>
    </row>
    <row r="19" ht="15.75" customHeight="1">
      <c r="A19" s="17">
        <v>46122.0</v>
      </c>
      <c r="B19" s="4" t="s">
        <v>1501</v>
      </c>
      <c r="C19" s="4" t="s">
        <v>1501</v>
      </c>
      <c r="D19" s="4" t="s">
        <v>1501</v>
      </c>
      <c r="E19" s="4" t="s">
        <v>1446</v>
      </c>
      <c r="F19" s="18">
        <v>512973.0</v>
      </c>
      <c r="G19" s="18">
        <v>512973.0</v>
      </c>
      <c r="H19" s="4" t="s">
        <v>79</v>
      </c>
      <c r="K19" s="78">
        <v>46113.0</v>
      </c>
      <c r="L19" s="4" t="s">
        <v>1571</v>
      </c>
    </row>
    <row r="20" ht="15.75" customHeight="1">
      <c r="A20" s="17">
        <v>46122.0</v>
      </c>
      <c r="B20" s="4" t="s">
        <v>1501</v>
      </c>
      <c r="C20" s="4" t="s">
        <v>1501</v>
      </c>
      <c r="D20" s="4" t="s">
        <v>1501</v>
      </c>
      <c r="E20" s="4" t="s">
        <v>1446</v>
      </c>
      <c r="F20" s="18">
        <v>100000.0</v>
      </c>
      <c r="G20" s="18">
        <v>100000.0</v>
      </c>
      <c r="H20" s="4" t="s">
        <v>79</v>
      </c>
      <c r="K20" s="78">
        <v>46113.0</v>
      </c>
      <c r="L20" s="4" t="s">
        <v>1571</v>
      </c>
    </row>
    <row r="21" ht="15.75" customHeight="1">
      <c r="A21" s="17">
        <v>46122.0</v>
      </c>
      <c r="B21" s="4" t="s">
        <v>1501</v>
      </c>
      <c r="C21" s="4" t="s">
        <v>1501</v>
      </c>
      <c r="D21" s="4" t="s">
        <v>1501</v>
      </c>
      <c r="E21" s="4" t="s">
        <v>1446</v>
      </c>
      <c r="F21" s="18">
        <v>14600.0</v>
      </c>
      <c r="G21" s="18">
        <v>14600.0</v>
      </c>
      <c r="H21" s="4" t="s">
        <v>79</v>
      </c>
      <c r="K21" s="78">
        <v>46113.0</v>
      </c>
      <c r="L21" s="4" t="s">
        <v>1571</v>
      </c>
    </row>
    <row r="22" ht="15.75" customHeight="1">
      <c r="A22" s="17">
        <v>46125.0</v>
      </c>
      <c r="B22" s="4" t="s">
        <v>1501</v>
      </c>
      <c r="C22" s="4" t="s">
        <v>1501</v>
      </c>
      <c r="D22" s="4" t="s">
        <v>1501</v>
      </c>
      <c r="E22" s="4" t="s">
        <v>1446</v>
      </c>
      <c r="F22" s="18">
        <v>5000.0</v>
      </c>
      <c r="G22" s="18">
        <v>5000.0</v>
      </c>
      <c r="H22" s="4" t="s">
        <v>79</v>
      </c>
      <c r="K22" s="78">
        <v>46113.0</v>
      </c>
      <c r="L22" s="4" t="s">
        <v>1571</v>
      </c>
    </row>
    <row r="23" ht="15.75" customHeight="1">
      <c r="A23" s="17">
        <v>46125.0</v>
      </c>
      <c r="B23" s="4" t="s">
        <v>1501</v>
      </c>
      <c r="C23" s="4" t="s">
        <v>1501</v>
      </c>
      <c r="D23" s="4" t="s">
        <v>1501</v>
      </c>
      <c r="E23" s="4" t="s">
        <v>1446</v>
      </c>
      <c r="F23" s="18">
        <v>11500.0</v>
      </c>
      <c r="G23" s="18">
        <v>11500.0</v>
      </c>
      <c r="H23" s="4" t="s">
        <v>79</v>
      </c>
      <c r="K23" s="78">
        <v>46113.0</v>
      </c>
      <c r="L23" s="4" t="s">
        <v>1571</v>
      </c>
    </row>
    <row r="24" ht="15.75" customHeight="1">
      <c r="A24" s="17">
        <v>46125.0</v>
      </c>
      <c r="B24" s="4" t="s">
        <v>1501</v>
      </c>
      <c r="C24" s="4" t="s">
        <v>1501</v>
      </c>
      <c r="D24" s="4" t="s">
        <v>1501</v>
      </c>
      <c r="E24" s="4" t="s">
        <v>1446</v>
      </c>
      <c r="F24" s="18">
        <v>1100.0</v>
      </c>
      <c r="G24" s="18">
        <v>1100.0</v>
      </c>
      <c r="H24" s="4" t="s">
        <v>79</v>
      </c>
      <c r="K24" s="78">
        <v>46113.0</v>
      </c>
      <c r="L24" s="4" t="s">
        <v>1571</v>
      </c>
    </row>
    <row r="25" ht="15.75" customHeight="1">
      <c r="A25" s="17">
        <v>46125.0</v>
      </c>
      <c r="B25" s="4" t="s">
        <v>1501</v>
      </c>
      <c r="C25" s="4" t="s">
        <v>1501</v>
      </c>
      <c r="D25" s="4" t="s">
        <v>1501</v>
      </c>
      <c r="E25" s="4" t="s">
        <v>1446</v>
      </c>
      <c r="F25" s="18">
        <v>7100.0</v>
      </c>
      <c r="G25" s="18">
        <v>7100.0</v>
      </c>
      <c r="H25" s="4" t="s">
        <v>79</v>
      </c>
      <c r="K25" s="78">
        <v>46113.0</v>
      </c>
      <c r="L25" s="4" t="s">
        <v>1571</v>
      </c>
    </row>
    <row r="26" ht="15.75" customHeight="1">
      <c r="A26" s="17">
        <v>46125.0</v>
      </c>
      <c r="B26" s="4" t="s">
        <v>282</v>
      </c>
      <c r="C26" s="4" t="s">
        <v>282</v>
      </c>
      <c r="D26" s="4" t="s">
        <v>282</v>
      </c>
      <c r="E26" s="4" t="s">
        <v>1504</v>
      </c>
      <c r="F26" s="18">
        <v>1100.0</v>
      </c>
      <c r="G26" s="18">
        <v>1100.0</v>
      </c>
      <c r="H26" s="4" t="s">
        <v>79</v>
      </c>
      <c r="K26" s="78">
        <v>46113.0</v>
      </c>
      <c r="L26" s="4" t="s">
        <v>1571</v>
      </c>
    </row>
    <row r="27" ht="15.75" customHeight="1">
      <c r="A27" s="17">
        <v>46125.0</v>
      </c>
      <c r="B27" s="4" t="s">
        <v>1505</v>
      </c>
      <c r="C27" s="4" t="s">
        <v>1505</v>
      </c>
      <c r="D27" s="4" t="s">
        <v>1505</v>
      </c>
      <c r="E27" s="4" t="s">
        <v>1496</v>
      </c>
      <c r="F27" s="18">
        <v>7100.0</v>
      </c>
      <c r="G27" s="18">
        <v>7100.0</v>
      </c>
      <c r="H27" s="4" t="s">
        <v>79</v>
      </c>
      <c r="K27" s="78">
        <v>46113.0</v>
      </c>
      <c r="L27" s="4" t="s">
        <v>1571</v>
      </c>
    </row>
    <row r="28" ht="15.75" customHeight="1">
      <c r="A28" s="17">
        <v>46129.0</v>
      </c>
      <c r="B28" s="4" t="s">
        <v>1512</v>
      </c>
      <c r="C28" s="4" t="s">
        <v>1512</v>
      </c>
      <c r="D28" s="4" t="s">
        <v>1511</v>
      </c>
      <c r="E28" s="4" t="s">
        <v>1446</v>
      </c>
      <c r="F28" s="18">
        <v>39553.0</v>
      </c>
      <c r="G28" s="18">
        <v>39553.0</v>
      </c>
      <c r="H28" s="4" t="s">
        <v>79</v>
      </c>
      <c r="K28" s="78">
        <v>46113.0</v>
      </c>
      <c r="L28" s="4" t="s">
        <v>1571</v>
      </c>
    </row>
    <row r="29" ht="15.75" customHeight="1">
      <c r="A29" s="17">
        <v>46132.0</v>
      </c>
      <c r="B29" s="4" t="s">
        <v>1513</v>
      </c>
      <c r="C29" s="4" t="s">
        <v>1513</v>
      </c>
      <c r="D29" s="4" t="s">
        <v>1513</v>
      </c>
      <c r="E29" s="4" t="s">
        <v>1446</v>
      </c>
      <c r="F29" s="18">
        <v>1000000.0</v>
      </c>
      <c r="G29" s="18">
        <v>1000000.0</v>
      </c>
      <c r="H29" s="4" t="s">
        <v>79</v>
      </c>
      <c r="K29" s="78">
        <v>46113.0</v>
      </c>
      <c r="L29" s="4" t="s">
        <v>1571</v>
      </c>
    </row>
    <row r="30" ht="15.75" customHeight="1">
      <c r="A30" s="17">
        <v>46132.0</v>
      </c>
      <c r="B30" s="4" t="s">
        <v>1513</v>
      </c>
      <c r="C30" s="4" t="s">
        <v>1513</v>
      </c>
      <c r="D30" s="4" t="s">
        <v>1513</v>
      </c>
      <c r="E30" s="4" t="s">
        <v>1446</v>
      </c>
      <c r="F30" s="18">
        <v>164900.0</v>
      </c>
      <c r="G30" s="18">
        <v>164900.0</v>
      </c>
      <c r="H30" s="4" t="s">
        <v>79</v>
      </c>
      <c r="K30" s="78">
        <v>46113.0</v>
      </c>
      <c r="L30" s="4" t="s">
        <v>1571</v>
      </c>
    </row>
    <row r="31" ht="15.75" customHeight="1">
      <c r="A31" s="17">
        <v>46132.0</v>
      </c>
      <c r="B31" s="4" t="s">
        <v>1513</v>
      </c>
      <c r="C31" s="4" t="s">
        <v>1513</v>
      </c>
      <c r="D31" s="4" t="s">
        <v>1513</v>
      </c>
      <c r="E31" s="4" t="s">
        <v>1446</v>
      </c>
      <c r="F31" s="18">
        <v>150000.0</v>
      </c>
      <c r="G31" s="18">
        <v>150000.0</v>
      </c>
      <c r="H31" s="4" t="s">
        <v>79</v>
      </c>
      <c r="K31" s="78">
        <v>46113.0</v>
      </c>
      <c r="L31" s="4" t="s">
        <v>1571</v>
      </c>
    </row>
    <row r="32" ht="15.75" customHeight="1">
      <c r="A32" s="17">
        <v>46132.0</v>
      </c>
      <c r="B32" s="4" t="s">
        <v>1487</v>
      </c>
      <c r="C32" s="4" t="s">
        <v>1487</v>
      </c>
      <c r="D32" s="4" t="s">
        <v>1487</v>
      </c>
      <c r="E32" s="4" t="s">
        <v>1483</v>
      </c>
      <c r="F32" s="18">
        <v>1100.0</v>
      </c>
      <c r="G32" s="18">
        <v>1100.0</v>
      </c>
      <c r="H32" s="4" t="s">
        <v>79</v>
      </c>
      <c r="K32" s="78">
        <v>46113.0</v>
      </c>
      <c r="L32" s="4" t="s">
        <v>1571</v>
      </c>
    </row>
    <row r="33" ht="15.75" customHeight="1">
      <c r="A33" s="17">
        <v>46132.0</v>
      </c>
      <c r="B33" s="4" t="s">
        <v>1515</v>
      </c>
      <c r="C33" s="4" t="s">
        <v>1515</v>
      </c>
      <c r="D33" s="4" t="s">
        <v>1515</v>
      </c>
      <c r="E33" s="4" t="s">
        <v>1514</v>
      </c>
      <c r="F33" s="18">
        <v>3630.0</v>
      </c>
      <c r="G33" s="18">
        <v>3630.0</v>
      </c>
      <c r="H33" s="4" t="s">
        <v>79</v>
      </c>
      <c r="K33" s="78">
        <v>46113.0</v>
      </c>
      <c r="L33" s="4" t="s">
        <v>1571</v>
      </c>
    </row>
    <row r="34" ht="15.75" customHeight="1">
      <c r="A34" s="17">
        <v>46132.0</v>
      </c>
      <c r="B34" s="4" t="s">
        <v>1516</v>
      </c>
      <c r="C34" s="4" t="s">
        <v>1516</v>
      </c>
      <c r="D34" s="4" t="s">
        <v>1516</v>
      </c>
      <c r="E34" s="4" t="s">
        <v>1514</v>
      </c>
      <c r="F34" s="18">
        <v>11374.0</v>
      </c>
      <c r="G34" s="18">
        <v>11374.0</v>
      </c>
      <c r="H34" s="4" t="s">
        <v>79</v>
      </c>
      <c r="K34" s="78">
        <v>46113.0</v>
      </c>
      <c r="L34" s="4" t="s">
        <v>1571</v>
      </c>
    </row>
    <row r="35" ht="15.75" customHeight="1">
      <c r="A35" s="17">
        <v>46132.0</v>
      </c>
      <c r="B35" s="4" t="s">
        <v>1517</v>
      </c>
      <c r="C35" s="4" t="s">
        <v>1517</v>
      </c>
      <c r="D35" s="4" t="s">
        <v>1517</v>
      </c>
      <c r="E35" s="4" t="s">
        <v>1514</v>
      </c>
      <c r="F35" s="18">
        <v>4521.0</v>
      </c>
      <c r="G35" s="18">
        <v>4521.0</v>
      </c>
      <c r="H35" s="4" t="s">
        <v>79</v>
      </c>
      <c r="K35" s="78">
        <v>46113.0</v>
      </c>
      <c r="L35" s="4" t="s">
        <v>1571</v>
      </c>
    </row>
    <row r="36" ht="15.75" customHeight="1">
      <c r="A36" s="17">
        <v>46132.0</v>
      </c>
      <c r="B36" s="4" t="s">
        <v>1501</v>
      </c>
      <c r="C36" s="4" t="s">
        <v>1501</v>
      </c>
      <c r="D36" s="4" t="s">
        <v>1501</v>
      </c>
      <c r="E36" s="4" t="s">
        <v>1446</v>
      </c>
      <c r="F36" s="18">
        <v>1650.0</v>
      </c>
      <c r="G36" s="18">
        <v>1650.0</v>
      </c>
      <c r="H36" s="4" t="s">
        <v>79</v>
      </c>
      <c r="K36" s="78">
        <v>46113.0</v>
      </c>
      <c r="L36" s="4" t="s">
        <v>1571</v>
      </c>
    </row>
    <row r="37" ht="15.75" customHeight="1">
      <c r="A37" s="17">
        <v>46132.0</v>
      </c>
      <c r="B37" s="4" t="s">
        <v>1519</v>
      </c>
      <c r="C37" s="4" t="s">
        <v>1519</v>
      </c>
      <c r="D37" s="4" t="s">
        <v>1519</v>
      </c>
      <c r="E37" s="4" t="s">
        <v>1518</v>
      </c>
      <c r="F37" s="18">
        <v>1650.0</v>
      </c>
      <c r="G37" s="18">
        <v>1650.0</v>
      </c>
      <c r="H37" s="4" t="s">
        <v>79</v>
      </c>
      <c r="K37" s="78">
        <v>46113.0</v>
      </c>
      <c r="L37" s="4" t="s">
        <v>1571</v>
      </c>
    </row>
    <row r="38" ht="15.75" customHeight="1">
      <c r="A38" s="17">
        <v>46132.0</v>
      </c>
      <c r="B38" s="4" t="s">
        <v>1521</v>
      </c>
      <c r="C38" s="4" t="s">
        <v>1521</v>
      </c>
      <c r="D38" s="4" t="s">
        <v>1520</v>
      </c>
      <c r="E38" s="4" t="s">
        <v>46</v>
      </c>
      <c r="F38" s="18">
        <v>150000.0</v>
      </c>
      <c r="G38" s="18">
        <v>150000.0</v>
      </c>
      <c r="H38" s="4" t="s">
        <v>79</v>
      </c>
      <c r="K38" s="78">
        <v>46113.0</v>
      </c>
      <c r="L38" s="4" t="s">
        <v>1571</v>
      </c>
    </row>
    <row r="39" ht="15.75" customHeight="1">
      <c r="A39" s="17">
        <v>46132.0</v>
      </c>
      <c r="B39" s="4" t="s">
        <v>1523</v>
      </c>
      <c r="C39" s="4" t="s">
        <v>1523</v>
      </c>
      <c r="D39" s="4" t="s">
        <v>1523</v>
      </c>
      <c r="E39" s="4" t="s">
        <v>1522</v>
      </c>
      <c r="F39" s="18">
        <v>1000000.0</v>
      </c>
      <c r="G39" s="18">
        <v>1000000.0</v>
      </c>
      <c r="H39" s="4" t="s">
        <v>79</v>
      </c>
      <c r="K39" s="78">
        <v>46113.0</v>
      </c>
      <c r="L39" s="4" t="s">
        <v>1571</v>
      </c>
    </row>
    <row r="40" ht="15.75" customHeight="1">
      <c r="A40" s="17">
        <v>46132.0</v>
      </c>
      <c r="B40" s="4" t="s">
        <v>1523</v>
      </c>
      <c r="C40" s="4" t="s">
        <v>1523</v>
      </c>
      <c r="D40" s="4" t="s">
        <v>1523</v>
      </c>
      <c r="E40" s="4" t="s">
        <v>1522</v>
      </c>
      <c r="F40" s="18">
        <v>164900.0</v>
      </c>
      <c r="G40" s="18">
        <v>164900.0</v>
      </c>
      <c r="H40" s="4" t="s">
        <v>79</v>
      </c>
      <c r="K40" s="78">
        <v>46113.0</v>
      </c>
      <c r="L40" s="4" t="s">
        <v>1571</v>
      </c>
    </row>
    <row r="41" ht="15.75" customHeight="1">
      <c r="A41" s="17">
        <v>46135.0</v>
      </c>
      <c r="B41" s="4" t="s">
        <v>1525</v>
      </c>
      <c r="C41" s="4" t="s">
        <v>1525</v>
      </c>
      <c r="D41" s="4" t="s">
        <v>1525</v>
      </c>
      <c r="E41" s="4" t="s">
        <v>1524</v>
      </c>
      <c r="F41" s="18">
        <v>12160.0</v>
      </c>
      <c r="G41" s="18">
        <v>12160.0</v>
      </c>
      <c r="H41" s="4" t="s">
        <v>79</v>
      </c>
      <c r="K41" s="78">
        <v>46113.0</v>
      </c>
      <c r="L41" s="4" t="s">
        <v>1571</v>
      </c>
    </row>
    <row r="42" ht="15.75" customHeight="1">
      <c r="A42" s="17">
        <v>46135.0</v>
      </c>
      <c r="B42" s="4" t="s">
        <v>1527</v>
      </c>
      <c r="C42" s="4" t="s">
        <v>1527</v>
      </c>
      <c r="D42" s="4" t="s">
        <v>1527</v>
      </c>
      <c r="E42" s="4" t="s">
        <v>1526</v>
      </c>
      <c r="F42" s="18">
        <v>33000.0</v>
      </c>
      <c r="G42" s="18">
        <v>33000.0</v>
      </c>
      <c r="H42" s="4" t="s">
        <v>79</v>
      </c>
      <c r="K42" s="78">
        <v>46113.0</v>
      </c>
      <c r="L42" s="4" t="s">
        <v>1571</v>
      </c>
    </row>
    <row r="43" ht="15.75" customHeight="1">
      <c r="A43" s="17">
        <v>46135.0</v>
      </c>
      <c r="B43" s="4" t="s">
        <v>1528</v>
      </c>
      <c r="C43" s="4" t="s">
        <v>1528</v>
      </c>
      <c r="E43" s="4" t="s">
        <v>1446</v>
      </c>
      <c r="F43" s="18">
        <v>47745.0</v>
      </c>
      <c r="G43" s="18">
        <v>47745.0</v>
      </c>
      <c r="H43" s="4" t="s">
        <v>79</v>
      </c>
      <c r="K43" s="78">
        <v>46113.0</v>
      </c>
      <c r="L43" s="4" t="s">
        <v>1571</v>
      </c>
    </row>
    <row r="44" ht="15.75" customHeight="1">
      <c r="A44" s="17">
        <v>46135.0</v>
      </c>
      <c r="B44" s="4" t="s">
        <v>1529</v>
      </c>
      <c r="C44" s="4" t="s">
        <v>1529</v>
      </c>
      <c r="D44" s="4" t="s">
        <v>1529</v>
      </c>
      <c r="E44" s="4" t="s">
        <v>1446</v>
      </c>
      <c r="F44" s="18">
        <v>33000.0</v>
      </c>
      <c r="G44" s="18">
        <v>33000.0</v>
      </c>
      <c r="H44" s="4" t="s">
        <v>79</v>
      </c>
      <c r="K44" s="78">
        <v>46113.0</v>
      </c>
      <c r="L44" s="4" t="s">
        <v>1571</v>
      </c>
    </row>
    <row r="45" ht="15.75" customHeight="1">
      <c r="A45" s="17">
        <v>46136.0</v>
      </c>
      <c r="B45" s="4" t="s">
        <v>270</v>
      </c>
      <c r="C45" s="4" t="s">
        <v>270</v>
      </c>
      <c r="D45" s="4" t="s">
        <v>1534</v>
      </c>
      <c r="E45" s="4" t="s">
        <v>1446</v>
      </c>
      <c r="F45" s="18">
        <v>55330.0</v>
      </c>
      <c r="G45" s="18">
        <v>55330.0</v>
      </c>
      <c r="H45" s="4" t="s">
        <v>79</v>
      </c>
      <c r="K45" s="78">
        <v>46113.0</v>
      </c>
      <c r="L45" s="4" t="s">
        <v>1571</v>
      </c>
    </row>
    <row r="46" ht="15.75" customHeight="1">
      <c r="A46" s="17">
        <v>46136.0</v>
      </c>
      <c r="B46" s="4" t="s">
        <v>1537</v>
      </c>
      <c r="C46" s="4" t="s">
        <v>1537</v>
      </c>
      <c r="D46" s="4" t="s">
        <v>1537</v>
      </c>
      <c r="E46" s="4" t="s">
        <v>1446</v>
      </c>
      <c r="F46" s="18">
        <v>550000.0</v>
      </c>
      <c r="G46" s="18">
        <v>550000.0</v>
      </c>
      <c r="H46" s="4" t="s">
        <v>79</v>
      </c>
      <c r="K46" s="78">
        <v>46113.0</v>
      </c>
      <c r="L46" s="4" t="s">
        <v>1571</v>
      </c>
    </row>
    <row r="47" ht="15.75" customHeight="1">
      <c r="A47" s="17">
        <v>46136.0</v>
      </c>
      <c r="B47" s="4" t="s">
        <v>1539</v>
      </c>
      <c r="C47" s="4" t="s">
        <v>1539</v>
      </c>
      <c r="D47" s="4" t="s">
        <v>1539</v>
      </c>
      <c r="E47" s="4" t="s">
        <v>1538</v>
      </c>
      <c r="F47" s="18">
        <v>220000.0</v>
      </c>
      <c r="G47" s="18">
        <v>220000.0</v>
      </c>
      <c r="H47" s="4" t="s">
        <v>79</v>
      </c>
      <c r="K47" s="78">
        <v>46113.0</v>
      </c>
      <c r="L47" s="4" t="s">
        <v>1571</v>
      </c>
    </row>
    <row r="48" ht="15.75" customHeight="1">
      <c r="A48" s="17">
        <v>46136.0</v>
      </c>
      <c r="B48" s="4" t="s">
        <v>1540</v>
      </c>
      <c r="C48" s="4" t="s">
        <v>1540</v>
      </c>
      <c r="D48" s="4" t="s">
        <v>1540</v>
      </c>
      <c r="E48" s="4" t="s">
        <v>1446</v>
      </c>
      <c r="F48" s="18">
        <v>220000.0</v>
      </c>
      <c r="G48" s="18">
        <v>220000.0</v>
      </c>
      <c r="H48" s="4" t="s">
        <v>79</v>
      </c>
      <c r="K48" s="78">
        <v>46113.0</v>
      </c>
      <c r="L48" s="4" t="s">
        <v>1571</v>
      </c>
    </row>
    <row r="49" ht="15.75" customHeight="1">
      <c r="A49" s="17">
        <v>46139.0</v>
      </c>
      <c r="B49" s="4" t="s">
        <v>1541</v>
      </c>
      <c r="C49" s="4" t="s">
        <v>1541</v>
      </c>
      <c r="D49" s="4" t="s">
        <v>1541</v>
      </c>
      <c r="E49" s="4" t="s">
        <v>1446</v>
      </c>
      <c r="F49" s="18">
        <v>880000.0</v>
      </c>
      <c r="G49" s="18">
        <v>880000.0</v>
      </c>
      <c r="H49" s="4" t="s">
        <v>79</v>
      </c>
      <c r="K49" s="78">
        <v>46113.0</v>
      </c>
      <c r="L49" s="4" t="s">
        <v>1571</v>
      </c>
    </row>
    <row r="50" ht="15.75" customHeight="1">
      <c r="A50" s="17">
        <v>46139.0</v>
      </c>
      <c r="B50" s="4" t="s">
        <v>1543</v>
      </c>
      <c r="C50" s="4" t="s">
        <v>1543</v>
      </c>
      <c r="D50" s="4" t="s">
        <v>1543</v>
      </c>
      <c r="E50" s="4" t="s">
        <v>1542</v>
      </c>
      <c r="F50" s="18">
        <v>18480.0</v>
      </c>
      <c r="G50" s="18">
        <v>18480.0</v>
      </c>
      <c r="H50" s="4" t="s">
        <v>79</v>
      </c>
      <c r="K50" s="78">
        <v>46113.0</v>
      </c>
      <c r="L50" s="4" t="s">
        <v>1571</v>
      </c>
    </row>
    <row r="51" ht="15.75" customHeight="1">
      <c r="A51" s="17">
        <v>46139.0</v>
      </c>
      <c r="B51" s="4" t="s">
        <v>1544</v>
      </c>
      <c r="C51" s="4" t="s">
        <v>1544</v>
      </c>
      <c r="D51" s="4" t="s">
        <v>1544</v>
      </c>
      <c r="E51" s="4" t="s">
        <v>1524</v>
      </c>
      <c r="F51" s="18">
        <v>2602.0</v>
      </c>
      <c r="G51" s="18">
        <v>2602.0</v>
      </c>
      <c r="H51" s="4" t="s">
        <v>79</v>
      </c>
      <c r="K51" s="78">
        <v>46113.0</v>
      </c>
      <c r="L51" s="4" t="s">
        <v>1571</v>
      </c>
    </row>
    <row r="52" ht="15.75" customHeight="1">
      <c r="A52" s="17">
        <v>46139.0</v>
      </c>
      <c r="B52" s="4" t="s">
        <v>1546</v>
      </c>
      <c r="C52" s="4" t="s">
        <v>1546</v>
      </c>
      <c r="D52" s="4" t="s">
        <v>1546</v>
      </c>
      <c r="E52" s="4" t="s">
        <v>1545</v>
      </c>
      <c r="F52" s="18">
        <v>3900.0</v>
      </c>
      <c r="G52" s="18">
        <v>3900.0</v>
      </c>
      <c r="H52" s="4" t="s">
        <v>79</v>
      </c>
      <c r="K52" s="78">
        <v>46113.0</v>
      </c>
      <c r="L52" s="4" t="s">
        <v>1571</v>
      </c>
    </row>
    <row r="53" ht="15.75" customHeight="1">
      <c r="A53" s="17">
        <v>46139.0</v>
      </c>
      <c r="B53" s="4" t="s">
        <v>1548</v>
      </c>
      <c r="C53" s="4" t="s">
        <v>1548</v>
      </c>
      <c r="D53" s="4" t="s">
        <v>1548</v>
      </c>
      <c r="E53" s="4" t="s">
        <v>1547</v>
      </c>
      <c r="F53" s="18">
        <v>4620.0</v>
      </c>
      <c r="G53" s="18">
        <v>4620.0</v>
      </c>
      <c r="H53" s="4" t="s">
        <v>79</v>
      </c>
      <c r="K53" s="78">
        <v>46113.0</v>
      </c>
      <c r="L53" s="4" t="s">
        <v>1571</v>
      </c>
    </row>
    <row r="54" ht="15.75" customHeight="1">
      <c r="A54" s="17">
        <v>46139.0</v>
      </c>
      <c r="B54" s="4" t="s">
        <v>1550</v>
      </c>
      <c r="C54" s="4" t="s">
        <v>1550</v>
      </c>
      <c r="D54" s="4" t="s">
        <v>1550</v>
      </c>
      <c r="E54" s="4" t="s">
        <v>1549</v>
      </c>
      <c r="F54" s="18">
        <v>6015.0</v>
      </c>
      <c r="G54" s="18">
        <v>6015.0</v>
      </c>
      <c r="H54" s="4" t="s">
        <v>79</v>
      </c>
      <c r="K54" s="78">
        <v>46113.0</v>
      </c>
      <c r="L54" s="4" t="s">
        <v>1571</v>
      </c>
    </row>
    <row r="55" ht="15.75" customHeight="1">
      <c r="A55" s="17">
        <v>46139.0</v>
      </c>
      <c r="B55" s="4" t="s">
        <v>1551</v>
      </c>
      <c r="C55" s="4" t="s">
        <v>1551</v>
      </c>
      <c r="D55" s="4" t="s">
        <v>1551</v>
      </c>
      <c r="E55" s="4" t="s">
        <v>1538</v>
      </c>
      <c r="F55" s="18">
        <v>27293.0</v>
      </c>
      <c r="G55" s="18">
        <v>27293.0</v>
      </c>
      <c r="H55" s="4" t="s">
        <v>79</v>
      </c>
      <c r="K55" s="78">
        <v>46113.0</v>
      </c>
      <c r="L55" s="4" t="s">
        <v>1571</v>
      </c>
    </row>
    <row r="56" ht="15.75" customHeight="1">
      <c r="A56" s="17">
        <v>46139.0</v>
      </c>
      <c r="B56" s="4" t="s">
        <v>1553</v>
      </c>
      <c r="C56" s="4" t="s">
        <v>1553</v>
      </c>
      <c r="D56" s="4" t="s">
        <v>1553</v>
      </c>
      <c r="E56" s="4" t="s">
        <v>1552</v>
      </c>
      <c r="F56" s="18">
        <v>99000.0</v>
      </c>
      <c r="G56" s="18">
        <v>99000.0</v>
      </c>
      <c r="H56" s="4" t="s">
        <v>79</v>
      </c>
      <c r="K56" s="78">
        <v>46113.0</v>
      </c>
      <c r="L56" s="4" t="s">
        <v>1571</v>
      </c>
    </row>
    <row r="57" ht="15.75" customHeight="1">
      <c r="A57" s="17">
        <v>46139.0</v>
      </c>
      <c r="B57" s="4" t="s">
        <v>1555</v>
      </c>
      <c r="C57" s="4" t="s">
        <v>1555</v>
      </c>
      <c r="D57" s="4" t="s">
        <v>1554</v>
      </c>
      <c r="E57" s="4" t="s">
        <v>1446</v>
      </c>
      <c r="F57" s="18">
        <v>67440.0</v>
      </c>
      <c r="G57" s="18">
        <v>67440.0</v>
      </c>
      <c r="H57" s="4" t="s">
        <v>79</v>
      </c>
      <c r="K57" s="78">
        <v>46113.0</v>
      </c>
      <c r="L57" s="4" t="s">
        <v>1571</v>
      </c>
    </row>
    <row r="58" ht="15.75" customHeight="1">
      <c r="A58" s="17">
        <v>46139.0</v>
      </c>
      <c r="B58" s="4" t="s">
        <v>1556</v>
      </c>
      <c r="C58" s="4" t="s">
        <v>1556</v>
      </c>
      <c r="D58" s="4" t="s">
        <v>1556</v>
      </c>
      <c r="E58" s="4" t="s">
        <v>1549</v>
      </c>
      <c r="F58" s="18">
        <v>58201.0</v>
      </c>
      <c r="G58" s="18">
        <v>58201.0</v>
      </c>
      <c r="H58" s="4" t="s">
        <v>79</v>
      </c>
      <c r="K58" s="78">
        <v>46113.0</v>
      </c>
      <c r="L58" s="4" t="s">
        <v>1571</v>
      </c>
    </row>
    <row r="59" ht="15.75" customHeight="1">
      <c r="A59" s="17">
        <v>46139.0</v>
      </c>
      <c r="B59" s="4" t="s">
        <v>1557</v>
      </c>
      <c r="C59" s="4" t="s">
        <v>1557</v>
      </c>
      <c r="D59" s="4" t="s">
        <v>1557</v>
      </c>
      <c r="E59" s="4" t="s">
        <v>1549</v>
      </c>
      <c r="F59" s="18">
        <v>140710.0</v>
      </c>
      <c r="G59" s="18">
        <v>140710.0</v>
      </c>
      <c r="H59" s="4" t="s">
        <v>79</v>
      </c>
      <c r="K59" s="78">
        <v>46113.0</v>
      </c>
      <c r="L59" s="4" t="s">
        <v>1571</v>
      </c>
    </row>
    <row r="60" ht="15.75" customHeight="1">
      <c r="A60" s="17">
        <v>46139.0</v>
      </c>
      <c r="B60" s="4" t="s">
        <v>272</v>
      </c>
      <c r="C60" s="4" t="s">
        <v>272</v>
      </c>
      <c r="D60" s="4" t="s">
        <v>272</v>
      </c>
      <c r="E60" s="4" t="s">
        <v>1526</v>
      </c>
      <c r="F60" s="18">
        <v>4400.0</v>
      </c>
      <c r="G60" s="18">
        <v>4400.0</v>
      </c>
      <c r="H60" s="4" t="s">
        <v>79</v>
      </c>
      <c r="K60" s="78">
        <v>46113.0</v>
      </c>
      <c r="L60" s="4" t="s">
        <v>1571</v>
      </c>
    </row>
    <row r="61" ht="15.75" customHeight="1">
      <c r="A61" s="17">
        <v>46139.0</v>
      </c>
      <c r="B61" s="4" t="s">
        <v>1562</v>
      </c>
      <c r="C61" s="4" t="s">
        <v>1562</v>
      </c>
      <c r="D61" s="4" t="s">
        <v>1562</v>
      </c>
      <c r="E61" s="4" t="s">
        <v>1561</v>
      </c>
      <c r="F61" s="18">
        <v>93408.0</v>
      </c>
      <c r="G61" s="18">
        <v>93408.0</v>
      </c>
      <c r="H61" s="4" t="s">
        <v>79</v>
      </c>
      <c r="K61" s="78">
        <v>46113.0</v>
      </c>
      <c r="L61" s="4" t="s">
        <v>1571</v>
      </c>
    </row>
    <row r="62" ht="15.75" customHeight="1">
      <c r="A62" s="17">
        <v>46139.0</v>
      </c>
      <c r="B62" s="4" t="s">
        <v>1564</v>
      </c>
      <c r="C62" s="4" t="s">
        <v>1564</v>
      </c>
      <c r="D62" s="4" t="s">
        <v>1564</v>
      </c>
      <c r="E62" s="4" t="s">
        <v>1563</v>
      </c>
      <c r="F62" s="18">
        <v>33000.0</v>
      </c>
      <c r="G62" s="18">
        <v>33000.0</v>
      </c>
      <c r="H62" s="4" t="s">
        <v>79</v>
      </c>
      <c r="K62" s="78">
        <v>46113.0</v>
      </c>
      <c r="L62" s="4" t="s">
        <v>1571</v>
      </c>
    </row>
    <row r="63" ht="15.75" customHeight="1">
      <c r="A63" s="17">
        <v>46139.0</v>
      </c>
      <c r="B63" s="4" t="s">
        <v>1501</v>
      </c>
      <c r="C63" s="4" t="s">
        <v>1501</v>
      </c>
      <c r="D63" s="4" t="s">
        <v>1501</v>
      </c>
      <c r="E63" s="4" t="s">
        <v>1446</v>
      </c>
      <c r="F63" s="18">
        <v>7130000.0</v>
      </c>
      <c r="G63" s="18">
        <v>7130000.0</v>
      </c>
      <c r="H63" s="4" t="s">
        <v>79</v>
      </c>
      <c r="K63" s="78">
        <v>46113.0</v>
      </c>
      <c r="L63" s="4" t="s">
        <v>1571</v>
      </c>
    </row>
    <row r="64" ht="15.75" customHeight="1">
      <c r="A64" s="17">
        <v>46139.0</v>
      </c>
      <c r="B64" s="4" t="s">
        <v>1501</v>
      </c>
      <c r="C64" s="4" t="s">
        <v>1501</v>
      </c>
      <c r="D64" s="4" t="s">
        <v>1501</v>
      </c>
      <c r="E64" s="4" t="s">
        <v>1446</v>
      </c>
      <c r="F64" s="18">
        <v>5000000.0</v>
      </c>
      <c r="G64" s="18">
        <v>5000000.0</v>
      </c>
      <c r="H64" s="4" t="s">
        <v>79</v>
      </c>
      <c r="K64" s="78">
        <v>46113.0</v>
      </c>
      <c r="L64" s="4" t="s">
        <v>1571</v>
      </c>
    </row>
    <row r="65" ht="15.75" customHeight="1">
      <c r="A65" s="17">
        <v>46139.0</v>
      </c>
      <c r="B65" s="4" t="s">
        <v>1501</v>
      </c>
      <c r="C65" s="4" t="s">
        <v>1501</v>
      </c>
      <c r="D65" s="4" t="s">
        <v>1501</v>
      </c>
      <c r="E65" s="4" t="s">
        <v>1446</v>
      </c>
      <c r="F65" s="18">
        <v>200000.0</v>
      </c>
      <c r="G65" s="18">
        <v>200000.0</v>
      </c>
      <c r="H65" s="4" t="s">
        <v>79</v>
      </c>
      <c r="K65" s="78">
        <v>46113.0</v>
      </c>
      <c r="L65" s="4" t="s">
        <v>1571</v>
      </c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88"/>
    <col customWidth="1" min="2" max="2" width="9.63"/>
    <col customWidth="1" min="3" max="3" width="35.13"/>
    <col customWidth="1" min="4" max="4" width="6.75"/>
    <col customWidth="1" min="5" max="6" width="12.63"/>
  </cols>
  <sheetData>
    <row r="1" ht="15.75" customHeight="1">
      <c r="A1" s="4" t="str">
        <f>IFERROR(__xludf.DUMMYFUNCTION("IMPORTRANGE(""1QNctVAnkattCX9dyT9DBmaPXWF9-nsfmZwEtEp4t1R8"",""'顧客対応状況（車検）'!A1:B3"")"),"#REF!")</f>
        <v>#REF!</v>
      </c>
      <c r="B1" s="4" t="s">
        <v>61</v>
      </c>
      <c r="C1" s="4" t="s">
        <v>63</v>
      </c>
      <c r="D1" s="4" t="s">
        <v>65</v>
      </c>
    </row>
    <row r="2" ht="15.75" customHeight="1">
      <c r="C2" s="4" t="s">
        <v>1707</v>
      </c>
    </row>
    <row r="3" ht="15.75" customHeight="1">
      <c r="B3" s="17">
        <v>46083.0</v>
      </c>
      <c r="C3" s="4" t="s">
        <v>1606</v>
      </c>
      <c r="D3" s="4" t="s">
        <v>1605</v>
      </c>
    </row>
    <row r="4" ht="15.75" customHeight="1">
      <c r="B4" s="17">
        <v>46083.0</v>
      </c>
      <c r="C4" s="4" t="s">
        <v>1607</v>
      </c>
      <c r="D4" s="4" t="s">
        <v>1524</v>
      </c>
    </row>
    <row r="5" ht="15.75" customHeight="1">
      <c r="B5" s="17">
        <v>46083.0</v>
      </c>
      <c r="C5" s="4" t="s">
        <v>1534</v>
      </c>
      <c r="D5" s="4" t="s">
        <v>1446</v>
      </c>
    </row>
    <row r="6" ht="15.75" customHeight="1">
      <c r="B6" s="17">
        <v>46083.0</v>
      </c>
      <c r="C6" s="4" t="s">
        <v>1708</v>
      </c>
      <c r="D6" s="4" t="s">
        <v>1496</v>
      </c>
    </row>
    <row r="7" ht="15.75" customHeight="1">
      <c r="B7" s="17">
        <v>46083.0</v>
      </c>
      <c r="C7" s="4" t="s">
        <v>1709</v>
      </c>
      <c r="D7" s="4" t="s">
        <v>1446</v>
      </c>
    </row>
    <row r="8" ht="15.75" customHeight="1">
      <c r="B8" s="17">
        <v>46083.0</v>
      </c>
      <c r="C8" s="4" t="s">
        <v>1710</v>
      </c>
      <c r="D8" s="4" t="s">
        <v>1446</v>
      </c>
    </row>
    <row r="9" ht="15.75" customHeight="1">
      <c r="B9" s="17">
        <v>46083.0</v>
      </c>
      <c r="C9" s="4" t="s">
        <v>1711</v>
      </c>
      <c r="D9" s="4" t="s">
        <v>1446</v>
      </c>
    </row>
    <row r="10" ht="15.75" customHeight="1">
      <c r="B10" s="17">
        <v>46083.0</v>
      </c>
      <c r="C10" s="4" t="s">
        <v>1712</v>
      </c>
      <c r="D10" s="4" t="s">
        <v>1446</v>
      </c>
    </row>
    <row r="11" ht="15.75" customHeight="1">
      <c r="B11" s="17">
        <v>46083.0</v>
      </c>
      <c r="C11" s="4" t="s">
        <v>1713</v>
      </c>
      <c r="D11" s="4" t="s">
        <v>1446</v>
      </c>
    </row>
    <row r="12" ht="15.75" customHeight="1">
      <c r="B12" s="17">
        <v>46083.0</v>
      </c>
      <c r="C12" s="4" t="s">
        <v>1714</v>
      </c>
      <c r="D12" s="4" t="s">
        <v>1446</v>
      </c>
    </row>
    <row r="13" ht="15.75" customHeight="1">
      <c r="B13" s="17">
        <v>46083.0</v>
      </c>
      <c r="C13" s="4" t="s">
        <v>1715</v>
      </c>
      <c r="D13" s="4" t="s">
        <v>1496</v>
      </c>
    </row>
    <row r="14" ht="15.75" customHeight="1">
      <c r="B14" s="17">
        <v>46083.0</v>
      </c>
      <c r="C14" s="4" t="s">
        <v>1716</v>
      </c>
      <c r="D14" s="4" t="s">
        <v>1446</v>
      </c>
    </row>
    <row r="15" ht="15.75" customHeight="1">
      <c r="B15" s="17">
        <v>46083.0</v>
      </c>
      <c r="C15" s="4" t="s">
        <v>1717</v>
      </c>
      <c r="D15" s="4" t="s">
        <v>1496</v>
      </c>
    </row>
    <row r="16" ht="15.75" customHeight="1">
      <c r="A16" s="23">
        <v>8000000.0</v>
      </c>
      <c r="B16" s="17">
        <v>46084.0</v>
      </c>
      <c r="C16" s="4" t="s">
        <v>1442</v>
      </c>
      <c r="D16" s="4" t="s">
        <v>1441</v>
      </c>
    </row>
    <row r="17" ht="15.75" customHeight="1">
      <c r="B17" s="17">
        <v>46085.0</v>
      </c>
      <c r="C17" s="4" t="s">
        <v>1575</v>
      </c>
      <c r="D17" s="4" t="s">
        <v>1446</v>
      </c>
    </row>
    <row r="18" ht="15.75" customHeight="1">
      <c r="B18" s="17">
        <v>46085.0</v>
      </c>
      <c r="C18" s="4" t="s">
        <v>1718</v>
      </c>
      <c r="D18" s="4" t="s">
        <v>1578</v>
      </c>
    </row>
    <row r="19" ht="15.75" customHeight="1">
      <c r="B19" s="17">
        <v>46086.0</v>
      </c>
      <c r="D19" s="4" t="s">
        <v>1446</v>
      </c>
    </row>
    <row r="20" ht="15.75" customHeight="1">
      <c r="A20" s="23">
        <v>3026.0</v>
      </c>
      <c r="B20" s="17">
        <v>46090.0</v>
      </c>
      <c r="C20" s="4" t="s">
        <v>1444</v>
      </c>
      <c r="D20" s="4" t="s">
        <v>1443</v>
      </c>
    </row>
    <row r="21" ht="15.75" customHeight="1">
      <c r="A21" s="23">
        <v>3754.0</v>
      </c>
      <c r="B21" s="17">
        <v>46090.0</v>
      </c>
      <c r="C21" s="4" t="s">
        <v>1445</v>
      </c>
      <c r="D21" s="4" t="s">
        <v>1443</v>
      </c>
    </row>
    <row r="22" ht="15.75" customHeight="1">
      <c r="A22" s="23"/>
      <c r="B22" s="17">
        <v>46090.0</v>
      </c>
      <c r="C22" s="4" t="s">
        <v>1572</v>
      </c>
      <c r="D22" s="4" t="s">
        <v>1483</v>
      </c>
    </row>
    <row r="23" ht="15.75" customHeight="1">
      <c r="B23" s="17">
        <v>46091.0</v>
      </c>
      <c r="C23" s="4" t="s">
        <v>1484</v>
      </c>
      <c r="D23" s="4" t="s">
        <v>1483</v>
      </c>
    </row>
    <row r="24" ht="15.75" customHeight="1">
      <c r="A24" s="23"/>
      <c r="B24" s="17">
        <v>46091.0</v>
      </c>
      <c r="C24" s="4" t="s">
        <v>1485</v>
      </c>
      <c r="D24" s="4" t="s">
        <v>1483</v>
      </c>
    </row>
    <row r="25" ht="15.75" customHeight="1">
      <c r="B25" s="17">
        <v>46091.0</v>
      </c>
      <c r="C25" s="4" t="s">
        <v>1486</v>
      </c>
      <c r="D25" s="4" t="s">
        <v>1483</v>
      </c>
    </row>
    <row r="26" ht="15.75" customHeight="1">
      <c r="B26" s="17"/>
      <c r="C26" s="4" t="s">
        <v>1719</v>
      </c>
      <c r="D26" s="4"/>
    </row>
    <row r="27" ht="15.75" customHeight="1">
      <c r="B27" s="17">
        <v>46091.0</v>
      </c>
      <c r="C27" s="4" t="s">
        <v>1488</v>
      </c>
      <c r="D27" s="4" t="s">
        <v>1483</v>
      </c>
    </row>
    <row r="28" ht="15.75" customHeight="1">
      <c r="B28" s="17">
        <v>46091.0</v>
      </c>
      <c r="C28" s="4" t="s">
        <v>1720</v>
      </c>
      <c r="D28" s="4" t="s">
        <v>1483</v>
      </c>
    </row>
    <row r="29" ht="15.75" customHeight="1">
      <c r="B29" s="17">
        <v>46091.0</v>
      </c>
      <c r="C29" s="4" t="s">
        <v>1490</v>
      </c>
      <c r="D29" s="4" t="s">
        <v>1483</v>
      </c>
    </row>
    <row r="30" ht="15.75" customHeight="1">
      <c r="A30" s="23">
        <v>150000.0</v>
      </c>
      <c r="B30" s="17">
        <v>46091.0</v>
      </c>
      <c r="C30" s="4" t="s">
        <v>348</v>
      </c>
      <c r="D30" s="4" t="s">
        <v>1441</v>
      </c>
    </row>
    <row r="31" ht="15.75" customHeight="1">
      <c r="B31" s="17">
        <v>46091.0</v>
      </c>
      <c r="C31" s="4" t="s">
        <v>1721</v>
      </c>
      <c r="D31" s="4" t="s">
        <v>1569</v>
      </c>
    </row>
    <row r="32" ht="15.75" customHeight="1">
      <c r="B32" s="17">
        <v>46091.0</v>
      </c>
      <c r="C32" s="4" t="s">
        <v>1722</v>
      </c>
      <c r="D32" s="4" t="s">
        <v>1458</v>
      </c>
    </row>
    <row r="33" ht="15.75" customHeight="1">
      <c r="A33" s="23"/>
      <c r="B33" s="17">
        <v>46091.0</v>
      </c>
      <c r="C33" s="4" t="s">
        <v>1723</v>
      </c>
      <c r="D33" s="4" t="s">
        <v>1496</v>
      </c>
    </row>
    <row r="34" ht="15.75" customHeight="1">
      <c r="B34" s="17">
        <v>46091.0</v>
      </c>
      <c r="C34" s="4" t="s">
        <v>1724</v>
      </c>
      <c r="D34" s="4" t="s">
        <v>1496</v>
      </c>
    </row>
    <row r="35" ht="15.75" customHeight="1">
      <c r="B35" s="17">
        <v>46091.0</v>
      </c>
      <c r="C35" s="4" t="s">
        <v>1725</v>
      </c>
      <c r="D35" s="4" t="s">
        <v>1726</v>
      </c>
    </row>
    <row r="36" ht="15.75" customHeight="1">
      <c r="B36" s="17">
        <v>46091.0</v>
      </c>
      <c r="C36" s="4" t="s">
        <v>1727</v>
      </c>
      <c r="D36" s="4" t="s">
        <v>1496</v>
      </c>
    </row>
    <row r="37" ht="15.75" customHeight="1">
      <c r="B37" s="17">
        <v>46091.0</v>
      </c>
      <c r="C37" s="4" t="s">
        <v>1728</v>
      </c>
      <c r="D37" s="4" t="s">
        <v>1496</v>
      </c>
    </row>
    <row r="38" ht="15.75" customHeight="1">
      <c r="B38" s="17">
        <v>46091.0</v>
      </c>
      <c r="C38" s="4" t="s">
        <v>1729</v>
      </c>
      <c r="D38" s="4" t="s">
        <v>1496</v>
      </c>
    </row>
    <row r="39" ht="15.75" customHeight="1">
      <c r="B39" s="17">
        <v>46091.0</v>
      </c>
      <c r="C39" s="4" t="s">
        <v>1730</v>
      </c>
      <c r="D39" s="4" t="s">
        <v>1496</v>
      </c>
    </row>
    <row r="40" ht="15.75" customHeight="1">
      <c r="B40" s="17">
        <v>46091.0</v>
      </c>
      <c r="C40" s="4" t="s">
        <v>1730</v>
      </c>
      <c r="D40" s="4" t="s">
        <v>1496</v>
      </c>
    </row>
    <row r="41" ht="15.75" customHeight="1">
      <c r="B41" s="17">
        <v>46091.0</v>
      </c>
      <c r="C41" s="4" t="s">
        <v>1731</v>
      </c>
      <c r="D41" s="4" t="s">
        <v>1538</v>
      </c>
    </row>
    <row r="42" ht="15.75" customHeight="1">
      <c r="B42" s="17">
        <v>46091.0</v>
      </c>
      <c r="C42" s="4" t="s">
        <v>1732</v>
      </c>
      <c r="D42" s="4" t="s">
        <v>1518</v>
      </c>
    </row>
    <row r="43" ht="15.75" customHeight="1">
      <c r="B43" s="17">
        <v>46091.0</v>
      </c>
      <c r="C43" s="4" t="s">
        <v>1733</v>
      </c>
      <c r="D43" s="4" t="s">
        <v>1446</v>
      </c>
    </row>
    <row r="44" ht="15.75" customHeight="1">
      <c r="B44" s="17">
        <v>46091.0</v>
      </c>
      <c r="C44" s="4" t="s">
        <v>1734</v>
      </c>
      <c r="D44" s="4" t="s">
        <v>1446</v>
      </c>
    </row>
    <row r="45" ht="15.75" customHeight="1">
      <c r="B45" s="17">
        <v>46091.0</v>
      </c>
      <c r="C45" s="4" t="s">
        <v>1735</v>
      </c>
      <c r="D45" s="4" t="s">
        <v>1446</v>
      </c>
    </row>
    <row r="46" ht="15.75" customHeight="1">
      <c r="B46" s="17">
        <v>46091.0</v>
      </c>
      <c r="C46" s="4" t="s">
        <v>1736</v>
      </c>
      <c r="D46" s="4" t="s">
        <v>1446</v>
      </c>
    </row>
    <row r="47" ht="15.75" customHeight="1">
      <c r="A47" s="23">
        <v>3.2676781E7</v>
      </c>
      <c r="B47" s="17">
        <v>46092.0</v>
      </c>
      <c r="C47" s="4" t="s">
        <v>1450</v>
      </c>
      <c r="D47" s="4" t="s">
        <v>1449</v>
      </c>
    </row>
    <row r="48" ht="15.75" customHeight="1">
      <c r="B48" s="17">
        <v>46093.0</v>
      </c>
      <c r="C48" s="4" t="s">
        <v>1487</v>
      </c>
      <c r="D48" s="4" t="s">
        <v>1483</v>
      </c>
    </row>
    <row r="49" ht="15.75" customHeight="1">
      <c r="B49" s="17"/>
      <c r="C49" s="4" t="s">
        <v>1719</v>
      </c>
      <c r="D49" s="4"/>
    </row>
    <row r="50" ht="15.75" customHeight="1">
      <c r="A50" s="23"/>
      <c r="B50" s="17">
        <v>46093.0</v>
      </c>
      <c r="C50" s="4" t="s">
        <v>1487</v>
      </c>
      <c r="D50" s="4" t="s">
        <v>1483</v>
      </c>
    </row>
    <row r="51" ht="15.75" customHeight="1">
      <c r="A51" s="23"/>
      <c r="B51" s="17">
        <v>46093.0</v>
      </c>
      <c r="C51" s="4" t="s">
        <v>1737</v>
      </c>
      <c r="D51" s="4" t="s">
        <v>1738</v>
      </c>
    </row>
    <row r="52" ht="15.75" customHeight="1">
      <c r="B52" s="17">
        <v>46093.0</v>
      </c>
      <c r="C52" s="4" t="s">
        <v>1739</v>
      </c>
      <c r="D52" s="4" t="s">
        <v>1740</v>
      </c>
    </row>
    <row r="53" ht="15.75" customHeight="1">
      <c r="B53" s="17">
        <v>46093.0</v>
      </c>
      <c r="C53" s="4"/>
      <c r="D53" s="4" t="s">
        <v>1446</v>
      </c>
    </row>
    <row r="54" ht="15.75" customHeight="1">
      <c r="A54" s="23">
        <v>401860.0</v>
      </c>
      <c r="B54" s="17">
        <v>46093.0</v>
      </c>
      <c r="C54" s="4" t="s">
        <v>1741</v>
      </c>
      <c r="D54" s="4" t="s">
        <v>1441</v>
      </c>
    </row>
    <row r="55" ht="15.75" customHeight="1">
      <c r="A55" s="23">
        <v>380712.0</v>
      </c>
      <c r="B55" s="17">
        <v>46097.0</v>
      </c>
      <c r="C55" s="4" t="s">
        <v>1742</v>
      </c>
      <c r="D55" s="4" t="s">
        <v>1441</v>
      </c>
    </row>
    <row r="56" ht="15.75" customHeight="1">
      <c r="A56" s="23">
        <v>117612.0</v>
      </c>
      <c r="B56" s="17">
        <v>46097.0</v>
      </c>
      <c r="C56" s="4"/>
      <c r="D56" s="4" t="s">
        <v>1446</v>
      </c>
    </row>
    <row r="57" ht="15.75" customHeight="1">
      <c r="A57" s="23">
        <v>194799.0</v>
      </c>
      <c r="B57" s="17">
        <v>46097.0</v>
      </c>
      <c r="C57" s="4" t="s">
        <v>1743</v>
      </c>
      <c r="D57" s="4" t="s">
        <v>1455</v>
      </c>
    </row>
    <row r="58" ht="15.75" customHeight="1">
      <c r="B58" s="17">
        <v>46097.0</v>
      </c>
      <c r="C58" s="4" t="s">
        <v>1744</v>
      </c>
      <c r="D58" s="4" t="s">
        <v>1569</v>
      </c>
    </row>
    <row r="59" ht="15.75" customHeight="1">
      <c r="B59" s="17">
        <v>46099.0</v>
      </c>
      <c r="C59" s="4" t="s">
        <v>1487</v>
      </c>
      <c r="D59" s="4" t="s">
        <v>1483</v>
      </c>
    </row>
    <row r="60" ht="15.75" customHeight="1">
      <c r="A60" s="23">
        <v>9283350.0</v>
      </c>
      <c r="B60" s="17">
        <v>46099.0</v>
      </c>
      <c r="C60" s="4" t="s">
        <v>1745</v>
      </c>
      <c r="D60" s="4" t="s">
        <v>1441</v>
      </c>
    </row>
    <row r="61" ht="15.75" customHeight="1">
      <c r="A61" s="23"/>
      <c r="B61" s="17">
        <v>46104.0</v>
      </c>
      <c r="C61" s="4" t="s">
        <v>1525</v>
      </c>
      <c r="D61" s="4" t="s">
        <v>1524</v>
      </c>
    </row>
    <row r="62" ht="15.75" customHeight="1">
      <c r="A62" s="23"/>
      <c r="B62" s="17">
        <v>46104.0</v>
      </c>
      <c r="C62" s="4" t="s">
        <v>1746</v>
      </c>
      <c r="D62" s="4" t="s">
        <v>1569</v>
      </c>
    </row>
    <row r="63" ht="15.75" customHeight="1">
      <c r="A63" s="23"/>
      <c r="B63" s="17">
        <v>46104.0</v>
      </c>
      <c r="D63" s="4" t="s">
        <v>1446</v>
      </c>
    </row>
    <row r="64" ht="15.75" customHeight="1">
      <c r="A64" s="23"/>
      <c r="B64" s="17">
        <v>46104.0</v>
      </c>
      <c r="C64" s="4" t="s">
        <v>1511</v>
      </c>
      <c r="D64" s="4" t="s">
        <v>1446</v>
      </c>
    </row>
    <row r="65" ht="15.75" customHeight="1">
      <c r="B65" s="17">
        <v>46104.0</v>
      </c>
      <c r="C65" s="4" t="s">
        <v>1534</v>
      </c>
      <c r="D65" s="4" t="s">
        <v>1446</v>
      </c>
    </row>
    <row r="66" ht="15.75" customHeight="1">
      <c r="B66" s="17">
        <v>46104.0</v>
      </c>
      <c r="C66" s="4" t="s">
        <v>1747</v>
      </c>
      <c r="D66" s="4" t="s">
        <v>1526</v>
      </c>
    </row>
    <row r="67" ht="15.75" customHeight="1">
      <c r="A67" s="23"/>
      <c r="B67" s="17">
        <v>46104.0</v>
      </c>
      <c r="C67" s="4" t="s">
        <v>1534</v>
      </c>
      <c r="D67" s="4" t="s">
        <v>1446</v>
      </c>
    </row>
    <row r="68" ht="15.75" customHeight="1">
      <c r="A68" s="23">
        <v>9882700.0</v>
      </c>
      <c r="B68" s="17">
        <v>46105.0</v>
      </c>
      <c r="C68" s="4" t="s">
        <v>1459</v>
      </c>
      <c r="D68" s="4" t="s">
        <v>1458</v>
      </c>
    </row>
    <row r="69" ht="15.75" customHeight="1">
      <c r="A69" s="23">
        <v>300000.0</v>
      </c>
      <c r="B69" s="17">
        <v>46106.0</v>
      </c>
      <c r="C69" s="4" t="s">
        <v>1748</v>
      </c>
      <c r="D69" s="4" t="s">
        <v>1749</v>
      </c>
    </row>
    <row r="70" ht="15.75" customHeight="1">
      <c r="B70" s="17">
        <v>46106.0</v>
      </c>
      <c r="C70" s="4" t="s">
        <v>1539</v>
      </c>
      <c r="D70" s="4" t="s">
        <v>1538</v>
      </c>
    </row>
    <row r="71" ht="15.75" customHeight="1">
      <c r="B71" s="17">
        <v>46106.0</v>
      </c>
      <c r="C71" s="4" t="s">
        <v>1750</v>
      </c>
      <c r="D71" s="4" t="s">
        <v>1740</v>
      </c>
    </row>
    <row r="72" ht="15.75" customHeight="1">
      <c r="B72" s="17">
        <v>46107.0</v>
      </c>
      <c r="C72" s="4" t="s">
        <v>1544</v>
      </c>
      <c r="D72" s="4" t="s">
        <v>1524</v>
      </c>
    </row>
    <row r="73" ht="15.75" customHeight="1">
      <c r="B73" s="17">
        <v>46107.0</v>
      </c>
      <c r="C73" s="4" t="s">
        <v>1546</v>
      </c>
      <c r="D73" s="4" t="s">
        <v>1545</v>
      </c>
    </row>
    <row r="74" ht="15.75" customHeight="1">
      <c r="B74" s="17">
        <v>46107.0</v>
      </c>
      <c r="C74" s="4" t="s">
        <v>1751</v>
      </c>
      <c r="D74" s="4" t="s">
        <v>1561</v>
      </c>
    </row>
    <row r="75" ht="15.75" customHeight="1">
      <c r="A75" s="23"/>
      <c r="B75" s="17">
        <v>46107.0</v>
      </c>
      <c r="C75" s="4" t="s">
        <v>1596</v>
      </c>
      <c r="D75" s="4" t="s">
        <v>1549</v>
      </c>
    </row>
    <row r="76" ht="15.75" customHeight="1">
      <c r="A76" s="23"/>
      <c r="B76" s="17"/>
      <c r="C76" s="4" t="s">
        <v>1719</v>
      </c>
      <c r="D76" s="4"/>
    </row>
    <row r="77" ht="15.75" customHeight="1">
      <c r="B77" s="17">
        <v>46107.0</v>
      </c>
      <c r="C77" s="4" t="s">
        <v>1752</v>
      </c>
      <c r="D77" s="4" t="s">
        <v>1753</v>
      </c>
    </row>
    <row r="78" ht="15.75" customHeight="1">
      <c r="B78" s="17">
        <v>46108.0</v>
      </c>
      <c r="C78" s="4" t="s">
        <v>1564</v>
      </c>
      <c r="D78" s="4" t="s">
        <v>1563</v>
      </c>
    </row>
    <row r="79" ht="15.75" customHeight="1">
      <c r="B79" s="17">
        <v>46108.0</v>
      </c>
      <c r="C79" s="4" t="s">
        <v>1450</v>
      </c>
      <c r="D79" s="4" t="s">
        <v>1449</v>
      </c>
    </row>
    <row r="80" ht="15.75" customHeight="1">
      <c r="A80" s="23">
        <v>69041.0</v>
      </c>
      <c r="B80" s="17">
        <v>46108.0</v>
      </c>
      <c r="C80" s="4" t="s">
        <v>1754</v>
      </c>
      <c r="D80" s="4" t="s">
        <v>1605</v>
      </c>
    </row>
    <row r="81" ht="15.75" customHeight="1">
      <c r="B81" s="17">
        <v>46108.0</v>
      </c>
      <c r="C81" s="4" t="s">
        <v>1548</v>
      </c>
      <c r="D81" s="4" t="s">
        <v>1547</v>
      </c>
    </row>
    <row r="82" ht="15.75" customHeight="1">
      <c r="B82" s="17">
        <v>46108.0</v>
      </c>
      <c r="C82" s="4" t="s">
        <v>1550</v>
      </c>
      <c r="D82" s="4" t="s">
        <v>1549</v>
      </c>
    </row>
    <row r="83" ht="15.75" customHeight="1">
      <c r="B83" s="17">
        <v>46108.0</v>
      </c>
      <c r="C83" s="4" t="s">
        <v>1551</v>
      </c>
      <c r="D83" s="4" t="s">
        <v>1538</v>
      </c>
    </row>
    <row r="84" ht="15.75" customHeight="1">
      <c r="B84" s="17">
        <v>46108.0</v>
      </c>
      <c r="C84" s="4" t="s">
        <v>1553</v>
      </c>
      <c r="D84" s="4" t="s">
        <v>1552</v>
      </c>
    </row>
    <row r="85" ht="15.75" customHeight="1">
      <c r="B85" s="17">
        <v>46108.0</v>
      </c>
      <c r="C85" s="4" t="s">
        <v>1556</v>
      </c>
      <c r="D85" s="4" t="s">
        <v>1549</v>
      </c>
    </row>
    <row r="86" ht="15.75" customHeight="1">
      <c r="B86" s="17">
        <v>46108.0</v>
      </c>
      <c r="C86" s="4" t="s">
        <v>1554</v>
      </c>
      <c r="D86" s="4" t="s">
        <v>1446</v>
      </c>
    </row>
    <row r="87" ht="15.75" customHeight="1">
      <c r="A87" s="23"/>
      <c r="B87" s="17">
        <v>46108.0</v>
      </c>
      <c r="C87" s="4" t="s">
        <v>1543</v>
      </c>
      <c r="D87" s="4" t="s">
        <v>1542</v>
      </c>
    </row>
    <row r="88" ht="15.75" customHeight="1">
      <c r="B88" s="17">
        <v>46111.0</v>
      </c>
      <c r="C88" s="4" t="s">
        <v>1755</v>
      </c>
      <c r="D88" s="4" t="s">
        <v>1756</v>
      </c>
    </row>
    <row r="89" ht="15.75" customHeight="1">
      <c r="B89" s="17">
        <v>46111.0</v>
      </c>
      <c r="C89" s="4" t="s">
        <v>1757</v>
      </c>
      <c r="D89" s="4" t="s">
        <v>1740</v>
      </c>
    </row>
    <row r="90" ht="15.75" customHeight="1">
      <c r="B90" s="17">
        <v>46111.0</v>
      </c>
      <c r="C90" s="4" t="s">
        <v>1758</v>
      </c>
      <c r="D90" s="4" t="s">
        <v>1446</v>
      </c>
    </row>
    <row r="91" ht="15.75" customHeight="1">
      <c r="B91" s="17">
        <v>46111.0</v>
      </c>
      <c r="C91" s="4" t="s">
        <v>1759</v>
      </c>
      <c r="D91" s="4" t="s">
        <v>1524</v>
      </c>
    </row>
    <row r="92" ht="15.75" customHeight="1">
      <c r="B92" s="17">
        <v>46111.0</v>
      </c>
      <c r="C92" s="4" t="s">
        <v>1760</v>
      </c>
      <c r="D92" s="4" t="s">
        <v>1547</v>
      </c>
    </row>
    <row r="93" ht="15.75" customHeight="1">
      <c r="B93" s="17">
        <v>46111.0</v>
      </c>
      <c r="C93" s="4" t="s">
        <v>1761</v>
      </c>
      <c r="D93" s="4" t="s">
        <v>1762</v>
      </c>
    </row>
    <row r="94" ht="15.75" customHeight="1">
      <c r="B94" s="17">
        <v>46111.0</v>
      </c>
      <c r="C94" s="4" t="s">
        <v>1763</v>
      </c>
      <c r="D94" s="4" t="s">
        <v>1547</v>
      </c>
    </row>
    <row r="95" ht="15.75" customHeight="1">
      <c r="A95" s="23"/>
      <c r="B95" s="17">
        <v>46111.0</v>
      </c>
      <c r="C95" s="4" t="s">
        <v>1764</v>
      </c>
      <c r="D95" s="4" t="s">
        <v>1526</v>
      </c>
    </row>
    <row r="96" ht="15.75" customHeight="1">
      <c r="B96" s="17">
        <v>46111.0</v>
      </c>
      <c r="C96" s="4" t="s">
        <v>1765</v>
      </c>
      <c r="D96" s="4" t="s">
        <v>1762</v>
      </c>
    </row>
    <row r="97" ht="15.75" customHeight="1">
      <c r="B97" s="17">
        <v>46111.0</v>
      </c>
      <c r="C97" s="4" t="s">
        <v>1766</v>
      </c>
      <c r="D97" s="4" t="s">
        <v>1446</v>
      </c>
    </row>
    <row r="98" ht="15.75" customHeight="1">
      <c r="A98" s="23"/>
      <c r="B98" s="17"/>
      <c r="C98" s="4" t="s">
        <v>1719</v>
      </c>
      <c r="D98" s="4"/>
    </row>
    <row r="99" ht="15.75" customHeight="1">
      <c r="B99" s="17">
        <v>46111.0</v>
      </c>
      <c r="C99" s="4" t="s">
        <v>1767</v>
      </c>
      <c r="D99" s="4" t="s">
        <v>1768</v>
      </c>
    </row>
    <row r="100" ht="15.75" customHeight="1">
      <c r="A100" s="23"/>
      <c r="B100" s="17">
        <v>46111.0</v>
      </c>
      <c r="C100" s="4" t="s">
        <v>1769</v>
      </c>
      <c r="D100" s="4" t="s">
        <v>1552</v>
      </c>
    </row>
    <row r="101" ht="15.75" customHeight="1">
      <c r="B101" s="17">
        <v>46111.0</v>
      </c>
      <c r="C101" s="4" t="s">
        <v>1770</v>
      </c>
      <c r="D101" s="4" t="s">
        <v>1740</v>
      </c>
    </row>
    <row r="102" ht="15.75" customHeight="1">
      <c r="B102" s="17">
        <v>46111.0</v>
      </c>
      <c r="C102" s="4" t="s">
        <v>1771</v>
      </c>
      <c r="D102" s="4" t="s">
        <v>1740</v>
      </c>
    </row>
    <row r="103" ht="15.75" customHeight="1">
      <c r="B103" s="17">
        <v>46111.0</v>
      </c>
      <c r="C103" s="4" t="s">
        <v>1772</v>
      </c>
      <c r="D103" s="4" t="s">
        <v>1740</v>
      </c>
    </row>
    <row r="104" ht="15.75" customHeight="1">
      <c r="B104" s="17">
        <v>46111.0</v>
      </c>
      <c r="C104" s="4" t="s">
        <v>1773</v>
      </c>
      <c r="D104" s="4" t="s">
        <v>1740</v>
      </c>
    </row>
    <row r="105" ht="15.75" customHeight="1">
      <c r="B105" s="17">
        <v>46111.0</v>
      </c>
      <c r="C105" s="4" t="s">
        <v>1774</v>
      </c>
      <c r="D105" s="4" t="s">
        <v>1740</v>
      </c>
    </row>
    <row r="106" ht="15.75" customHeight="1">
      <c r="B106" s="17">
        <v>46111.0</v>
      </c>
      <c r="C106" s="4" t="s">
        <v>1775</v>
      </c>
      <c r="D106" s="4" t="s">
        <v>1776</v>
      </c>
    </row>
    <row r="107" ht="15.75" customHeight="1">
      <c r="B107" s="17">
        <v>46111.0</v>
      </c>
      <c r="C107" s="4" t="s">
        <v>1777</v>
      </c>
      <c r="D107" s="4" t="s">
        <v>1776</v>
      </c>
    </row>
    <row r="108" ht="15.75" customHeight="1">
      <c r="B108" s="17">
        <v>46111.0</v>
      </c>
      <c r="C108" s="4" t="s">
        <v>1778</v>
      </c>
      <c r="D108" s="4" t="s">
        <v>1552</v>
      </c>
    </row>
    <row r="109" ht="15.75" customHeight="1">
      <c r="B109" s="17">
        <v>46111.0</v>
      </c>
      <c r="C109" s="4" t="s">
        <v>1779</v>
      </c>
      <c r="D109" s="4" t="s">
        <v>1524</v>
      </c>
    </row>
    <row r="110" ht="15.75" customHeight="1">
      <c r="B110" s="17">
        <v>46111.0</v>
      </c>
      <c r="C110" s="4" t="s">
        <v>1780</v>
      </c>
      <c r="D110" s="4" t="s">
        <v>1446</v>
      </c>
    </row>
    <row r="111" ht="15.75" customHeight="1">
      <c r="B111" s="17">
        <v>46111.0</v>
      </c>
      <c r="C111" s="4" t="s">
        <v>1780</v>
      </c>
      <c r="D111" s="4" t="s">
        <v>1446</v>
      </c>
    </row>
    <row r="112" ht="15.75" customHeight="1">
      <c r="B112" s="17">
        <v>46111.0</v>
      </c>
      <c r="C112" s="4" t="s">
        <v>1780</v>
      </c>
      <c r="D112" s="4" t="s">
        <v>1446</v>
      </c>
    </row>
    <row r="113" ht="15.75" customHeight="1">
      <c r="A113" s="23">
        <v>258698.0</v>
      </c>
      <c r="B113" s="17">
        <v>46112.0</v>
      </c>
      <c r="C113" s="4" t="s">
        <v>311</v>
      </c>
      <c r="D113" s="4" t="s">
        <v>1441</v>
      </c>
    </row>
    <row r="114" ht="15.75" customHeight="1">
      <c r="A114" s="23">
        <v>508157.0</v>
      </c>
      <c r="B114" s="17">
        <v>46112.0</v>
      </c>
      <c r="C114" s="4"/>
      <c r="D114" s="4" t="s">
        <v>1446</v>
      </c>
    </row>
    <row r="115" ht="15.75" customHeight="1">
      <c r="B115" s="17">
        <v>46112.0</v>
      </c>
      <c r="C115" s="4" t="s">
        <v>1606</v>
      </c>
      <c r="D115" s="4" t="s">
        <v>1605</v>
      </c>
    </row>
    <row r="116" ht="15.75" customHeight="1">
      <c r="B116" s="17">
        <v>46112.0</v>
      </c>
      <c r="C116" s="4" t="s">
        <v>1607</v>
      </c>
      <c r="D116" s="4" t="s">
        <v>1524</v>
      </c>
    </row>
    <row r="117" ht="15.75" customHeight="1">
      <c r="B117" s="17">
        <v>46112.0</v>
      </c>
      <c r="C117" s="4" t="s">
        <v>1781</v>
      </c>
      <c r="D117" s="4" t="s">
        <v>1610</v>
      </c>
    </row>
    <row r="118" ht="15.75" customHeight="1">
      <c r="A118" s="23">
        <v>1457088.0</v>
      </c>
      <c r="B118" s="17">
        <v>46112.0</v>
      </c>
      <c r="C118" s="4"/>
      <c r="D118" s="4" t="s">
        <v>1446</v>
      </c>
    </row>
    <row r="119" ht="15.75" customHeight="1">
      <c r="B119" s="17">
        <v>46112.0</v>
      </c>
      <c r="C119" s="4" t="s">
        <v>1713</v>
      </c>
      <c r="D119" s="4" t="s">
        <v>1446</v>
      </c>
    </row>
    <row r="120" ht="15.75" customHeight="1">
      <c r="B120" s="17">
        <v>46112.0</v>
      </c>
      <c r="C120" s="4" t="s">
        <v>1714</v>
      </c>
      <c r="D120" s="4" t="s">
        <v>1446</v>
      </c>
    </row>
    <row r="121" ht="15.75" customHeight="1">
      <c r="B121" s="17">
        <v>46112.0</v>
      </c>
      <c r="C121" s="4" t="s">
        <v>1716</v>
      </c>
      <c r="D121" s="4" t="s">
        <v>1446</v>
      </c>
    </row>
    <row r="122" ht="15.75" customHeight="1">
      <c r="B122" s="17">
        <v>46112.0</v>
      </c>
      <c r="C122" s="4" t="s">
        <v>1710</v>
      </c>
      <c r="D122" s="4" t="s">
        <v>1446</v>
      </c>
    </row>
    <row r="123" ht="15.75" customHeight="1">
      <c r="B123" s="17">
        <v>46112.0</v>
      </c>
      <c r="C123" s="4" t="s">
        <v>1782</v>
      </c>
      <c r="D123" s="4" t="s">
        <v>1605</v>
      </c>
    </row>
    <row r="124" ht="15.75" customHeight="1">
      <c r="B124" s="17">
        <v>46112.0</v>
      </c>
      <c r="C124" s="4" t="s">
        <v>1712</v>
      </c>
      <c r="D124" s="4" t="s">
        <v>1446</v>
      </c>
    </row>
    <row r="125" ht="15.75" customHeight="1">
      <c r="A125" s="23"/>
      <c r="B125" s="17"/>
      <c r="C125" s="4" t="s">
        <v>1719</v>
      </c>
      <c r="D125" s="4"/>
    </row>
    <row r="126" ht="15.75" customHeight="1">
      <c r="A126" s="23"/>
      <c r="B126" s="17">
        <v>46112.0</v>
      </c>
      <c r="C126" s="4" t="s">
        <v>1711</v>
      </c>
      <c r="D126" s="4" t="s">
        <v>1446</v>
      </c>
    </row>
    <row r="127" ht="15.75" customHeight="1">
      <c r="B127" s="17">
        <v>46112.0</v>
      </c>
      <c r="C127" s="4" t="s">
        <v>1715</v>
      </c>
      <c r="D127" s="4" t="s">
        <v>1605</v>
      </c>
    </row>
    <row r="128" ht="15.75" customHeight="1">
      <c r="B128" s="115" t="s">
        <v>1682</v>
      </c>
      <c r="C128" s="4" t="s">
        <v>1485</v>
      </c>
      <c r="D128" s="4"/>
    </row>
    <row r="129" ht="15.75" customHeight="1">
      <c r="B129" s="115" t="s">
        <v>1682</v>
      </c>
      <c r="C129" s="4" t="s">
        <v>1484</v>
      </c>
      <c r="D129" s="4"/>
    </row>
    <row r="130" ht="15.75" customHeight="1">
      <c r="A130" s="23"/>
      <c r="B130" s="115" t="s">
        <v>1682</v>
      </c>
      <c r="C130" s="4" t="s">
        <v>1486</v>
      </c>
      <c r="D130" s="4"/>
    </row>
    <row r="131" ht="15.75" customHeight="1">
      <c r="B131" s="115" t="s">
        <v>1682</v>
      </c>
      <c r="C131" s="4" t="s">
        <v>1488</v>
      </c>
      <c r="D131" s="4"/>
    </row>
    <row r="132" ht="15.75" customHeight="1">
      <c r="B132" s="115" t="s">
        <v>1682</v>
      </c>
      <c r="C132" s="4" t="s">
        <v>1490</v>
      </c>
      <c r="D132" s="4"/>
    </row>
    <row r="133" ht="15.75" customHeight="1">
      <c r="A133" s="4">
        <v>1000000.0</v>
      </c>
      <c r="B133" s="115" t="s">
        <v>1682</v>
      </c>
      <c r="C133" s="4" t="s">
        <v>1493</v>
      </c>
      <c r="D133" s="4"/>
    </row>
    <row r="134" ht="15.75" customHeight="1">
      <c r="A134" s="4">
        <v>8439760.0</v>
      </c>
      <c r="B134" s="115" t="s">
        <v>1682</v>
      </c>
      <c r="C134" s="4" t="s">
        <v>203</v>
      </c>
      <c r="D134" s="4"/>
    </row>
    <row r="135" ht="15.75" customHeight="1">
      <c r="B135" s="115" t="s">
        <v>1682</v>
      </c>
      <c r="C135" s="4" t="s">
        <v>1487</v>
      </c>
      <c r="D135" s="4"/>
    </row>
    <row r="136" ht="15.75" customHeight="1">
      <c r="A136" s="4">
        <v>2700000.0</v>
      </c>
      <c r="B136" s="115" t="s">
        <v>1682</v>
      </c>
      <c r="C136" s="4" t="s">
        <v>1502</v>
      </c>
      <c r="D136" s="4"/>
    </row>
    <row r="137" ht="15.75" customHeight="1">
      <c r="B137" s="6" t="s">
        <v>1682</v>
      </c>
      <c r="C137" s="4" t="s">
        <v>1497</v>
      </c>
    </row>
    <row r="138" ht="15.75" customHeight="1">
      <c r="B138" s="115" t="s">
        <v>1682</v>
      </c>
      <c r="C138" s="4" t="s">
        <v>1501</v>
      </c>
      <c r="D138" s="4"/>
    </row>
    <row r="139" ht="15.75" customHeight="1">
      <c r="B139" s="115" t="s">
        <v>1682</v>
      </c>
      <c r="C139" s="4" t="s">
        <v>1495</v>
      </c>
      <c r="D139" s="4"/>
    </row>
    <row r="140" ht="15.75" customHeight="1">
      <c r="B140" s="6" t="s">
        <v>1682</v>
      </c>
      <c r="C140" s="4" t="s">
        <v>1500</v>
      </c>
    </row>
    <row r="141" ht="15.75" customHeight="1">
      <c r="B141" s="6" t="s">
        <v>1682</v>
      </c>
      <c r="C141" s="4" t="s">
        <v>1498</v>
      </c>
    </row>
    <row r="142" ht="15.75" customHeight="1">
      <c r="B142" s="6" t="s">
        <v>1682</v>
      </c>
      <c r="C142" s="4" t="s">
        <v>1499</v>
      </c>
    </row>
    <row r="143" ht="15.75" customHeight="1">
      <c r="B143" s="6" t="s">
        <v>1682</v>
      </c>
      <c r="C143" s="4" t="s">
        <v>1482</v>
      </c>
    </row>
    <row r="144" ht="15.75" customHeight="1">
      <c r="B144" s="6" t="s">
        <v>1682</v>
      </c>
      <c r="C144" s="4" t="s">
        <v>1491</v>
      </c>
    </row>
    <row r="145" ht="15.75" customHeight="1">
      <c r="B145" s="6" t="s">
        <v>1682</v>
      </c>
      <c r="C145" s="4" t="s">
        <v>1489</v>
      </c>
    </row>
    <row r="146" ht="15.75" customHeight="1">
      <c r="A146" s="4">
        <v>159158.0</v>
      </c>
      <c r="B146" s="6" t="s">
        <v>1682</v>
      </c>
      <c r="C146" s="4" t="s">
        <v>1783</v>
      </c>
    </row>
    <row r="147" ht="15.75" customHeight="1">
      <c r="A147" s="4">
        <v>79577.0</v>
      </c>
      <c r="B147" s="6" t="s">
        <v>1682</v>
      </c>
      <c r="C147" s="4" t="s">
        <v>1783</v>
      </c>
    </row>
    <row r="148" ht="15.75" customHeight="1">
      <c r="B148" s="6" t="s">
        <v>1784</v>
      </c>
      <c r="C148" s="4" t="s">
        <v>1505</v>
      </c>
    </row>
    <row r="149" ht="15.75" customHeight="1">
      <c r="B149" s="6" t="s">
        <v>1784</v>
      </c>
      <c r="C149" s="4" t="s">
        <v>1785</v>
      </c>
    </row>
    <row r="150" ht="15.75" customHeight="1">
      <c r="B150" s="6" t="s">
        <v>1784</v>
      </c>
      <c r="C150" s="4" t="s">
        <v>1501</v>
      </c>
    </row>
    <row r="151" ht="15.75" customHeight="1">
      <c r="A151" s="4">
        <v>198000.0</v>
      </c>
      <c r="B151" s="6" t="s">
        <v>1786</v>
      </c>
      <c r="C151" s="4" t="s">
        <v>321</v>
      </c>
    </row>
    <row r="152" ht="15.75" customHeight="1">
      <c r="A152" s="4">
        <v>50270.0</v>
      </c>
      <c r="B152" s="6" t="s">
        <v>1677</v>
      </c>
      <c r="C152" s="4" t="s">
        <v>1506</v>
      </c>
    </row>
    <row r="153" ht="15.75" customHeight="1">
      <c r="A153" s="4">
        <v>187886.0</v>
      </c>
      <c r="B153" s="6" t="s">
        <v>1677</v>
      </c>
      <c r="C153" s="4" t="s">
        <v>1743</v>
      </c>
    </row>
    <row r="154" ht="15.75" customHeight="1">
      <c r="A154" s="4">
        <v>440822.0</v>
      </c>
      <c r="B154" s="6" t="s">
        <v>1677</v>
      </c>
      <c r="C154" s="4" t="s">
        <v>322</v>
      </c>
    </row>
    <row r="155" ht="15.75" customHeight="1">
      <c r="A155" s="4">
        <v>14520.0</v>
      </c>
      <c r="B155" s="6" t="s">
        <v>1677</v>
      </c>
      <c r="C155" s="4" t="s">
        <v>1787</v>
      </c>
    </row>
    <row r="156" ht="15.75" customHeight="1">
      <c r="A156" s="4">
        <v>75000.0</v>
      </c>
      <c r="B156" s="6" t="s">
        <v>1788</v>
      </c>
      <c r="C156" s="4" t="s">
        <v>1509</v>
      </c>
    </row>
    <row r="157" ht="15.75" customHeight="1">
      <c r="A157" s="4">
        <v>210000.0</v>
      </c>
      <c r="B157" s="6" t="s">
        <v>1789</v>
      </c>
      <c r="C157" s="4" t="s">
        <v>1790</v>
      </c>
    </row>
    <row r="158" ht="15.75" customHeight="1">
      <c r="B158" s="6" t="s">
        <v>1789</v>
      </c>
      <c r="C158" s="4" t="s">
        <v>1511</v>
      </c>
    </row>
    <row r="159" ht="15.75" customHeight="1">
      <c r="B159" s="6" t="s">
        <v>1791</v>
      </c>
      <c r="C159" s="4" t="s">
        <v>1523</v>
      </c>
    </row>
    <row r="160" ht="15.75" customHeight="1">
      <c r="B160" s="6" t="s">
        <v>1791</v>
      </c>
      <c r="C160" s="4" t="s">
        <v>1520</v>
      </c>
    </row>
    <row r="161" ht="15.75" customHeight="1">
      <c r="B161" s="6" t="s">
        <v>1791</v>
      </c>
      <c r="C161" s="4" t="s">
        <v>1487</v>
      </c>
    </row>
    <row r="162" ht="15.75" customHeight="1">
      <c r="B162" s="6" t="s">
        <v>1791</v>
      </c>
      <c r="C162" s="4" t="s">
        <v>1519</v>
      </c>
    </row>
    <row r="163" ht="15.75" customHeight="1">
      <c r="B163" s="6" t="s">
        <v>1791</v>
      </c>
      <c r="C163" s="4" t="s">
        <v>1515</v>
      </c>
    </row>
    <row r="164" ht="15.75" customHeight="1">
      <c r="B164" s="6" t="s">
        <v>1791</v>
      </c>
      <c r="C164" s="4" t="s">
        <v>1516</v>
      </c>
    </row>
    <row r="165" ht="15.75" customHeight="1">
      <c r="B165" s="6" t="s">
        <v>1791</v>
      </c>
      <c r="C165" s="4" t="s">
        <v>1517</v>
      </c>
    </row>
    <row r="166" ht="15.75" customHeight="1">
      <c r="B166" s="6" t="s">
        <v>1791</v>
      </c>
      <c r="C166" s="4" t="s">
        <v>1513</v>
      </c>
    </row>
    <row r="167" ht="15.75" customHeight="1">
      <c r="B167" s="6" t="s">
        <v>1791</v>
      </c>
      <c r="C167" s="4" t="s">
        <v>1501</v>
      </c>
    </row>
    <row r="168" ht="15.75" customHeight="1">
      <c r="A168" s="4">
        <v>1132941.0</v>
      </c>
      <c r="B168" s="6" t="s">
        <v>1791</v>
      </c>
      <c r="C168" s="4" t="s">
        <v>328</v>
      </c>
    </row>
    <row r="169" ht="15.75" customHeight="1">
      <c r="A169" s="4">
        <v>64350.0</v>
      </c>
      <c r="B169" s="6" t="s">
        <v>1792</v>
      </c>
      <c r="C169" s="4" t="s">
        <v>326</v>
      </c>
    </row>
    <row r="170" ht="15.75" customHeight="1">
      <c r="B170" s="6" t="s">
        <v>1793</v>
      </c>
      <c r="C170" s="4" t="s">
        <v>1527</v>
      </c>
    </row>
    <row r="171" ht="15.75" customHeight="1">
      <c r="B171" s="6" t="s">
        <v>1793</v>
      </c>
      <c r="C171" s="4" t="s">
        <v>1529</v>
      </c>
    </row>
    <row r="172" ht="15.75" customHeight="1">
      <c r="A172" s="4">
        <v>57310.0</v>
      </c>
      <c r="B172" s="6" t="s">
        <v>1793</v>
      </c>
      <c r="C172" s="4" t="s">
        <v>328</v>
      </c>
    </row>
    <row r="173" ht="15.75" customHeight="1">
      <c r="B173" s="6" t="s">
        <v>1793</v>
      </c>
      <c r="C173" s="4" t="s">
        <v>1525</v>
      </c>
    </row>
    <row r="174" ht="15.75" customHeight="1">
      <c r="B174" s="6" t="s">
        <v>1794</v>
      </c>
      <c r="C174" s="4" t="s">
        <v>1534</v>
      </c>
    </row>
    <row r="175" ht="15.75" customHeight="1">
      <c r="A175" s="4">
        <v>200000.0</v>
      </c>
      <c r="B175" s="6" t="s">
        <v>1794</v>
      </c>
      <c r="C175" s="4" t="s">
        <v>1795</v>
      </c>
    </row>
    <row r="176" ht="15.75" customHeight="1">
      <c r="A176" s="4">
        <v>50000.0</v>
      </c>
      <c r="B176" s="6" t="s">
        <v>1794</v>
      </c>
      <c r="C176" s="4" t="s">
        <v>1530</v>
      </c>
    </row>
    <row r="177" ht="15.75" customHeight="1">
      <c r="B177" s="6" t="s">
        <v>1794</v>
      </c>
      <c r="C177" s="4" t="s">
        <v>1537</v>
      </c>
    </row>
    <row r="178" ht="15.75" customHeight="1">
      <c r="B178" s="6" t="s">
        <v>1794</v>
      </c>
      <c r="C178" s="4" t="s">
        <v>1540</v>
      </c>
    </row>
    <row r="179" ht="15.75" customHeight="1">
      <c r="A179" s="4">
        <v>7500000.0</v>
      </c>
      <c r="B179" s="6" t="s">
        <v>1794</v>
      </c>
      <c r="C179" s="4" t="s">
        <v>330</v>
      </c>
    </row>
    <row r="180" ht="15.75" customHeight="1">
      <c r="A180" s="4">
        <v>2545300.0</v>
      </c>
      <c r="B180" s="6" t="s">
        <v>1794</v>
      </c>
      <c r="C180" s="4" t="s">
        <v>331</v>
      </c>
    </row>
    <row r="181" ht="15.75" customHeight="1">
      <c r="A181" s="4">
        <v>110000.0</v>
      </c>
      <c r="B181" s="6" t="s">
        <v>1794</v>
      </c>
      <c r="C181" s="4" t="s">
        <v>329</v>
      </c>
    </row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5.13"/>
    <col customWidth="1" min="2" max="2" width="42.0"/>
    <col customWidth="1" min="3" max="3" width="29.38"/>
    <col customWidth="1" min="4" max="6" width="12.63"/>
  </cols>
  <sheetData>
    <row r="1" ht="15.75" customHeight="1">
      <c r="A1" s="116" t="s">
        <v>1432</v>
      </c>
      <c r="B1" s="116" t="s">
        <v>1796</v>
      </c>
      <c r="C1" s="116" t="s">
        <v>1797</v>
      </c>
    </row>
    <row r="2" ht="15.75" customHeight="1">
      <c r="A2" s="4" t="s">
        <v>1798</v>
      </c>
      <c r="B2" s="4" t="s">
        <v>1799</v>
      </c>
      <c r="C2" s="4" t="s">
        <v>1800</v>
      </c>
    </row>
    <row r="3" ht="15.75" customHeight="1">
      <c r="A3" s="4" t="s">
        <v>1801</v>
      </c>
      <c r="B3" s="4" t="s">
        <v>1802</v>
      </c>
      <c r="C3" s="4" t="s">
        <v>1803</v>
      </c>
    </row>
    <row r="4" ht="15.75" customHeight="1">
      <c r="A4" s="4" t="s">
        <v>1804</v>
      </c>
      <c r="B4" s="4" t="s">
        <v>1805</v>
      </c>
      <c r="C4" s="4" t="s">
        <v>1806</v>
      </c>
    </row>
    <row r="5" ht="15.75" customHeight="1">
      <c r="A5" s="4" t="s">
        <v>1804</v>
      </c>
      <c r="B5" s="4" t="s">
        <v>1805</v>
      </c>
      <c r="C5" s="4" t="s">
        <v>1807</v>
      </c>
    </row>
    <row r="6" ht="15.75" customHeight="1">
      <c r="A6" s="4" t="s">
        <v>1804</v>
      </c>
      <c r="B6" s="4" t="s">
        <v>1805</v>
      </c>
      <c r="C6" s="4" t="s">
        <v>1808</v>
      </c>
    </row>
    <row r="7" ht="15.75" customHeight="1">
      <c r="A7" s="4" t="s">
        <v>1809</v>
      </c>
      <c r="B7" s="4" t="s">
        <v>1810</v>
      </c>
      <c r="C7" s="4" t="s">
        <v>1811</v>
      </c>
    </row>
    <row r="8" ht="15.75" customHeight="1">
      <c r="A8" s="4" t="s">
        <v>1812</v>
      </c>
      <c r="B8" s="4" t="s">
        <v>1813</v>
      </c>
      <c r="C8" s="4"/>
    </row>
    <row r="9" ht="15.75" customHeight="1">
      <c r="A9" s="4" t="s">
        <v>1814</v>
      </c>
      <c r="B9" s="4" t="s">
        <v>1815</v>
      </c>
      <c r="C9" s="4" t="s">
        <v>1816</v>
      </c>
    </row>
    <row r="10" ht="15.75" customHeight="1">
      <c r="A10" s="4" t="s">
        <v>1817</v>
      </c>
      <c r="B10" s="4" t="s">
        <v>1818</v>
      </c>
      <c r="C10" s="4" t="s">
        <v>1819</v>
      </c>
    </row>
    <row r="11" ht="15.75" customHeight="1">
      <c r="A11" s="4" t="s">
        <v>1820</v>
      </c>
      <c r="B11" s="4" t="s">
        <v>1821</v>
      </c>
      <c r="C11" s="4" t="s">
        <v>1822</v>
      </c>
    </row>
    <row r="12" ht="15.75" customHeight="1">
      <c r="A12" s="4" t="s">
        <v>1823</v>
      </c>
      <c r="B12" s="4" t="s">
        <v>1824</v>
      </c>
      <c r="C12" s="4" t="s">
        <v>1825</v>
      </c>
    </row>
    <row r="13" ht="15.75" customHeight="1">
      <c r="A13" s="4" t="s">
        <v>1826</v>
      </c>
      <c r="B13" s="4" t="s">
        <v>1827</v>
      </c>
      <c r="C13" s="4" t="s">
        <v>1828</v>
      </c>
    </row>
    <row r="14" ht="15.75" customHeight="1">
      <c r="A14" s="4" t="s">
        <v>1826</v>
      </c>
      <c r="B14" s="4" t="s">
        <v>1827</v>
      </c>
      <c r="C14" s="4" t="s">
        <v>1829</v>
      </c>
    </row>
    <row r="15" ht="15.75" customHeight="1">
      <c r="A15" s="4" t="s">
        <v>1830</v>
      </c>
      <c r="B15" s="4" t="s">
        <v>1831</v>
      </c>
      <c r="C15" s="4" t="s">
        <v>1832</v>
      </c>
    </row>
    <row r="16" ht="15.75" customHeight="1">
      <c r="A16" s="4" t="s">
        <v>1833</v>
      </c>
      <c r="B16" s="4" t="s">
        <v>1834</v>
      </c>
      <c r="C16" s="4" t="s">
        <v>1835</v>
      </c>
    </row>
    <row r="17" ht="15.75" customHeight="1">
      <c r="A17" s="4" t="s">
        <v>1833</v>
      </c>
      <c r="B17" s="4" t="s">
        <v>1834</v>
      </c>
      <c r="C17" s="4" t="s">
        <v>1836</v>
      </c>
    </row>
    <row r="18" ht="15.75" customHeight="1">
      <c r="A18" s="4" t="s">
        <v>1833</v>
      </c>
      <c r="B18" s="4" t="s">
        <v>1834</v>
      </c>
      <c r="C18" s="4" t="s">
        <v>1837</v>
      </c>
    </row>
    <row r="19" ht="15.75" customHeight="1">
      <c r="A19" s="4" t="s">
        <v>1838</v>
      </c>
      <c r="B19" s="4" t="s">
        <v>1839</v>
      </c>
      <c r="C19" s="4" t="s">
        <v>1840</v>
      </c>
    </row>
    <row r="20" ht="15.75" customHeight="1">
      <c r="A20" s="4" t="s">
        <v>1838</v>
      </c>
      <c r="B20" s="4" t="s">
        <v>1839</v>
      </c>
      <c r="C20" s="4" t="s">
        <v>1841</v>
      </c>
    </row>
    <row r="21" ht="15.75" customHeight="1">
      <c r="A21" s="4" t="s">
        <v>1842</v>
      </c>
      <c r="B21" s="4" t="s">
        <v>562</v>
      </c>
      <c r="C21" s="4" t="s">
        <v>1843</v>
      </c>
    </row>
    <row r="22" ht="15.75" customHeight="1">
      <c r="A22" s="4" t="s">
        <v>1842</v>
      </c>
      <c r="B22" s="4" t="s">
        <v>562</v>
      </c>
      <c r="C22" s="4" t="s">
        <v>1844</v>
      </c>
    </row>
    <row r="23" ht="15.75" customHeight="1">
      <c r="A23" s="4" t="s">
        <v>1845</v>
      </c>
      <c r="B23" s="4" t="s">
        <v>1846</v>
      </c>
      <c r="C23" s="4"/>
    </row>
    <row r="24" ht="15.75" customHeight="1">
      <c r="A24" s="4" t="s">
        <v>1847</v>
      </c>
      <c r="B24" s="4" t="s">
        <v>1848</v>
      </c>
      <c r="C24" s="4" t="s">
        <v>1849</v>
      </c>
    </row>
    <row r="25" ht="15.75" customHeight="1">
      <c r="A25" s="4" t="s">
        <v>1850</v>
      </c>
      <c r="B25" s="4" t="s">
        <v>568</v>
      </c>
      <c r="C25" s="4"/>
    </row>
    <row r="26" ht="15.75" customHeight="1">
      <c r="A26" s="4" t="s">
        <v>1851</v>
      </c>
      <c r="B26" s="4" t="s">
        <v>894</v>
      </c>
      <c r="C26" s="4"/>
    </row>
    <row r="27" ht="15.75" customHeight="1">
      <c r="A27" s="4" t="s">
        <v>1852</v>
      </c>
      <c r="B27" s="4" t="s">
        <v>1853</v>
      </c>
      <c r="C27" s="4" t="s">
        <v>1854</v>
      </c>
    </row>
    <row r="28" ht="15.75" customHeight="1">
      <c r="A28" s="4" t="s">
        <v>1855</v>
      </c>
      <c r="B28" s="4" t="s">
        <v>634</v>
      </c>
      <c r="C28" s="4" t="s">
        <v>1856</v>
      </c>
    </row>
    <row r="29" ht="15.75" customHeight="1">
      <c r="A29" s="4" t="s">
        <v>509</v>
      </c>
      <c r="B29" s="4" t="s">
        <v>503</v>
      </c>
      <c r="C29" s="4" t="s">
        <v>1857</v>
      </c>
    </row>
    <row r="30" ht="15.75" customHeight="1">
      <c r="A30" s="4" t="s">
        <v>691</v>
      </c>
      <c r="B30" s="4" t="s">
        <v>684</v>
      </c>
      <c r="C30" s="4" t="s">
        <v>1858</v>
      </c>
    </row>
    <row r="31" ht="15.75" customHeight="1">
      <c r="A31" s="4" t="s">
        <v>325</v>
      </c>
      <c r="B31" s="4" t="s">
        <v>545</v>
      </c>
    </row>
    <row r="32" ht="15.75" customHeight="1">
      <c r="A32" s="4" t="s">
        <v>586</v>
      </c>
      <c r="B32" s="4" t="s">
        <v>1859</v>
      </c>
      <c r="C32" s="4" t="s">
        <v>470</v>
      </c>
    </row>
    <row r="33" ht="15.75" customHeight="1">
      <c r="A33" s="4" t="s">
        <v>762</v>
      </c>
      <c r="B33" s="4" t="s">
        <v>756</v>
      </c>
      <c r="C33" s="4" t="s">
        <v>1860</v>
      </c>
    </row>
    <row r="34" ht="15.75" customHeight="1">
      <c r="A34" s="4" t="s">
        <v>320</v>
      </c>
      <c r="B34" s="4" t="s">
        <v>1041</v>
      </c>
      <c r="C34" s="4" t="s">
        <v>1705</v>
      </c>
    </row>
    <row r="35" ht="15.75" customHeight="1">
      <c r="A35" s="4" t="s">
        <v>730</v>
      </c>
      <c r="B35" s="4" t="s">
        <v>725</v>
      </c>
      <c r="C35" s="4" t="s">
        <v>1861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17" t="s">
        <v>52</v>
      </c>
      <c r="B1" s="117" t="s">
        <v>1862</v>
      </c>
      <c r="C1" s="117" t="s">
        <v>1863</v>
      </c>
      <c r="D1" s="117" t="s">
        <v>1864</v>
      </c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</row>
    <row r="2" ht="15.75" customHeight="1">
      <c r="A2" s="4" t="s">
        <v>1865</v>
      </c>
      <c r="B2" s="17">
        <v>46139.0</v>
      </c>
      <c r="C2" s="4" t="s">
        <v>1866</v>
      </c>
      <c r="D2" s="4" t="s">
        <v>1867</v>
      </c>
      <c r="E2" s="4"/>
      <c r="F2" s="4"/>
      <c r="G2" s="4"/>
      <c r="H2" s="4"/>
    </row>
    <row r="3" ht="15.75" customHeight="1">
      <c r="A3" s="4"/>
      <c r="B3" s="4"/>
      <c r="C3" s="4"/>
      <c r="D3" s="4"/>
      <c r="E3" s="4"/>
      <c r="F3" s="4"/>
      <c r="G3" s="4"/>
      <c r="H3" s="4"/>
    </row>
    <row r="4" ht="15.75" customHeight="1">
      <c r="A4" s="4"/>
      <c r="B4" s="4"/>
      <c r="C4" s="4"/>
      <c r="D4" s="4"/>
      <c r="E4" s="4"/>
      <c r="F4" s="4"/>
      <c r="G4" s="4"/>
      <c r="H4" s="4"/>
    </row>
    <row r="5" ht="15.75" customHeight="1">
      <c r="A5" s="4"/>
      <c r="B5" s="4"/>
      <c r="C5" s="4"/>
      <c r="D5" s="4"/>
      <c r="E5" s="4"/>
      <c r="F5" s="4"/>
      <c r="G5" s="4"/>
      <c r="H5" s="4"/>
    </row>
    <row r="6" ht="15.75" customHeight="1">
      <c r="A6" s="4"/>
      <c r="B6" s="4"/>
      <c r="C6" s="4"/>
      <c r="D6" s="4"/>
      <c r="E6" s="4"/>
      <c r="F6" s="4"/>
      <c r="G6" s="4"/>
      <c r="H6" s="4"/>
    </row>
    <row r="7" ht="15.75" customHeight="1">
      <c r="A7" s="4"/>
      <c r="B7" s="4"/>
      <c r="C7" s="4"/>
      <c r="D7" s="4"/>
      <c r="E7" s="4"/>
      <c r="F7" s="4"/>
      <c r="G7" s="4"/>
      <c r="H7" s="4"/>
    </row>
    <row r="8" ht="15.75" customHeight="1">
      <c r="A8" s="4"/>
      <c r="B8" s="4"/>
      <c r="C8" s="4"/>
      <c r="D8" s="4"/>
      <c r="E8" s="4"/>
      <c r="F8" s="4"/>
      <c r="G8" s="4"/>
      <c r="H8" s="4"/>
    </row>
    <row r="9" ht="15.75" customHeight="1">
      <c r="A9" s="4"/>
      <c r="B9" s="4"/>
      <c r="C9" s="4"/>
      <c r="D9" s="4"/>
      <c r="E9" s="4"/>
      <c r="F9" s="4"/>
      <c r="G9" s="4"/>
      <c r="H9" s="4"/>
    </row>
    <row r="10" ht="15.75" customHeight="1">
      <c r="A10" s="4"/>
      <c r="B10" s="4"/>
      <c r="C10" s="4"/>
      <c r="D10" s="4"/>
      <c r="E10" s="4"/>
      <c r="F10" s="4"/>
      <c r="G10" s="4"/>
      <c r="H10" s="4"/>
    </row>
    <row r="11" ht="15.75" customHeight="1">
      <c r="A11" s="4"/>
      <c r="B11" s="4"/>
      <c r="C11" s="4"/>
      <c r="D11" s="4"/>
      <c r="E11" s="4"/>
      <c r="F11" s="4"/>
      <c r="G11" s="4"/>
      <c r="H11" s="4"/>
    </row>
    <row r="12" ht="15.75" customHeight="1">
      <c r="A12" s="4"/>
      <c r="B12" s="4"/>
      <c r="C12" s="4"/>
      <c r="D12" s="4"/>
      <c r="E12" s="4"/>
      <c r="F12" s="4"/>
      <c r="G12" s="4"/>
      <c r="H12" s="4"/>
    </row>
    <row r="13" ht="15.75" customHeight="1">
      <c r="A13" s="4"/>
      <c r="B13" s="4"/>
      <c r="C13" s="4"/>
      <c r="D13" s="4"/>
      <c r="E13" s="4"/>
      <c r="F13" s="4"/>
      <c r="G13" s="4"/>
      <c r="H13" s="4"/>
    </row>
    <row r="14" ht="15.75" customHeight="1">
      <c r="A14" s="4"/>
      <c r="B14" s="4"/>
      <c r="C14" s="4"/>
      <c r="D14" s="4"/>
      <c r="E14" s="4"/>
      <c r="F14" s="4"/>
      <c r="G14" s="4"/>
      <c r="H14" s="4"/>
    </row>
    <row r="15" ht="15.75" customHeight="1">
      <c r="A15" s="4"/>
      <c r="B15" s="4"/>
      <c r="C15" s="4"/>
      <c r="D15" s="4"/>
      <c r="E15" s="4"/>
      <c r="F15" s="4"/>
      <c r="G15" s="4"/>
      <c r="H15" s="4"/>
    </row>
    <row r="16" ht="15.75" customHeight="1">
      <c r="A16" s="4"/>
      <c r="B16" s="4"/>
      <c r="C16" s="4"/>
      <c r="D16" s="4"/>
      <c r="E16" s="4"/>
      <c r="F16" s="4"/>
      <c r="G16" s="4"/>
      <c r="H16" s="4"/>
    </row>
    <row r="17" ht="15.75" customHeight="1">
      <c r="A17" s="4"/>
      <c r="B17" s="4"/>
      <c r="C17" s="4"/>
      <c r="D17" s="4"/>
      <c r="E17" s="4"/>
      <c r="F17" s="4"/>
      <c r="G17" s="4"/>
      <c r="H17" s="4"/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.13"/>
    <col customWidth="1" min="2" max="2" width="5.25"/>
    <col customWidth="1" min="3" max="3" width="8.88"/>
    <col customWidth="1" min="4" max="4" width="7.38"/>
    <col customWidth="1" min="5" max="5" width="5.25"/>
    <col customWidth="1" min="6" max="6" width="3.88"/>
    <col customWidth="1" min="7" max="7" width="6.75"/>
    <col customWidth="1" min="8" max="9" width="5.25"/>
    <col customWidth="1" min="10" max="10" width="8.75"/>
    <col customWidth="1" min="11" max="11" width="12.38"/>
  </cols>
  <sheetData>
    <row r="1" ht="15.75" customHeight="1">
      <c r="A1" s="118" t="s">
        <v>467</v>
      </c>
      <c r="B1" s="118" t="s">
        <v>1868</v>
      </c>
      <c r="C1" s="118" t="s">
        <v>1869</v>
      </c>
      <c r="D1" s="118" t="s">
        <v>1870</v>
      </c>
      <c r="E1" s="118" t="s">
        <v>1871</v>
      </c>
      <c r="F1" s="118" t="s">
        <v>1872</v>
      </c>
      <c r="G1" s="118" t="s">
        <v>1873</v>
      </c>
      <c r="H1" s="118" t="s">
        <v>1874</v>
      </c>
      <c r="I1" s="118" t="s">
        <v>1875</v>
      </c>
      <c r="J1" s="118" t="s">
        <v>1876</v>
      </c>
      <c r="K1" s="119" t="s">
        <v>1877</v>
      </c>
    </row>
    <row r="2" ht="15.75" customHeight="1">
      <c r="A2" s="17">
        <f>IFERROR(__xludf.DUMMYFUNCTION("SORT(UNIQUE(FILTER(EOMONTH('振込入金リスト一覧'!D2:D200,-1)+1,'振込入金リスト一覧'!D2:D200&lt;&gt;"""",'振込入金リスト一覧'!B2:B200&lt;&gt;""車販"")))"),46082.0)</f>
        <v>46082</v>
      </c>
      <c r="B2" s="17">
        <f t="shared" ref="B2:B61" si="1">IF(A2="","",EOMONTH(A2,1))</f>
        <v>46142</v>
      </c>
      <c r="C2" s="4" t="str">
        <f t="shared" ref="C2:C61" si="2">IF(A2="","","ｺﾝｸｴｽﾄ様ﾏｾﾗﾃｨ"&amp;TEXT(A2,"m")&amp;"月分")</f>
        <v>ｺﾝｸｴｽﾄ様ﾏｾﾗﾃｨ3月分</v>
      </c>
      <c r="D2" s="23">
        <f>IF(A2="","",ROUND(SUMPRODUCT(('振込入金リスト一覧'!AB$2:AB$1020="Maserati広島")*('振込入金リスト一覧'!B$2:B$1020&lt;&gt;"車販")*('振込入金リスト一覧'!D$2:D$1020&gt;=A2)*('振込入金リスト一覧'!D$2:D$1020&lt;EDATE(A2,1))*IFERROR(VALUE('振込入金リスト一覧'!AQ$2:AQ$1020),0))*1.1,0))</f>
        <v>1940997</v>
      </c>
      <c r="E2" s="23" t="str">
        <f t="shared" ref="E2:E61" si="3">IF(A2="","",TEXT(A2,"m")&amp;"月分 売掛金残")</f>
        <v>3月分 売掛金残</v>
      </c>
      <c r="F2" s="23">
        <f>IF(A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,'振込入金リスト一覧'!D:D,"&lt;"&amp;EDATE(A2,1)))</f>
        <v>6203495</v>
      </c>
      <c r="G2" s="23">
        <f>IF(A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,'振込入金リスト一覧'!D:D,"&lt;"&amp;EDATE(A2,1)))</f>
        <v>6339268</v>
      </c>
      <c r="H2" s="23">
        <f>IF(A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,'振込入金リスト一覧'!D:D,"&lt;"&amp;EDATE(A2,1)))</f>
        <v>135773</v>
      </c>
      <c r="I2" s="23">
        <f>IF(A2="","",SUMIFS('振込入金リスト一覧'!AH:AH,'振込入金リスト一覧'!B:B,"保険",'振込入金リスト一覧'!D:D,"&gt;="&amp;A2,'振込入金リスト一覧'!D:D,"&lt;"&amp;EDATE(A2,1))+SUMIFS('振込入金リスト一覧'!AH:AH,'振込入金リスト一覧'!B:B,"保険請求",'振込入金リスト一覧'!D:D,"&gt;="&amp;A2,'振込入金リスト一覧'!D:D,"&lt;"&amp;EDATE(A2,1)))</f>
        <v>673780</v>
      </c>
      <c r="J2" s="23">
        <f>IF(A2="","",SUMIFS('振込入金リスト一覧'!AH:AH,'振込入金リスト一覧'!B:B,"&lt;&gt;車販",'振込入金リスト一覧'!AB:AB,"Maserati広島",'振込入金リスト一覧'!D:D,"&gt;="&amp;A2,'振込入金リスト一覧'!D:D,"&lt;"&amp;EDATE(A2,1)))</f>
        <v>3994111</v>
      </c>
      <c r="K2" s="68" t="s">
        <v>1878</v>
      </c>
    </row>
    <row r="3" ht="15.75" customHeight="1">
      <c r="A3" s="17">
        <f>IFERROR(__xludf.DUMMYFUNCTION("""COMPUTED_VALUE"""),46113.0)</f>
        <v>46113</v>
      </c>
      <c r="B3" s="17">
        <f t="shared" si="1"/>
        <v>46173</v>
      </c>
      <c r="C3" s="4" t="str">
        <f t="shared" si="2"/>
        <v>ｺﾝｸｴｽﾄ様ﾏｾﾗﾃｨ4月分</v>
      </c>
      <c r="D3" s="23">
        <f>IF(A3="","",ROUND(SUMPRODUCT(('振込入金リスト一覧'!AB$2:AB$1020="Maserati広島")*('振込入金リスト一覧'!B$2:B$1020&lt;&gt;"車販")*('振込入金リスト一覧'!D$2:D$1020&gt;=A3)*('振込入金リスト一覧'!D$2:D$1020&lt;EDATE(A3,1))*IFERROR(VALUE('振込入金リスト一覧'!AQ$2:AQ$1020),0))*1.1,0))</f>
        <v>1984800</v>
      </c>
      <c r="E3" s="23" t="str">
        <f t="shared" si="3"/>
        <v>4月分 売掛金残</v>
      </c>
      <c r="F3" s="23">
        <f>IF(A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,'振込入金リスト一覧'!D:D,"&lt;"&amp;EDATE(A3,1)))</f>
        <v>9953479</v>
      </c>
      <c r="G3" s="23">
        <f>IF(A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,'振込入金リスト一覧'!D:D,"&lt;"&amp;EDATE(A3,1)))</f>
        <v>10780414</v>
      </c>
      <c r="H3" s="23">
        <f>IF(A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,'振込入金リスト一覧'!D:D,"&lt;"&amp;EDATE(A3,1)))</f>
        <v>826935</v>
      </c>
      <c r="I3" s="23">
        <f>IF(A3="","",SUMIFS('振込入金リスト一覧'!AH:AH,'振込入金リスト一覧'!B:B,"保険",'振込入金リスト一覧'!D:D,"&gt;="&amp;A3,'振込入金リスト一覧'!D:D,"&lt;"&amp;EDATE(A3,1))+SUMIFS('振込入金リスト一覧'!AH:AH,'振込入金リスト一覧'!B:B,"保険請求",'振込入金リスト一覧'!D:D,"&gt;="&amp;A3,'振込入金リスト一覧'!D:D,"&lt;"&amp;EDATE(A3,1)))</f>
        <v>4290921</v>
      </c>
      <c r="J3" s="23">
        <f>IF(A3="","",SUMIFS('振込入金リスト一覧'!AH:AH,'振込入金リスト一覧'!B:B,"&lt;&gt;車販",'振込入金リスト一覧'!AB:AB,"Maserati広島",'振込入金リスト一覧'!D:D,"&gt;="&amp;A3,'振込入金リスト一覧'!D:D,"&lt;"&amp;EDATE(A3,1)))</f>
        <v>3494448</v>
      </c>
      <c r="K3" s="68" t="s">
        <v>1879</v>
      </c>
    </row>
    <row r="4" ht="15.75" customHeight="1">
      <c r="A4" s="17">
        <f>IFERROR(__xludf.DUMMYFUNCTION("""COMPUTED_VALUE"""),46143.0)</f>
        <v>46143</v>
      </c>
      <c r="B4" s="17">
        <f t="shared" si="1"/>
        <v>46203</v>
      </c>
      <c r="C4" s="4" t="str">
        <f t="shared" si="2"/>
        <v>ｺﾝｸｴｽﾄ様ﾏｾﾗﾃｨ5月分</v>
      </c>
      <c r="D4" s="23">
        <f>IF(A4="","",ROUND(SUMPRODUCT(('振込入金リスト一覧'!AB$2:AB$1020="Maserati広島")*('振込入金リスト一覧'!B$2:B$1020&lt;&gt;"車販")*('振込入金リスト一覧'!D$2:D$1020&gt;=A4)*('振込入金リスト一覧'!D$2:D$1020&lt;EDATE(A4,1))*IFERROR(VALUE('振込入金リスト一覧'!AQ$2:AQ$1020),0))*1.1,0))</f>
        <v>0</v>
      </c>
      <c r="E4" s="23" t="str">
        <f t="shared" si="3"/>
        <v>5月分 売掛金残</v>
      </c>
      <c r="F4" s="23">
        <f>IF(A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,'振込入金リスト一覧'!D:D,"&lt;"&amp;EDATE(A4,1)))</f>
        <v>0</v>
      </c>
      <c r="G4" s="23">
        <f>IF(A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,'振込入金リスト一覧'!D:D,"&lt;"&amp;EDATE(A4,1)))</f>
        <v>0</v>
      </c>
      <c r="H4" s="23">
        <f>IF(A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,'振込入金リスト一覧'!D:D,"&lt;"&amp;EDATE(A4,1)))</f>
        <v>0</v>
      </c>
      <c r="I4" s="23">
        <f>IF(A4="","",SUMIFS('振込入金リスト一覧'!AH:AH,'振込入金リスト一覧'!B:B,"保険",'振込入金リスト一覧'!D:D,"&gt;="&amp;A4,'振込入金リスト一覧'!D:D,"&lt;"&amp;EDATE(A4,1))+SUMIFS('振込入金リスト一覧'!AH:AH,'振込入金リスト一覧'!B:B,"保険請求",'振込入金リスト一覧'!D:D,"&gt;="&amp;A4,'振込入金リスト一覧'!D:D,"&lt;"&amp;EDATE(A4,1)))</f>
        <v>0</v>
      </c>
      <c r="J4" s="23">
        <f>IF(A4="","",SUMIFS('振込入金リスト一覧'!AH:AH,'振込入金リスト一覧'!B:B,"&lt;&gt;車販",'振込入金リスト一覧'!AB:AB,"Maserati広島",'振込入金リスト一覧'!D:D,"&gt;="&amp;A4,'振込入金リスト一覧'!D:D,"&lt;"&amp;EDATE(A4,1)))</f>
        <v>0</v>
      </c>
      <c r="K4" s="68" t="s">
        <v>1880</v>
      </c>
    </row>
    <row r="5" ht="15.75" customHeight="1">
      <c r="A5" s="17"/>
      <c r="B5" s="17" t="str">
        <f t="shared" si="1"/>
        <v/>
      </c>
      <c r="C5" s="4" t="str">
        <f t="shared" si="2"/>
        <v/>
      </c>
      <c r="D5" s="23" t="str">
        <f>IF(A5="","",ROUND(SUMPRODUCT(('振込入金リスト一覧'!AB$2:AB$1020="Maserati広島")*('振込入金リスト一覧'!B$2:B$1020&lt;&gt;"車販")*('振込入金リスト一覧'!D$2:D$1020&gt;=A5)*('振込入金リスト一覧'!D$2:D$1020&lt;EDATE(A5,1))*IFERROR(VALUE('振込入金リスト一覧'!AQ$2:AQ$1020),0))*1.1,0))</f>
        <v/>
      </c>
      <c r="E5" s="23" t="str">
        <f t="shared" si="3"/>
        <v/>
      </c>
      <c r="F5" s="23" t="str">
        <f>IF(A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,'振込入金リスト一覧'!D:D,"&lt;"&amp;EDATE(A5,1)))</f>
        <v/>
      </c>
      <c r="G5" s="23" t="str">
        <f>IF(A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,'振込入金リスト一覧'!D:D,"&lt;"&amp;EDATE(A5,1)))</f>
        <v/>
      </c>
      <c r="H5" s="23" t="str">
        <f>IF(A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,'振込入金リスト一覧'!D:D,"&lt;"&amp;EDATE(A5,1)))</f>
        <v/>
      </c>
      <c r="I5" s="23" t="str">
        <f>IF(A5="","",SUMIFS('振込入金リスト一覧'!AH:AH,'振込入金リスト一覧'!B:B,"保険",'振込入金リスト一覧'!D:D,"&gt;="&amp;A5,'振込入金リスト一覧'!D:D,"&lt;"&amp;EDATE(A5,1))+SUMIFS('振込入金リスト一覧'!AH:AH,'振込入金リスト一覧'!B:B,"保険請求",'振込入金リスト一覧'!D:D,"&gt;="&amp;A5,'振込入金リスト一覧'!D:D,"&lt;"&amp;EDATE(A5,1)))</f>
        <v/>
      </c>
      <c r="J5" s="23" t="str">
        <f>IF(A5="","",SUMIFS('振込入金リスト一覧'!AH:AH,'振込入金リスト一覧'!B:B,"&lt;&gt;車販",'振込入金リスト一覧'!AB:AB,"Maserati広島",'振込入金リスト一覧'!D:D,"&gt;="&amp;A5,'振込入金リスト一覧'!D:D,"&lt;"&amp;EDATE(A5,1)))</f>
        <v/>
      </c>
      <c r="K5" s="68" t="s">
        <v>1881</v>
      </c>
    </row>
    <row r="6" ht="15.75" customHeight="1">
      <c r="A6" s="17"/>
      <c r="B6" s="17" t="str">
        <f t="shared" si="1"/>
        <v/>
      </c>
      <c r="C6" s="4" t="str">
        <f t="shared" si="2"/>
        <v/>
      </c>
      <c r="D6" s="23" t="str">
        <f>IF(A6="","",ROUND(SUMPRODUCT(('振込入金リスト一覧'!AB$2:AB$1020="Maserati広島")*('振込入金リスト一覧'!B$2:B$1020&lt;&gt;"車販")*('振込入金リスト一覧'!D$2:D$1020&gt;=A6)*('振込入金リスト一覧'!D$2:D$1020&lt;EDATE(A6,1))*IFERROR(VALUE('振込入金リスト一覧'!AQ$2:AQ$1020),0))*1.1,0))</f>
        <v/>
      </c>
      <c r="E6" s="23" t="str">
        <f t="shared" si="3"/>
        <v/>
      </c>
      <c r="F6" s="23" t="str">
        <f>IF(A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6,'振込入金リスト一覧'!D:D,"&lt;"&amp;EDATE(A6,1)))</f>
        <v/>
      </c>
      <c r="G6" s="23" t="str">
        <f>IF(A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6,'振込入金リスト一覧'!D:D,"&lt;"&amp;EDATE(A6,1)))</f>
        <v/>
      </c>
      <c r="H6" s="23" t="str">
        <f>IF(A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6,'振込入金リスト一覧'!D:D,"&lt;"&amp;EDATE(A6,1)))</f>
        <v/>
      </c>
      <c r="I6" s="23" t="str">
        <f>IF(A6="","",SUMIFS('振込入金リスト一覧'!AH:AH,'振込入金リスト一覧'!B:B,"保険",'振込入金リスト一覧'!D:D,"&gt;="&amp;A6,'振込入金リスト一覧'!D:D,"&lt;"&amp;EDATE(A6,1))+SUMIFS('振込入金リスト一覧'!AH:AH,'振込入金リスト一覧'!B:B,"保険請求",'振込入金リスト一覧'!D:D,"&gt;="&amp;A6,'振込入金リスト一覧'!D:D,"&lt;"&amp;EDATE(A6,1)))</f>
        <v/>
      </c>
      <c r="J6" s="23" t="str">
        <f>IF(A6="","",SUMIFS('振込入金リスト一覧'!AH:AH,'振込入金リスト一覧'!B:B,"&lt;&gt;車販",'振込入金リスト一覧'!AB:AB,"Maserati広島",'振込入金リスト一覧'!D:D,"&gt;="&amp;A6,'振込入金リスト一覧'!D:D,"&lt;"&amp;EDATE(A6,1)))</f>
        <v/>
      </c>
      <c r="K6" s="68"/>
    </row>
    <row r="7" ht="15.75" customHeight="1">
      <c r="A7" s="17"/>
      <c r="B7" s="17" t="str">
        <f t="shared" si="1"/>
        <v/>
      </c>
      <c r="C7" s="4" t="str">
        <f t="shared" si="2"/>
        <v/>
      </c>
      <c r="D7" s="23" t="str">
        <f>IF(A7="","",ROUND(SUMPRODUCT(('振込入金リスト一覧'!AB$2:AB$1020="Maserati広島")*('振込入金リスト一覧'!B$2:B$1020&lt;&gt;"車販")*('振込入金リスト一覧'!D$2:D$1020&gt;=A7)*('振込入金リスト一覧'!D$2:D$1020&lt;EDATE(A7,1))*IFERROR(VALUE('振込入金リスト一覧'!AQ$2:AQ$1020),0))*1.1,0))</f>
        <v/>
      </c>
      <c r="E7" s="23" t="str">
        <f t="shared" si="3"/>
        <v/>
      </c>
      <c r="F7" s="23" t="str">
        <f>IF(A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7,'振込入金リスト一覧'!D:D,"&lt;"&amp;EDATE(A7,1)))</f>
        <v/>
      </c>
      <c r="G7" s="23" t="str">
        <f>IF(A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7,'振込入金リスト一覧'!D:D,"&lt;"&amp;EDATE(A7,1)))</f>
        <v/>
      </c>
      <c r="H7" s="23" t="str">
        <f>IF(A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7,'振込入金リスト一覧'!D:D,"&lt;"&amp;EDATE(A7,1)))</f>
        <v/>
      </c>
      <c r="I7" s="23" t="str">
        <f>IF(A7="","",SUMIFS('振込入金リスト一覧'!AH:AH,'振込入金リスト一覧'!B:B,"保険",'振込入金リスト一覧'!D:D,"&gt;="&amp;A7,'振込入金リスト一覧'!D:D,"&lt;"&amp;EDATE(A7,1))+SUMIFS('振込入金リスト一覧'!AH:AH,'振込入金リスト一覧'!B:B,"保険請求",'振込入金リスト一覧'!D:D,"&gt;="&amp;A7,'振込入金リスト一覧'!D:D,"&lt;"&amp;EDATE(A7,1)))</f>
        <v/>
      </c>
      <c r="J7" s="23" t="str">
        <f>IF(A7="","",SUMIFS('振込入金リスト一覧'!AH:AH,'振込入金リスト一覧'!B:B,"&lt;&gt;車販",'振込入金リスト一覧'!AB:AB,"Maserati広島",'振込入金リスト一覧'!D:D,"&gt;="&amp;A7,'振込入金リスト一覧'!D:D,"&lt;"&amp;EDATE(A7,1)))</f>
        <v/>
      </c>
      <c r="K7" s="68"/>
    </row>
    <row r="8" ht="15.75" customHeight="1">
      <c r="A8" s="17"/>
      <c r="B8" s="17" t="str">
        <f t="shared" si="1"/>
        <v/>
      </c>
      <c r="C8" s="4" t="str">
        <f t="shared" si="2"/>
        <v/>
      </c>
      <c r="D8" s="23" t="str">
        <f>IF(A8="","",ROUND(SUMPRODUCT(('振込入金リスト一覧'!AB$2:AB$1020="Maserati広島")*('振込入金リスト一覧'!B$2:B$1020&lt;&gt;"車販")*('振込入金リスト一覧'!D$2:D$1020&gt;=A8)*('振込入金リスト一覧'!D$2:D$1020&lt;EDATE(A8,1))*IFERROR(VALUE('振込入金リスト一覧'!AQ$2:AQ$1020),0))*1.1,0))</f>
        <v/>
      </c>
      <c r="E8" s="23" t="str">
        <f t="shared" si="3"/>
        <v/>
      </c>
      <c r="F8" s="23" t="str">
        <f>IF(A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8,'振込入金リスト一覧'!D:D,"&lt;"&amp;EDATE(A8,1)))</f>
        <v/>
      </c>
      <c r="G8" s="23" t="str">
        <f>IF(A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8,'振込入金リスト一覧'!D:D,"&lt;"&amp;EDATE(A8,1)))</f>
        <v/>
      </c>
      <c r="H8" s="23" t="str">
        <f>IF(A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8,'振込入金リスト一覧'!D:D,"&lt;"&amp;EDATE(A8,1)))</f>
        <v/>
      </c>
      <c r="I8" s="23" t="str">
        <f>IF(A8="","",SUMIFS('振込入金リスト一覧'!AH:AH,'振込入金リスト一覧'!B:B,"保険",'振込入金リスト一覧'!D:D,"&gt;="&amp;A8,'振込入金リスト一覧'!D:D,"&lt;"&amp;EDATE(A8,1))+SUMIFS('振込入金リスト一覧'!AH:AH,'振込入金リスト一覧'!B:B,"保険請求",'振込入金リスト一覧'!D:D,"&gt;="&amp;A8,'振込入金リスト一覧'!D:D,"&lt;"&amp;EDATE(A8,1)))</f>
        <v/>
      </c>
      <c r="J8" s="23" t="str">
        <f>IF(A8="","",SUMIFS('振込入金リスト一覧'!AH:AH,'振込入金リスト一覧'!B:B,"&lt;&gt;車販",'振込入金リスト一覧'!AB:AB,"Maserati広島",'振込入金リスト一覧'!D:D,"&gt;="&amp;A8,'振込入金リスト一覧'!D:D,"&lt;"&amp;EDATE(A8,1)))</f>
        <v/>
      </c>
      <c r="K8" s="68"/>
    </row>
    <row r="9" ht="15.75" customHeight="1">
      <c r="A9" s="17"/>
      <c r="B9" s="17" t="str">
        <f t="shared" si="1"/>
        <v/>
      </c>
      <c r="C9" s="4" t="str">
        <f t="shared" si="2"/>
        <v/>
      </c>
      <c r="D9" s="23" t="str">
        <f>IF(A9="","",ROUND(SUMPRODUCT(('振込入金リスト一覧'!AB$2:AB$1020="Maserati広島")*('振込入金リスト一覧'!B$2:B$1020&lt;&gt;"車販")*('振込入金リスト一覧'!D$2:D$1020&gt;=A9)*('振込入金リスト一覧'!D$2:D$1020&lt;EDATE(A9,1))*IFERROR(VALUE('振込入金リスト一覧'!AQ$2:AQ$1020),0))*1.1,0))</f>
        <v/>
      </c>
      <c r="E9" s="23" t="str">
        <f t="shared" si="3"/>
        <v/>
      </c>
      <c r="F9" s="23" t="str">
        <f>IF(A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9,'振込入金リスト一覧'!D:D,"&lt;"&amp;EDATE(A9,1)))</f>
        <v/>
      </c>
      <c r="G9" s="23" t="str">
        <f>IF(A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9,'振込入金リスト一覧'!D:D,"&lt;"&amp;EDATE(A9,1)))</f>
        <v/>
      </c>
      <c r="H9" s="23" t="str">
        <f>IF(A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9,'振込入金リスト一覧'!D:D,"&lt;"&amp;EDATE(A9,1)))</f>
        <v/>
      </c>
      <c r="I9" s="23" t="str">
        <f>IF(A9="","",SUMIFS('振込入金リスト一覧'!AH:AH,'振込入金リスト一覧'!B:B,"保険",'振込入金リスト一覧'!D:D,"&gt;="&amp;A9,'振込入金リスト一覧'!D:D,"&lt;"&amp;EDATE(A9,1))+SUMIFS('振込入金リスト一覧'!AH:AH,'振込入金リスト一覧'!B:B,"保険請求",'振込入金リスト一覧'!D:D,"&gt;="&amp;A9,'振込入金リスト一覧'!D:D,"&lt;"&amp;EDATE(A9,1)))</f>
        <v/>
      </c>
      <c r="J9" s="23" t="str">
        <f>IF(A9="","",SUMIFS('振込入金リスト一覧'!AH:AH,'振込入金リスト一覧'!B:B,"&lt;&gt;車販",'振込入金リスト一覧'!AB:AB,"Maserati広島",'振込入金リスト一覧'!D:D,"&gt;="&amp;A9,'振込入金リスト一覧'!D:D,"&lt;"&amp;EDATE(A9,1)))</f>
        <v/>
      </c>
      <c r="K9" s="68"/>
    </row>
    <row r="10" ht="15.75" customHeight="1">
      <c r="A10" s="17"/>
      <c r="B10" s="17" t="str">
        <f t="shared" si="1"/>
        <v/>
      </c>
      <c r="C10" s="4" t="str">
        <f t="shared" si="2"/>
        <v/>
      </c>
      <c r="D10" s="23" t="str">
        <f>IF(A10="","",ROUND(SUMPRODUCT(('振込入金リスト一覧'!AB$2:AB$1020="Maserati広島")*('振込入金リスト一覧'!B$2:B$1020&lt;&gt;"車販")*('振込入金リスト一覧'!D$2:D$1020&gt;=A10)*('振込入金リスト一覧'!D$2:D$1020&lt;EDATE(A10,1))*IFERROR(VALUE('振込入金リスト一覧'!AQ$2:AQ$1020),0))*1.1,0))</f>
        <v/>
      </c>
      <c r="E10" s="23" t="str">
        <f t="shared" si="3"/>
        <v/>
      </c>
      <c r="F10" s="23" t="str">
        <f>IF(A10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10,'振込入金リスト一覧'!D:D,"&lt;"&amp;EDATE(A10,1)))</f>
        <v/>
      </c>
      <c r="G10" s="23" t="str">
        <f>IF(A10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10,'振込入金リスト一覧'!D:D,"&lt;"&amp;EDATE(A10,1)))</f>
        <v/>
      </c>
      <c r="H10" s="23" t="str">
        <f>IF(A10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10,'振込入金リスト一覧'!D:D,"&lt;"&amp;EDATE(A10,1)))</f>
        <v/>
      </c>
      <c r="I10" s="23" t="str">
        <f>IF(A10="","",SUMIFS('振込入金リスト一覧'!AH:AH,'振込入金リスト一覧'!B:B,"保険",'振込入金リスト一覧'!D:D,"&gt;="&amp;A10,'振込入金リスト一覧'!D:D,"&lt;"&amp;EDATE(A10,1))+SUMIFS('振込入金リスト一覧'!AH:AH,'振込入金リスト一覧'!B:B,"保険請求",'振込入金リスト一覧'!D:D,"&gt;="&amp;A10,'振込入金リスト一覧'!D:D,"&lt;"&amp;EDATE(A10,1)))</f>
        <v/>
      </c>
      <c r="J10" s="23" t="str">
        <f>IF(A10="","",SUMIFS('振込入金リスト一覧'!AH:AH,'振込入金リスト一覧'!B:B,"&lt;&gt;車販",'振込入金リスト一覧'!AB:AB,"Maserati広島",'振込入金リスト一覧'!D:D,"&gt;="&amp;A10,'振込入金リスト一覧'!D:D,"&lt;"&amp;EDATE(A10,1)))</f>
        <v/>
      </c>
      <c r="K10" s="68"/>
    </row>
    <row r="11" ht="15.75" customHeight="1">
      <c r="A11" s="17"/>
      <c r="B11" s="17" t="str">
        <f t="shared" si="1"/>
        <v/>
      </c>
      <c r="C11" s="4" t="str">
        <f t="shared" si="2"/>
        <v/>
      </c>
      <c r="D11" s="23" t="str">
        <f>IF(A11="","",ROUND(SUMPRODUCT(('振込入金リスト一覧'!AB$2:AB$1020="Maserati広島")*('振込入金リスト一覧'!B$2:B$1020&lt;&gt;"車販")*('振込入金リスト一覧'!D$2:D$1020&gt;=A11)*('振込入金リスト一覧'!D$2:D$1020&lt;EDATE(A11,1))*IFERROR(VALUE('振込入金リスト一覧'!AQ$2:AQ$1020),0))*1.1,0))</f>
        <v/>
      </c>
      <c r="E11" s="23" t="str">
        <f t="shared" si="3"/>
        <v/>
      </c>
      <c r="F11" s="23" t="str">
        <f>IF(A11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11,'振込入金リスト一覧'!D:D,"&lt;"&amp;EDATE(A11,1)))</f>
        <v/>
      </c>
      <c r="G11" s="23" t="str">
        <f>IF(A11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11,'振込入金リスト一覧'!D:D,"&lt;"&amp;EDATE(A11,1)))</f>
        <v/>
      </c>
      <c r="H11" s="23" t="str">
        <f>IF(A11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11,'振込入金リスト一覧'!D:D,"&lt;"&amp;EDATE(A11,1)))</f>
        <v/>
      </c>
      <c r="I11" s="23" t="str">
        <f>IF(A11="","",SUMIFS('振込入金リスト一覧'!AH:AH,'振込入金リスト一覧'!B:B,"保険",'振込入金リスト一覧'!D:D,"&gt;="&amp;A11,'振込入金リスト一覧'!D:D,"&lt;"&amp;EDATE(A11,1))+SUMIFS('振込入金リスト一覧'!AH:AH,'振込入金リスト一覧'!B:B,"保険請求",'振込入金リスト一覧'!D:D,"&gt;="&amp;A11,'振込入金リスト一覧'!D:D,"&lt;"&amp;EDATE(A11,1)))</f>
        <v/>
      </c>
      <c r="J11" s="23" t="str">
        <f>IF(A11="","",SUMIFS('振込入金リスト一覧'!AH:AH,'振込入金リスト一覧'!B:B,"&lt;&gt;車販",'振込入金リスト一覧'!AB:AB,"Maserati広島",'振込入金リスト一覧'!D:D,"&gt;="&amp;A11,'振込入金リスト一覧'!D:D,"&lt;"&amp;EDATE(A11,1)))</f>
        <v/>
      </c>
      <c r="K11" s="68"/>
    </row>
    <row r="12" ht="15.75" customHeight="1">
      <c r="A12" s="17"/>
      <c r="B12" s="17" t="str">
        <f t="shared" si="1"/>
        <v/>
      </c>
      <c r="C12" s="4" t="str">
        <f t="shared" si="2"/>
        <v/>
      </c>
      <c r="D12" s="23" t="str">
        <f>IF(A12="","",ROUND(SUMPRODUCT(('振込入金リスト一覧'!AB$2:AB$1020="Maserati広島")*('振込入金リスト一覧'!B$2:B$1020&lt;&gt;"車販")*('振込入金リスト一覧'!D$2:D$1020&gt;=A12)*('振込入金リスト一覧'!D$2:D$1020&lt;EDATE(A12,1))*IFERROR(VALUE('振込入金リスト一覧'!AQ$2:AQ$1020),0))*1.1,0))</f>
        <v/>
      </c>
      <c r="E12" s="23" t="str">
        <f t="shared" si="3"/>
        <v/>
      </c>
      <c r="F12" s="23" t="str">
        <f>IF(A12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12,'振込入金リスト一覧'!D:D,"&lt;"&amp;EDATE(A12,1)))</f>
        <v/>
      </c>
      <c r="G12" s="23" t="str">
        <f>IF(A12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12,'振込入金リスト一覧'!D:D,"&lt;"&amp;EDATE(A12,1)))</f>
        <v/>
      </c>
      <c r="H12" s="23" t="str">
        <f>IF(A12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12,'振込入金リスト一覧'!D:D,"&lt;"&amp;EDATE(A12,1)))</f>
        <v/>
      </c>
      <c r="I12" s="23" t="str">
        <f>IF(A12="","",SUMIFS('振込入金リスト一覧'!AH:AH,'振込入金リスト一覧'!B:B,"保険",'振込入金リスト一覧'!D:D,"&gt;="&amp;A12,'振込入金リスト一覧'!D:D,"&lt;"&amp;EDATE(A12,1))+SUMIFS('振込入金リスト一覧'!AH:AH,'振込入金リスト一覧'!B:B,"保険請求",'振込入金リスト一覧'!D:D,"&gt;="&amp;A12,'振込入金リスト一覧'!D:D,"&lt;"&amp;EDATE(A12,1)))</f>
        <v/>
      </c>
      <c r="J12" s="23" t="str">
        <f>IF(A12="","",SUMIFS('振込入金リスト一覧'!AH:AH,'振込入金リスト一覧'!B:B,"&lt;&gt;車販",'振込入金リスト一覧'!AB:AB,"Maserati広島",'振込入金リスト一覧'!D:D,"&gt;="&amp;A12,'振込入金リスト一覧'!D:D,"&lt;"&amp;EDATE(A12,1)))</f>
        <v/>
      </c>
      <c r="K12" s="68"/>
    </row>
    <row r="13" ht="15.75" customHeight="1">
      <c r="A13" s="17"/>
      <c r="B13" s="17" t="str">
        <f t="shared" si="1"/>
        <v/>
      </c>
      <c r="C13" s="4" t="str">
        <f t="shared" si="2"/>
        <v/>
      </c>
      <c r="D13" s="23" t="str">
        <f>IF(A13="","",ROUND(SUMPRODUCT(('振込入金リスト一覧'!AB$2:AB$1020="Maserati広島")*('振込入金リスト一覧'!B$2:B$1020&lt;&gt;"車販")*('振込入金リスト一覧'!D$2:D$1020&gt;=A13)*('振込入金リスト一覧'!D$2:D$1020&lt;EDATE(A13,1))*IFERROR(VALUE('振込入金リスト一覧'!AQ$2:AQ$1020),0))*1.1,0))</f>
        <v/>
      </c>
      <c r="E13" s="23" t="str">
        <f t="shared" si="3"/>
        <v/>
      </c>
      <c r="F13" s="23" t="str">
        <f>IF(A13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13,'振込入金リスト一覧'!D:D,"&lt;"&amp;EDATE(A13,1)))</f>
        <v/>
      </c>
      <c r="G13" s="23" t="str">
        <f>IF(A13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13,'振込入金リスト一覧'!D:D,"&lt;"&amp;EDATE(A13,1)))</f>
        <v/>
      </c>
      <c r="H13" s="23" t="str">
        <f>IF(A13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13,'振込入金リスト一覧'!D:D,"&lt;"&amp;EDATE(A13,1)))</f>
        <v/>
      </c>
      <c r="I13" s="23" t="str">
        <f>IF(A13="","",SUMIFS('振込入金リスト一覧'!AH:AH,'振込入金リスト一覧'!B:B,"保険",'振込入金リスト一覧'!D:D,"&gt;="&amp;A13,'振込入金リスト一覧'!D:D,"&lt;"&amp;EDATE(A13,1))+SUMIFS('振込入金リスト一覧'!AH:AH,'振込入金リスト一覧'!B:B,"保険請求",'振込入金リスト一覧'!D:D,"&gt;="&amp;A13,'振込入金リスト一覧'!D:D,"&lt;"&amp;EDATE(A13,1)))</f>
        <v/>
      </c>
      <c r="J13" s="23" t="str">
        <f>IF(A13="","",SUMIFS('振込入金リスト一覧'!AH:AH,'振込入金リスト一覧'!B:B,"&lt;&gt;車販",'振込入金リスト一覧'!AB:AB,"Maserati広島",'振込入金リスト一覧'!D:D,"&gt;="&amp;A13,'振込入金リスト一覧'!D:D,"&lt;"&amp;EDATE(A13,1)))</f>
        <v/>
      </c>
      <c r="K13" s="68"/>
    </row>
    <row r="14" ht="15.75" customHeight="1">
      <c r="A14" s="17"/>
      <c r="B14" s="17" t="str">
        <f t="shared" si="1"/>
        <v/>
      </c>
      <c r="C14" s="4" t="str">
        <f t="shared" si="2"/>
        <v/>
      </c>
      <c r="D14" s="23" t="str">
        <f>IF(A14="","",ROUND(SUMPRODUCT(('振込入金リスト一覧'!AB$2:AB$1020="Maserati広島")*('振込入金リスト一覧'!B$2:B$1020&lt;&gt;"車販")*('振込入金リスト一覧'!D$2:D$1020&gt;=A14)*('振込入金リスト一覧'!D$2:D$1020&lt;EDATE(A14,1))*IFERROR(VALUE('振込入金リスト一覧'!AQ$2:AQ$1020),0))*1.1,0))</f>
        <v/>
      </c>
      <c r="E14" s="23" t="str">
        <f t="shared" si="3"/>
        <v/>
      </c>
      <c r="F14" s="23" t="str">
        <f>IF(A14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14,'振込入金リスト一覧'!D:D,"&lt;"&amp;EDATE(A14,1)))</f>
        <v/>
      </c>
      <c r="G14" s="23" t="str">
        <f>IF(A14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14,'振込入金リスト一覧'!D:D,"&lt;"&amp;EDATE(A14,1)))</f>
        <v/>
      </c>
      <c r="H14" s="23" t="str">
        <f>IF(A14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14,'振込入金リスト一覧'!D:D,"&lt;"&amp;EDATE(A14,1)))</f>
        <v/>
      </c>
      <c r="I14" s="23" t="str">
        <f>IF(A14="","",SUMIFS('振込入金リスト一覧'!AH:AH,'振込入金リスト一覧'!B:B,"保険",'振込入金リスト一覧'!D:D,"&gt;="&amp;A14,'振込入金リスト一覧'!D:D,"&lt;"&amp;EDATE(A14,1))+SUMIFS('振込入金リスト一覧'!AH:AH,'振込入金リスト一覧'!B:B,"保険請求",'振込入金リスト一覧'!D:D,"&gt;="&amp;A14,'振込入金リスト一覧'!D:D,"&lt;"&amp;EDATE(A14,1)))</f>
        <v/>
      </c>
      <c r="J14" s="23" t="str">
        <f>IF(A14="","",SUMIFS('振込入金リスト一覧'!AH:AH,'振込入金リスト一覧'!B:B,"&lt;&gt;車販",'振込入金リスト一覧'!AB:AB,"Maserati広島",'振込入金リスト一覧'!D:D,"&gt;="&amp;A14,'振込入金リスト一覧'!D:D,"&lt;"&amp;EDATE(A14,1)))</f>
        <v/>
      </c>
      <c r="K14" s="68"/>
    </row>
    <row r="15" ht="15.75" customHeight="1">
      <c r="A15" s="17"/>
      <c r="B15" s="17" t="str">
        <f t="shared" si="1"/>
        <v/>
      </c>
      <c r="C15" s="4" t="str">
        <f t="shared" si="2"/>
        <v/>
      </c>
      <c r="D15" s="23" t="str">
        <f>IF(A15="","",ROUND(SUMPRODUCT(('振込入金リスト一覧'!AB$2:AB$1020="Maserati広島")*('振込入金リスト一覧'!B$2:B$1020&lt;&gt;"車販")*('振込入金リスト一覧'!D$2:D$1020&gt;=A15)*('振込入金リスト一覧'!D$2:D$1020&lt;EDATE(A15,1))*IFERROR(VALUE('振込入金リスト一覧'!AQ$2:AQ$1020),0))*1.1,0))</f>
        <v/>
      </c>
      <c r="E15" s="23" t="str">
        <f t="shared" si="3"/>
        <v/>
      </c>
      <c r="F15" s="23" t="str">
        <f>IF(A15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15,'振込入金リスト一覧'!D:D,"&lt;"&amp;EDATE(A15,1)))</f>
        <v/>
      </c>
      <c r="G15" s="23" t="str">
        <f>IF(A15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15,'振込入金リスト一覧'!D:D,"&lt;"&amp;EDATE(A15,1)))</f>
        <v/>
      </c>
      <c r="H15" s="23" t="str">
        <f>IF(A15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15,'振込入金リスト一覧'!D:D,"&lt;"&amp;EDATE(A15,1)))</f>
        <v/>
      </c>
      <c r="I15" s="23" t="str">
        <f>IF(A15="","",SUMIFS('振込入金リスト一覧'!AH:AH,'振込入金リスト一覧'!B:B,"保険",'振込入金リスト一覧'!D:D,"&gt;="&amp;A15,'振込入金リスト一覧'!D:D,"&lt;"&amp;EDATE(A15,1))+SUMIFS('振込入金リスト一覧'!AH:AH,'振込入金リスト一覧'!B:B,"保険請求",'振込入金リスト一覧'!D:D,"&gt;="&amp;A15,'振込入金リスト一覧'!D:D,"&lt;"&amp;EDATE(A15,1)))</f>
        <v/>
      </c>
      <c r="J15" s="23" t="str">
        <f>IF(A15="","",SUMIFS('振込入金リスト一覧'!AH:AH,'振込入金リスト一覧'!B:B,"&lt;&gt;車販",'振込入金リスト一覧'!AB:AB,"Maserati広島",'振込入金リスト一覧'!D:D,"&gt;="&amp;A15,'振込入金リスト一覧'!D:D,"&lt;"&amp;EDATE(A15,1)))</f>
        <v/>
      </c>
      <c r="K15" s="68"/>
    </row>
    <row r="16" ht="15.75" customHeight="1">
      <c r="A16" s="17"/>
      <c r="B16" s="17" t="str">
        <f t="shared" si="1"/>
        <v/>
      </c>
      <c r="C16" s="4" t="str">
        <f t="shared" si="2"/>
        <v/>
      </c>
      <c r="D16" s="23" t="str">
        <f>IF(A16="","",ROUND(SUMPRODUCT(('振込入金リスト一覧'!AB$2:AB$1020="Maserati広島")*('振込入金リスト一覧'!B$2:B$1020&lt;&gt;"車販")*('振込入金リスト一覧'!D$2:D$1020&gt;=A16)*('振込入金リスト一覧'!D$2:D$1020&lt;EDATE(A16,1))*IFERROR(VALUE('振込入金リスト一覧'!AQ$2:AQ$1020),0))*1.1,0))</f>
        <v/>
      </c>
      <c r="E16" s="23" t="str">
        <f t="shared" si="3"/>
        <v/>
      </c>
      <c r="F16" s="23" t="str">
        <f>IF(A16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16,'振込入金リスト一覧'!D:D,"&lt;"&amp;EDATE(A16,1)))</f>
        <v/>
      </c>
      <c r="G16" s="23" t="str">
        <f>IF(A16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16,'振込入金リスト一覧'!D:D,"&lt;"&amp;EDATE(A16,1)))</f>
        <v/>
      </c>
      <c r="H16" s="23" t="str">
        <f>IF(A16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16,'振込入金リスト一覧'!D:D,"&lt;"&amp;EDATE(A16,1)))</f>
        <v/>
      </c>
      <c r="I16" s="23" t="str">
        <f>IF(A16="","",SUMIFS('振込入金リスト一覧'!AH:AH,'振込入金リスト一覧'!B:B,"保険",'振込入金リスト一覧'!D:D,"&gt;="&amp;A16,'振込入金リスト一覧'!D:D,"&lt;"&amp;EDATE(A16,1))+SUMIFS('振込入金リスト一覧'!AH:AH,'振込入金リスト一覧'!B:B,"保険請求",'振込入金リスト一覧'!D:D,"&gt;="&amp;A16,'振込入金リスト一覧'!D:D,"&lt;"&amp;EDATE(A16,1)))</f>
        <v/>
      </c>
      <c r="J16" s="23" t="str">
        <f>IF(A16="","",SUMIFS('振込入金リスト一覧'!AH:AH,'振込入金リスト一覧'!B:B,"&lt;&gt;車販",'振込入金リスト一覧'!AB:AB,"Maserati広島",'振込入金リスト一覧'!D:D,"&gt;="&amp;A16,'振込入金リスト一覧'!D:D,"&lt;"&amp;EDATE(A16,1)))</f>
        <v/>
      </c>
      <c r="K16" s="68"/>
    </row>
    <row r="17" ht="15.75" customHeight="1">
      <c r="A17" s="17"/>
      <c r="B17" s="17" t="str">
        <f t="shared" si="1"/>
        <v/>
      </c>
      <c r="C17" s="4" t="str">
        <f t="shared" si="2"/>
        <v/>
      </c>
      <c r="D17" s="23" t="str">
        <f>IF(A17="","",ROUND(SUMPRODUCT(('振込入金リスト一覧'!AB$2:AB$1020="Maserati広島")*('振込入金リスト一覧'!B$2:B$1020&lt;&gt;"車販")*('振込入金リスト一覧'!D$2:D$1020&gt;=A17)*('振込入金リスト一覧'!D$2:D$1020&lt;EDATE(A17,1))*IFERROR(VALUE('振込入金リスト一覧'!AQ$2:AQ$1020),0))*1.1,0))</f>
        <v/>
      </c>
      <c r="E17" s="23" t="str">
        <f t="shared" si="3"/>
        <v/>
      </c>
      <c r="F17" s="23" t="str">
        <f>IF(A17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17,'振込入金リスト一覧'!D:D,"&lt;"&amp;EDATE(A17,1)))</f>
        <v/>
      </c>
      <c r="G17" s="23" t="str">
        <f>IF(A17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17,'振込入金リスト一覧'!D:D,"&lt;"&amp;EDATE(A17,1)))</f>
        <v/>
      </c>
      <c r="H17" s="23" t="str">
        <f>IF(A17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17,'振込入金リスト一覧'!D:D,"&lt;"&amp;EDATE(A17,1)))</f>
        <v/>
      </c>
      <c r="I17" s="23" t="str">
        <f>IF(A17="","",SUMIFS('振込入金リスト一覧'!AH:AH,'振込入金リスト一覧'!B:B,"保険",'振込入金リスト一覧'!D:D,"&gt;="&amp;A17,'振込入金リスト一覧'!D:D,"&lt;"&amp;EDATE(A17,1))+SUMIFS('振込入金リスト一覧'!AH:AH,'振込入金リスト一覧'!B:B,"保険請求",'振込入金リスト一覧'!D:D,"&gt;="&amp;A17,'振込入金リスト一覧'!D:D,"&lt;"&amp;EDATE(A17,1)))</f>
        <v/>
      </c>
      <c r="J17" s="23" t="str">
        <f>IF(A17="","",SUMIFS('振込入金リスト一覧'!AH:AH,'振込入金リスト一覧'!B:B,"&lt;&gt;車販",'振込入金リスト一覧'!AB:AB,"Maserati広島",'振込入金リスト一覧'!D:D,"&gt;="&amp;A17,'振込入金リスト一覧'!D:D,"&lt;"&amp;EDATE(A17,1)))</f>
        <v/>
      </c>
      <c r="K17" s="68"/>
    </row>
    <row r="18" ht="15.75" customHeight="1">
      <c r="A18" s="17"/>
      <c r="B18" s="17" t="str">
        <f t="shared" si="1"/>
        <v/>
      </c>
      <c r="C18" s="4" t="str">
        <f t="shared" si="2"/>
        <v/>
      </c>
      <c r="D18" s="23" t="str">
        <f>IF(A18="","",ROUND(SUMPRODUCT(('振込入金リスト一覧'!AB$2:AB$1020="Maserati広島")*('振込入金リスト一覧'!B$2:B$1020&lt;&gt;"車販")*('振込入金リスト一覧'!D$2:D$1020&gt;=A18)*('振込入金リスト一覧'!D$2:D$1020&lt;EDATE(A18,1))*IFERROR(VALUE('振込入金リスト一覧'!AQ$2:AQ$1020),0))*1.1,0))</f>
        <v/>
      </c>
      <c r="E18" s="23" t="str">
        <f t="shared" si="3"/>
        <v/>
      </c>
      <c r="F18" s="23" t="str">
        <f>IF(A18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18,'振込入金リスト一覧'!D:D,"&lt;"&amp;EDATE(A18,1)))</f>
        <v/>
      </c>
      <c r="G18" s="23" t="str">
        <f>IF(A18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18,'振込入金リスト一覧'!D:D,"&lt;"&amp;EDATE(A18,1)))</f>
        <v/>
      </c>
      <c r="H18" s="23" t="str">
        <f>IF(A18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18,'振込入金リスト一覧'!D:D,"&lt;"&amp;EDATE(A18,1)))</f>
        <v/>
      </c>
      <c r="I18" s="23" t="str">
        <f>IF(A18="","",SUMIFS('振込入金リスト一覧'!AH:AH,'振込入金リスト一覧'!B:B,"保険",'振込入金リスト一覧'!D:D,"&gt;="&amp;A18,'振込入金リスト一覧'!D:D,"&lt;"&amp;EDATE(A18,1))+SUMIFS('振込入金リスト一覧'!AH:AH,'振込入金リスト一覧'!B:B,"保険請求",'振込入金リスト一覧'!D:D,"&gt;="&amp;A18,'振込入金リスト一覧'!D:D,"&lt;"&amp;EDATE(A18,1)))</f>
        <v/>
      </c>
      <c r="J18" s="23" t="str">
        <f>IF(A18="","",SUMIFS('振込入金リスト一覧'!AH:AH,'振込入金リスト一覧'!B:B,"&lt;&gt;車販",'振込入金リスト一覧'!AB:AB,"Maserati広島",'振込入金リスト一覧'!D:D,"&gt;="&amp;A18,'振込入金リスト一覧'!D:D,"&lt;"&amp;EDATE(A18,1)))</f>
        <v/>
      </c>
      <c r="K18" s="68"/>
    </row>
    <row r="19" ht="15.75" customHeight="1">
      <c r="A19" s="17"/>
      <c r="B19" s="17" t="str">
        <f t="shared" si="1"/>
        <v/>
      </c>
      <c r="C19" s="4" t="str">
        <f t="shared" si="2"/>
        <v/>
      </c>
      <c r="D19" s="23" t="str">
        <f>IF(A19="","",ROUND(SUMPRODUCT(('振込入金リスト一覧'!AB$2:AB$1020="Maserati広島")*('振込入金リスト一覧'!B$2:B$1020&lt;&gt;"車販")*('振込入金リスト一覧'!D$2:D$1020&gt;=A19)*('振込入金リスト一覧'!D$2:D$1020&lt;EDATE(A19,1))*IFERROR(VALUE('振込入金リスト一覧'!AQ$2:AQ$1020),0))*1.1,0))</f>
        <v/>
      </c>
      <c r="E19" s="23" t="str">
        <f t="shared" si="3"/>
        <v/>
      </c>
      <c r="F19" s="23" t="str">
        <f>IF(A19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19,'振込入金リスト一覧'!D:D,"&lt;"&amp;EDATE(A19,1)))</f>
        <v/>
      </c>
      <c r="G19" s="23" t="str">
        <f>IF(A19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19,'振込入金リスト一覧'!D:D,"&lt;"&amp;EDATE(A19,1)))</f>
        <v/>
      </c>
      <c r="H19" s="23" t="str">
        <f>IF(A19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19,'振込入金リスト一覧'!D:D,"&lt;"&amp;EDATE(A19,1)))</f>
        <v/>
      </c>
      <c r="I19" s="23" t="str">
        <f>IF(A19="","",SUMIFS('振込入金リスト一覧'!AH:AH,'振込入金リスト一覧'!B:B,"保険",'振込入金リスト一覧'!D:D,"&gt;="&amp;A19,'振込入金リスト一覧'!D:D,"&lt;"&amp;EDATE(A19,1))+SUMIFS('振込入金リスト一覧'!AH:AH,'振込入金リスト一覧'!B:B,"保険請求",'振込入金リスト一覧'!D:D,"&gt;="&amp;A19,'振込入金リスト一覧'!D:D,"&lt;"&amp;EDATE(A19,1)))</f>
        <v/>
      </c>
      <c r="J19" s="23" t="str">
        <f>IF(A19="","",SUMIFS('振込入金リスト一覧'!AH:AH,'振込入金リスト一覧'!B:B,"&lt;&gt;車販",'振込入金リスト一覧'!AB:AB,"Maserati広島",'振込入金リスト一覧'!D:D,"&gt;="&amp;A19,'振込入金リスト一覧'!D:D,"&lt;"&amp;EDATE(A19,1)))</f>
        <v/>
      </c>
      <c r="K19" s="68"/>
    </row>
    <row r="20" ht="15.75" customHeight="1">
      <c r="A20" s="17"/>
      <c r="B20" s="17" t="str">
        <f t="shared" si="1"/>
        <v/>
      </c>
      <c r="C20" s="4" t="str">
        <f t="shared" si="2"/>
        <v/>
      </c>
      <c r="D20" s="23" t="str">
        <f>IF(A20="","",ROUND(SUMPRODUCT(('振込入金リスト一覧'!AB$2:AB$1020="Maserati広島")*('振込入金リスト一覧'!B$2:B$1020&lt;&gt;"車販")*('振込入金リスト一覧'!D$2:D$1020&gt;=A20)*('振込入金リスト一覧'!D$2:D$1020&lt;EDATE(A20,1))*IFERROR(VALUE('振込入金リスト一覧'!AQ$2:AQ$1020),0))*1.1,0))</f>
        <v/>
      </c>
      <c r="E20" s="23" t="str">
        <f t="shared" si="3"/>
        <v/>
      </c>
      <c r="F20" s="23" t="str">
        <f>IF(A20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20,'振込入金リスト一覧'!D:D,"&lt;"&amp;EDATE(A20,1)))</f>
        <v/>
      </c>
      <c r="G20" s="23" t="str">
        <f>IF(A20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20,'振込入金リスト一覧'!D:D,"&lt;"&amp;EDATE(A20,1)))</f>
        <v/>
      </c>
      <c r="H20" s="23" t="str">
        <f>IF(A20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20,'振込入金リスト一覧'!D:D,"&lt;"&amp;EDATE(A20,1)))</f>
        <v/>
      </c>
      <c r="I20" s="23" t="str">
        <f>IF(A20="","",SUMIFS('振込入金リスト一覧'!AH:AH,'振込入金リスト一覧'!B:B,"保険",'振込入金リスト一覧'!D:D,"&gt;="&amp;A20,'振込入金リスト一覧'!D:D,"&lt;"&amp;EDATE(A20,1))+SUMIFS('振込入金リスト一覧'!AH:AH,'振込入金リスト一覧'!B:B,"保険請求",'振込入金リスト一覧'!D:D,"&gt;="&amp;A20,'振込入金リスト一覧'!D:D,"&lt;"&amp;EDATE(A20,1)))</f>
        <v/>
      </c>
      <c r="J20" s="23" t="str">
        <f>IF(A20="","",SUMIFS('振込入金リスト一覧'!AH:AH,'振込入金リスト一覧'!B:B,"&lt;&gt;車販",'振込入金リスト一覧'!AB:AB,"Maserati広島",'振込入金リスト一覧'!D:D,"&gt;="&amp;A20,'振込入金リスト一覧'!D:D,"&lt;"&amp;EDATE(A20,1)))</f>
        <v/>
      </c>
      <c r="K20" s="68"/>
    </row>
    <row r="21" ht="15.75" customHeight="1">
      <c r="A21" s="17"/>
      <c r="B21" s="17" t="str">
        <f t="shared" si="1"/>
        <v/>
      </c>
      <c r="C21" s="4" t="str">
        <f t="shared" si="2"/>
        <v/>
      </c>
      <c r="D21" s="23" t="str">
        <f>IF(A21="","",ROUND(SUMPRODUCT(('振込入金リスト一覧'!AB$2:AB$1020="Maserati広島")*('振込入金リスト一覧'!B$2:B$1020&lt;&gt;"車販")*('振込入金リスト一覧'!D$2:D$1020&gt;=A21)*('振込入金リスト一覧'!D$2:D$1020&lt;EDATE(A21,1))*IFERROR(VALUE('振込入金リスト一覧'!AQ$2:AQ$1020),0))*1.1,0))</f>
        <v/>
      </c>
      <c r="E21" s="23" t="str">
        <f t="shared" si="3"/>
        <v/>
      </c>
      <c r="F21" s="23" t="str">
        <f>IF(A21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21,'振込入金リスト一覧'!D:D,"&lt;"&amp;EDATE(A21,1)))</f>
        <v/>
      </c>
      <c r="G21" s="23" t="str">
        <f>IF(A21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21,'振込入金リスト一覧'!D:D,"&lt;"&amp;EDATE(A21,1)))</f>
        <v/>
      </c>
      <c r="H21" s="23" t="str">
        <f>IF(A21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21,'振込入金リスト一覧'!D:D,"&lt;"&amp;EDATE(A21,1)))</f>
        <v/>
      </c>
      <c r="I21" s="23" t="str">
        <f>IF(A21="","",SUMIFS('振込入金リスト一覧'!AH:AH,'振込入金リスト一覧'!B:B,"保険",'振込入金リスト一覧'!D:D,"&gt;="&amp;A21,'振込入金リスト一覧'!D:D,"&lt;"&amp;EDATE(A21,1))+SUMIFS('振込入金リスト一覧'!AH:AH,'振込入金リスト一覧'!B:B,"保険請求",'振込入金リスト一覧'!D:D,"&gt;="&amp;A21,'振込入金リスト一覧'!D:D,"&lt;"&amp;EDATE(A21,1)))</f>
        <v/>
      </c>
      <c r="J21" s="23" t="str">
        <f>IF(A21="","",SUMIFS('振込入金リスト一覧'!AH:AH,'振込入金リスト一覧'!B:B,"&lt;&gt;車販",'振込入金リスト一覧'!AB:AB,"Maserati広島",'振込入金リスト一覧'!D:D,"&gt;="&amp;A21,'振込入金リスト一覧'!D:D,"&lt;"&amp;EDATE(A21,1)))</f>
        <v/>
      </c>
      <c r="K21" s="68"/>
    </row>
    <row r="22" ht="15.75" customHeight="1">
      <c r="A22" s="17"/>
      <c r="B22" s="17" t="str">
        <f t="shared" si="1"/>
        <v/>
      </c>
      <c r="C22" s="4" t="str">
        <f t="shared" si="2"/>
        <v/>
      </c>
      <c r="D22" s="23" t="str">
        <f>IF(A22="","",ROUND(SUMPRODUCT(('振込入金リスト一覧'!AB$2:AB$1020="Maserati広島")*('振込入金リスト一覧'!B$2:B$1020&lt;&gt;"車販")*('振込入金リスト一覧'!D$2:D$1020&gt;=A22)*('振込入金リスト一覧'!D$2:D$1020&lt;EDATE(A22,1))*IFERROR(VALUE('振込入金リスト一覧'!AQ$2:AQ$1020),0))*1.1,0))</f>
        <v/>
      </c>
      <c r="E22" s="23" t="str">
        <f t="shared" si="3"/>
        <v/>
      </c>
      <c r="F22" s="23" t="str">
        <f>IF(A22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22,'振込入金リスト一覧'!D:D,"&lt;"&amp;EDATE(A22,1)))</f>
        <v/>
      </c>
      <c r="G22" s="23" t="str">
        <f>IF(A22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22,'振込入金リスト一覧'!D:D,"&lt;"&amp;EDATE(A22,1)))</f>
        <v/>
      </c>
      <c r="H22" s="23" t="str">
        <f>IF(A22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22,'振込入金リスト一覧'!D:D,"&lt;"&amp;EDATE(A22,1)))</f>
        <v/>
      </c>
      <c r="I22" s="23" t="str">
        <f>IF(A22="","",SUMIFS('振込入金リスト一覧'!AH:AH,'振込入金リスト一覧'!B:B,"保険",'振込入金リスト一覧'!D:D,"&gt;="&amp;A22,'振込入金リスト一覧'!D:D,"&lt;"&amp;EDATE(A22,1))+SUMIFS('振込入金リスト一覧'!AH:AH,'振込入金リスト一覧'!B:B,"保険請求",'振込入金リスト一覧'!D:D,"&gt;="&amp;A22,'振込入金リスト一覧'!D:D,"&lt;"&amp;EDATE(A22,1)))</f>
        <v/>
      </c>
      <c r="J22" s="23" t="str">
        <f>IF(A22="","",SUMIFS('振込入金リスト一覧'!AH:AH,'振込入金リスト一覧'!B:B,"&lt;&gt;車販",'振込入金リスト一覧'!AB:AB,"Maserati広島",'振込入金リスト一覧'!D:D,"&gt;="&amp;A22,'振込入金リスト一覧'!D:D,"&lt;"&amp;EDATE(A22,1)))</f>
        <v/>
      </c>
      <c r="K22" s="68"/>
    </row>
    <row r="23" ht="15.75" customHeight="1">
      <c r="A23" s="17"/>
      <c r="B23" s="17" t="str">
        <f t="shared" si="1"/>
        <v/>
      </c>
      <c r="C23" s="4" t="str">
        <f t="shared" si="2"/>
        <v/>
      </c>
      <c r="D23" s="23" t="str">
        <f>IF(A23="","",ROUND(SUMPRODUCT(('振込入金リスト一覧'!AB$2:AB$1020="Maserati広島")*('振込入金リスト一覧'!B$2:B$1020&lt;&gt;"車販")*('振込入金リスト一覧'!D$2:D$1020&gt;=A23)*('振込入金リスト一覧'!D$2:D$1020&lt;EDATE(A23,1))*IFERROR(VALUE('振込入金リスト一覧'!AQ$2:AQ$1020),0))*1.1,0))</f>
        <v/>
      </c>
      <c r="E23" s="23" t="str">
        <f t="shared" si="3"/>
        <v/>
      </c>
      <c r="F23" s="23" t="str">
        <f>IF(A23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23,'振込入金リスト一覧'!D:D,"&lt;"&amp;EDATE(A23,1)))</f>
        <v/>
      </c>
      <c r="G23" s="23" t="str">
        <f>IF(A23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23,'振込入金リスト一覧'!D:D,"&lt;"&amp;EDATE(A23,1)))</f>
        <v/>
      </c>
      <c r="H23" s="23" t="str">
        <f>IF(A23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23,'振込入金リスト一覧'!D:D,"&lt;"&amp;EDATE(A23,1)))</f>
        <v/>
      </c>
      <c r="I23" s="23" t="str">
        <f>IF(A23="","",SUMIFS('振込入金リスト一覧'!AH:AH,'振込入金リスト一覧'!B:B,"保険",'振込入金リスト一覧'!D:D,"&gt;="&amp;A23,'振込入金リスト一覧'!D:D,"&lt;"&amp;EDATE(A23,1))+SUMIFS('振込入金リスト一覧'!AH:AH,'振込入金リスト一覧'!B:B,"保険請求",'振込入金リスト一覧'!D:D,"&gt;="&amp;A23,'振込入金リスト一覧'!D:D,"&lt;"&amp;EDATE(A23,1)))</f>
        <v/>
      </c>
      <c r="J23" s="23" t="str">
        <f>IF(A23="","",SUMIFS('振込入金リスト一覧'!AH:AH,'振込入金リスト一覧'!B:B,"&lt;&gt;車販",'振込入金リスト一覧'!AB:AB,"Maserati広島",'振込入金リスト一覧'!D:D,"&gt;="&amp;A23,'振込入金リスト一覧'!D:D,"&lt;"&amp;EDATE(A23,1)))</f>
        <v/>
      </c>
      <c r="K23" s="68"/>
    </row>
    <row r="24" ht="15.75" customHeight="1">
      <c r="A24" s="17"/>
      <c r="B24" s="17" t="str">
        <f t="shared" si="1"/>
        <v/>
      </c>
      <c r="C24" s="4" t="str">
        <f t="shared" si="2"/>
        <v/>
      </c>
      <c r="D24" s="23" t="str">
        <f>IF(A24="","",ROUND(SUMPRODUCT(('振込入金リスト一覧'!AB$2:AB$1020="Maserati広島")*('振込入金リスト一覧'!B$2:B$1020&lt;&gt;"車販")*('振込入金リスト一覧'!D$2:D$1020&gt;=A24)*('振込入金リスト一覧'!D$2:D$1020&lt;EDATE(A24,1))*IFERROR(VALUE('振込入金リスト一覧'!AQ$2:AQ$1020),0))*1.1,0))</f>
        <v/>
      </c>
      <c r="E24" s="23" t="str">
        <f t="shared" si="3"/>
        <v/>
      </c>
      <c r="F24" s="23" t="str">
        <f>IF(A24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24,'振込入金リスト一覧'!D:D,"&lt;"&amp;EDATE(A24,1)))</f>
        <v/>
      </c>
      <c r="G24" s="23" t="str">
        <f>IF(A24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24,'振込入金リスト一覧'!D:D,"&lt;"&amp;EDATE(A24,1)))</f>
        <v/>
      </c>
      <c r="H24" s="23" t="str">
        <f>IF(A24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24,'振込入金リスト一覧'!D:D,"&lt;"&amp;EDATE(A24,1)))</f>
        <v/>
      </c>
      <c r="I24" s="23" t="str">
        <f>IF(A24="","",SUMIFS('振込入金リスト一覧'!AH:AH,'振込入金リスト一覧'!B:B,"保険",'振込入金リスト一覧'!D:D,"&gt;="&amp;A24,'振込入金リスト一覧'!D:D,"&lt;"&amp;EDATE(A24,1))+SUMIFS('振込入金リスト一覧'!AH:AH,'振込入金リスト一覧'!B:B,"保険請求",'振込入金リスト一覧'!D:D,"&gt;="&amp;A24,'振込入金リスト一覧'!D:D,"&lt;"&amp;EDATE(A24,1)))</f>
        <v/>
      </c>
      <c r="J24" s="23" t="str">
        <f>IF(A24="","",SUMIFS('振込入金リスト一覧'!AH:AH,'振込入金リスト一覧'!B:B,"&lt;&gt;車販",'振込入金リスト一覧'!AB:AB,"Maserati広島",'振込入金リスト一覧'!D:D,"&gt;="&amp;A24,'振込入金リスト一覧'!D:D,"&lt;"&amp;EDATE(A24,1)))</f>
        <v/>
      </c>
      <c r="K24" s="68"/>
    </row>
    <row r="25" ht="15.75" customHeight="1">
      <c r="A25" s="17"/>
      <c r="B25" s="17" t="str">
        <f t="shared" si="1"/>
        <v/>
      </c>
      <c r="C25" s="4" t="str">
        <f t="shared" si="2"/>
        <v/>
      </c>
      <c r="D25" s="23" t="str">
        <f>IF(A25="","",ROUND(SUMPRODUCT(('振込入金リスト一覧'!AB$2:AB$1020="Maserati広島")*('振込入金リスト一覧'!B$2:B$1020&lt;&gt;"車販")*('振込入金リスト一覧'!D$2:D$1020&gt;=A25)*('振込入金リスト一覧'!D$2:D$1020&lt;EDATE(A25,1))*IFERROR(VALUE('振込入金リスト一覧'!AQ$2:AQ$1020),0))*1.1,0))</f>
        <v/>
      </c>
      <c r="E25" s="23" t="str">
        <f t="shared" si="3"/>
        <v/>
      </c>
      <c r="F25" s="23" t="str">
        <f>IF(A25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25,'振込入金リスト一覧'!D:D,"&lt;"&amp;EDATE(A25,1)))</f>
        <v/>
      </c>
      <c r="G25" s="23" t="str">
        <f>IF(A25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25,'振込入金リスト一覧'!D:D,"&lt;"&amp;EDATE(A25,1)))</f>
        <v/>
      </c>
      <c r="H25" s="23" t="str">
        <f>IF(A25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25,'振込入金リスト一覧'!D:D,"&lt;"&amp;EDATE(A25,1)))</f>
        <v/>
      </c>
      <c r="I25" s="23" t="str">
        <f>IF(A25="","",SUMIFS('振込入金リスト一覧'!AH:AH,'振込入金リスト一覧'!B:B,"保険",'振込入金リスト一覧'!D:D,"&gt;="&amp;A25,'振込入金リスト一覧'!D:D,"&lt;"&amp;EDATE(A25,1))+SUMIFS('振込入金リスト一覧'!AH:AH,'振込入金リスト一覧'!B:B,"保険請求",'振込入金リスト一覧'!D:D,"&gt;="&amp;A25,'振込入金リスト一覧'!D:D,"&lt;"&amp;EDATE(A25,1)))</f>
        <v/>
      </c>
      <c r="J25" s="23" t="str">
        <f>IF(A25="","",SUMIFS('振込入金リスト一覧'!AH:AH,'振込入金リスト一覧'!B:B,"&lt;&gt;車販",'振込入金リスト一覧'!AB:AB,"Maserati広島",'振込入金リスト一覧'!D:D,"&gt;="&amp;A25,'振込入金リスト一覧'!D:D,"&lt;"&amp;EDATE(A25,1)))</f>
        <v/>
      </c>
      <c r="K25" s="68"/>
    </row>
    <row r="26" ht="15.75" customHeight="1">
      <c r="A26" s="17"/>
      <c r="B26" s="17" t="str">
        <f t="shared" si="1"/>
        <v/>
      </c>
      <c r="C26" s="4" t="str">
        <f t="shared" si="2"/>
        <v/>
      </c>
      <c r="D26" s="23" t="str">
        <f>IF(A26="","",ROUND(SUMPRODUCT(('振込入金リスト一覧'!AB$2:AB$1020="Maserati広島")*('振込入金リスト一覧'!B$2:B$1020&lt;&gt;"車販")*('振込入金リスト一覧'!D$2:D$1020&gt;=A26)*('振込入金リスト一覧'!D$2:D$1020&lt;EDATE(A26,1))*IFERROR(VALUE('振込入金リスト一覧'!AQ$2:AQ$1020),0))*1.1,0))</f>
        <v/>
      </c>
      <c r="E26" s="23" t="str">
        <f t="shared" si="3"/>
        <v/>
      </c>
      <c r="F26" s="23" t="str">
        <f>IF(A26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26,'振込入金リスト一覧'!D:D,"&lt;"&amp;EDATE(A26,1)))</f>
        <v/>
      </c>
      <c r="G26" s="23" t="str">
        <f>IF(A26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26,'振込入金リスト一覧'!D:D,"&lt;"&amp;EDATE(A26,1)))</f>
        <v/>
      </c>
      <c r="H26" s="23" t="str">
        <f>IF(A26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26,'振込入金リスト一覧'!D:D,"&lt;"&amp;EDATE(A26,1)))</f>
        <v/>
      </c>
      <c r="I26" s="23" t="str">
        <f>IF(A26="","",SUMIFS('振込入金リスト一覧'!AH:AH,'振込入金リスト一覧'!B:B,"保険",'振込入金リスト一覧'!D:D,"&gt;="&amp;A26,'振込入金リスト一覧'!D:D,"&lt;"&amp;EDATE(A26,1))+SUMIFS('振込入金リスト一覧'!AH:AH,'振込入金リスト一覧'!B:B,"保険請求",'振込入金リスト一覧'!D:D,"&gt;="&amp;A26,'振込入金リスト一覧'!D:D,"&lt;"&amp;EDATE(A26,1)))</f>
        <v/>
      </c>
      <c r="J26" s="23" t="str">
        <f>IF(A26="","",SUMIFS('振込入金リスト一覧'!AH:AH,'振込入金リスト一覧'!B:B,"&lt;&gt;車販",'振込入金リスト一覧'!AB:AB,"Maserati広島",'振込入金リスト一覧'!D:D,"&gt;="&amp;A26,'振込入金リスト一覧'!D:D,"&lt;"&amp;EDATE(A26,1)))</f>
        <v/>
      </c>
      <c r="K26" s="68"/>
    </row>
    <row r="27" ht="15.75" customHeight="1">
      <c r="A27" s="17"/>
      <c r="B27" s="17" t="str">
        <f t="shared" si="1"/>
        <v/>
      </c>
      <c r="C27" s="4" t="str">
        <f t="shared" si="2"/>
        <v/>
      </c>
      <c r="D27" s="23" t="str">
        <f>IF(A27="","",ROUND(SUMPRODUCT(('振込入金リスト一覧'!AB$2:AB$1020="Maserati広島")*('振込入金リスト一覧'!B$2:B$1020&lt;&gt;"車販")*('振込入金リスト一覧'!D$2:D$1020&gt;=A27)*('振込入金リスト一覧'!D$2:D$1020&lt;EDATE(A27,1))*IFERROR(VALUE('振込入金リスト一覧'!AQ$2:AQ$1020),0))*1.1,0))</f>
        <v/>
      </c>
      <c r="E27" s="23" t="str">
        <f t="shared" si="3"/>
        <v/>
      </c>
      <c r="F27" s="23" t="str">
        <f>IF(A27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27,'振込入金リスト一覧'!D:D,"&lt;"&amp;EDATE(A27,1)))</f>
        <v/>
      </c>
      <c r="G27" s="23" t="str">
        <f>IF(A27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27,'振込入金リスト一覧'!D:D,"&lt;"&amp;EDATE(A27,1)))</f>
        <v/>
      </c>
      <c r="H27" s="23" t="str">
        <f>IF(A27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27,'振込入金リスト一覧'!D:D,"&lt;"&amp;EDATE(A27,1)))</f>
        <v/>
      </c>
      <c r="I27" s="23" t="str">
        <f>IF(A27="","",SUMIFS('振込入金リスト一覧'!AH:AH,'振込入金リスト一覧'!B:B,"保険",'振込入金リスト一覧'!D:D,"&gt;="&amp;A27,'振込入金リスト一覧'!D:D,"&lt;"&amp;EDATE(A27,1))+SUMIFS('振込入金リスト一覧'!AH:AH,'振込入金リスト一覧'!B:B,"保険請求",'振込入金リスト一覧'!D:D,"&gt;="&amp;A27,'振込入金リスト一覧'!D:D,"&lt;"&amp;EDATE(A27,1)))</f>
        <v/>
      </c>
      <c r="J27" s="23" t="str">
        <f>IF(A27="","",SUMIFS('振込入金リスト一覧'!AH:AH,'振込入金リスト一覧'!B:B,"&lt;&gt;車販",'振込入金リスト一覧'!AB:AB,"Maserati広島",'振込入金リスト一覧'!D:D,"&gt;="&amp;A27,'振込入金リスト一覧'!D:D,"&lt;"&amp;EDATE(A27,1)))</f>
        <v/>
      </c>
      <c r="K27" s="68"/>
    </row>
    <row r="28" ht="15.75" customHeight="1">
      <c r="A28" s="17"/>
      <c r="B28" s="17" t="str">
        <f t="shared" si="1"/>
        <v/>
      </c>
      <c r="C28" s="4" t="str">
        <f t="shared" si="2"/>
        <v/>
      </c>
      <c r="D28" s="23" t="str">
        <f>IF(A28="","",ROUND(SUMPRODUCT(('振込入金リスト一覧'!AB$2:AB$1020="Maserati広島")*('振込入金リスト一覧'!B$2:B$1020&lt;&gt;"車販")*('振込入金リスト一覧'!D$2:D$1020&gt;=A28)*('振込入金リスト一覧'!D$2:D$1020&lt;EDATE(A28,1))*IFERROR(VALUE('振込入金リスト一覧'!AQ$2:AQ$1020),0))*1.1,0))</f>
        <v/>
      </c>
      <c r="E28" s="23" t="str">
        <f t="shared" si="3"/>
        <v/>
      </c>
      <c r="F28" s="23" t="str">
        <f>IF(A28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28,'振込入金リスト一覧'!D:D,"&lt;"&amp;EDATE(A28,1)))</f>
        <v/>
      </c>
      <c r="G28" s="23" t="str">
        <f>IF(A28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28,'振込入金リスト一覧'!D:D,"&lt;"&amp;EDATE(A28,1)))</f>
        <v/>
      </c>
      <c r="H28" s="23" t="str">
        <f>IF(A28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28,'振込入金リスト一覧'!D:D,"&lt;"&amp;EDATE(A28,1)))</f>
        <v/>
      </c>
      <c r="I28" s="23" t="str">
        <f>IF(A28="","",SUMIFS('振込入金リスト一覧'!AH:AH,'振込入金リスト一覧'!B:B,"保険",'振込入金リスト一覧'!D:D,"&gt;="&amp;A28,'振込入金リスト一覧'!D:D,"&lt;"&amp;EDATE(A28,1))+SUMIFS('振込入金リスト一覧'!AH:AH,'振込入金リスト一覧'!B:B,"保険請求",'振込入金リスト一覧'!D:D,"&gt;="&amp;A28,'振込入金リスト一覧'!D:D,"&lt;"&amp;EDATE(A28,1)))</f>
        <v/>
      </c>
      <c r="J28" s="23" t="str">
        <f>IF(A28="","",SUMIFS('振込入金リスト一覧'!AH:AH,'振込入金リスト一覧'!B:B,"&lt;&gt;車販",'振込入金リスト一覧'!AB:AB,"Maserati広島",'振込入金リスト一覧'!D:D,"&gt;="&amp;A28,'振込入金リスト一覧'!D:D,"&lt;"&amp;EDATE(A28,1)))</f>
        <v/>
      </c>
      <c r="K28" s="68"/>
    </row>
    <row r="29" ht="15.75" customHeight="1">
      <c r="A29" s="17"/>
      <c r="B29" s="17" t="str">
        <f t="shared" si="1"/>
        <v/>
      </c>
      <c r="C29" s="4" t="str">
        <f t="shared" si="2"/>
        <v/>
      </c>
      <c r="D29" s="23" t="str">
        <f>IF(A29="","",ROUND(SUMPRODUCT(('振込入金リスト一覧'!AB$2:AB$1020="Maserati広島")*('振込入金リスト一覧'!B$2:B$1020&lt;&gt;"車販")*('振込入金リスト一覧'!D$2:D$1020&gt;=A29)*('振込入金リスト一覧'!D$2:D$1020&lt;EDATE(A29,1))*IFERROR(VALUE('振込入金リスト一覧'!AQ$2:AQ$1020),0))*1.1,0))</f>
        <v/>
      </c>
      <c r="E29" s="23" t="str">
        <f t="shared" si="3"/>
        <v/>
      </c>
      <c r="F29" s="23" t="str">
        <f>IF(A29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29,'振込入金リスト一覧'!D:D,"&lt;"&amp;EDATE(A29,1)))</f>
        <v/>
      </c>
      <c r="G29" s="23" t="str">
        <f>IF(A29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29,'振込入金リスト一覧'!D:D,"&lt;"&amp;EDATE(A29,1)))</f>
        <v/>
      </c>
      <c r="H29" s="23" t="str">
        <f>IF(A29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29,'振込入金リスト一覧'!D:D,"&lt;"&amp;EDATE(A29,1)))</f>
        <v/>
      </c>
      <c r="I29" s="23" t="str">
        <f>IF(A29="","",SUMIFS('振込入金リスト一覧'!AH:AH,'振込入金リスト一覧'!B:B,"保険",'振込入金リスト一覧'!D:D,"&gt;="&amp;A29,'振込入金リスト一覧'!D:D,"&lt;"&amp;EDATE(A29,1))+SUMIFS('振込入金リスト一覧'!AH:AH,'振込入金リスト一覧'!B:B,"保険請求",'振込入金リスト一覧'!D:D,"&gt;="&amp;A29,'振込入金リスト一覧'!D:D,"&lt;"&amp;EDATE(A29,1)))</f>
        <v/>
      </c>
      <c r="J29" s="23" t="str">
        <f>IF(A29="","",SUMIFS('振込入金リスト一覧'!AH:AH,'振込入金リスト一覧'!B:B,"&lt;&gt;車販",'振込入金リスト一覧'!AB:AB,"Maserati広島",'振込入金リスト一覧'!D:D,"&gt;="&amp;A29,'振込入金リスト一覧'!D:D,"&lt;"&amp;EDATE(A29,1)))</f>
        <v/>
      </c>
      <c r="K29" s="68"/>
    </row>
    <row r="30" ht="15.75" customHeight="1">
      <c r="A30" s="17"/>
      <c r="B30" s="17" t="str">
        <f t="shared" si="1"/>
        <v/>
      </c>
      <c r="C30" s="4" t="str">
        <f t="shared" si="2"/>
        <v/>
      </c>
      <c r="D30" s="23" t="str">
        <f>IF(A30="","",ROUND(SUMPRODUCT(('振込入金リスト一覧'!AB$2:AB$1020="Maserati広島")*('振込入金リスト一覧'!B$2:B$1020&lt;&gt;"車販")*('振込入金リスト一覧'!D$2:D$1020&gt;=A30)*('振込入金リスト一覧'!D$2:D$1020&lt;EDATE(A30,1))*IFERROR(VALUE('振込入金リスト一覧'!AQ$2:AQ$1020),0))*1.1,0))</f>
        <v/>
      </c>
      <c r="E30" s="23" t="str">
        <f t="shared" si="3"/>
        <v/>
      </c>
      <c r="F30" s="23" t="str">
        <f>IF(A30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30,'振込入金リスト一覧'!D:D,"&lt;"&amp;EDATE(A30,1)))</f>
        <v/>
      </c>
      <c r="G30" s="23" t="str">
        <f>IF(A30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30,'振込入金リスト一覧'!D:D,"&lt;"&amp;EDATE(A30,1)))</f>
        <v/>
      </c>
      <c r="H30" s="23" t="str">
        <f>IF(A30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30,'振込入金リスト一覧'!D:D,"&lt;"&amp;EDATE(A30,1)))</f>
        <v/>
      </c>
      <c r="I30" s="23" t="str">
        <f>IF(A30="","",SUMIFS('振込入金リスト一覧'!AH:AH,'振込入金リスト一覧'!B:B,"保険",'振込入金リスト一覧'!D:D,"&gt;="&amp;A30,'振込入金リスト一覧'!D:D,"&lt;"&amp;EDATE(A30,1))+SUMIFS('振込入金リスト一覧'!AH:AH,'振込入金リスト一覧'!B:B,"保険請求",'振込入金リスト一覧'!D:D,"&gt;="&amp;A30,'振込入金リスト一覧'!D:D,"&lt;"&amp;EDATE(A30,1)))</f>
        <v/>
      </c>
      <c r="J30" s="23" t="str">
        <f>IF(A30="","",SUMIFS('振込入金リスト一覧'!AH:AH,'振込入金リスト一覧'!B:B,"&lt;&gt;車販",'振込入金リスト一覧'!AB:AB,"Maserati広島",'振込入金リスト一覧'!D:D,"&gt;="&amp;A30,'振込入金リスト一覧'!D:D,"&lt;"&amp;EDATE(A30,1)))</f>
        <v/>
      </c>
      <c r="K30" s="68"/>
    </row>
    <row r="31" ht="15.75" customHeight="1">
      <c r="A31" s="17"/>
      <c r="B31" s="17" t="str">
        <f t="shared" si="1"/>
        <v/>
      </c>
      <c r="C31" s="4" t="str">
        <f t="shared" si="2"/>
        <v/>
      </c>
      <c r="D31" s="23" t="str">
        <f>IF(A31="","",ROUND(SUMPRODUCT(('振込入金リスト一覧'!AB$2:AB$1020="Maserati広島")*('振込入金リスト一覧'!B$2:B$1020&lt;&gt;"車販")*('振込入金リスト一覧'!D$2:D$1020&gt;=A31)*('振込入金リスト一覧'!D$2:D$1020&lt;EDATE(A31,1))*IFERROR(VALUE('振込入金リスト一覧'!AQ$2:AQ$1020),0))*1.1,0))</f>
        <v/>
      </c>
      <c r="E31" s="23" t="str">
        <f t="shared" si="3"/>
        <v/>
      </c>
      <c r="F31" s="23" t="str">
        <f>IF(A31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31,'振込入金リスト一覧'!D:D,"&lt;"&amp;EDATE(A31,1)))</f>
        <v/>
      </c>
      <c r="G31" s="23" t="str">
        <f>IF(A31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31,'振込入金リスト一覧'!D:D,"&lt;"&amp;EDATE(A31,1)))</f>
        <v/>
      </c>
      <c r="H31" s="23" t="str">
        <f>IF(A31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31,'振込入金リスト一覧'!D:D,"&lt;"&amp;EDATE(A31,1)))</f>
        <v/>
      </c>
      <c r="I31" s="23" t="str">
        <f>IF(A31="","",SUMIFS('振込入金リスト一覧'!AH:AH,'振込入金リスト一覧'!B:B,"保険",'振込入金リスト一覧'!D:D,"&gt;="&amp;A31,'振込入金リスト一覧'!D:D,"&lt;"&amp;EDATE(A31,1))+SUMIFS('振込入金リスト一覧'!AH:AH,'振込入金リスト一覧'!B:B,"保険請求",'振込入金リスト一覧'!D:D,"&gt;="&amp;A31,'振込入金リスト一覧'!D:D,"&lt;"&amp;EDATE(A31,1)))</f>
        <v/>
      </c>
      <c r="J31" s="23" t="str">
        <f>IF(A31="","",SUMIFS('振込入金リスト一覧'!AH:AH,'振込入金リスト一覧'!B:B,"&lt;&gt;車販",'振込入金リスト一覧'!AB:AB,"Maserati広島",'振込入金リスト一覧'!D:D,"&gt;="&amp;A31,'振込入金リスト一覧'!D:D,"&lt;"&amp;EDATE(A31,1)))</f>
        <v/>
      </c>
      <c r="K31" s="68"/>
    </row>
    <row r="32" ht="15.75" customHeight="1">
      <c r="A32" s="17"/>
      <c r="B32" s="17" t="str">
        <f t="shared" si="1"/>
        <v/>
      </c>
      <c r="C32" s="4" t="str">
        <f t="shared" si="2"/>
        <v/>
      </c>
      <c r="D32" s="23" t="str">
        <f>IF(A32="","",ROUND(SUMPRODUCT(('振込入金リスト一覧'!AB$2:AB$1020="Maserati広島")*('振込入金リスト一覧'!B$2:B$1020&lt;&gt;"車販")*('振込入金リスト一覧'!D$2:D$1020&gt;=A32)*('振込入金リスト一覧'!D$2:D$1020&lt;EDATE(A32,1))*IFERROR(VALUE('振込入金リスト一覧'!AQ$2:AQ$1020),0))*1.1,0))</f>
        <v/>
      </c>
      <c r="E32" s="23" t="str">
        <f t="shared" si="3"/>
        <v/>
      </c>
      <c r="F32" s="23" t="str">
        <f>IF(A32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32,'振込入金リスト一覧'!D:D,"&lt;"&amp;EDATE(A32,1)))</f>
        <v/>
      </c>
      <c r="G32" s="23" t="str">
        <f>IF(A32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32,'振込入金リスト一覧'!D:D,"&lt;"&amp;EDATE(A32,1)))</f>
        <v/>
      </c>
      <c r="H32" s="23" t="str">
        <f>IF(A32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32,'振込入金リスト一覧'!D:D,"&lt;"&amp;EDATE(A32,1)))</f>
        <v/>
      </c>
      <c r="I32" s="23" t="str">
        <f>IF(A32="","",SUMIFS('振込入金リスト一覧'!AH:AH,'振込入金リスト一覧'!B:B,"保険",'振込入金リスト一覧'!D:D,"&gt;="&amp;A32,'振込入金リスト一覧'!D:D,"&lt;"&amp;EDATE(A32,1))+SUMIFS('振込入金リスト一覧'!AH:AH,'振込入金リスト一覧'!B:B,"保険請求",'振込入金リスト一覧'!D:D,"&gt;="&amp;A32,'振込入金リスト一覧'!D:D,"&lt;"&amp;EDATE(A32,1)))</f>
        <v/>
      </c>
      <c r="J32" s="23" t="str">
        <f>IF(A32="","",SUMIFS('振込入金リスト一覧'!AH:AH,'振込入金リスト一覧'!B:B,"&lt;&gt;車販",'振込入金リスト一覧'!AB:AB,"Maserati広島",'振込入金リスト一覧'!D:D,"&gt;="&amp;A32,'振込入金リスト一覧'!D:D,"&lt;"&amp;EDATE(A32,1)))</f>
        <v/>
      </c>
      <c r="K32" s="68"/>
    </row>
    <row r="33" ht="15.75" customHeight="1">
      <c r="A33" s="17"/>
      <c r="B33" s="17" t="str">
        <f t="shared" si="1"/>
        <v/>
      </c>
      <c r="C33" s="4" t="str">
        <f t="shared" si="2"/>
        <v/>
      </c>
      <c r="D33" s="23" t="str">
        <f>IF(A33="","",ROUND(SUMPRODUCT(('振込入金リスト一覧'!AB$2:AB$1020="Maserati広島")*('振込入金リスト一覧'!B$2:B$1020&lt;&gt;"車販")*('振込入金リスト一覧'!D$2:D$1020&gt;=A33)*('振込入金リスト一覧'!D$2:D$1020&lt;EDATE(A33,1))*IFERROR(VALUE('振込入金リスト一覧'!AQ$2:AQ$1020),0))*1.1,0))</f>
        <v/>
      </c>
      <c r="E33" s="23" t="str">
        <f t="shared" si="3"/>
        <v/>
      </c>
      <c r="F33" s="23" t="str">
        <f>IF(A33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33,'振込入金リスト一覧'!D:D,"&lt;"&amp;EDATE(A33,1)))</f>
        <v/>
      </c>
      <c r="G33" s="23" t="str">
        <f>IF(A33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33,'振込入金リスト一覧'!D:D,"&lt;"&amp;EDATE(A33,1)))</f>
        <v/>
      </c>
      <c r="H33" s="23" t="str">
        <f>IF(A33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33,'振込入金リスト一覧'!D:D,"&lt;"&amp;EDATE(A33,1)))</f>
        <v/>
      </c>
      <c r="I33" s="23" t="str">
        <f>IF(A33="","",SUMIFS('振込入金リスト一覧'!AH:AH,'振込入金リスト一覧'!B:B,"保険",'振込入金リスト一覧'!D:D,"&gt;="&amp;A33,'振込入金リスト一覧'!D:D,"&lt;"&amp;EDATE(A33,1))+SUMIFS('振込入金リスト一覧'!AH:AH,'振込入金リスト一覧'!B:B,"保険請求",'振込入金リスト一覧'!D:D,"&gt;="&amp;A33,'振込入金リスト一覧'!D:D,"&lt;"&amp;EDATE(A33,1)))</f>
        <v/>
      </c>
      <c r="J33" s="23" t="str">
        <f>IF(A33="","",SUMIFS('振込入金リスト一覧'!AH:AH,'振込入金リスト一覧'!B:B,"&lt;&gt;車販",'振込入金リスト一覧'!AB:AB,"Maserati広島",'振込入金リスト一覧'!D:D,"&gt;="&amp;A33,'振込入金リスト一覧'!D:D,"&lt;"&amp;EDATE(A33,1)))</f>
        <v/>
      </c>
      <c r="K33" s="68"/>
    </row>
    <row r="34" ht="15.75" customHeight="1">
      <c r="A34" s="17"/>
      <c r="B34" s="17" t="str">
        <f t="shared" si="1"/>
        <v/>
      </c>
      <c r="C34" s="4" t="str">
        <f t="shared" si="2"/>
        <v/>
      </c>
      <c r="D34" s="23" t="str">
        <f>IF(A34="","",ROUND(SUMPRODUCT(('振込入金リスト一覧'!AB$2:AB$1020="Maserati広島")*('振込入金リスト一覧'!B$2:B$1020&lt;&gt;"車販")*('振込入金リスト一覧'!D$2:D$1020&gt;=A34)*('振込入金リスト一覧'!D$2:D$1020&lt;EDATE(A34,1))*IFERROR(VALUE('振込入金リスト一覧'!AQ$2:AQ$1020),0))*1.1,0))</f>
        <v/>
      </c>
      <c r="E34" s="23" t="str">
        <f t="shared" si="3"/>
        <v/>
      </c>
      <c r="F34" s="23" t="str">
        <f>IF(A34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34,'振込入金リスト一覧'!D:D,"&lt;"&amp;EDATE(A34,1)))</f>
        <v/>
      </c>
      <c r="G34" s="23" t="str">
        <f>IF(A34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34,'振込入金リスト一覧'!D:D,"&lt;"&amp;EDATE(A34,1)))</f>
        <v/>
      </c>
      <c r="H34" s="23" t="str">
        <f>IF(A34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34,'振込入金リスト一覧'!D:D,"&lt;"&amp;EDATE(A34,1)))</f>
        <v/>
      </c>
      <c r="I34" s="23" t="str">
        <f>IF(A34="","",SUMIFS('振込入金リスト一覧'!AH:AH,'振込入金リスト一覧'!B:B,"保険",'振込入金リスト一覧'!D:D,"&gt;="&amp;A34,'振込入金リスト一覧'!D:D,"&lt;"&amp;EDATE(A34,1))+SUMIFS('振込入金リスト一覧'!AH:AH,'振込入金リスト一覧'!B:B,"保険請求",'振込入金リスト一覧'!D:D,"&gt;="&amp;A34,'振込入金リスト一覧'!D:D,"&lt;"&amp;EDATE(A34,1)))</f>
        <v/>
      </c>
      <c r="J34" s="23" t="str">
        <f>IF(A34="","",SUMIFS('振込入金リスト一覧'!AH:AH,'振込入金リスト一覧'!B:B,"&lt;&gt;車販",'振込入金リスト一覧'!AB:AB,"Maserati広島",'振込入金リスト一覧'!D:D,"&gt;="&amp;A34,'振込入金リスト一覧'!D:D,"&lt;"&amp;EDATE(A34,1)))</f>
        <v/>
      </c>
      <c r="K34" s="68"/>
    </row>
    <row r="35" ht="15.75" customHeight="1">
      <c r="A35" s="17"/>
      <c r="B35" s="17" t="str">
        <f t="shared" si="1"/>
        <v/>
      </c>
      <c r="C35" s="4" t="str">
        <f t="shared" si="2"/>
        <v/>
      </c>
      <c r="D35" s="23" t="str">
        <f>IF(A35="","",ROUND(SUMPRODUCT(('振込入金リスト一覧'!AB$2:AB$1020="Maserati広島")*('振込入金リスト一覧'!B$2:B$1020&lt;&gt;"車販")*('振込入金リスト一覧'!D$2:D$1020&gt;=A35)*('振込入金リスト一覧'!D$2:D$1020&lt;EDATE(A35,1))*IFERROR(VALUE('振込入金リスト一覧'!AQ$2:AQ$1020),0))*1.1,0))</f>
        <v/>
      </c>
      <c r="E35" s="23" t="str">
        <f t="shared" si="3"/>
        <v/>
      </c>
      <c r="F35" s="23" t="str">
        <f>IF(A35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35,'振込入金リスト一覧'!D:D,"&lt;"&amp;EDATE(A35,1)))</f>
        <v/>
      </c>
      <c r="G35" s="23" t="str">
        <f>IF(A35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35,'振込入金リスト一覧'!D:D,"&lt;"&amp;EDATE(A35,1)))</f>
        <v/>
      </c>
      <c r="H35" s="23" t="str">
        <f>IF(A35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35,'振込入金リスト一覧'!D:D,"&lt;"&amp;EDATE(A35,1)))</f>
        <v/>
      </c>
      <c r="I35" s="23" t="str">
        <f>IF(A35="","",SUMIFS('振込入金リスト一覧'!AH:AH,'振込入金リスト一覧'!B:B,"保険",'振込入金リスト一覧'!D:D,"&gt;="&amp;A35,'振込入金リスト一覧'!D:D,"&lt;"&amp;EDATE(A35,1))+SUMIFS('振込入金リスト一覧'!AH:AH,'振込入金リスト一覧'!B:B,"保険請求",'振込入金リスト一覧'!D:D,"&gt;="&amp;A35,'振込入金リスト一覧'!D:D,"&lt;"&amp;EDATE(A35,1)))</f>
        <v/>
      </c>
      <c r="J35" s="23" t="str">
        <f>IF(A35="","",SUMIFS('振込入金リスト一覧'!AH:AH,'振込入金リスト一覧'!B:B,"&lt;&gt;車販",'振込入金リスト一覧'!AB:AB,"Maserati広島",'振込入金リスト一覧'!D:D,"&gt;="&amp;A35,'振込入金リスト一覧'!D:D,"&lt;"&amp;EDATE(A35,1)))</f>
        <v/>
      </c>
      <c r="K35" s="68"/>
    </row>
    <row r="36" ht="15.75" customHeight="1">
      <c r="A36" s="17"/>
      <c r="B36" s="17" t="str">
        <f t="shared" si="1"/>
        <v/>
      </c>
      <c r="C36" s="4" t="str">
        <f t="shared" si="2"/>
        <v/>
      </c>
      <c r="D36" s="23" t="str">
        <f>IF(A36="","",ROUND(SUMPRODUCT(('振込入金リスト一覧'!AB$2:AB$1020="Maserati広島")*('振込入金リスト一覧'!B$2:B$1020&lt;&gt;"車販")*('振込入金リスト一覧'!D$2:D$1020&gt;=A36)*('振込入金リスト一覧'!D$2:D$1020&lt;EDATE(A36,1))*IFERROR(VALUE('振込入金リスト一覧'!AQ$2:AQ$1020),0))*1.1,0))</f>
        <v/>
      </c>
      <c r="E36" s="23" t="str">
        <f t="shared" si="3"/>
        <v/>
      </c>
      <c r="F36" s="23" t="str">
        <f>IF(A36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36,'振込入金リスト一覧'!D:D,"&lt;"&amp;EDATE(A36,1)))</f>
        <v/>
      </c>
      <c r="G36" s="23" t="str">
        <f>IF(A36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36,'振込入金リスト一覧'!D:D,"&lt;"&amp;EDATE(A36,1)))</f>
        <v/>
      </c>
      <c r="H36" s="23" t="str">
        <f>IF(A36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36,'振込入金リスト一覧'!D:D,"&lt;"&amp;EDATE(A36,1)))</f>
        <v/>
      </c>
      <c r="I36" s="23" t="str">
        <f>IF(A36="","",SUMIFS('振込入金リスト一覧'!AH:AH,'振込入金リスト一覧'!B:B,"保険",'振込入金リスト一覧'!D:D,"&gt;="&amp;A36,'振込入金リスト一覧'!D:D,"&lt;"&amp;EDATE(A36,1))+SUMIFS('振込入金リスト一覧'!AH:AH,'振込入金リスト一覧'!B:B,"保険請求",'振込入金リスト一覧'!D:D,"&gt;="&amp;A36,'振込入金リスト一覧'!D:D,"&lt;"&amp;EDATE(A36,1)))</f>
        <v/>
      </c>
      <c r="J36" s="23" t="str">
        <f>IF(A36="","",SUMIFS('振込入金リスト一覧'!AH:AH,'振込入金リスト一覧'!B:B,"&lt;&gt;車販",'振込入金リスト一覧'!AB:AB,"Maserati広島",'振込入金リスト一覧'!D:D,"&gt;="&amp;A36,'振込入金リスト一覧'!D:D,"&lt;"&amp;EDATE(A36,1)))</f>
        <v/>
      </c>
      <c r="K36" s="68"/>
    </row>
    <row r="37" ht="15.75" customHeight="1">
      <c r="A37" s="17"/>
      <c r="B37" s="17" t="str">
        <f t="shared" si="1"/>
        <v/>
      </c>
      <c r="C37" s="4" t="str">
        <f t="shared" si="2"/>
        <v/>
      </c>
      <c r="D37" s="23" t="str">
        <f>IF(A37="","",ROUND(SUMPRODUCT(('振込入金リスト一覧'!AB$2:AB$1020="Maserati広島")*('振込入金リスト一覧'!B$2:B$1020&lt;&gt;"車販")*('振込入金リスト一覧'!D$2:D$1020&gt;=A37)*('振込入金リスト一覧'!D$2:D$1020&lt;EDATE(A37,1))*IFERROR(VALUE('振込入金リスト一覧'!AQ$2:AQ$1020),0))*1.1,0))</f>
        <v/>
      </c>
      <c r="E37" s="23" t="str">
        <f t="shared" si="3"/>
        <v/>
      </c>
      <c r="F37" s="23" t="str">
        <f>IF(A37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37,'振込入金リスト一覧'!D:D,"&lt;"&amp;EDATE(A37,1)))</f>
        <v/>
      </c>
      <c r="G37" s="23" t="str">
        <f>IF(A37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37,'振込入金リスト一覧'!D:D,"&lt;"&amp;EDATE(A37,1)))</f>
        <v/>
      </c>
      <c r="H37" s="23" t="str">
        <f>IF(A37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37,'振込入金リスト一覧'!D:D,"&lt;"&amp;EDATE(A37,1)))</f>
        <v/>
      </c>
      <c r="I37" s="23" t="str">
        <f>IF(A37="","",SUMIFS('振込入金リスト一覧'!AH:AH,'振込入金リスト一覧'!B:B,"保険",'振込入金リスト一覧'!D:D,"&gt;="&amp;A37,'振込入金リスト一覧'!D:D,"&lt;"&amp;EDATE(A37,1))+SUMIFS('振込入金リスト一覧'!AH:AH,'振込入金リスト一覧'!B:B,"保険請求",'振込入金リスト一覧'!D:D,"&gt;="&amp;A37,'振込入金リスト一覧'!D:D,"&lt;"&amp;EDATE(A37,1)))</f>
        <v/>
      </c>
      <c r="J37" s="23" t="str">
        <f>IF(A37="","",SUMIFS('振込入金リスト一覧'!AH:AH,'振込入金リスト一覧'!B:B,"&lt;&gt;車販",'振込入金リスト一覧'!AB:AB,"Maserati広島",'振込入金リスト一覧'!D:D,"&gt;="&amp;A37,'振込入金リスト一覧'!D:D,"&lt;"&amp;EDATE(A37,1)))</f>
        <v/>
      </c>
      <c r="K37" s="68"/>
    </row>
    <row r="38" ht="15.75" customHeight="1">
      <c r="A38" s="17"/>
      <c r="B38" s="17" t="str">
        <f t="shared" si="1"/>
        <v/>
      </c>
      <c r="C38" s="4" t="str">
        <f t="shared" si="2"/>
        <v/>
      </c>
      <c r="D38" s="23" t="str">
        <f>IF(A38="","",ROUND(SUMPRODUCT(('振込入金リスト一覧'!AB$2:AB$1020="Maserati広島")*('振込入金リスト一覧'!B$2:B$1020&lt;&gt;"車販")*('振込入金リスト一覧'!D$2:D$1020&gt;=A38)*('振込入金リスト一覧'!D$2:D$1020&lt;EDATE(A38,1))*IFERROR(VALUE('振込入金リスト一覧'!AQ$2:AQ$1020),0))*1.1,0))</f>
        <v/>
      </c>
      <c r="E38" s="23" t="str">
        <f t="shared" si="3"/>
        <v/>
      </c>
      <c r="F38" s="23" t="str">
        <f>IF(A38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38,'振込入金リスト一覧'!D:D,"&lt;"&amp;EDATE(A38,1)))</f>
        <v/>
      </c>
      <c r="G38" s="23" t="str">
        <f>IF(A38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38,'振込入金リスト一覧'!D:D,"&lt;"&amp;EDATE(A38,1)))</f>
        <v/>
      </c>
      <c r="H38" s="23" t="str">
        <f>IF(A38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38,'振込入金リスト一覧'!D:D,"&lt;"&amp;EDATE(A38,1)))</f>
        <v/>
      </c>
      <c r="I38" s="23" t="str">
        <f>IF(A38="","",SUMIFS('振込入金リスト一覧'!AH:AH,'振込入金リスト一覧'!B:B,"保険",'振込入金リスト一覧'!D:D,"&gt;="&amp;A38,'振込入金リスト一覧'!D:D,"&lt;"&amp;EDATE(A38,1))+SUMIFS('振込入金リスト一覧'!AH:AH,'振込入金リスト一覧'!B:B,"保険請求",'振込入金リスト一覧'!D:D,"&gt;="&amp;A38,'振込入金リスト一覧'!D:D,"&lt;"&amp;EDATE(A38,1)))</f>
        <v/>
      </c>
      <c r="J38" s="23" t="str">
        <f>IF(A38="","",SUMIFS('振込入金リスト一覧'!AH:AH,'振込入金リスト一覧'!B:B,"&lt;&gt;車販",'振込入金リスト一覧'!AB:AB,"Maserati広島",'振込入金リスト一覧'!D:D,"&gt;="&amp;A38,'振込入金リスト一覧'!D:D,"&lt;"&amp;EDATE(A38,1)))</f>
        <v/>
      </c>
      <c r="K38" s="68"/>
    </row>
    <row r="39" ht="15.75" customHeight="1">
      <c r="A39" s="17"/>
      <c r="B39" s="17" t="str">
        <f t="shared" si="1"/>
        <v/>
      </c>
      <c r="C39" s="4" t="str">
        <f t="shared" si="2"/>
        <v/>
      </c>
      <c r="D39" s="23" t="str">
        <f>IF(A39="","",ROUND(SUMPRODUCT(('振込入金リスト一覧'!AB$2:AB$1020="Maserati広島")*('振込入金リスト一覧'!B$2:B$1020&lt;&gt;"車販")*('振込入金リスト一覧'!D$2:D$1020&gt;=A39)*('振込入金リスト一覧'!D$2:D$1020&lt;EDATE(A39,1))*IFERROR(VALUE('振込入金リスト一覧'!AQ$2:AQ$1020),0))*1.1,0))</f>
        <v/>
      </c>
      <c r="E39" s="23" t="str">
        <f t="shared" si="3"/>
        <v/>
      </c>
      <c r="F39" s="23" t="str">
        <f>IF(A39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39,'振込入金リスト一覧'!D:D,"&lt;"&amp;EDATE(A39,1)))</f>
        <v/>
      </c>
      <c r="G39" s="23" t="str">
        <f>IF(A39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39,'振込入金リスト一覧'!D:D,"&lt;"&amp;EDATE(A39,1)))</f>
        <v/>
      </c>
      <c r="H39" s="23" t="str">
        <f>IF(A39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39,'振込入金リスト一覧'!D:D,"&lt;"&amp;EDATE(A39,1)))</f>
        <v/>
      </c>
      <c r="I39" s="23" t="str">
        <f>IF(A39="","",SUMIFS('振込入金リスト一覧'!AH:AH,'振込入金リスト一覧'!B:B,"保険",'振込入金リスト一覧'!D:D,"&gt;="&amp;A39,'振込入金リスト一覧'!D:D,"&lt;"&amp;EDATE(A39,1))+SUMIFS('振込入金リスト一覧'!AH:AH,'振込入金リスト一覧'!B:B,"保険請求",'振込入金リスト一覧'!D:D,"&gt;="&amp;A39,'振込入金リスト一覧'!D:D,"&lt;"&amp;EDATE(A39,1)))</f>
        <v/>
      </c>
      <c r="J39" s="23" t="str">
        <f>IF(A39="","",SUMIFS('振込入金リスト一覧'!AH:AH,'振込入金リスト一覧'!B:B,"&lt;&gt;車販",'振込入金リスト一覧'!AB:AB,"Maserati広島",'振込入金リスト一覧'!D:D,"&gt;="&amp;A39,'振込入金リスト一覧'!D:D,"&lt;"&amp;EDATE(A39,1)))</f>
        <v/>
      </c>
      <c r="K39" s="68"/>
    </row>
    <row r="40" ht="15.75" customHeight="1">
      <c r="A40" s="17"/>
      <c r="B40" s="17" t="str">
        <f t="shared" si="1"/>
        <v/>
      </c>
      <c r="C40" s="4" t="str">
        <f t="shared" si="2"/>
        <v/>
      </c>
      <c r="D40" s="23" t="str">
        <f>IF(A40="","",ROUND(SUMPRODUCT(('振込入金リスト一覧'!AB$2:AB$1020="Maserati広島")*('振込入金リスト一覧'!B$2:B$1020&lt;&gt;"車販")*('振込入金リスト一覧'!D$2:D$1020&gt;=A40)*('振込入金リスト一覧'!D$2:D$1020&lt;EDATE(A40,1))*IFERROR(VALUE('振込入金リスト一覧'!AQ$2:AQ$1020),0))*1.1,0))</f>
        <v/>
      </c>
      <c r="E40" s="23" t="str">
        <f t="shared" si="3"/>
        <v/>
      </c>
      <c r="F40" s="23" t="str">
        <f>IF(A40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40,'振込入金リスト一覧'!D:D,"&lt;"&amp;EDATE(A40,1)))</f>
        <v/>
      </c>
      <c r="G40" s="23" t="str">
        <f>IF(A40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40,'振込入金リスト一覧'!D:D,"&lt;"&amp;EDATE(A40,1)))</f>
        <v/>
      </c>
      <c r="H40" s="23" t="str">
        <f>IF(A40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40,'振込入金リスト一覧'!D:D,"&lt;"&amp;EDATE(A40,1)))</f>
        <v/>
      </c>
      <c r="I40" s="23" t="str">
        <f>IF(A40="","",SUMIFS('振込入金リスト一覧'!AH:AH,'振込入金リスト一覧'!B:B,"保険",'振込入金リスト一覧'!D:D,"&gt;="&amp;A40,'振込入金リスト一覧'!D:D,"&lt;"&amp;EDATE(A40,1))+SUMIFS('振込入金リスト一覧'!AH:AH,'振込入金リスト一覧'!B:B,"保険請求",'振込入金リスト一覧'!D:D,"&gt;="&amp;A40,'振込入金リスト一覧'!D:D,"&lt;"&amp;EDATE(A40,1)))</f>
        <v/>
      </c>
      <c r="J40" s="23" t="str">
        <f>IF(A40="","",SUMIFS('振込入金リスト一覧'!AH:AH,'振込入金リスト一覧'!B:B,"&lt;&gt;車販",'振込入金リスト一覧'!AB:AB,"Maserati広島",'振込入金リスト一覧'!D:D,"&gt;="&amp;A40,'振込入金リスト一覧'!D:D,"&lt;"&amp;EDATE(A40,1)))</f>
        <v/>
      </c>
      <c r="K40" s="68"/>
    </row>
    <row r="41" ht="15.75" customHeight="1">
      <c r="A41" s="17"/>
      <c r="B41" s="17" t="str">
        <f t="shared" si="1"/>
        <v/>
      </c>
      <c r="C41" s="4" t="str">
        <f t="shared" si="2"/>
        <v/>
      </c>
      <c r="D41" s="23" t="str">
        <f>IF(A41="","",ROUND(SUMPRODUCT(('振込入金リスト一覧'!AB$2:AB$1020="Maserati広島")*('振込入金リスト一覧'!B$2:B$1020&lt;&gt;"車販")*('振込入金リスト一覧'!D$2:D$1020&gt;=A41)*('振込入金リスト一覧'!D$2:D$1020&lt;EDATE(A41,1))*IFERROR(VALUE('振込入金リスト一覧'!AQ$2:AQ$1020),0))*1.1,0))</f>
        <v/>
      </c>
      <c r="E41" s="23" t="str">
        <f t="shared" si="3"/>
        <v/>
      </c>
      <c r="F41" s="23" t="str">
        <f>IF(A41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41,'振込入金リスト一覧'!D:D,"&lt;"&amp;EDATE(A41,1)))</f>
        <v/>
      </c>
      <c r="G41" s="23" t="str">
        <f>IF(A41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41,'振込入金リスト一覧'!D:D,"&lt;"&amp;EDATE(A41,1)))</f>
        <v/>
      </c>
      <c r="H41" s="23" t="str">
        <f>IF(A41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41,'振込入金リスト一覧'!D:D,"&lt;"&amp;EDATE(A41,1)))</f>
        <v/>
      </c>
      <c r="I41" s="23" t="str">
        <f>IF(A41="","",SUMIFS('振込入金リスト一覧'!AH:AH,'振込入金リスト一覧'!B:B,"保険",'振込入金リスト一覧'!D:D,"&gt;="&amp;A41,'振込入金リスト一覧'!D:D,"&lt;"&amp;EDATE(A41,1))+SUMIFS('振込入金リスト一覧'!AH:AH,'振込入金リスト一覧'!B:B,"保険請求",'振込入金リスト一覧'!D:D,"&gt;="&amp;A41,'振込入金リスト一覧'!D:D,"&lt;"&amp;EDATE(A41,1)))</f>
        <v/>
      </c>
      <c r="J41" s="23" t="str">
        <f>IF(A41="","",SUMIFS('振込入金リスト一覧'!AH:AH,'振込入金リスト一覧'!B:B,"&lt;&gt;車販",'振込入金リスト一覧'!AB:AB,"Maserati広島",'振込入金リスト一覧'!D:D,"&gt;="&amp;A41,'振込入金リスト一覧'!D:D,"&lt;"&amp;EDATE(A41,1)))</f>
        <v/>
      </c>
      <c r="K41" s="68"/>
    </row>
    <row r="42" ht="15.75" customHeight="1">
      <c r="A42" s="17"/>
      <c r="B42" s="17" t="str">
        <f t="shared" si="1"/>
        <v/>
      </c>
      <c r="C42" s="4" t="str">
        <f t="shared" si="2"/>
        <v/>
      </c>
      <c r="D42" s="23" t="str">
        <f>IF(A42="","",ROUND(SUMPRODUCT(('振込入金リスト一覧'!AB$2:AB$1020="Maserati広島")*('振込入金リスト一覧'!B$2:B$1020&lt;&gt;"車販")*('振込入金リスト一覧'!D$2:D$1020&gt;=A42)*('振込入金リスト一覧'!D$2:D$1020&lt;EDATE(A42,1))*IFERROR(VALUE('振込入金リスト一覧'!AQ$2:AQ$1020),0))*1.1,0))</f>
        <v/>
      </c>
      <c r="E42" s="23" t="str">
        <f t="shared" si="3"/>
        <v/>
      </c>
      <c r="F42" s="23" t="str">
        <f>IF(A42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42,'振込入金リスト一覧'!D:D,"&lt;"&amp;EDATE(A42,1)))</f>
        <v/>
      </c>
      <c r="G42" s="23" t="str">
        <f>IF(A42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42,'振込入金リスト一覧'!D:D,"&lt;"&amp;EDATE(A42,1)))</f>
        <v/>
      </c>
      <c r="H42" s="23" t="str">
        <f>IF(A42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42,'振込入金リスト一覧'!D:D,"&lt;"&amp;EDATE(A42,1)))</f>
        <v/>
      </c>
      <c r="I42" s="23" t="str">
        <f>IF(A42="","",SUMIFS('振込入金リスト一覧'!AH:AH,'振込入金リスト一覧'!B:B,"保険",'振込入金リスト一覧'!D:D,"&gt;="&amp;A42,'振込入金リスト一覧'!D:D,"&lt;"&amp;EDATE(A42,1))+SUMIFS('振込入金リスト一覧'!AH:AH,'振込入金リスト一覧'!B:B,"保険請求",'振込入金リスト一覧'!D:D,"&gt;="&amp;A42,'振込入金リスト一覧'!D:D,"&lt;"&amp;EDATE(A42,1)))</f>
        <v/>
      </c>
      <c r="J42" s="23" t="str">
        <f>IF(A42="","",SUMIFS('振込入金リスト一覧'!AH:AH,'振込入金リスト一覧'!B:B,"&lt;&gt;車販",'振込入金リスト一覧'!AB:AB,"Maserati広島",'振込入金リスト一覧'!D:D,"&gt;="&amp;A42,'振込入金リスト一覧'!D:D,"&lt;"&amp;EDATE(A42,1)))</f>
        <v/>
      </c>
      <c r="K42" s="68"/>
    </row>
    <row r="43" ht="15.75" customHeight="1">
      <c r="A43" s="17"/>
      <c r="B43" s="17" t="str">
        <f t="shared" si="1"/>
        <v/>
      </c>
      <c r="C43" s="4" t="str">
        <f t="shared" si="2"/>
        <v/>
      </c>
      <c r="D43" s="23" t="str">
        <f>IF(A43="","",ROUND(SUMPRODUCT(('振込入金リスト一覧'!AB$2:AB$1020="Maserati広島")*('振込入金リスト一覧'!B$2:B$1020&lt;&gt;"車販")*('振込入金リスト一覧'!D$2:D$1020&gt;=A43)*('振込入金リスト一覧'!D$2:D$1020&lt;EDATE(A43,1))*IFERROR(VALUE('振込入金リスト一覧'!AQ$2:AQ$1020),0))*1.1,0))</f>
        <v/>
      </c>
      <c r="E43" s="23" t="str">
        <f t="shared" si="3"/>
        <v/>
      </c>
      <c r="F43" s="23" t="str">
        <f>IF(A43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43,'振込入金リスト一覧'!D:D,"&lt;"&amp;EDATE(A43,1)))</f>
        <v/>
      </c>
      <c r="G43" s="23" t="str">
        <f>IF(A43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43,'振込入金リスト一覧'!D:D,"&lt;"&amp;EDATE(A43,1)))</f>
        <v/>
      </c>
      <c r="H43" s="23" t="str">
        <f>IF(A43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43,'振込入金リスト一覧'!D:D,"&lt;"&amp;EDATE(A43,1)))</f>
        <v/>
      </c>
      <c r="I43" s="23" t="str">
        <f>IF(A43="","",SUMIFS('振込入金リスト一覧'!AH:AH,'振込入金リスト一覧'!B:B,"保険",'振込入金リスト一覧'!D:D,"&gt;="&amp;A43,'振込入金リスト一覧'!D:D,"&lt;"&amp;EDATE(A43,1))+SUMIFS('振込入金リスト一覧'!AH:AH,'振込入金リスト一覧'!B:B,"保険請求",'振込入金リスト一覧'!D:D,"&gt;="&amp;A43,'振込入金リスト一覧'!D:D,"&lt;"&amp;EDATE(A43,1)))</f>
        <v/>
      </c>
      <c r="J43" s="23" t="str">
        <f>IF(A43="","",SUMIFS('振込入金リスト一覧'!AH:AH,'振込入金リスト一覧'!B:B,"&lt;&gt;車販",'振込入金リスト一覧'!AB:AB,"Maserati広島",'振込入金リスト一覧'!D:D,"&gt;="&amp;A43,'振込入金リスト一覧'!D:D,"&lt;"&amp;EDATE(A43,1)))</f>
        <v/>
      </c>
      <c r="K43" s="68"/>
    </row>
    <row r="44" ht="15.75" customHeight="1">
      <c r="A44" s="17"/>
      <c r="B44" s="17" t="str">
        <f t="shared" si="1"/>
        <v/>
      </c>
      <c r="C44" s="4" t="str">
        <f t="shared" si="2"/>
        <v/>
      </c>
      <c r="D44" s="23" t="str">
        <f>IF(A44="","",ROUND(SUMPRODUCT(('振込入金リスト一覧'!AB$2:AB$1020="Maserati広島")*('振込入金リスト一覧'!B$2:B$1020&lt;&gt;"車販")*('振込入金リスト一覧'!D$2:D$1020&gt;=A44)*('振込入金リスト一覧'!D$2:D$1020&lt;EDATE(A44,1))*IFERROR(VALUE('振込入金リスト一覧'!AQ$2:AQ$1020),0))*1.1,0))</f>
        <v/>
      </c>
      <c r="E44" s="23" t="str">
        <f t="shared" si="3"/>
        <v/>
      </c>
      <c r="F44" s="23" t="str">
        <f>IF(A44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44,'振込入金リスト一覧'!D:D,"&lt;"&amp;EDATE(A44,1)))</f>
        <v/>
      </c>
      <c r="G44" s="23" t="str">
        <f>IF(A44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44,'振込入金リスト一覧'!D:D,"&lt;"&amp;EDATE(A44,1)))</f>
        <v/>
      </c>
      <c r="H44" s="23" t="str">
        <f>IF(A44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44,'振込入金リスト一覧'!D:D,"&lt;"&amp;EDATE(A44,1)))</f>
        <v/>
      </c>
      <c r="I44" s="23" t="str">
        <f>IF(A44="","",SUMIFS('振込入金リスト一覧'!AH:AH,'振込入金リスト一覧'!B:B,"保険",'振込入金リスト一覧'!D:D,"&gt;="&amp;A44,'振込入金リスト一覧'!D:D,"&lt;"&amp;EDATE(A44,1))+SUMIFS('振込入金リスト一覧'!AH:AH,'振込入金リスト一覧'!B:B,"保険請求",'振込入金リスト一覧'!D:D,"&gt;="&amp;A44,'振込入金リスト一覧'!D:D,"&lt;"&amp;EDATE(A44,1)))</f>
        <v/>
      </c>
      <c r="J44" s="23" t="str">
        <f>IF(A44="","",SUMIFS('振込入金リスト一覧'!AH:AH,'振込入金リスト一覧'!B:B,"&lt;&gt;車販",'振込入金リスト一覧'!AB:AB,"Maserati広島",'振込入金リスト一覧'!D:D,"&gt;="&amp;A44,'振込入金リスト一覧'!D:D,"&lt;"&amp;EDATE(A44,1)))</f>
        <v/>
      </c>
      <c r="K44" s="68"/>
    </row>
    <row r="45" ht="15.75" customHeight="1">
      <c r="A45" s="17"/>
      <c r="B45" s="17" t="str">
        <f t="shared" si="1"/>
        <v/>
      </c>
      <c r="C45" s="4" t="str">
        <f t="shared" si="2"/>
        <v/>
      </c>
      <c r="D45" s="23" t="str">
        <f>IF(A45="","",ROUND(SUMPRODUCT(('振込入金リスト一覧'!AB$2:AB$1020="Maserati広島")*('振込入金リスト一覧'!B$2:B$1020&lt;&gt;"車販")*('振込入金リスト一覧'!D$2:D$1020&gt;=A45)*('振込入金リスト一覧'!D$2:D$1020&lt;EDATE(A45,1))*IFERROR(VALUE('振込入金リスト一覧'!AQ$2:AQ$1020),0))*1.1,0))</f>
        <v/>
      </c>
      <c r="E45" s="23" t="str">
        <f t="shared" si="3"/>
        <v/>
      </c>
      <c r="F45" s="23" t="str">
        <f>IF(A45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45,'振込入金リスト一覧'!D:D,"&lt;"&amp;EDATE(A45,1)))</f>
        <v/>
      </c>
      <c r="G45" s="23" t="str">
        <f>IF(A45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45,'振込入金リスト一覧'!D:D,"&lt;"&amp;EDATE(A45,1)))</f>
        <v/>
      </c>
      <c r="H45" s="23" t="str">
        <f>IF(A45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45,'振込入金リスト一覧'!D:D,"&lt;"&amp;EDATE(A45,1)))</f>
        <v/>
      </c>
      <c r="I45" s="23" t="str">
        <f>IF(A45="","",SUMIFS('振込入金リスト一覧'!AH:AH,'振込入金リスト一覧'!B:B,"保険",'振込入金リスト一覧'!D:D,"&gt;="&amp;A45,'振込入金リスト一覧'!D:D,"&lt;"&amp;EDATE(A45,1))+SUMIFS('振込入金リスト一覧'!AH:AH,'振込入金リスト一覧'!B:B,"保険請求",'振込入金リスト一覧'!D:D,"&gt;="&amp;A45,'振込入金リスト一覧'!D:D,"&lt;"&amp;EDATE(A45,1)))</f>
        <v/>
      </c>
      <c r="J45" s="23" t="str">
        <f>IF(A45="","",SUMIFS('振込入金リスト一覧'!AH:AH,'振込入金リスト一覧'!B:B,"&lt;&gt;車販",'振込入金リスト一覧'!AB:AB,"Maserati広島",'振込入金リスト一覧'!D:D,"&gt;="&amp;A45,'振込入金リスト一覧'!D:D,"&lt;"&amp;EDATE(A45,1)))</f>
        <v/>
      </c>
      <c r="K45" s="68"/>
    </row>
    <row r="46" ht="15.75" customHeight="1">
      <c r="A46" s="17"/>
      <c r="B46" s="17" t="str">
        <f t="shared" si="1"/>
        <v/>
      </c>
      <c r="C46" s="4" t="str">
        <f t="shared" si="2"/>
        <v/>
      </c>
      <c r="D46" s="23" t="str">
        <f>IF(A46="","",ROUND(SUMPRODUCT(('振込入金リスト一覧'!AB$2:AB$1020="Maserati広島")*('振込入金リスト一覧'!B$2:B$1020&lt;&gt;"車販")*('振込入金リスト一覧'!D$2:D$1020&gt;=A46)*('振込入金リスト一覧'!D$2:D$1020&lt;EDATE(A46,1))*IFERROR(VALUE('振込入金リスト一覧'!AQ$2:AQ$1020),0))*1.1,0))</f>
        <v/>
      </c>
      <c r="E46" s="23" t="str">
        <f t="shared" si="3"/>
        <v/>
      </c>
      <c r="F46" s="23" t="str">
        <f>IF(A46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46,'振込入金リスト一覧'!D:D,"&lt;"&amp;EDATE(A46,1)))</f>
        <v/>
      </c>
      <c r="G46" s="23" t="str">
        <f>IF(A46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46,'振込入金リスト一覧'!D:D,"&lt;"&amp;EDATE(A46,1)))</f>
        <v/>
      </c>
      <c r="H46" s="23" t="str">
        <f>IF(A46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46,'振込入金リスト一覧'!D:D,"&lt;"&amp;EDATE(A46,1)))</f>
        <v/>
      </c>
      <c r="I46" s="23" t="str">
        <f>IF(A46="","",SUMIFS('振込入金リスト一覧'!AH:AH,'振込入金リスト一覧'!B:B,"保険",'振込入金リスト一覧'!D:D,"&gt;="&amp;A46,'振込入金リスト一覧'!D:D,"&lt;"&amp;EDATE(A46,1))+SUMIFS('振込入金リスト一覧'!AH:AH,'振込入金リスト一覧'!B:B,"保険請求",'振込入金リスト一覧'!D:D,"&gt;="&amp;A46,'振込入金リスト一覧'!D:D,"&lt;"&amp;EDATE(A46,1)))</f>
        <v/>
      </c>
      <c r="J46" s="23" t="str">
        <f>IF(A46="","",SUMIFS('振込入金リスト一覧'!AH:AH,'振込入金リスト一覧'!B:B,"&lt;&gt;車販",'振込入金リスト一覧'!AB:AB,"Maserati広島",'振込入金リスト一覧'!D:D,"&gt;="&amp;A46,'振込入金リスト一覧'!D:D,"&lt;"&amp;EDATE(A46,1)))</f>
        <v/>
      </c>
      <c r="K46" s="68"/>
    </row>
    <row r="47" ht="15.75" customHeight="1">
      <c r="A47" s="17"/>
      <c r="B47" s="17" t="str">
        <f t="shared" si="1"/>
        <v/>
      </c>
      <c r="C47" s="4" t="str">
        <f t="shared" si="2"/>
        <v/>
      </c>
      <c r="D47" s="23" t="str">
        <f>IF(A47="","",ROUND(SUMPRODUCT(('振込入金リスト一覧'!AB$2:AB$1020="Maserati広島")*('振込入金リスト一覧'!B$2:B$1020&lt;&gt;"車販")*('振込入金リスト一覧'!D$2:D$1020&gt;=A47)*('振込入金リスト一覧'!D$2:D$1020&lt;EDATE(A47,1))*IFERROR(VALUE('振込入金リスト一覧'!AQ$2:AQ$1020),0))*1.1,0))</f>
        <v/>
      </c>
      <c r="E47" s="23" t="str">
        <f t="shared" si="3"/>
        <v/>
      </c>
      <c r="F47" s="23" t="str">
        <f>IF(A47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47,'振込入金リスト一覧'!D:D,"&lt;"&amp;EDATE(A47,1)))</f>
        <v/>
      </c>
      <c r="G47" s="23" t="str">
        <f>IF(A47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47,'振込入金リスト一覧'!D:D,"&lt;"&amp;EDATE(A47,1)))</f>
        <v/>
      </c>
      <c r="H47" s="23" t="str">
        <f>IF(A47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47,'振込入金リスト一覧'!D:D,"&lt;"&amp;EDATE(A47,1)))</f>
        <v/>
      </c>
      <c r="I47" s="23" t="str">
        <f>IF(A47="","",SUMIFS('振込入金リスト一覧'!AH:AH,'振込入金リスト一覧'!B:B,"保険",'振込入金リスト一覧'!D:D,"&gt;="&amp;A47,'振込入金リスト一覧'!D:D,"&lt;"&amp;EDATE(A47,1))+SUMIFS('振込入金リスト一覧'!AH:AH,'振込入金リスト一覧'!B:B,"保険請求",'振込入金リスト一覧'!D:D,"&gt;="&amp;A47,'振込入金リスト一覧'!D:D,"&lt;"&amp;EDATE(A47,1)))</f>
        <v/>
      </c>
      <c r="J47" s="23" t="str">
        <f>IF(A47="","",SUMIFS('振込入金リスト一覧'!AH:AH,'振込入金リスト一覧'!B:B,"&lt;&gt;車販",'振込入金リスト一覧'!AB:AB,"Maserati広島",'振込入金リスト一覧'!D:D,"&gt;="&amp;A47,'振込入金リスト一覧'!D:D,"&lt;"&amp;EDATE(A47,1)))</f>
        <v/>
      </c>
      <c r="K47" s="68"/>
    </row>
    <row r="48" ht="15.75" customHeight="1">
      <c r="A48" s="17"/>
      <c r="B48" s="17" t="str">
        <f t="shared" si="1"/>
        <v/>
      </c>
      <c r="C48" s="4" t="str">
        <f t="shared" si="2"/>
        <v/>
      </c>
      <c r="D48" s="23" t="str">
        <f>IF(A48="","",ROUND(SUMPRODUCT(('振込入金リスト一覧'!AB$2:AB$1020="Maserati広島")*('振込入金リスト一覧'!B$2:B$1020&lt;&gt;"車販")*('振込入金リスト一覧'!D$2:D$1020&gt;=A48)*('振込入金リスト一覧'!D$2:D$1020&lt;EDATE(A48,1))*IFERROR(VALUE('振込入金リスト一覧'!AQ$2:AQ$1020),0))*1.1,0))</f>
        <v/>
      </c>
      <c r="E48" s="23" t="str">
        <f t="shared" si="3"/>
        <v/>
      </c>
      <c r="F48" s="23" t="str">
        <f>IF(A48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48,'振込入金リスト一覧'!D:D,"&lt;"&amp;EDATE(A48,1)))</f>
        <v/>
      </c>
      <c r="G48" s="23" t="str">
        <f>IF(A48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48,'振込入金リスト一覧'!D:D,"&lt;"&amp;EDATE(A48,1)))</f>
        <v/>
      </c>
      <c r="H48" s="23" t="str">
        <f>IF(A48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48,'振込入金リスト一覧'!D:D,"&lt;"&amp;EDATE(A48,1)))</f>
        <v/>
      </c>
      <c r="I48" s="23" t="str">
        <f>IF(A48="","",SUMIFS('振込入金リスト一覧'!AH:AH,'振込入金リスト一覧'!B:B,"保険",'振込入金リスト一覧'!D:D,"&gt;="&amp;A48,'振込入金リスト一覧'!D:D,"&lt;"&amp;EDATE(A48,1))+SUMIFS('振込入金リスト一覧'!AH:AH,'振込入金リスト一覧'!B:B,"保険請求",'振込入金リスト一覧'!D:D,"&gt;="&amp;A48,'振込入金リスト一覧'!D:D,"&lt;"&amp;EDATE(A48,1)))</f>
        <v/>
      </c>
      <c r="J48" s="23" t="str">
        <f>IF(A48="","",SUMIFS('振込入金リスト一覧'!AH:AH,'振込入金リスト一覧'!B:B,"&lt;&gt;車販",'振込入金リスト一覧'!AB:AB,"Maserati広島",'振込入金リスト一覧'!D:D,"&gt;="&amp;A48,'振込入金リスト一覧'!D:D,"&lt;"&amp;EDATE(A48,1)))</f>
        <v/>
      </c>
      <c r="K48" s="68"/>
    </row>
    <row r="49" ht="15.75" customHeight="1">
      <c r="A49" s="17"/>
      <c r="B49" s="17" t="str">
        <f t="shared" si="1"/>
        <v/>
      </c>
      <c r="C49" s="4" t="str">
        <f t="shared" si="2"/>
        <v/>
      </c>
      <c r="D49" s="23" t="str">
        <f>IF(A49="","",ROUND(SUMPRODUCT(('振込入金リスト一覧'!AB$2:AB$1020="Maserati広島")*('振込入金リスト一覧'!B$2:B$1020&lt;&gt;"車販")*('振込入金リスト一覧'!D$2:D$1020&gt;=A49)*('振込入金リスト一覧'!D$2:D$1020&lt;EDATE(A49,1))*IFERROR(VALUE('振込入金リスト一覧'!AQ$2:AQ$1020),0))*1.1,0))</f>
        <v/>
      </c>
      <c r="E49" s="23" t="str">
        <f t="shared" si="3"/>
        <v/>
      </c>
      <c r="F49" s="23" t="str">
        <f>IF(A49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49,'振込入金リスト一覧'!D:D,"&lt;"&amp;EDATE(A49,1)))</f>
        <v/>
      </c>
      <c r="G49" s="23" t="str">
        <f>IF(A49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49,'振込入金リスト一覧'!D:D,"&lt;"&amp;EDATE(A49,1)))</f>
        <v/>
      </c>
      <c r="H49" s="23" t="str">
        <f>IF(A49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49,'振込入金リスト一覧'!D:D,"&lt;"&amp;EDATE(A49,1)))</f>
        <v/>
      </c>
      <c r="I49" s="23" t="str">
        <f>IF(A49="","",SUMIFS('振込入金リスト一覧'!AH:AH,'振込入金リスト一覧'!B:B,"保険",'振込入金リスト一覧'!D:D,"&gt;="&amp;A49,'振込入金リスト一覧'!D:D,"&lt;"&amp;EDATE(A49,1))+SUMIFS('振込入金リスト一覧'!AH:AH,'振込入金リスト一覧'!B:B,"保険請求",'振込入金リスト一覧'!D:D,"&gt;="&amp;A49,'振込入金リスト一覧'!D:D,"&lt;"&amp;EDATE(A49,1)))</f>
        <v/>
      </c>
      <c r="J49" s="23" t="str">
        <f>IF(A49="","",SUMIFS('振込入金リスト一覧'!AH:AH,'振込入金リスト一覧'!B:B,"&lt;&gt;車販",'振込入金リスト一覧'!AB:AB,"Maserati広島",'振込入金リスト一覧'!D:D,"&gt;="&amp;A49,'振込入金リスト一覧'!D:D,"&lt;"&amp;EDATE(A49,1)))</f>
        <v/>
      </c>
      <c r="K49" s="68"/>
    </row>
    <row r="50" ht="15.75" customHeight="1">
      <c r="A50" s="17"/>
      <c r="B50" s="17" t="str">
        <f t="shared" si="1"/>
        <v/>
      </c>
      <c r="C50" s="4" t="str">
        <f t="shared" si="2"/>
        <v/>
      </c>
      <c r="D50" s="23" t="str">
        <f>IF(A50="","",ROUND(SUMPRODUCT(('振込入金リスト一覧'!AB$2:AB$1020="Maserati広島")*('振込入金リスト一覧'!B$2:B$1020&lt;&gt;"車販")*('振込入金リスト一覧'!D$2:D$1020&gt;=A50)*('振込入金リスト一覧'!D$2:D$1020&lt;EDATE(A50,1))*IFERROR(VALUE('振込入金リスト一覧'!AQ$2:AQ$1020),0))*1.1,0))</f>
        <v/>
      </c>
      <c r="E50" s="23" t="str">
        <f t="shared" si="3"/>
        <v/>
      </c>
      <c r="F50" s="23" t="str">
        <f>IF(A50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50,'振込入金リスト一覧'!D:D,"&lt;"&amp;EDATE(A50,1)))</f>
        <v/>
      </c>
      <c r="G50" s="23" t="str">
        <f>IF(A50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50,'振込入金リスト一覧'!D:D,"&lt;"&amp;EDATE(A50,1)))</f>
        <v/>
      </c>
      <c r="H50" s="23" t="str">
        <f>IF(A50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50,'振込入金リスト一覧'!D:D,"&lt;"&amp;EDATE(A50,1)))</f>
        <v/>
      </c>
      <c r="I50" s="23" t="str">
        <f>IF(A50="","",SUMIFS('振込入金リスト一覧'!AH:AH,'振込入金リスト一覧'!B:B,"保険",'振込入金リスト一覧'!D:D,"&gt;="&amp;A50,'振込入金リスト一覧'!D:D,"&lt;"&amp;EDATE(A50,1))+SUMIFS('振込入金リスト一覧'!AH:AH,'振込入金リスト一覧'!B:B,"保険請求",'振込入金リスト一覧'!D:D,"&gt;="&amp;A50,'振込入金リスト一覧'!D:D,"&lt;"&amp;EDATE(A50,1)))</f>
        <v/>
      </c>
      <c r="J50" s="23" t="str">
        <f>IF(A50="","",SUMIFS('振込入金リスト一覧'!AH:AH,'振込入金リスト一覧'!B:B,"&lt;&gt;車販",'振込入金リスト一覧'!AB:AB,"Maserati広島",'振込入金リスト一覧'!D:D,"&gt;="&amp;A50,'振込入金リスト一覧'!D:D,"&lt;"&amp;EDATE(A50,1)))</f>
        <v/>
      </c>
      <c r="K50" s="68"/>
    </row>
    <row r="51" ht="15.75" customHeight="1">
      <c r="A51" s="17"/>
      <c r="B51" s="17" t="str">
        <f t="shared" si="1"/>
        <v/>
      </c>
      <c r="C51" s="4" t="str">
        <f t="shared" si="2"/>
        <v/>
      </c>
      <c r="D51" s="23" t="str">
        <f>IF(A51="","",ROUND(SUMPRODUCT(('振込入金リスト一覧'!AB$2:AB$1020="Maserati広島")*('振込入金リスト一覧'!B$2:B$1020&lt;&gt;"車販")*('振込入金リスト一覧'!D$2:D$1020&gt;=A51)*('振込入金リスト一覧'!D$2:D$1020&lt;EDATE(A51,1))*IFERROR(VALUE('振込入金リスト一覧'!AQ$2:AQ$1020),0))*1.1,0))</f>
        <v/>
      </c>
      <c r="E51" s="23" t="str">
        <f t="shared" si="3"/>
        <v/>
      </c>
      <c r="F51" s="23" t="str">
        <f>IF(A51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51,'振込入金リスト一覧'!D:D,"&lt;"&amp;EDATE(A51,1)))</f>
        <v/>
      </c>
      <c r="G51" s="23" t="str">
        <f>IF(A51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51,'振込入金リスト一覧'!D:D,"&lt;"&amp;EDATE(A51,1)))</f>
        <v/>
      </c>
      <c r="H51" s="23" t="str">
        <f>IF(A51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51,'振込入金リスト一覧'!D:D,"&lt;"&amp;EDATE(A51,1)))</f>
        <v/>
      </c>
      <c r="I51" s="23" t="str">
        <f>IF(A51="","",SUMIFS('振込入金リスト一覧'!AH:AH,'振込入金リスト一覧'!B:B,"保険",'振込入金リスト一覧'!D:D,"&gt;="&amp;A51,'振込入金リスト一覧'!D:D,"&lt;"&amp;EDATE(A51,1))+SUMIFS('振込入金リスト一覧'!AH:AH,'振込入金リスト一覧'!B:B,"保険請求",'振込入金リスト一覧'!D:D,"&gt;="&amp;A51,'振込入金リスト一覧'!D:D,"&lt;"&amp;EDATE(A51,1)))</f>
        <v/>
      </c>
      <c r="J51" s="23" t="str">
        <f>IF(A51="","",SUMIFS('振込入金リスト一覧'!AH:AH,'振込入金リスト一覧'!B:B,"&lt;&gt;車販",'振込入金リスト一覧'!AB:AB,"Maserati広島",'振込入金リスト一覧'!D:D,"&gt;="&amp;A51,'振込入金リスト一覧'!D:D,"&lt;"&amp;EDATE(A51,1)))</f>
        <v/>
      </c>
      <c r="K51" s="68"/>
    </row>
    <row r="52" ht="15.75" customHeight="1">
      <c r="A52" s="17"/>
      <c r="B52" s="17" t="str">
        <f t="shared" si="1"/>
        <v/>
      </c>
      <c r="C52" s="4" t="str">
        <f t="shared" si="2"/>
        <v/>
      </c>
      <c r="D52" s="23" t="str">
        <f>IF(A52="","",ROUND(SUMPRODUCT(('振込入金リスト一覧'!AB$2:AB$1020="Maserati広島")*('振込入金リスト一覧'!B$2:B$1020&lt;&gt;"車販")*('振込入金リスト一覧'!D$2:D$1020&gt;=A52)*('振込入金リスト一覧'!D$2:D$1020&lt;EDATE(A52,1))*IFERROR(VALUE('振込入金リスト一覧'!AQ$2:AQ$1020),0))*1.1,0))</f>
        <v/>
      </c>
      <c r="E52" s="23" t="str">
        <f t="shared" si="3"/>
        <v/>
      </c>
      <c r="F52" s="23" t="str">
        <f>IF(A52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52,'振込入金リスト一覧'!D:D,"&lt;"&amp;EDATE(A52,1)))</f>
        <v/>
      </c>
      <c r="G52" s="23" t="str">
        <f>IF(A52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52,'振込入金リスト一覧'!D:D,"&lt;"&amp;EDATE(A52,1)))</f>
        <v/>
      </c>
      <c r="H52" s="23" t="str">
        <f>IF(A52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52,'振込入金リスト一覧'!D:D,"&lt;"&amp;EDATE(A52,1)))</f>
        <v/>
      </c>
      <c r="I52" s="23" t="str">
        <f>IF(A52="","",SUMIFS('振込入金リスト一覧'!AH:AH,'振込入金リスト一覧'!B:B,"保険",'振込入金リスト一覧'!D:D,"&gt;="&amp;A52,'振込入金リスト一覧'!D:D,"&lt;"&amp;EDATE(A52,1))+SUMIFS('振込入金リスト一覧'!AH:AH,'振込入金リスト一覧'!B:B,"保険請求",'振込入金リスト一覧'!D:D,"&gt;="&amp;A52,'振込入金リスト一覧'!D:D,"&lt;"&amp;EDATE(A52,1)))</f>
        <v/>
      </c>
      <c r="J52" s="23" t="str">
        <f>IF(A52="","",SUMIFS('振込入金リスト一覧'!AH:AH,'振込入金リスト一覧'!B:B,"&lt;&gt;車販",'振込入金リスト一覧'!AB:AB,"Maserati広島",'振込入金リスト一覧'!D:D,"&gt;="&amp;A52,'振込入金リスト一覧'!D:D,"&lt;"&amp;EDATE(A52,1)))</f>
        <v/>
      </c>
      <c r="K52" s="68"/>
    </row>
    <row r="53" ht="15.75" customHeight="1">
      <c r="A53" s="17"/>
      <c r="B53" s="17" t="str">
        <f t="shared" si="1"/>
        <v/>
      </c>
      <c r="C53" s="4" t="str">
        <f t="shared" si="2"/>
        <v/>
      </c>
      <c r="D53" s="23" t="str">
        <f>IF(A53="","",ROUND(SUMPRODUCT(('振込入金リスト一覧'!AB$2:AB$1020="Maserati広島")*('振込入金リスト一覧'!B$2:B$1020&lt;&gt;"車販")*('振込入金リスト一覧'!D$2:D$1020&gt;=A53)*('振込入金リスト一覧'!D$2:D$1020&lt;EDATE(A53,1))*IFERROR(VALUE('振込入金リスト一覧'!AQ$2:AQ$1020),0))*1.1,0))</f>
        <v/>
      </c>
      <c r="E53" s="23" t="str">
        <f t="shared" si="3"/>
        <v/>
      </c>
      <c r="F53" s="23" t="str">
        <f>IF(A53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53,'振込入金リスト一覧'!D:D,"&lt;"&amp;EDATE(A53,1)))</f>
        <v/>
      </c>
      <c r="G53" s="23" t="str">
        <f>IF(A53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53,'振込入金リスト一覧'!D:D,"&lt;"&amp;EDATE(A53,1)))</f>
        <v/>
      </c>
      <c r="H53" s="23" t="str">
        <f>IF(A53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53,'振込入金リスト一覧'!D:D,"&lt;"&amp;EDATE(A53,1)))</f>
        <v/>
      </c>
      <c r="I53" s="23" t="str">
        <f>IF(A53="","",SUMIFS('振込入金リスト一覧'!AH:AH,'振込入金リスト一覧'!B:B,"保険",'振込入金リスト一覧'!D:D,"&gt;="&amp;A53,'振込入金リスト一覧'!D:D,"&lt;"&amp;EDATE(A53,1))+SUMIFS('振込入金リスト一覧'!AH:AH,'振込入金リスト一覧'!B:B,"保険請求",'振込入金リスト一覧'!D:D,"&gt;="&amp;A53,'振込入金リスト一覧'!D:D,"&lt;"&amp;EDATE(A53,1)))</f>
        <v/>
      </c>
      <c r="J53" s="23" t="str">
        <f>IF(A53="","",SUMIFS('振込入金リスト一覧'!AH:AH,'振込入金リスト一覧'!B:B,"&lt;&gt;車販",'振込入金リスト一覧'!AB:AB,"Maserati広島",'振込入金リスト一覧'!D:D,"&gt;="&amp;A53,'振込入金リスト一覧'!D:D,"&lt;"&amp;EDATE(A53,1)))</f>
        <v/>
      </c>
      <c r="K53" s="68"/>
    </row>
    <row r="54" ht="15.75" customHeight="1">
      <c r="A54" s="17"/>
      <c r="B54" s="17" t="str">
        <f t="shared" si="1"/>
        <v/>
      </c>
      <c r="C54" s="4" t="str">
        <f t="shared" si="2"/>
        <v/>
      </c>
      <c r="D54" s="23" t="str">
        <f>IF(A54="","",ROUND(SUMPRODUCT(('振込入金リスト一覧'!AB$2:AB$1020="Maserati広島")*('振込入金リスト一覧'!B$2:B$1020&lt;&gt;"車販")*('振込入金リスト一覧'!D$2:D$1020&gt;=A54)*('振込入金リスト一覧'!D$2:D$1020&lt;EDATE(A54,1))*IFERROR(VALUE('振込入金リスト一覧'!AQ$2:AQ$1020),0))*1.1,0))</f>
        <v/>
      </c>
      <c r="E54" s="23" t="str">
        <f t="shared" si="3"/>
        <v/>
      </c>
      <c r="F54" s="23" t="str">
        <f>IF(A54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54,'振込入金リスト一覧'!D:D,"&lt;"&amp;EDATE(A54,1)))</f>
        <v/>
      </c>
      <c r="G54" s="23" t="str">
        <f>IF(A54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54,'振込入金リスト一覧'!D:D,"&lt;"&amp;EDATE(A54,1)))</f>
        <v/>
      </c>
      <c r="H54" s="23" t="str">
        <f>IF(A54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54,'振込入金リスト一覧'!D:D,"&lt;"&amp;EDATE(A54,1)))</f>
        <v/>
      </c>
      <c r="I54" s="23" t="str">
        <f>IF(A54="","",SUMIFS('振込入金リスト一覧'!AH:AH,'振込入金リスト一覧'!B:B,"保険",'振込入金リスト一覧'!D:D,"&gt;="&amp;A54,'振込入金リスト一覧'!D:D,"&lt;"&amp;EDATE(A54,1))+SUMIFS('振込入金リスト一覧'!AH:AH,'振込入金リスト一覧'!B:B,"保険請求",'振込入金リスト一覧'!D:D,"&gt;="&amp;A54,'振込入金リスト一覧'!D:D,"&lt;"&amp;EDATE(A54,1)))</f>
        <v/>
      </c>
      <c r="J54" s="23" t="str">
        <f>IF(A54="","",SUMIFS('振込入金リスト一覧'!AH:AH,'振込入金リスト一覧'!B:B,"&lt;&gt;車販",'振込入金リスト一覧'!AB:AB,"Maserati広島",'振込入金リスト一覧'!D:D,"&gt;="&amp;A54,'振込入金リスト一覧'!D:D,"&lt;"&amp;EDATE(A54,1)))</f>
        <v/>
      </c>
      <c r="K54" s="68"/>
    </row>
    <row r="55" ht="15.75" customHeight="1">
      <c r="A55" s="17"/>
      <c r="B55" s="17" t="str">
        <f t="shared" si="1"/>
        <v/>
      </c>
      <c r="C55" s="4" t="str">
        <f t="shared" si="2"/>
        <v/>
      </c>
      <c r="D55" s="23" t="str">
        <f>IF(A55="","",ROUND(SUMPRODUCT(('振込入金リスト一覧'!AB$2:AB$1020="Maserati広島")*('振込入金リスト一覧'!B$2:B$1020&lt;&gt;"車販")*('振込入金リスト一覧'!D$2:D$1020&gt;=A55)*('振込入金リスト一覧'!D$2:D$1020&lt;EDATE(A55,1))*IFERROR(VALUE('振込入金リスト一覧'!AQ$2:AQ$1020),0))*1.1,0))</f>
        <v/>
      </c>
      <c r="E55" s="23" t="str">
        <f t="shared" si="3"/>
        <v/>
      </c>
      <c r="F55" s="23" t="str">
        <f>IF(A55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55,'振込入金リスト一覧'!D:D,"&lt;"&amp;EDATE(A55,1)))</f>
        <v/>
      </c>
      <c r="G55" s="23" t="str">
        <f>IF(A55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55,'振込入金リスト一覧'!D:D,"&lt;"&amp;EDATE(A55,1)))</f>
        <v/>
      </c>
      <c r="H55" s="23" t="str">
        <f>IF(A55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55,'振込入金リスト一覧'!D:D,"&lt;"&amp;EDATE(A55,1)))</f>
        <v/>
      </c>
      <c r="I55" s="23" t="str">
        <f>IF(A55="","",SUMIFS('振込入金リスト一覧'!AH:AH,'振込入金リスト一覧'!B:B,"保険",'振込入金リスト一覧'!D:D,"&gt;="&amp;A55,'振込入金リスト一覧'!D:D,"&lt;"&amp;EDATE(A55,1))+SUMIFS('振込入金リスト一覧'!AH:AH,'振込入金リスト一覧'!B:B,"保険請求",'振込入金リスト一覧'!D:D,"&gt;="&amp;A55,'振込入金リスト一覧'!D:D,"&lt;"&amp;EDATE(A55,1)))</f>
        <v/>
      </c>
      <c r="J55" s="23" t="str">
        <f>IF(A55="","",SUMIFS('振込入金リスト一覧'!AH:AH,'振込入金リスト一覧'!B:B,"&lt;&gt;車販",'振込入金リスト一覧'!AB:AB,"Maserati広島",'振込入金リスト一覧'!D:D,"&gt;="&amp;A55,'振込入金リスト一覧'!D:D,"&lt;"&amp;EDATE(A55,1)))</f>
        <v/>
      </c>
      <c r="K55" s="68"/>
    </row>
    <row r="56" ht="15.75" customHeight="1">
      <c r="A56" s="17"/>
      <c r="B56" s="17" t="str">
        <f t="shared" si="1"/>
        <v/>
      </c>
      <c r="C56" s="4" t="str">
        <f t="shared" si="2"/>
        <v/>
      </c>
      <c r="D56" s="23" t="str">
        <f>IF(A56="","",ROUND(SUMPRODUCT(('振込入金リスト一覧'!AB$2:AB$1020="Maserati広島")*('振込入金リスト一覧'!B$2:B$1020&lt;&gt;"車販")*('振込入金リスト一覧'!D$2:D$1020&gt;=A56)*('振込入金リスト一覧'!D$2:D$1020&lt;EDATE(A56,1))*IFERROR(VALUE('振込入金リスト一覧'!AQ$2:AQ$1020),0))*1.1,0))</f>
        <v/>
      </c>
      <c r="E56" s="23" t="str">
        <f t="shared" si="3"/>
        <v/>
      </c>
      <c r="F56" s="23" t="str">
        <f>IF(A56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56,'振込入金リスト一覧'!D:D,"&lt;"&amp;EDATE(A56,1)))</f>
        <v/>
      </c>
      <c r="G56" s="23" t="str">
        <f>IF(A56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56,'振込入金リスト一覧'!D:D,"&lt;"&amp;EDATE(A56,1)))</f>
        <v/>
      </c>
      <c r="H56" s="23" t="str">
        <f>IF(A56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56,'振込入金リスト一覧'!D:D,"&lt;"&amp;EDATE(A56,1)))</f>
        <v/>
      </c>
      <c r="I56" s="23" t="str">
        <f>IF(A56="","",SUMIFS('振込入金リスト一覧'!AH:AH,'振込入金リスト一覧'!B:B,"保険",'振込入金リスト一覧'!D:D,"&gt;="&amp;A56,'振込入金リスト一覧'!D:D,"&lt;"&amp;EDATE(A56,1))+SUMIFS('振込入金リスト一覧'!AH:AH,'振込入金リスト一覧'!B:B,"保険請求",'振込入金リスト一覧'!D:D,"&gt;="&amp;A56,'振込入金リスト一覧'!D:D,"&lt;"&amp;EDATE(A56,1)))</f>
        <v/>
      </c>
      <c r="J56" s="23" t="str">
        <f>IF(A56="","",SUMIFS('振込入金リスト一覧'!AH:AH,'振込入金リスト一覧'!B:B,"&lt;&gt;車販",'振込入金リスト一覧'!AB:AB,"Maserati広島",'振込入金リスト一覧'!D:D,"&gt;="&amp;A56,'振込入金リスト一覧'!D:D,"&lt;"&amp;EDATE(A56,1)))</f>
        <v/>
      </c>
      <c r="K56" s="68"/>
    </row>
    <row r="57" ht="15.75" customHeight="1">
      <c r="A57" s="17"/>
      <c r="B57" s="17" t="str">
        <f t="shared" si="1"/>
        <v/>
      </c>
      <c r="C57" s="4" t="str">
        <f t="shared" si="2"/>
        <v/>
      </c>
      <c r="D57" s="23" t="str">
        <f>IF(A57="","",ROUND(SUMPRODUCT(('振込入金リスト一覧'!AB$2:AB$1020="Maserati広島")*('振込入金リスト一覧'!B$2:B$1020&lt;&gt;"車販")*('振込入金リスト一覧'!D$2:D$1020&gt;=A57)*('振込入金リスト一覧'!D$2:D$1020&lt;EDATE(A57,1))*IFERROR(VALUE('振込入金リスト一覧'!AQ$2:AQ$1020),0))*1.1,0))</f>
        <v/>
      </c>
      <c r="E57" s="23" t="str">
        <f t="shared" si="3"/>
        <v/>
      </c>
      <c r="F57" s="23" t="str">
        <f>IF(A57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57,'振込入金リスト一覧'!D:D,"&lt;"&amp;EDATE(A57,1)))</f>
        <v/>
      </c>
      <c r="G57" s="23" t="str">
        <f>IF(A57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57,'振込入金リスト一覧'!D:D,"&lt;"&amp;EDATE(A57,1)))</f>
        <v/>
      </c>
      <c r="H57" s="23" t="str">
        <f>IF(A57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57,'振込入金リスト一覧'!D:D,"&lt;"&amp;EDATE(A57,1)))</f>
        <v/>
      </c>
      <c r="I57" s="23" t="str">
        <f>IF(A57="","",SUMIFS('振込入金リスト一覧'!AH:AH,'振込入金リスト一覧'!B:B,"保険",'振込入金リスト一覧'!D:D,"&gt;="&amp;A57,'振込入金リスト一覧'!D:D,"&lt;"&amp;EDATE(A57,1))+SUMIFS('振込入金リスト一覧'!AH:AH,'振込入金リスト一覧'!B:B,"保険請求",'振込入金リスト一覧'!D:D,"&gt;="&amp;A57,'振込入金リスト一覧'!D:D,"&lt;"&amp;EDATE(A57,1)))</f>
        <v/>
      </c>
      <c r="J57" s="23" t="str">
        <f>IF(A57="","",SUMIFS('振込入金リスト一覧'!AH:AH,'振込入金リスト一覧'!B:B,"&lt;&gt;車販",'振込入金リスト一覧'!AB:AB,"Maserati広島",'振込入金リスト一覧'!D:D,"&gt;="&amp;A57,'振込入金リスト一覧'!D:D,"&lt;"&amp;EDATE(A57,1)))</f>
        <v/>
      </c>
      <c r="K57" s="68"/>
    </row>
    <row r="58" ht="15.75" customHeight="1">
      <c r="A58" s="17"/>
      <c r="B58" s="17" t="str">
        <f t="shared" si="1"/>
        <v/>
      </c>
      <c r="C58" s="4" t="str">
        <f t="shared" si="2"/>
        <v/>
      </c>
      <c r="D58" s="23" t="str">
        <f>IF(A58="","",ROUND(SUMPRODUCT(('振込入金リスト一覧'!AB$2:AB$1020="Maserati広島")*('振込入金リスト一覧'!B$2:B$1020&lt;&gt;"車販")*('振込入金リスト一覧'!D$2:D$1020&gt;=A58)*('振込入金リスト一覧'!D$2:D$1020&lt;EDATE(A58,1))*IFERROR(VALUE('振込入金リスト一覧'!AQ$2:AQ$1020),0))*1.1,0))</f>
        <v/>
      </c>
      <c r="E58" s="23" t="str">
        <f t="shared" si="3"/>
        <v/>
      </c>
      <c r="F58" s="23" t="str">
        <f>IF(A58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58,'振込入金リスト一覧'!D:D,"&lt;"&amp;EDATE(A58,1)))</f>
        <v/>
      </c>
      <c r="G58" s="23" t="str">
        <f>IF(A58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58,'振込入金リスト一覧'!D:D,"&lt;"&amp;EDATE(A58,1)))</f>
        <v/>
      </c>
      <c r="H58" s="23" t="str">
        <f>IF(A58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58,'振込入金リスト一覧'!D:D,"&lt;"&amp;EDATE(A58,1)))</f>
        <v/>
      </c>
      <c r="I58" s="23" t="str">
        <f>IF(A58="","",SUMIFS('振込入金リスト一覧'!AH:AH,'振込入金リスト一覧'!B:B,"保険",'振込入金リスト一覧'!D:D,"&gt;="&amp;A58,'振込入金リスト一覧'!D:D,"&lt;"&amp;EDATE(A58,1))+SUMIFS('振込入金リスト一覧'!AH:AH,'振込入金リスト一覧'!B:B,"保険請求",'振込入金リスト一覧'!D:D,"&gt;="&amp;A58,'振込入金リスト一覧'!D:D,"&lt;"&amp;EDATE(A58,1)))</f>
        <v/>
      </c>
      <c r="J58" s="23" t="str">
        <f>IF(A58="","",SUMIFS('振込入金リスト一覧'!AH:AH,'振込入金リスト一覧'!B:B,"&lt;&gt;車販",'振込入金リスト一覧'!AB:AB,"Maserati広島",'振込入金リスト一覧'!D:D,"&gt;="&amp;A58,'振込入金リスト一覧'!D:D,"&lt;"&amp;EDATE(A58,1)))</f>
        <v/>
      </c>
      <c r="K58" s="68"/>
    </row>
    <row r="59" ht="15.75" customHeight="1">
      <c r="A59" s="17"/>
      <c r="B59" s="17" t="str">
        <f t="shared" si="1"/>
        <v/>
      </c>
      <c r="C59" s="4" t="str">
        <f t="shared" si="2"/>
        <v/>
      </c>
      <c r="D59" s="23" t="str">
        <f>IF(A59="","",ROUND(SUMPRODUCT(('振込入金リスト一覧'!AB$2:AB$1020="Maserati広島")*('振込入金リスト一覧'!B$2:B$1020&lt;&gt;"車販")*('振込入金リスト一覧'!D$2:D$1020&gt;=A59)*('振込入金リスト一覧'!D$2:D$1020&lt;EDATE(A59,1))*IFERROR(VALUE('振込入金リスト一覧'!AQ$2:AQ$1020),0))*1.1,0))</f>
        <v/>
      </c>
      <c r="E59" s="23" t="str">
        <f t="shared" si="3"/>
        <v/>
      </c>
      <c r="F59" s="23" t="str">
        <f>IF(A59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59,'振込入金リスト一覧'!D:D,"&lt;"&amp;EDATE(A59,1)))</f>
        <v/>
      </c>
      <c r="G59" s="23" t="str">
        <f>IF(A59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59,'振込入金リスト一覧'!D:D,"&lt;"&amp;EDATE(A59,1)))</f>
        <v/>
      </c>
      <c r="H59" s="23" t="str">
        <f>IF(A59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59,'振込入金リスト一覧'!D:D,"&lt;"&amp;EDATE(A59,1)))</f>
        <v/>
      </c>
      <c r="I59" s="23" t="str">
        <f>IF(A59="","",SUMIFS('振込入金リスト一覧'!AH:AH,'振込入金リスト一覧'!B:B,"保険",'振込入金リスト一覧'!D:D,"&gt;="&amp;A59,'振込入金リスト一覧'!D:D,"&lt;"&amp;EDATE(A59,1))+SUMIFS('振込入金リスト一覧'!AH:AH,'振込入金リスト一覧'!B:B,"保険請求",'振込入金リスト一覧'!D:D,"&gt;="&amp;A59,'振込入金リスト一覧'!D:D,"&lt;"&amp;EDATE(A59,1)))</f>
        <v/>
      </c>
      <c r="J59" s="23" t="str">
        <f>IF(A59="","",SUMIFS('振込入金リスト一覧'!AH:AH,'振込入金リスト一覧'!B:B,"&lt;&gt;車販",'振込入金リスト一覧'!AB:AB,"Maserati広島",'振込入金リスト一覧'!D:D,"&gt;="&amp;A59,'振込入金リスト一覧'!D:D,"&lt;"&amp;EDATE(A59,1)))</f>
        <v/>
      </c>
      <c r="K59" s="68"/>
    </row>
    <row r="60" ht="15.75" customHeight="1">
      <c r="A60" s="17"/>
      <c r="B60" s="17" t="str">
        <f t="shared" si="1"/>
        <v/>
      </c>
      <c r="C60" s="4" t="str">
        <f t="shared" si="2"/>
        <v/>
      </c>
      <c r="D60" s="23" t="str">
        <f>IF(A60="","",ROUND(SUMPRODUCT(('振込入金リスト一覧'!AB$2:AB$1020="Maserati広島")*('振込入金リスト一覧'!B$2:B$1020&lt;&gt;"車販")*('振込入金リスト一覧'!D$2:D$1020&gt;=A60)*('振込入金リスト一覧'!D$2:D$1020&lt;EDATE(A60,1))*IFERROR(VALUE('振込入金リスト一覧'!AQ$2:AQ$1020),0))*1.1,0))</f>
        <v/>
      </c>
      <c r="E60" s="23" t="str">
        <f t="shared" si="3"/>
        <v/>
      </c>
      <c r="F60" s="23" t="str">
        <f>IF(A60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60,'振込入金リスト一覧'!D:D,"&lt;"&amp;EDATE(A60,1)))</f>
        <v/>
      </c>
      <c r="G60" s="23" t="str">
        <f>IF(A60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60,'振込入金リスト一覧'!D:D,"&lt;"&amp;EDATE(A60,1)))</f>
        <v/>
      </c>
      <c r="H60" s="23" t="str">
        <f>IF(A60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60,'振込入金リスト一覧'!D:D,"&lt;"&amp;EDATE(A60,1)))</f>
        <v/>
      </c>
      <c r="I60" s="23" t="str">
        <f>IF(A60="","",SUMIFS('振込入金リスト一覧'!AH:AH,'振込入金リスト一覧'!B:B,"保険",'振込入金リスト一覧'!D:D,"&gt;="&amp;A60,'振込入金リスト一覧'!D:D,"&lt;"&amp;EDATE(A60,1))+SUMIFS('振込入金リスト一覧'!AH:AH,'振込入金リスト一覧'!B:B,"保険請求",'振込入金リスト一覧'!D:D,"&gt;="&amp;A60,'振込入金リスト一覧'!D:D,"&lt;"&amp;EDATE(A60,1)))</f>
        <v/>
      </c>
      <c r="J60" s="23" t="str">
        <f>IF(A60="","",SUMIFS('振込入金リスト一覧'!AH:AH,'振込入金リスト一覧'!B:B,"&lt;&gt;車販",'振込入金リスト一覧'!AB:AB,"Maserati広島",'振込入金リスト一覧'!D:D,"&gt;="&amp;A60,'振込入金リスト一覧'!D:D,"&lt;"&amp;EDATE(A60,1)))</f>
        <v/>
      </c>
      <c r="K60" s="68"/>
    </row>
    <row r="61" ht="15.75" customHeight="1">
      <c r="A61" s="17"/>
      <c r="B61" s="17" t="str">
        <f t="shared" si="1"/>
        <v/>
      </c>
      <c r="C61" s="4" t="str">
        <f t="shared" si="2"/>
        <v/>
      </c>
      <c r="D61" s="23" t="str">
        <f>IF(A61="","",ROUND(SUMPRODUCT(('振込入金リスト一覧'!AB$2:AB$1020="Maserati広島")*('振込入金リスト一覧'!B$2:B$1020&lt;&gt;"車販")*('振込入金リスト一覧'!D$2:D$1020&gt;=A61)*('振込入金リスト一覧'!D$2:D$1020&lt;EDATE(A61,1))*IFERROR(VALUE('振込入金リスト一覧'!AQ$2:AQ$1020),0))*1.1,0))</f>
        <v/>
      </c>
      <c r="E61" s="23" t="str">
        <f t="shared" si="3"/>
        <v/>
      </c>
      <c r="F61" s="23" t="str">
        <f>IF(A61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&lt;&gt;自動消込",'振込入金リスト一覧'!D:D,"&gt;="&amp;A61,'振込入金リスト一覧'!D:D,"&lt;"&amp;EDATE(A61,1)))</f>
        <v/>
      </c>
      <c r="G61" s="23" t="str">
        <f>IF(A61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D:D,"&gt;="&amp;A61,'振込入金リスト一覧'!D:D,"&lt;"&amp;EDATE(A61,1)))</f>
        <v/>
      </c>
      <c r="H61" s="23" t="str">
        <f>IF(A61="","",SUMIFS('振込入金リスト一覧'!AH:AH,'振込入金リスト一覧'!B:B,"&lt;&gt;車販",'振込入金リスト一覧'!AB:AB,"&lt;&gt;Maserati広島",'振込入金リスト一覧'!B:B,"&lt;&gt;保険",'振込入金リスト一覧'!B:B,"&lt;&gt;保険請求",'振込入金リスト一覧'!EN:EN,"自動消込",'振込入金リスト一覧'!D:D,"&gt;="&amp;A61,'振込入金リスト一覧'!D:D,"&lt;"&amp;EDATE(A61,1)))</f>
        <v/>
      </c>
      <c r="I61" s="23" t="str">
        <f>IF(A61="","",SUMIFS('振込入金リスト一覧'!AH:AH,'振込入金リスト一覧'!B:B,"保険",'振込入金リスト一覧'!D:D,"&gt;="&amp;A61,'振込入金リスト一覧'!D:D,"&lt;"&amp;EDATE(A61,1))+SUMIFS('振込入金リスト一覧'!AH:AH,'振込入金リスト一覧'!B:B,"保険請求",'振込入金リスト一覧'!D:D,"&gt;="&amp;A61,'振込入金リスト一覧'!D:D,"&lt;"&amp;EDATE(A61,1)))</f>
        <v/>
      </c>
      <c r="J61" s="23" t="str">
        <f>IF(A61="","",SUMIFS('振込入金リスト一覧'!AH:AH,'振込入金リスト一覧'!B:B,"&lt;&gt;車販",'振込入金リスト一覧'!AB:AB,"Maserati広島",'振込入金リスト一覧'!D:D,"&gt;="&amp;A61,'振込入金リスト一覧'!D:D,"&lt;"&amp;EDATE(A61,1)))</f>
        <v/>
      </c>
      <c r="K61" s="68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4" t="s">
        <v>1882</v>
      </c>
      <c r="B1" s="4" t="s">
        <v>1440</v>
      </c>
      <c r="C1" s="4" t="s">
        <v>134</v>
      </c>
      <c r="D1" s="4" t="s">
        <v>1883</v>
      </c>
      <c r="E1" s="4" t="s">
        <v>1884</v>
      </c>
      <c r="F1" s="4" t="s">
        <v>1885</v>
      </c>
      <c r="G1" s="4" t="s">
        <v>1886</v>
      </c>
      <c r="H1" s="4" t="s">
        <v>1887</v>
      </c>
      <c r="I1" s="4" t="s">
        <v>1888</v>
      </c>
      <c r="J1" s="4" t="s">
        <v>1889</v>
      </c>
      <c r="K1" s="4" t="s">
        <v>1890</v>
      </c>
      <c r="L1" s="4" t="s">
        <v>1891</v>
      </c>
    </row>
    <row r="2" ht="15.75" customHeight="1">
      <c r="A2" s="4" t="s">
        <v>1567</v>
      </c>
      <c r="B2" s="106">
        <v>46151.551828703705</v>
      </c>
      <c r="C2" s="4" t="s">
        <v>1568</v>
      </c>
      <c r="D2" s="4" t="s">
        <v>1892</v>
      </c>
      <c r="E2" s="4">
        <v>3.0</v>
      </c>
      <c r="F2" s="4">
        <v>3.0</v>
      </c>
      <c r="G2" s="4">
        <v>0.0</v>
      </c>
      <c r="H2" s="4">
        <v>0.0</v>
      </c>
      <c r="I2" s="4" t="s">
        <v>1893</v>
      </c>
      <c r="K2" s="4" t="s">
        <v>1894</v>
      </c>
    </row>
    <row r="3" ht="15.75" customHeight="1">
      <c r="A3" s="4" t="s">
        <v>1573</v>
      </c>
      <c r="B3" s="106">
        <v>46151.551828703705</v>
      </c>
      <c r="C3" s="4" t="s">
        <v>1574</v>
      </c>
      <c r="D3" s="4" t="s">
        <v>1895</v>
      </c>
      <c r="E3" s="4">
        <v>13.0</v>
      </c>
      <c r="F3" s="4">
        <v>13.0</v>
      </c>
      <c r="G3" s="4">
        <v>0.0</v>
      </c>
      <c r="H3" s="4">
        <v>0.0</v>
      </c>
      <c r="I3" s="4" t="s">
        <v>1893</v>
      </c>
      <c r="K3" s="4" t="s">
        <v>1894</v>
      </c>
    </row>
    <row r="4" ht="15.75" customHeight="1">
      <c r="A4" s="4" t="s">
        <v>1583</v>
      </c>
      <c r="B4" s="106">
        <v>46151.551828703705</v>
      </c>
      <c r="C4" s="4" t="s">
        <v>1584</v>
      </c>
      <c r="D4" s="4" t="s">
        <v>1896</v>
      </c>
      <c r="E4" s="4">
        <v>7.0</v>
      </c>
      <c r="F4" s="4">
        <v>1.0</v>
      </c>
      <c r="G4" s="4">
        <v>6.0</v>
      </c>
      <c r="H4" s="4">
        <v>0.0</v>
      </c>
      <c r="I4" s="4" t="s">
        <v>1893</v>
      </c>
      <c r="K4" s="4" t="s">
        <v>1894</v>
      </c>
    </row>
    <row r="5" ht="15.75" customHeight="1">
      <c r="A5" s="4" t="s">
        <v>1897</v>
      </c>
      <c r="B5" s="106">
        <v>46151.551828703705</v>
      </c>
      <c r="C5" s="4" t="s">
        <v>1898</v>
      </c>
      <c r="D5" s="4" t="s">
        <v>1899</v>
      </c>
      <c r="F5" s="4">
        <v>0.0</v>
      </c>
      <c r="I5" s="4" t="s">
        <v>1900</v>
      </c>
      <c r="J5" s="4" t="s">
        <v>1901</v>
      </c>
      <c r="K5" s="4" t="s">
        <v>1902</v>
      </c>
      <c r="L5" s="4" t="s">
        <v>1903</v>
      </c>
    </row>
    <row r="6" ht="15.75" customHeight="1">
      <c r="A6" s="4" t="s">
        <v>1588</v>
      </c>
      <c r="B6" s="106">
        <v>46151.551828703705</v>
      </c>
      <c r="C6" s="4" t="s">
        <v>1589</v>
      </c>
      <c r="D6" s="4" t="s">
        <v>1904</v>
      </c>
      <c r="E6" s="4">
        <v>9.0</v>
      </c>
      <c r="F6" s="4">
        <v>9.0</v>
      </c>
      <c r="G6" s="4">
        <v>0.0</v>
      </c>
      <c r="H6" s="4">
        <v>0.0</v>
      </c>
      <c r="I6" s="4" t="s">
        <v>1893</v>
      </c>
      <c r="K6" s="4" t="s">
        <v>1894</v>
      </c>
    </row>
    <row r="7" ht="15.75" customHeight="1">
      <c r="A7" s="4" t="s">
        <v>1593</v>
      </c>
      <c r="B7" s="106">
        <v>46151.551828703705</v>
      </c>
      <c r="C7" s="4" t="s">
        <v>1594</v>
      </c>
      <c r="D7" s="4" t="s">
        <v>1905</v>
      </c>
      <c r="E7" s="4">
        <v>68.0</v>
      </c>
      <c r="F7" s="4">
        <v>66.0</v>
      </c>
      <c r="G7" s="4">
        <v>2.0</v>
      </c>
      <c r="H7" s="4">
        <v>0.0</v>
      </c>
      <c r="I7" s="4" t="s">
        <v>1893</v>
      </c>
      <c r="K7" s="4" t="s">
        <v>1894</v>
      </c>
    </row>
    <row r="8" ht="15.75" customHeight="1">
      <c r="A8" s="4" t="s">
        <v>1906</v>
      </c>
      <c r="B8" s="106">
        <v>46151.650243055556</v>
      </c>
      <c r="C8" s="4" t="s">
        <v>280</v>
      </c>
      <c r="E8" s="4">
        <v>8.0</v>
      </c>
      <c r="F8" s="4">
        <v>8.0</v>
      </c>
      <c r="G8" s="4">
        <v>0.0</v>
      </c>
      <c r="H8" s="4">
        <v>0.0</v>
      </c>
      <c r="I8" s="4" t="s">
        <v>1893</v>
      </c>
      <c r="K8" s="4" t="s">
        <v>1894</v>
      </c>
      <c r="L8" s="4" t="s">
        <v>1907</v>
      </c>
    </row>
    <row r="9" ht="15.75" customHeight="1">
      <c r="A9" s="4" t="s">
        <v>1908</v>
      </c>
      <c r="B9" s="106">
        <v>46151.650243055556</v>
      </c>
      <c r="C9" s="4" t="s">
        <v>289</v>
      </c>
      <c r="E9" s="4">
        <v>6.0</v>
      </c>
      <c r="F9" s="4">
        <v>6.0</v>
      </c>
      <c r="G9" s="4">
        <v>0.0</v>
      </c>
      <c r="H9" s="4">
        <v>0.0</v>
      </c>
      <c r="I9" s="4" t="s">
        <v>1893</v>
      </c>
      <c r="K9" s="4" t="s">
        <v>1894</v>
      </c>
      <c r="L9" s="4" t="s">
        <v>1907</v>
      </c>
    </row>
    <row r="10" ht="15.75" customHeight="1">
      <c r="A10" s="4" t="s">
        <v>1909</v>
      </c>
      <c r="B10" s="106">
        <v>46151.650243055556</v>
      </c>
      <c r="C10" s="4" t="s">
        <v>286</v>
      </c>
      <c r="E10" s="4">
        <v>5.0</v>
      </c>
      <c r="F10" s="4">
        <v>5.0</v>
      </c>
      <c r="G10" s="4">
        <v>0.0</v>
      </c>
      <c r="H10" s="4">
        <v>0.0</v>
      </c>
      <c r="I10" s="4" t="s">
        <v>1893</v>
      </c>
      <c r="K10" s="4" t="s">
        <v>1894</v>
      </c>
      <c r="L10" s="4" t="s">
        <v>1907</v>
      </c>
    </row>
    <row r="11" ht="15.75" customHeight="1">
      <c r="A11" s="4" t="s">
        <v>1910</v>
      </c>
      <c r="B11" s="106">
        <v>46151.650243055556</v>
      </c>
      <c r="C11" s="4" t="s">
        <v>1911</v>
      </c>
      <c r="E11" s="4">
        <v>6.0</v>
      </c>
      <c r="F11" s="4">
        <v>6.0</v>
      </c>
      <c r="G11" s="4">
        <v>0.0</v>
      </c>
      <c r="H11" s="4">
        <v>0.0</v>
      </c>
      <c r="I11" s="4" t="s">
        <v>1893</v>
      </c>
      <c r="K11" s="4" t="s">
        <v>1894</v>
      </c>
      <c r="L11" s="4" t="s">
        <v>1907</v>
      </c>
    </row>
    <row r="12" ht="15.75" customHeight="1">
      <c r="A12" s="4" t="s">
        <v>1912</v>
      </c>
      <c r="B12" s="106">
        <v>46151.650243055556</v>
      </c>
      <c r="C12" s="4" t="s">
        <v>274</v>
      </c>
      <c r="E12" s="4">
        <v>8.0</v>
      </c>
      <c r="F12" s="4">
        <v>8.0</v>
      </c>
      <c r="G12" s="4">
        <v>0.0</v>
      </c>
      <c r="H12" s="4">
        <v>0.0</v>
      </c>
      <c r="I12" s="4" t="s">
        <v>1893</v>
      </c>
      <c r="K12" s="4" t="s">
        <v>1894</v>
      </c>
      <c r="L12" s="4" t="s">
        <v>1907</v>
      </c>
    </row>
    <row r="13" ht="15.75" customHeight="1">
      <c r="A13" s="4" t="s">
        <v>1913</v>
      </c>
      <c r="B13" s="106">
        <v>46151.650243055556</v>
      </c>
      <c r="C13" s="4" t="s">
        <v>1914</v>
      </c>
      <c r="E13" s="4">
        <v>4.0</v>
      </c>
      <c r="F13" s="4">
        <v>4.0</v>
      </c>
      <c r="G13" s="4">
        <v>0.0</v>
      </c>
      <c r="H13" s="4">
        <v>0.0</v>
      </c>
      <c r="I13" s="4" t="s">
        <v>1893</v>
      </c>
      <c r="K13" s="4" t="s">
        <v>1894</v>
      </c>
      <c r="L13" s="4" t="s">
        <v>1907</v>
      </c>
    </row>
    <row r="14" ht="15.75" customHeight="1">
      <c r="A14" s="4" t="s">
        <v>1915</v>
      </c>
      <c r="B14" s="106">
        <v>46151.650243055556</v>
      </c>
      <c r="C14" s="4" t="s">
        <v>268</v>
      </c>
      <c r="E14" s="4">
        <v>23.0</v>
      </c>
      <c r="F14" s="4">
        <v>23.0</v>
      </c>
      <c r="G14" s="4">
        <v>0.0</v>
      </c>
      <c r="H14" s="4">
        <v>0.0</v>
      </c>
      <c r="I14" s="4" t="s">
        <v>1893</v>
      </c>
      <c r="K14" s="4" t="s">
        <v>1894</v>
      </c>
      <c r="L14" s="4" t="s">
        <v>1907</v>
      </c>
    </row>
    <row r="15" ht="15.75" customHeight="1">
      <c r="A15" s="4" t="s">
        <v>1916</v>
      </c>
      <c r="B15" s="106">
        <v>46151.650243055556</v>
      </c>
      <c r="C15" s="4" t="s">
        <v>264</v>
      </c>
      <c r="E15" s="4">
        <v>4.0</v>
      </c>
      <c r="F15" s="4">
        <v>4.0</v>
      </c>
      <c r="G15" s="4">
        <v>0.0</v>
      </c>
      <c r="H15" s="4">
        <v>0.0</v>
      </c>
      <c r="I15" s="4" t="s">
        <v>1893</v>
      </c>
      <c r="K15" s="4" t="s">
        <v>1894</v>
      </c>
      <c r="L15" s="4" t="s">
        <v>1907</v>
      </c>
    </row>
    <row r="16" ht="15.75" customHeight="1">
      <c r="A16" s="4" t="s">
        <v>1917</v>
      </c>
      <c r="B16" s="106">
        <v>46151.650243055556</v>
      </c>
      <c r="C16" s="4" t="s">
        <v>209</v>
      </c>
      <c r="E16" s="4">
        <v>137.0</v>
      </c>
      <c r="F16" s="4">
        <v>137.0</v>
      </c>
      <c r="G16" s="4">
        <v>0.0</v>
      </c>
      <c r="H16" s="4">
        <v>0.0</v>
      </c>
      <c r="I16" s="4" t="s">
        <v>1893</v>
      </c>
      <c r="K16" s="4" t="s">
        <v>1894</v>
      </c>
      <c r="L16" s="4" t="s">
        <v>1907</v>
      </c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75"/>
    <col customWidth="1" min="2" max="6" width="12.63"/>
  </cols>
  <sheetData>
    <row r="1" ht="15.75" customHeight="1">
      <c r="A1" s="8"/>
      <c r="B1" s="9">
        <v>46082.0</v>
      </c>
      <c r="C1" s="9">
        <v>46113.0</v>
      </c>
      <c r="D1" s="9">
        <v>46143.0</v>
      </c>
      <c r="E1" s="9">
        <v>46174.0</v>
      </c>
      <c r="F1" s="9">
        <v>46204.0</v>
      </c>
      <c r="G1" s="9">
        <v>46235.0</v>
      </c>
      <c r="H1" s="9">
        <v>46266.0</v>
      </c>
      <c r="I1" s="9">
        <v>46296.0</v>
      </c>
      <c r="J1" s="9">
        <v>46327.0</v>
      </c>
      <c r="K1" s="9">
        <v>46357.0</v>
      </c>
      <c r="L1" s="9">
        <v>46388.0</v>
      </c>
      <c r="M1" s="9">
        <v>46419.0</v>
      </c>
      <c r="N1" s="8"/>
      <c r="O1" s="8"/>
      <c r="P1" s="8"/>
      <c r="Q1" s="8"/>
      <c r="R1" s="8"/>
      <c r="S1" s="8"/>
      <c r="T1" s="8"/>
      <c r="U1" s="8"/>
      <c r="V1" s="8"/>
      <c r="W1" s="8"/>
    </row>
    <row r="2" ht="15.75" customHeight="1">
      <c r="A2" s="10" t="s">
        <v>45</v>
      </c>
      <c r="B2" s="11">
        <f t="shared" ref="B2:M2" si="1">B3+B4+B5</f>
        <v>67149856</v>
      </c>
      <c r="C2" s="11">
        <f t="shared" si="1"/>
        <v>-3138769</v>
      </c>
      <c r="D2" s="11">
        <f t="shared" si="1"/>
        <v>12121336</v>
      </c>
      <c r="E2" s="11">
        <f t="shared" si="1"/>
        <v>0</v>
      </c>
      <c r="F2" s="11">
        <f t="shared" si="1"/>
        <v>0</v>
      </c>
      <c r="G2" s="11">
        <f t="shared" si="1"/>
        <v>0</v>
      </c>
      <c r="H2" s="11">
        <f t="shared" si="1"/>
        <v>0</v>
      </c>
      <c r="I2" s="11">
        <f t="shared" si="1"/>
        <v>0</v>
      </c>
      <c r="J2" s="11">
        <f t="shared" si="1"/>
        <v>0</v>
      </c>
      <c r="K2" s="11">
        <f t="shared" si="1"/>
        <v>0</v>
      </c>
      <c r="L2" s="11">
        <f t="shared" si="1"/>
        <v>0</v>
      </c>
      <c r="M2" s="11">
        <f t="shared" si="1"/>
        <v>0</v>
      </c>
    </row>
    <row r="3" ht="15.75" customHeight="1">
      <c r="A3" s="12" t="s">
        <v>46</v>
      </c>
      <c r="B3" s="13">
        <f t="array" ref="B3">SUMIFS('クレカ・現金'!$E$2:$E1000,'クレカ・現金'!$F$2:$F1000,"現金",'クレカ・現金'!$I$2:$I1000,"&lt;&gt;未照合",'クレカ・現金'!$I$2:$I1000,"&lt;&gt;",TEXT('クレカ・現金'!$H$2:$H1000,"yyyy-mm"),TEXT(B$1,"yyyy-mm"))</f>
        <v>0</v>
      </c>
      <c r="C3" s="13">
        <f t="array" ref="C3">SUMIFS('クレカ・現金'!$E$2:$E1000,'クレカ・現金'!$F$2:$F1000,"現金",'クレカ・現金'!$I$2:$I1000,"&lt;&gt;未照合",'クレカ・現金'!$I$2:$I1000,"&lt;&gt;",TEXT('クレカ・現金'!$H$2:$H1000,"yyyy-mm"),TEXT(C$1,"yyyy-mm"))</f>
        <v>0</v>
      </c>
      <c r="D3" s="13">
        <f t="array" ref="D3">SUMIFS('クレカ・現金'!$E$2:$E1000,'クレカ・現金'!$F$2:$F1000,"現金",'クレカ・現金'!$I$2:$I1000,"&lt;&gt;未照合",'クレカ・現金'!$I$2:$I1000,"&lt;&gt;",TEXT('クレカ・現金'!$H$2:$H1000,"yyyy-mm"),TEXT(D$1,"yyyy-mm"))</f>
        <v>0</v>
      </c>
      <c r="E3" s="13">
        <f t="array" ref="E3">SUMIFS('クレカ・現金'!$E$2:$E1000,'クレカ・現金'!$F$2:$F1000,"現金",'クレカ・現金'!$I$2:$I1000,"&lt;&gt;未照合",'クレカ・現金'!$I$2:$I1000,"&lt;&gt;",TEXT('クレカ・現金'!$H$2:$H1000,"yyyy-mm"),TEXT(E$1,"yyyy-mm"))</f>
        <v>0</v>
      </c>
      <c r="F3" s="13">
        <f t="array" ref="F3">SUMIFS('クレカ・現金'!$E$2:$E1000,'クレカ・現金'!$F$2:$F1000,"現金",'クレカ・現金'!$I$2:$I1000,"&lt;&gt;未照合",'クレカ・現金'!$I$2:$I1000,"&lt;&gt;",TEXT('クレカ・現金'!$H$2:$H1000,"yyyy-mm"),TEXT(F$1,"yyyy-mm"))</f>
        <v>0</v>
      </c>
      <c r="G3" s="13">
        <f t="array" ref="G3">SUMIFS('クレカ・現金'!$E$2:$E1000,'クレカ・現金'!$F$2:$F1000,"現金",'クレカ・現金'!$I$2:$I1000,"&lt;&gt;未照合",'クレカ・現金'!$I$2:$I1000,"&lt;&gt;",TEXT('クレカ・現金'!$H$2:$H1000,"yyyy-mm"),TEXT(G$1,"yyyy-mm"))</f>
        <v>0</v>
      </c>
      <c r="H3" s="13">
        <f t="array" ref="H3">SUMIFS('クレカ・現金'!$E$2:$E1000,'クレカ・現金'!$F$2:$F1000,"現金",'クレカ・現金'!$I$2:$I1000,"&lt;&gt;未照合",'クレカ・現金'!$I$2:$I1000,"&lt;&gt;",TEXT('クレカ・現金'!$H$2:$H1000,"yyyy-mm"),TEXT(H$1,"yyyy-mm"))</f>
        <v>0</v>
      </c>
      <c r="I3" s="13">
        <f t="array" ref="I3">SUMIFS('クレカ・現金'!$E$2:$E1000,'クレカ・現金'!$F$2:$F1000,"現金",'クレカ・現金'!$I$2:$I1000,"&lt;&gt;未照合",'クレカ・現金'!$I$2:$I1000,"&lt;&gt;",TEXT('クレカ・現金'!$H$2:$H1000,"yyyy-mm"),TEXT(I$1,"yyyy-mm"))</f>
        <v>0</v>
      </c>
      <c r="J3" s="13">
        <f t="array" ref="J3">SUMIFS('クレカ・現金'!$E$2:$E1000,'クレカ・現金'!$F$2:$F1000,"現金",'クレカ・現金'!$I$2:$I1000,"&lt;&gt;未照合",'クレカ・現金'!$I$2:$I1000,"&lt;&gt;",TEXT('クレカ・現金'!$H$2:$H1000,"yyyy-mm"),TEXT(J$1,"yyyy-mm"))</f>
        <v>0</v>
      </c>
      <c r="K3" s="13">
        <f t="array" ref="K3">SUMIFS('クレカ・現金'!$E$2:$E1000,'クレカ・現金'!$F$2:$F1000,"現金",'クレカ・現金'!$I$2:$I1000,"&lt;&gt;未照合",'クレカ・現金'!$I$2:$I1000,"&lt;&gt;",TEXT('クレカ・現金'!$H$2:$H1000,"yyyy-mm"),TEXT(K$1,"yyyy-mm"))</f>
        <v>0</v>
      </c>
      <c r="L3" s="13">
        <f t="array" ref="L3">SUMIFS('クレカ・現金'!$E$2:$E1000,'クレカ・現金'!$F$2:$F1000,"現金",'クレカ・現金'!$I$2:$I1000,"&lt;&gt;未照合",'クレカ・現金'!$I$2:$I1000,"&lt;&gt;",TEXT('クレカ・現金'!$H$2:$H1000,"yyyy-mm"),TEXT(L$1,"yyyy-mm"))</f>
        <v>0</v>
      </c>
      <c r="M3" s="13">
        <f t="array" ref="M3">SUMIFS('クレカ・現金'!$E$2:$E1000,'クレカ・現金'!$F$2:$F1000,"現金",'クレカ・現金'!$I$2:$I1000,"&lt;&gt;未照合",'クレカ・現金'!$I$2:$I1000,"&lt;&gt;",TEXT('クレカ・現金'!$H$2:$H1000,"yyyy-mm"),TEXT(M$1,"yyyy-mm"))</f>
        <v>0</v>
      </c>
    </row>
    <row r="4" ht="15.75" customHeight="1">
      <c r="A4" s="14" t="s">
        <v>47</v>
      </c>
      <c r="B4" s="15">
        <f t="array" ref="B4">SUMIFS('クレカ・現金'!$E$2:$E1000,'クレカ・現金'!$F$2:$F1000,"クレカ",'クレカ・現金'!$I$2:$I1000,"&lt;&gt;未照合",'クレカ・現金'!$I$2:$I1000,"&lt;&gt;",TEXT('クレカ・現金'!$H$2:$H1000,"yyyy-mm"),TEXT(B$1,"yyyy-mm"))</f>
        <v>0</v>
      </c>
      <c r="C4" s="15">
        <f t="array" ref="C4">SUMIFS('クレカ・現金'!$E$2:$E1000,'クレカ・現金'!$F$2:$F1000,"クレカ",'クレカ・現金'!$I$2:$I1000,"&lt;&gt;未照合",'クレカ・現金'!$I$2:$I1000,"&lt;&gt;",TEXT('クレカ・現金'!$H$2:$H1000,"yyyy-mm"),TEXT(C$1,"yyyy-mm"))</f>
        <v>574991</v>
      </c>
      <c r="D4" s="15">
        <f t="array" ref="D4">SUMIFS('クレカ・現金'!$E$2:$E1000,'クレカ・現金'!$F$2:$F1000,"クレカ",'クレカ・現金'!$I$2:$I1000,"&lt;&gt;未照合",'クレカ・現金'!$I$2:$I1000,"&lt;&gt;",TEXT('クレカ・現金'!$H$2:$H1000,"yyyy-mm"),TEXT(D$1,"yyyy-mm"))</f>
        <v>162250</v>
      </c>
      <c r="E4" s="15">
        <f t="array" ref="E4">SUMIFS('クレカ・現金'!$E$2:$E1000,'クレカ・現金'!$F$2:$F1000,"クレカ",'クレカ・現金'!$I$2:$I1000,"&lt;&gt;未照合",'クレカ・現金'!$I$2:$I1000,"&lt;&gt;",TEXT('クレカ・現金'!$H$2:$H1000,"yyyy-mm"),TEXT(E$1,"yyyy-mm"))</f>
        <v>0</v>
      </c>
      <c r="F4" s="15">
        <f t="array" ref="F4">SUMIFS('クレカ・現金'!$E$2:$E1000,'クレカ・現金'!$F$2:$F1000,"クレカ",'クレカ・現金'!$I$2:$I1000,"&lt;&gt;未照合",'クレカ・現金'!$I$2:$I1000,"&lt;&gt;",TEXT('クレカ・現金'!$H$2:$H1000,"yyyy-mm"),TEXT(F$1,"yyyy-mm"))</f>
        <v>0</v>
      </c>
      <c r="G4" s="15">
        <f t="array" ref="G4">SUMIFS('クレカ・現金'!$E$2:$E1000,'クレカ・現金'!$F$2:$F1000,"クレカ",'クレカ・現金'!$I$2:$I1000,"&lt;&gt;未照合",'クレカ・現金'!$I$2:$I1000,"&lt;&gt;",TEXT('クレカ・現金'!$H$2:$H1000,"yyyy-mm"),TEXT(G$1,"yyyy-mm"))</f>
        <v>0</v>
      </c>
      <c r="H4" s="15">
        <f t="array" ref="H4">SUMIFS('クレカ・現金'!$E$2:$E1000,'クレカ・現金'!$F$2:$F1000,"クレカ",'クレカ・現金'!$I$2:$I1000,"&lt;&gt;未照合",'クレカ・現金'!$I$2:$I1000,"&lt;&gt;",TEXT('クレカ・現金'!$H$2:$H1000,"yyyy-mm"),TEXT(H$1,"yyyy-mm"))</f>
        <v>0</v>
      </c>
      <c r="I4" s="15">
        <f t="array" ref="I4">SUMIFS('クレカ・現金'!$E$2:$E1000,'クレカ・現金'!$F$2:$F1000,"クレカ",'クレカ・現金'!$I$2:$I1000,"&lt;&gt;未照合",'クレカ・現金'!$I$2:$I1000,"&lt;&gt;",TEXT('クレカ・現金'!$H$2:$H1000,"yyyy-mm"),TEXT(I$1,"yyyy-mm"))</f>
        <v>0</v>
      </c>
      <c r="J4" s="15">
        <f t="array" ref="J4">SUMIFS('クレカ・現金'!$E$2:$E1000,'クレカ・現金'!$F$2:$F1000,"クレカ",'クレカ・現金'!$I$2:$I1000,"&lt;&gt;未照合",'クレカ・現金'!$I$2:$I1000,"&lt;&gt;",TEXT('クレカ・現金'!$H$2:$H1000,"yyyy-mm"),TEXT(J$1,"yyyy-mm"))</f>
        <v>0</v>
      </c>
      <c r="K4" s="15">
        <f t="array" ref="K4">SUMIFS('クレカ・現金'!$E$2:$E1000,'クレカ・現金'!$F$2:$F1000,"クレカ",'クレカ・現金'!$I$2:$I1000,"&lt;&gt;未照合",'クレカ・現金'!$I$2:$I1000,"&lt;&gt;",TEXT('クレカ・現金'!$H$2:$H1000,"yyyy-mm"),TEXT(K$1,"yyyy-mm"))</f>
        <v>0</v>
      </c>
      <c r="L4" s="15">
        <f t="array" ref="L4">SUMIFS('クレカ・現金'!$E$2:$E1000,'クレカ・現金'!$F$2:$F1000,"クレカ",'クレカ・現金'!$I$2:$I1000,"&lt;&gt;未照合",'クレカ・現金'!$I$2:$I1000,"&lt;&gt;",TEXT('クレカ・現金'!$H$2:$H1000,"yyyy-mm"),TEXT(L$1,"yyyy-mm"))</f>
        <v>0</v>
      </c>
      <c r="M4" s="15">
        <f t="array" ref="M4">SUMIFS('クレカ・現金'!$E$2:$E1000,'クレカ・現金'!$F$2:$F1000,"クレカ",'クレカ・現金'!$I$2:$I1000,"&lt;&gt;未照合",'クレカ・現金'!$I$2:$I1000,"&lt;&gt;",TEXT('クレカ・現金'!$H$2:$H1000,"yyyy-mm"),TEXT(M$1,"yyyy-mm"))</f>
        <v>0</v>
      </c>
    </row>
    <row r="5" ht="15.75" customHeight="1">
      <c r="A5" s="10" t="s">
        <v>48</v>
      </c>
      <c r="B5" s="11">
        <f t="array" ref="B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TEXT('銀行データチェック用'!$H$2:$H1000,"yyyy-mm"),TEXT(B$1,"yyyy-mm")
)</f>
        <v>67149856</v>
      </c>
      <c r="C5" s="11">
        <f t="array" ref="C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TEXT('銀行データチェック用'!$H$2:$H1000,"yyyy-mm"),TEXT(C$1,"yyyy-mm")
)</f>
        <v>-3713760</v>
      </c>
      <c r="D5" s="11">
        <f t="array" ref="D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TEXT('銀行データチェック用'!$H$2:$H1000,"yyyy-mm"),TEXT(D$1,"yyyy-mm")
)</f>
        <v>11959086</v>
      </c>
      <c r="E5" s="11">
        <f t="array" ref="E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TEXT('銀行データチェック用'!$H$2:$H1000,"yyyy-mm"),TEXT(E$1,"yyyy-mm")
)</f>
        <v>0</v>
      </c>
      <c r="F5" s="11">
        <f t="array" ref="F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TEXT('銀行データチェック用'!$H$2:$H1000,"yyyy-mm"),TEXT(F$1,"yyyy-mm")
)</f>
        <v>0</v>
      </c>
      <c r="G5" s="11">
        <f t="array" ref="G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TEXT('銀行データチェック用'!$H$2:$H1000,"yyyy-mm"),TEXT(G$1,"yyyy-mm")
)</f>
        <v>0</v>
      </c>
      <c r="H5" s="11">
        <f t="array" ref="H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TEXT('銀行データチェック用'!$H$2:$H1000,"yyyy-mm"),TEXT(H$1,"yyyy-mm")
)</f>
        <v>0</v>
      </c>
      <c r="I5" s="11">
        <f t="array" ref="I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TEXT('銀行データチェック用'!$H$2:$H1000,"yyyy-mm"),TEXT(I$1,"yyyy-mm")
)</f>
        <v>0</v>
      </c>
      <c r="J5" s="11">
        <f t="array" ref="J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TEXT('銀行データチェック用'!$H$2:$H1000,"yyyy-mm"),TEXT(J$1,"yyyy-mm")
)</f>
        <v>0</v>
      </c>
      <c r="K5" s="11">
        <f t="array" ref="K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TEXT('銀行データチェック用'!$H$2:$H1000,"yyyy-mm"),TEXT(K$1,"yyyy-mm")
)</f>
        <v>0</v>
      </c>
      <c r="L5" s="11">
        <f t="array" ref="L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TEXT('銀行データチェック用'!$H$2:$H1000,"yyyy-mm"),TEXT(L$1,"yyyy-mm")
)</f>
        <v>0</v>
      </c>
      <c r="M5" s="11">
        <f t="array" ref="M5">SUMIFS('銀行データチェック用'!$D$2:$D1000,
'銀行データチェック用'!$G$2:$G1000,"&lt;&gt;未照合",
'銀行データチェック用'!$G$2:$G1000,"&lt;&gt;",
'銀行データチェック用'!$I$2:$I1000,"",
TEXT('銀行データチェック用'!$H$2:$H1000,"yyyy-mm"),TEXT(M$1,"yyyy-mm")
)</f>
        <v>0</v>
      </c>
    </row>
    <row r="6" ht="15.75" customHeight="1">
      <c r="A6" s="12" t="s">
        <v>49</v>
      </c>
      <c r="B6" s="13">
        <f t="array" ref="B6">SUMPRODUCT(('振込入金リスト一覧'!$AH$2:$AH1000*1),(TEXT('振込入金リスト一覧'!$D$2:$D1000,"yyyy-mm")=TEXT(B$1,"yyyy-mm")))</f>
        <v>57469460</v>
      </c>
      <c r="C6" s="13">
        <f t="array" ref="C6">SUMPRODUCT(('振込入金リスト一覧'!$AH$2:$AH1000*1),(TEXT('振込入金リスト一覧'!$D$2:$D1000,"yyyy-mm")=TEXT(C$1,"yyyy-mm")))</f>
        <v>70362465</v>
      </c>
      <c r="D6" s="13">
        <f t="array" ref="D6">SUMPRODUCT(('振込入金リスト一覧'!$AH$2:$AH1000*1),(TEXT('振込入金リスト一覧'!$D$2:$D1000,"yyyy-mm")=TEXT(D$1,"yyyy-mm")))</f>
        <v>0</v>
      </c>
      <c r="E6" s="13">
        <f t="array" ref="E6">SUMPRODUCT(('振込入金リスト一覧'!$AH$2:$AH1000*1),(TEXT('振込入金リスト一覧'!$D$2:$D1000,"yyyy-mm")=TEXT(E$1,"yyyy-mm")))</f>
        <v>0</v>
      </c>
      <c r="F6" s="13">
        <f t="array" ref="F6">SUMPRODUCT(('振込入金リスト一覧'!$AH$2:$AH1000*1),(TEXT('振込入金リスト一覧'!$D$2:$D1000,"yyyy-mm")=TEXT(F$1,"yyyy-mm")))</f>
        <v>8823110</v>
      </c>
      <c r="G6" s="13">
        <f t="array" ref="G6">SUMPRODUCT(('振込入金リスト一覧'!$AH$2:$AH1000*1),(TEXT('振込入金リスト一覧'!$D$2:$D1000,"yyyy-mm")=TEXT(G$1,"yyyy-mm")))</f>
        <v>0</v>
      </c>
      <c r="H6" s="13">
        <f t="array" ref="H6">SUMPRODUCT(('振込入金リスト一覧'!$AH$2:$AH1000*1),(TEXT('振込入金リスト一覧'!$D$2:$D1000,"yyyy-mm")=TEXT(H$1,"yyyy-mm")))</f>
        <v>10495280</v>
      </c>
      <c r="I6" s="13">
        <f t="array" ref="I6">SUMPRODUCT(('振込入金リスト一覧'!$AH$2:$AH1000*1),(TEXT('振込入金リスト一覧'!$D$2:$D1000,"yyyy-mm")=TEXT(I$1,"yyyy-mm")))</f>
        <v>25219213</v>
      </c>
      <c r="J6" s="13">
        <f t="array" ref="J6">SUMPRODUCT(('振込入金リスト一覧'!$AH$2:$AH1000*1),(TEXT('振込入金リスト一覧'!$D$2:$D1000,"yyyy-mm")=TEXT(J$1,"yyyy-mm")))</f>
        <v>0</v>
      </c>
      <c r="K6" s="13">
        <f t="array" ref="K6">SUMPRODUCT(('振込入金リスト一覧'!$AH$2:$AH1000*1),(TEXT('振込入金リスト一覧'!$D$2:$D1000,"yyyy-mm")=TEXT(K$1,"yyyy-mm")))</f>
        <v>34251630</v>
      </c>
      <c r="L6" s="13">
        <f t="array" ref="L6">SUMPRODUCT(('振込入金リスト一覧'!$AH$2:$AH1000*1),(TEXT('振込入金リスト一覧'!$D$2:$D1000,"yyyy-mm")=TEXT(L$1,"yyyy-mm")))</f>
        <v>0</v>
      </c>
      <c r="M6" s="13">
        <f t="array" ref="M6">SUMPRODUCT(('振込入金リスト一覧'!$AH$2:$AH1000*1),(TEXT('振込入金リスト一覧'!$D$2:$D1000,"yyyy-mm")=TEXT(M$1,"yyyy-mm")))</f>
        <v>0</v>
      </c>
    </row>
    <row r="7" ht="15.75" customHeight="1">
      <c r="A7" s="14" t="s">
        <v>50</v>
      </c>
      <c r="B7" s="15">
        <f t="shared" ref="B7:M7" si="2">B6-B2</f>
        <v>-9680396</v>
      </c>
      <c r="C7" s="15">
        <f t="shared" si="2"/>
        <v>73501234</v>
      </c>
      <c r="D7" s="15">
        <f t="shared" si="2"/>
        <v>-12121336</v>
      </c>
      <c r="E7" s="15">
        <f t="shared" si="2"/>
        <v>0</v>
      </c>
      <c r="F7" s="15">
        <f t="shared" si="2"/>
        <v>8823110</v>
      </c>
      <c r="G7" s="15">
        <f t="shared" si="2"/>
        <v>0</v>
      </c>
      <c r="H7" s="15">
        <f t="shared" si="2"/>
        <v>10495280</v>
      </c>
      <c r="I7" s="15">
        <f t="shared" si="2"/>
        <v>25219213</v>
      </c>
      <c r="J7" s="15">
        <f t="shared" si="2"/>
        <v>0</v>
      </c>
      <c r="K7" s="15">
        <f t="shared" si="2"/>
        <v>34251630</v>
      </c>
      <c r="L7" s="15">
        <f t="shared" si="2"/>
        <v>0</v>
      </c>
      <c r="M7" s="15">
        <f t="shared" si="2"/>
        <v>0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63"/>
    <col customWidth="1" min="2" max="4" width="14.75"/>
    <col customWidth="1" min="5" max="5" width="22.38"/>
    <col customWidth="1" min="6" max="6" width="46.38"/>
    <col customWidth="1" hidden="1" min="7" max="7" width="14.75"/>
    <col customWidth="1" min="8" max="8" width="14.75"/>
    <col customWidth="1" hidden="1" min="9" max="27" width="14.75"/>
    <col customWidth="1" min="28" max="29" width="14.75"/>
    <col customWidth="1" hidden="1" min="30" max="33" width="14.75"/>
    <col customWidth="1" min="34" max="34" width="14.75"/>
    <col customWidth="1" hidden="1" min="35" max="42" width="14.75"/>
    <col customWidth="1" min="43" max="44" width="14.75"/>
    <col customWidth="1" hidden="1" min="45" max="113" width="14.75"/>
    <col customWidth="1" min="114" max="114" width="14.75"/>
    <col customWidth="1" hidden="1" min="115" max="124" width="14.75"/>
    <col customWidth="1" min="125" max="158" width="14.75"/>
  </cols>
  <sheetData>
    <row r="1" ht="15.75" customHeight="1">
      <c r="A1" s="76" t="s">
        <v>350</v>
      </c>
      <c r="B1" s="76" t="s">
        <v>351</v>
      </c>
      <c r="C1" s="76" t="s">
        <v>352</v>
      </c>
      <c r="D1" s="76" t="s">
        <v>61</v>
      </c>
      <c r="E1" s="76" t="s">
        <v>117</v>
      </c>
      <c r="F1" s="76" t="s">
        <v>118</v>
      </c>
      <c r="G1" s="76" t="s">
        <v>353</v>
      </c>
      <c r="H1" s="76" t="s">
        <v>354</v>
      </c>
      <c r="I1" s="76" t="s">
        <v>355</v>
      </c>
      <c r="J1" s="76" t="s">
        <v>356</v>
      </c>
      <c r="K1" s="76" t="s">
        <v>357</v>
      </c>
      <c r="L1" s="76" t="s">
        <v>358</v>
      </c>
      <c r="M1" s="76" t="s">
        <v>359</v>
      </c>
      <c r="N1" s="76" t="s">
        <v>360</v>
      </c>
      <c r="O1" s="76" t="s">
        <v>361</v>
      </c>
      <c r="P1" s="76" t="s">
        <v>362</v>
      </c>
      <c r="Q1" s="76" t="s">
        <v>363</v>
      </c>
      <c r="R1" s="76" t="s">
        <v>364</v>
      </c>
      <c r="S1" s="76" t="s">
        <v>365</v>
      </c>
      <c r="T1" s="76" t="s">
        <v>366</v>
      </c>
      <c r="U1" s="76" t="s">
        <v>367</v>
      </c>
      <c r="V1" s="76" t="s">
        <v>368</v>
      </c>
      <c r="W1" s="76" t="s">
        <v>369</v>
      </c>
      <c r="X1" s="76" t="s">
        <v>370</v>
      </c>
      <c r="Y1" s="76" t="s">
        <v>371</v>
      </c>
      <c r="Z1" s="76" t="s">
        <v>372</v>
      </c>
      <c r="AA1" s="76" t="s">
        <v>373</v>
      </c>
      <c r="AB1" s="76" t="s">
        <v>374</v>
      </c>
      <c r="AC1" s="76" t="s">
        <v>375</v>
      </c>
      <c r="AD1" s="76" t="s">
        <v>376</v>
      </c>
      <c r="AE1" s="76" t="s">
        <v>377</v>
      </c>
      <c r="AF1" s="76" t="s">
        <v>378</v>
      </c>
      <c r="AG1" s="76" t="s">
        <v>379</v>
      </c>
      <c r="AH1" s="77" t="s">
        <v>120</v>
      </c>
      <c r="AI1" s="76"/>
      <c r="AJ1" s="76" t="s">
        <v>380</v>
      </c>
      <c r="AK1" s="76" t="s">
        <v>381</v>
      </c>
      <c r="AL1" s="76" t="s">
        <v>382</v>
      </c>
      <c r="AM1" s="76" t="s">
        <v>383</v>
      </c>
      <c r="AN1" s="76" t="s">
        <v>384</v>
      </c>
      <c r="AO1" s="76" t="s">
        <v>385</v>
      </c>
      <c r="AP1" s="76" t="s">
        <v>386</v>
      </c>
      <c r="AQ1" s="76" t="s">
        <v>387</v>
      </c>
      <c r="AR1" s="76" t="s">
        <v>388</v>
      </c>
      <c r="AS1" s="76" t="s">
        <v>389</v>
      </c>
      <c r="AT1" s="76" t="s">
        <v>390</v>
      </c>
      <c r="AU1" s="76" t="s">
        <v>391</v>
      </c>
      <c r="AV1" s="76" t="s">
        <v>392</v>
      </c>
      <c r="AW1" s="76" t="s">
        <v>393</v>
      </c>
      <c r="AX1" s="76" t="s">
        <v>394</v>
      </c>
      <c r="AY1" s="76" t="s">
        <v>395</v>
      </c>
      <c r="AZ1" s="76" t="s">
        <v>396</v>
      </c>
      <c r="BA1" s="76" t="s">
        <v>397</v>
      </c>
      <c r="BB1" s="76" t="s">
        <v>398</v>
      </c>
      <c r="BC1" s="76" t="s">
        <v>399</v>
      </c>
      <c r="BD1" s="76" t="s">
        <v>400</v>
      </c>
      <c r="BE1" s="76" t="s">
        <v>401</v>
      </c>
      <c r="BF1" s="76" t="s">
        <v>402</v>
      </c>
      <c r="BG1" s="76" t="s">
        <v>403</v>
      </c>
      <c r="BH1" s="76" t="s">
        <v>404</v>
      </c>
      <c r="BI1" s="76" t="s">
        <v>405</v>
      </c>
      <c r="BJ1" s="76" t="s">
        <v>406</v>
      </c>
      <c r="BK1" s="76" t="s">
        <v>407</v>
      </c>
      <c r="BL1" s="76" t="s">
        <v>408</v>
      </c>
      <c r="BM1" s="76" t="s">
        <v>409</v>
      </c>
      <c r="BN1" s="76" t="s">
        <v>410</v>
      </c>
      <c r="BO1" s="76" t="s">
        <v>411</v>
      </c>
      <c r="BP1" s="76" t="s">
        <v>412</v>
      </c>
      <c r="BQ1" s="76" t="s">
        <v>413</v>
      </c>
      <c r="BR1" s="76" t="s">
        <v>414</v>
      </c>
      <c r="BS1" s="76" t="s">
        <v>415</v>
      </c>
      <c r="BT1" s="76" t="s">
        <v>416</v>
      </c>
      <c r="BU1" s="76" t="s">
        <v>417</v>
      </c>
      <c r="BV1" s="76" t="s">
        <v>418</v>
      </c>
      <c r="BW1" s="76" t="s">
        <v>419</v>
      </c>
      <c r="BX1" s="76" t="s">
        <v>420</v>
      </c>
      <c r="BY1" s="76" t="s">
        <v>421</v>
      </c>
      <c r="BZ1" s="76" t="s">
        <v>422</v>
      </c>
      <c r="CA1" s="76" t="s">
        <v>423</v>
      </c>
      <c r="CB1" s="76" t="s">
        <v>424</v>
      </c>
      <c r="CC1" s="76" t="s">
        <v>425</v>
      </c>
      <c r="CD1" s="76" t="s">
        <v>426</v>
      </c>
      <c r="CE1" s="76" t="s">
        <v>427</v>
      </c>
      <c r="CF1" s="76" t="s">
        <v>428</v>
      </c>
      <c r="CG1" s="76" t="s">
        <v>429</v>
      </c>
      <c r="CH1" s="76" t="s">
        <v>430</v>
      </c>
      <c r="CI1" s="76" t="s">
        <v>431</v>
      </c>
      <c r="CJ1" s="76" t="s">
        <v>432</v>
      </c>
      <c r="CK1" s="76" t="s">
        <v>433</v>
      </c>
      <c r="CL1" s="76" t="s">
        <v>434</v>
      </c>
      <c r="CM1" s="76" t="s">
        <v>435</v>
      </c>
      <c r="CN1" s="76" t="s">
        <v>436</v>
      </c>
      <c r="CO1" s="76" t="s">
        <v>437</v>
      </c>
      <c r="CP1" s="76" t="s">
        <v>438</v>
      </c>
      <c r="CQ1" s="76" t="s">
        <v>439</v>
      </c>
      <c r="CR1" s="76" t="s">
        <v>440</v>
      </c>
      <c r="CS1" s="76" t="s">
        <v>441</v>
      </c>
      <c r="CT1" s="76" t="s">
        <v>442</v>
      </c>
      <c r="CU1" s="76" t="s">
        <v>443</v>
      </c>
      <c r="CV1" s="76" t="s">
        <v>444</v>
      </c>
      <c r="CW1" s="76" t="s">
        <v>445</v>
      </c>
      <c r="CX1" s="76" t="s">
        <v>446</v>
      </c>
      <c r="CY1" s="76" t="s">
        <v>447</v>
      </c>
      <c r="CZ1" s="76" t="s">
        <v>448</v>
      </c>
      <c r="DA1" s="76" t="s">
        <v>449</v>
      </c>
      <c r="DB1" s="76" t="s">
        <v>450</v>
      </c>
      <c r="DC1" s="76" t="s">
        <v>451</v>
      </c>
      <c r="DD1" s="76" t="s">
        <v>452</v>
      </c>
      <c r="DE1" s="76" t="s">
        <v>453</v>
      </c>
      <c r="DF1" s="76" t="s">
        <v>454</v>
      </c>
      <c r="DG1" s="76" t="s">
        <v>455</v>
      </c>
      <c r="DH1" s="76" t="s">
        <v>456</v>
      </c>
      <c r="DI1" s="76" t="s">
        <v>457</v>
      </c>
      <c r="DJ1" s="76" t="s">
        <v>458</v>
      </c>
      <c r="DK1" s="76" t="s">
        <v>459</v>
      </c>
      <c r="DL1" s="76" t="s">
        <v>460</v>
      </c>
      <c r="DM1" s="76" t="s">
        <v>461</v>
      </c>
      <c r="DN1" s="76" t="s">
        <v>462</v>
      </c>
      <c r="DO1" s="76" t="s">
        <v>463</v>
      </c>
      <c r="DP1" s="76" t="s">
        <v>464</v>
      </c>
      <c r="DQ1" s="76" t="s">
        <v>465</v>
      </c>
      <c r="DR1" s="76" t="s">
        <v>466</v>
      </c>
      <c r="DS1" s="76" t="s">
        <v>467</v>
      </c>
      <c r="DT1" s="76" t="s">
        <v>49</v>
      </c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 t="s">
        <v>68</v>
      </c>
      <c r="EO1" s="76" t="s">
        <v>122</v>
      </c>
      <c r="EP1" s="76" t="s">
        <v>123</v>
      </c>
      <c r="EQ1" s="76" t="s">
        <v>124</v>
      </c>
      <c r="ER1" s="76" t="s">
        <v>125</v>
      </c>
      <c r="ES1" s="76" t="s">
        <v>126</v>
      </c>
      <c r="ET1" s="76" t="s">
        <v>127</v>
      </c>
      <c r="EU1" s="76" t="s">
        <v>82</v>
      </c>
      <c r="EV1" s="76"/>
      <c r="EW1" s="76"/>
      <c r="EX1" s="76"/>
      <c r="EY1" s="76"/>
      <c r="EZ1" s="76"/>
      <c r="FA1" s="76"/>
      <c r="FB1" s="76"/>
    </row>
    <row r="2" ht="15.75" customHeight="1">
      <c r="A2" s="19"/>
      <c r="B2" s="4" t="s">
        <v>468</v>
      </c>
      <c r="C2" s="4" t="s">
        <v>469</v>
      </c>
      <c r="D2" s="78">
        <v>46054.0</v>
      </c>
      <c r="E2" s="4" t="s">
        <v>470</v>
      </c>
      <c r="F2" s="19"/>
      <c r="AH2" s="23">
        <v>3.449784E7</v>
      </c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  <c r="AZ2" s="19"/>
      <c r="BA2" s="19"/>
      <c r="BB2" s="19"/>
      <c r="BC2" s="19"/>
      <c r="BD2" s="19"/>
      <c r="BE2" s="19"/>
      <c r="BF2" s="19"/>
      <c r="BG2" s="19"/>
      <c r="BH2" s="19"/>
      <c r="BI2" s="19"/>
      <c r="BJ2" s="19"/>
      <c r="BK2" s="19"/>
      <c r="BL2" s="19"/>
      <c r="BM2" s="19"/>
      <c r="BN2" s="19"/>
      <c r="BO2" s="19"/>
      <c r="BP2" s="19"/>
      <c r="BQ2" s="19"/>
      <c r="BR2" s="19"/>
      <c r="BS2" s="19"/>
      <c r="BT2" s="19"/>
      <c r="BU2" s="19"/>
      <c r="BV2" s="19"/>
      <c r="BW2" s="19"/>
      <c r="BX2" s="19"/>
      <c r="BY2" s="19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19"/>
      <c r="CV2" s="19"/>
      <c r="CW2" s="19"/>
      <c r="CX2" s="19"/>
      <c r="CY2" s="19"/>
      <c r="CZ2" s="19"/>
      <c r="DA2" s="19"/>
      <c r="DB2" s="19"/>
      <c r="DC2" s="19"/>
      <c r="DD2" s="19"/>
      <c r="DE2" s="19"/>
      <c r="DF2" s="19"/>
      <c r="DG2" s="19"/>
      <c r="DH2" s="19"/>
      <c r="DI2" s="19"/>
      <c r="DJ2" s="19"/>
      <c r="DK2" s="19"/>
      <c r="DL2" s="19"/>
      <c r="DM2" s="19"/>
      <c r="DN2" s="19"/>
      <c r="DO2" s="19"/>
      <c r="DP2" s="19"/>
      <c r="DQ2" s="19"/>
      <c r="DR2" s="19"/>
      <c r="DS2" s="19"/>
      <c r="DT2" s="19"/>
      <c r="DU2" s="19"/>
      <c r="DV2" s="19"/>
      <c r="DW2" s="19"/>
      <c r="DX2" s="19"/>
      <c r="DY2" s="19"/>
      <c r="DZ2" s="19"/>
      <c r="EA2" s="19"/>
      <c r="EB2" s="19"/>
      <c r="EC2" s="19"/>
      <c r="ED2" s="19"/>
      <c r="EE2" s="19"/>
      <c r="EF2" s="19"/>
      <c r="EG2" s="19"/>
      <c r="EH2" s="19"/>
      <c r="EI2" s="19"/>
      <c r="EJ2" s="19"/>
      <c r="EK2" s="19"/>
      <c r="EL2" s="19"/>
      <c r="EM2" s="19"/>
      <c r="EN2" s="4" t="s">
        <v>79</v>
      </c>
      <c r="EO2" s="19"/>
      <c r="EP2" s="17"/>
      <c r="EQ2" s="23"/>
      <c r="ER2" s="23" t="str">
        <f t="shared" ref="ER2:ER606" si="1">IF(AND($AH2&lt;&gt;"",$EQ2&lt;&gt;""),$AH2-$EQ2,"")</f>
        <v/>
      </c>
      <c r="ES2" s="19"/>
      <c r="ET2" s="19" t="str">
        <f t="shared" ref="ET2:ET606" si="2">IF($ES2="入金済","",IF($EP2="","",IF(TODAY()&gt;$EP2,"期限超過",IF(TODAY()&gt;=$EP2-3,"期限間近",""))))</f>
        <v/>
      </c>
      <c r="EU2" s="19"/>
      <c r="EV2" s="19"/>
      <c r="EW2" s="19"/>
      <c r="EX2" s="19"/>
      <c r="EY2" s="19"/>
      <c r="EZ2" s="19"/>
      <c r="FA2" s="19"/>
      <c r="FB2" s="19"/>
    </row>
    <row r="3" ht="15.75" customHeight="1">
      <c r="A3" s="19"/>
      <c r="B3" s="4" t="s">
        <v>468</v>
      </c>
      <c r="C3" s="4" t="s">
        <v>469</v>
      </c>
      <c r="D3" s="78">
        <v>46057.0</v>
      </c>
      <c r="E3" s="4" t="s">
        <v>471</v>
      </c>
      <c r="F3" s="19"/>
      <c r="AH3" s="23">
        <v>6408438.0</v>
      </c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9"/>
      <c r="BP3" s="19"/>
      <c r="BQ3" s="19"/>
      <c r="BR3" s="19"/>
      <c r="BS3" s="19"/>
      <c r="BT3" s="19"/>
      <c r="BU3" s="19"/>
      <c r="BV3" s="19"/>
      <c r="BW3" s="19"/>
      <c r="BX3" s="19"/>
      <c r="BY3" s="19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19"/>
      <c r="CV3" s="19"/>
      <c r="CW3" s="19"/>
      <c r="CX3" s="19"/>
      <c r="CY3" s="19"/>
      <c r="CZ3" s="19"/>
      <c r="DA3" s="19"/>
      <c r="DB3" s="19"/>
      <c r="DC3" s="19"/>
      <c r="DD3" s="19"/>
      <c r="DE3" s="19"/>
      <c r="DF3" s="19"/>
      <c r="DG3" s="19"/>
      <c r="DH3" s="19"/>
      <c r="DI3" s="19"/>
      <c r="DJ3" s="19"/>
      <c r="DK3" s="19"/>
      <c r="DL3" s="19"/>
      <c r="DM3" s="19"/>
      <c r="DN3" s="19"/>
      <c r="DO3" s="19"/>
      <c r="DP3" s="19"/>
      <c r="DQ3" s="19"/>
      <c r="DR3" s="19"/>
      <c r="DS3" s="19"/>
      <c r="DT3" s="19"/>
      <c r="DU3" s="19"/>
      <c r="DV3" s="19"/>
      <c r="DW3" s="19"/>
      <c r="DX3" s="19"/>
      <c r="DY3" s="19"/>
      <c r="DZ3" s="19"/>
      <c r="EA3" s="19"/>
      <c r="EB3" s="19"/>
      <c r="EC3" s="19"/>
      <c r="ED3" s="19"/>
      <c r="EE3" s="19"/>
      <c r="EF3" s="19"/>
      <c r="EG3" s="19"/>
      <c r="EH3" s="19"/>
      <c r="EI3" s="19"/>
      <c r="EJ3" s="19"/>
      <c r="EK3" s="19"/>
      <c r="EL3" s="19"/>
      <c r="EM3" s="19"/>
      <c r="EN3" s="4" t="s">
        <v>79</v>
      </c>
      <c r="EO3" s="19"/>
      <c r="EP3" s="17"/>
      <c r="EQ3" s="23"/>
      <c r="ER3" s="23" t="str">
        <f t="shared" si="1"/>
        <v/>
      </c>
      <c r="ES3" s="19"/>
      <c r="ET3" s="19" t="str">
        <f t="shared" si="2"/>
        <v/>
      </c>
      <c r="EU3" s="19"/>
      <c r="EV3" s="19"/>
      <c r="EW3" s="19"/>
      <c r="EX3" s="19"/>
      <c r="EY3" s="19"/>
      <c r="EZ3" s="19"/>
      <c r="FA3" s="19"/>
      <c r="FB3" s="19"/>
    </row>
    <row r="4" ht="15.75" customHeight="1">
      <c r="A4" s="19"/>
      <c r="B4" s="4" t="s">
        <v>468</v>
      </c>
      <c r="C4" s="4" t="s">
        <v>469</v>
      </c>
      <c r="D4" s="78">
        <v>46060.0</v>
      </c>
      <c r="E4" s="4" t="s">
        <v>472</v>
      </c>
      <c r="F4" s="19"/>
      <c r="AH4" s="23">
        <v>1.032278E7</v>
      </c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  <c r="BP4" s="19"/>
      <c r="BQ4" s="19"/>
      <c r="BR4" s="19"/>
      <c r="BS4" s="19"/>
      <c r="BT4" s="19"/>
      <c r="BU4" s="19"/>
      <c r="BV4" s="19"/>
      <c r="BW4" s="19"/>
      <c r="BX4" s="19"/>
      <c r="BY4" s="19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19"/>
      <c r="CV4" s="19"/>
      <c r="CW4" s="19"/>
      <c r="CX4" s="19"/>
      <c r="CY4" s="19"/>
      <c r="CZ4" s="19"/>
      <c r="DA4" s="19"/>
      <c r="DB4" s="19"/>
      <c r="DC4" s="19"/>
      <c r="DD4" s="19"/>
      <c r="DE4" s="19"/>
      <c r="DF4" s="19"/>
      <c r="DG4" s="19"/>
      <c r="DH4" s="19"/>
      <c r="DI4" s="19"/>
      <c r="DJ4" s="19"/>
      <c r="DK4" s="19"/>
      <c r="DL4" s="19"/>
      <c r="DM4" s="19"/>
      <c r="DN4" s="19"/>
      <c r="DO4" s="19"/>
      <c r="DP4" s="19"/>
      <c r="DQ4" s="19"/>
      <c r="DR4" s="19"/>
      <c r="DS4" s="19"/>
      <c r="DT4" s="19"/>
      <c r="DU4" s="19"/>
      <c r="DV4" s="19"/>
      <c r="DW4" s="19"/>
      <c r="DX4" s="19"/>
      <c r="DY4" s="19"/>
      <c r="DZ4" s="19"/>
      <c r="EA4" s="19"/>
      <c r="EB4" s="19"/>
      <c r="EC4" s="19"/>
      <c r="ED4" s="19"/>
      <c r="EE4" s="19"/>
      <c r="EF4" s="19"/>
      <c r="EG4" s="19"/>
      <c r="EH4" s="19"/>
      <c r="EI4" s="19"/>
      <c r="EJ4" s="19"/>
      <c r="EK4" s="19"/>
      <c r="EL4" s="19"/>
      <c r="EM4" s="19"/>
      <c r="EN4" s="4" t="s">
        <v>79</v>
      </c>
      <c r="EO4" s="19"/>
      <c r="EP4" s="17"/>
      <c r="EQ4" s="23"/>
      <c r="ER4" s="23" t="str">
        <f t="shared" si="1"/>
        <v/>
      </c>
      <c r="ES4" s="19"/>
      <c r="ET4" s="19" t="str">
        <f t="shared" si="2"/>
        <v/>
      </c>
      <c r="EU4" s="19"/>
      <c r="EV4" s="19"/>
      <c r="EW4" s="19"/>
      <c r="EX4" s="19"/>
      <c r="EY4" s="19"/>
      <c r="EZ4" s="19"/>
      <c r="FA4" s="19"/>
      <c r="FB4" s="19"/>
    </row>
    <row r="5" ht="15.75" customHeight="1">
      <c r="A5" s="19"/>
      <c r="B5" s="4" t="s">
        <v>468</v>
      </c>
      <c r="C5" s="4" t="s">
        <v>469</v>
      </c>
      <c r="D5" s="78">
        <v>46065.0</v>
      </c>
      <c r="E5" s="4" t="s">
        <v>473</v>
      </c>
      <c r="F5" s="19"/>
      <c r="AH5" s="23">
        <v>261190.0</v>
      </c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/>
      <c r="BK5" s="19"/>
      <c r="BL5" s="19"/>
      <c r="BM5" s="19"/>
      <c r="BN5" s="19"/>
      <c r="BO5" s="19"/>
      <c r="BP5" s="19"/>
      <c r="BQ5" s="19"/>
      <c r="BR5" s="19"/>
      <c r="BS5" s="19"/>
      <c r="BT5" s="19"/>
      <c r="BU5" s="19"/>
      <c r="BV5" s="19"/>
      <c r="BW5" s="19"/>
      <c r="BX5" s="19"/>
      <c r="BY5" s="19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19"/>
      <c r="CV5" s="19"/>
      <c r="CW5" s="19"/>
      <c r="CX5" s="19"/>
      <c r="CY5" s="19"/>
      <c r="CZ5" s="19"/>
      <c r="DA5" s="19"/>
      <c r="DB5" s="19"/>
      <c r="DC5" s="19"/>
      <c r="DD5" s="19"/>
      <c r="DE5" s="19"/>
      <c r="DF5" s="19"/>
      <c r="DG5" s="19"/>
      <c r="DH5" s="19"/>
      <c r="DI5" s="19"/>
      <c r="DJ5" s="19"/>
      <c r="DK5" s="19"/>
      <c r="DL5" s="19"/>
      <c r="DM5" s="19"/>
      <c r="DN5" s="19"/>
      <c r="DO5" s="19"/>
      <c r="DP5" s="19"/>
      <c r="DQ5" s="19"/>
      <c r="DR5" s="19"/>
      <c r="DS5" s="19"/>
      <c r="DT5" s="19"/>
      <c r="DU5" s="19"/>
      <c r="DV5" s="19"/>
      <c r="DW5" s="19"/>
      <c r="DX5" s="19"/>
      <c r="DY5" s="19"/>
      <c r="DZ5" s="19"/>
      <c r="EA5" s="19"/>
      <c r="EB5" s="19"/>
      <c r="EC5" s="19"/>
      <c r="ED5" s="19"/>
      <c r="EE5" s="19"/>
      <c r="EF5" s="19"/>
      <c r="EG5" s="19"/>
      <c r="EH5" s="19"/>
      <c r="EI5" s="19"/>
      <c r="EJ5" s="19"/>
      <c r="EK5" s="19"/>
      <c r="EL5" s="19"/>
      <c r="EM5" s="19"/>
      <c r="EN5" s="4" t="s">
        <v>79</v>
      </c>
      <c r="EO5" s="19"/>
      <c r="EP5" s="17"/>
      <c r="EQ5" s="23"/>
      <c r="ER5" s="23" t="str">
        <f t="shared" si="1"/>
        <v/>
      </c>
      <c r="ES5" s="19"/>
      <c r="ET5" s="19" t="str">
        <f t="shared" si="2"/>
        <v/>
      </c>
      <c r="EU5" s="19"/>
      <c r="EV5" s="19"/>
      <c r="EW5" s="19"/>
      <c r="EX5" s="19"/>
      <c r="EY5" s="19"/>
      <c r="EZ5" s="19"/>
      <c r="FA5" s="19"/>
      <c r="FB5" s="19"/>
    </row>
    <row r="6" ht="15.75" customHeight="1">
      <c r="A6" s="79" t="s">
        <v>474</v>
      </c>
      <c r="B6" s="79" t="s">
        <v>475</v>
      </c>
      <c r="C6" s="79" t="s">
        <v>476</v>
      </c>
      <c r="D6" s="80">
        <v>46082.0</v>
      </c>
      <c r="E6" s="79" t="s">
        <v>477</v>
      </c>
      <c r="F6" s="79"/>
      <c r="G6" s="79" t="s">
        <v>478</v>
      </c>
      <c r="H6" s="79" t="s">
        <v>479</v>
      </c>
      <c r="I6" s="79" t="s">
        <v>480</v>
      </c>
      <c r="J6" s="79" t="s">
        <v>481</v>
      </c>
      <c r="K6" s="79">
        <v>2000.0</v>
      </c>
      <c r="L6" s="79" t="s">
        <v>482</v>
      </c>
      <c r="M6" s="79" t="s">
        <v>483</v>
      </c>
      <c r="N6" s="79"/>
      <c r="O6" s="79" t="s">
        <v>484</v>
      </c>
      <c r="P6" s="79" t="s">
        <v>485</v>
      </c>
      <c r="Q6" s="79"/>
      <c r="R6" s="79"/>
      <c r="S6" s="79"/>
      <c r="T6" s="79">
        <v>77308.0</v>
      </c>
      <c r="U6" s="79"/>
      <c r="V6" s="79"/>
      <c r="W6" s="80">
        <v>46079.0</v>
      </c>
      <c r="X6" s="79"/>
      <c r="Y6" s="79"/>
      <c r="Z6" s="79" t="s">
        <v>486</v>
      </c>
      <c r="AA6" s="79" t="s">
        <v>487</v>
      </c>
      <c r="AB6" s="79" t="s">
        <v>486</v>
      </c>
      <c r="AC6" s="79" t="s">
        <v>488</v>
      </c>
      <c r="AD6" s="79">
        <v>20000.0</v>
      </c>
      <c r="AE6" s="79">
        <v>0.0</v>
      </c>
      <c r="AF6" s="79">
        <v>0.0</v>
      </c>
      <c r="AG6" s="79">
        <v>2000.0</v>
      </c>
      <c r="AH6" s="81">
        <v>22000.0</v>
      </c>
      <c r="AI6" s="79"/>
      <c r="AJ6" s="79">
        <v>0.0</v>
      </c>
      <c r="AK6" s="79">
        <v>0.0</v>
      </c>
      <c r="AL6" s="79">
        <v>0.0</v>
      </c>
      <c r="AM6" s="79">
        <v>0.0</v>
      </c>
      <c r="AN6" s="79">
        <v>0.0</v>
      </c>
      <c r="AO6" s="79">
        <v>0.0</v>
      </c>
      <c r="AP6" s="79">
        <v>0.0</v>
      </c>
      <c r="AQ6" s="79">
        <v>20000.0</v>
      </c>
      <c r="AR6" s="79" t="s">
        <v>489</v>
      </c>
      <c r="AS6" s="79">
        <v>0.0</v>
      </c>
      <c r="AT6" s="79" t="s">
        <v>490</v>
      </c>
      <c r="AU6" s="79" t="s">
        <v>491</v>
      </c>
      <c r="AV6" s="79">
        <v>0.0</v>
      </c>
      <c r="AW6" s="79"/>
      <c r="AX6" s="79">
        <v>0.0</v>
      </c>
      <c r="AY6" s="79" t="s">
        <v>492</v>
      </c>
      <c r="AZ6" s="79">
        <v>0.0</v>
      </c>
      <c r="BA6" s="79"/>
      <c r="BB6" s="79">
        <v>0.0</v>
      </c>
      <c r="BC6" s="79"/>
      <c r="BD6" s="79">
        <v>0.0</v>
      </c>
      <c r="BE6" s="79"/>
      <c r="BF6" s="79">
        <v>0.0</v>
      </c>
      <c r="BG6" s="79"/>
      <c r="BH6" s="79">
        <v>0.0</v>
      </c>
      <c r="BI6" s="79" t="s">
        <v>493</v>
      </c>
      <c r="BJ6" s="79">
        <v>0.0</v>
      </c>
      <c r="BK6" s="79" t="s">
        <v>494</v>
      </c>
      <c r="BL6" s="79">
        <v>0.0</v>
      </c>
      <c r="BM6" s="79" t="s">
        <v>495</v>
      </c>
      <c r="BN6" s="79">
        <v>0.0</v>
      </c>
      <c r="BO6" s="79" t="s">
        <v>496</v>
      </c>
      <c r="BP6" s="79">
        <v>0.0</v>
      </c>
      <c r="BQ6" s="79"/>
      <c r="BR6" s="79">
        <v>0.0</v>
      </c>
      <c r="BS6" s="79"/>
      <c r="BT6" s="79">
        <v>0.0</v>
      </c>
      <c r="BU6" s="79"/>
      <c r="BV6" s="79">
        <v>0.0</v>
      </c>
      <c r="BW6" s="79"/>
      <c r="BX6" s="79">
        <v>0.0</v>
      </c>
      <c r="BY6" s="79">
        <v>0.0</v>
      </c>
      <c r="BZ6" s="79" t="s">
        <v>491</v>
      </c>
      <c r="CA6" s="79">
        <v>0.0</v>
      </c>
      <c r="CB6" s="79" t="s">
        <v>490</v>
      </c>
      <c r="CC6" s="79"/>
      <c r="CD6" s="79">
        <v>0.0</v>
      </c>
      <c r="CE6" s="79" t="s">
        <v>492</v>
      </c>
      <c r="CF6" s="79">
        <v>0.0</v>
      </c>
      <c r="CG6" s="79"/>
      <c r="CH6" s="79">
        <v>0.0</v>
      </c>
      <c r="CI6" s="79"/>
      <c r="CJ6" s="79">
        <v>0.0</v>
      </c>
      <c r="CK6" s="79"/>
      <c r="CL6" s="79">
        <v>0.0</v>
      </c>
      <c r="CM6" s="79"/>
      <c r="CN6" s="79">
        <v>0.0</v>
      </c>
      <c r="CO6" s="79" t="s">
        <v>493</v>
      </c>
      <c r="CP6" s="79">
        <v>0.0</v>
      </c>
      <c r="CQ6" s="79" t="s">
        <v>494</v>
      </c>
      <c r="CR6" s="79">
        <v>0.0</v>
      </c>
      <c r="CS6" s="79" t="s">
        <v>495</v>
      </c>
      <c r="CT6" s="79">
        <v>0.0</v>
      </c>
      <c r="CU6" s="79" t="s">
        <v>496</v>
      </c>
      <c r="CV6" s="79">
        <v>0.0</v>
      </c>
      <c r="CW6" s="79"/>
      <c r="CX6" s="79">
        <v>0.0</v>
      </c>
      <c r="CY6" s="79"/>
      <c r="CZ6" s="79">
        <v>0.0</v>
      </c>
      <c r="DA6" s="79"/>
      <c r="DB6" s="79">
        <v>0.0</v>
      </c>
      <c r="DC6" s="79"/>
      <c r="DD6" s="79">
        <v>0.0</v>
      </c>
      <c r="DE6" s="79">
        <v>20000.0</v>
      </c>
      <c r="DF6" s="79">
        <v>0.0</v>
      </c>
      <c r="DG6" s="79">
        <v>0.0</v>
      </c>
      <c r="DH6" s="79">
        <v>0.0</v>
      </c>
      <c r="DI6" s="79">
        <v>0.0</v>
      </c>
      <c r="DJ6" s="79" t="s">
        <v>497</v>
      </c>
      <c r="DK6" s="79" t="s">
        <v>498</v>
      </c>
      <c r="DL6" s="79" t="s">
        <v>499</v>
      </c>
      <c r="DM6" s="79" t="s">
        <v>500</v>
      </c>
      <c r="DN6" s="79" t="s">
        <v>501</v>
      </c>
      <c r="DO6" s="79"/>
      <c r="DP6" s="79"/>
      <c r="DQ6" s="79"/>
      <c r="DR6" s="79"/>
      <c r="DS6" s="79"/>
      <c r="DT6" s="82"/>
      <c r="DU6" s="79"/>
      <c r="DV6" s="82"/>
      <c r="DW6" s="79"/>
      <c r="DX6" s="79"/>
      <c r="DY6" s="79"/>
      <c r="DZ6" s="79"/>
      <c r="EA6" s="79"/>
      <c r="EB6" s="79"/>
      <c r="EC6" s="79"/>
      <c r="ED6" s="79"/>
      <c r="EE6" s="79"/>
      <c r="EF6" s="82"/>
      <c r="EG6" s="79"/>
      <c r="EH6" s="82"/>
      <c r="EI6" s="79"/>
      <c r="EJ6" s="82"/>
      <c r="EK6" s="79"/>
      <c r="EL6" s="82"/>
      <c r="EM6" s="79"/>
      <c r="EN6" s="79" t="s">
        <v>79</v>
      </c>
      <c r="EO6" s="79"/>
      <c r="EP6" s="80"/>
      <c r="EQ6" s="83"/>
      <c r="ER6" s="83" t="str">
        <f t="shared" si="1"/>
        <v/>
      </c>
      <c r="ES6" s="79"/>
      <c r="ET6" s="79" t="str">
        <f t="shared" si="2"/>
        <v/>
      </c>
      <c r="EU6" s="79"/>
      <c r="EV6" s="82"/>
      <c r="EW6" s="82"/>
      <c r="EX6" s="82"/>
      <c r="EY6" s="82"/>
      <c r="EZ6" s="82"/>
      <c r="FA6" s="82"/>
      <c r="FB6" s="82"/>
    </row>
    <row r="7" ht="15.75" customHeight="1">
      <c r="A7" s="79" t="s">
        <v>502</v>
      </c>
      <c r="B7" s="79" t="s">
        <v>475</v>
      </c>
      <c r="C7" s="79" t="s">
        <v>476</v>
      </c>
      <c r="D7" s="80">
        <v>46082.0</v>
      </c>
      <c r="E7" s="79" t="s">
        <v>503</v>
      </c>
      <c r="F7" s="79"/>
      <c r="G7" s="79" t="s">
        <v>504</v>
      </c>
      <c r="H7" s="79" t="s">
        <v>479</v>
      </c>
      <c r="I7" s="79"/>
      <c r="J7" s="79" t="s">
        <v>505</v>
      </c>
      <c r="K7" s="79">
        <v>0.0</v>
      </c>
      <c r="L7" s="79"/>
      <c r="M7" s="79" t="s">
        <v>506</v>
      </c>
      <c r="N7" s="79"/>
      <c r="O7" s="79"/>
      <c r="P7" s="79"/>
      <c r="Q7" s="79"/>
      <c r="R7" s="80">
        <v>46476.0</v>
      </c>
      <c r="S7" s="79"/>
      <c r="T7" s="79">
        <v>12531.0</v>
      </c>
      <c r="U7" s="79"/>
      <c r="V7" s="79"/>
      <c r="W7" s="80">
        <v>46082.0</v>
      </c>
      <c r="X7" s="79"/>
      <c r="Y7" s="80">
        <v>46082.0</v>
      </c>
      <c r="Z7" s="79" t="s">
        <v>486</v>
      </c>
      <c r="AA7" s="79" t="s">
        <v>487</v>
      </c>
      <c r="AB7" s="79" t="s">
        <v>486</v>
      </c>
      <c r="AC7" s="79" t="s">
        <v>488</v>
      </c>
      <c r="AD7" s="79">
        <v>24800.0</v>
      </c>
      <c r="AE7" s="79">
        <v>0.0</v>
      </c>
      <c r="AF7" s="79">
        <v>0.0</v>
      </c>
      <c r="AG7" s="79">
        <v>2480.0</v>
      </c>
      <c r="AH7" s="81">
        <v>27280.0</v>
      </c>
      <c r="AI7" s="79"/>
      <c r="AJ7" s="79">
        <v>0.0</v>
      </c>
      <c r="AK7" s="79">
        <v>7680.0</v>
      </c>
      <c r="AL7" s="79">
        <v>0.0</v>
      </c>
      <c r="AM7" s="79">
        <v>0.0</v>
      </c>
      <c r="AN7" s="79">
        <v>768.0</v>
      </c>
      <c r="AO7" s="79">
        <v>8448.0</v>
      </c>
      <c r="AP7" s="79">
        <v>0.0</v>
      </c>
      <c r="AQ7" s="79">
        <v>17120.0</v>
      </c>
      <c r="AR7" s="79" t="s">
        <v>489</v>
      </c>
      <c r="AS7" s="79">
        <v>0.0</v>
      </c>
      <c r="AT7" s="79" t="s">
        <v>507</v>
      </c>
      <c r="AU7" s="79" t="s">
        <v>491</v>
      </c>
      <c r="AV7" s="79">
        <v>0.0</v>
      </c>
      <c r="AW7" s="79" t="s">
        <v>508</v>
      </c>
      <c r="AX7" s="79">
        <v>0.0</v>
      </c>
      <c r="AY7" s="79"/>
      <c r="AZ7" s="79">
        <v>0.0</v>
      </c>
      <c r="BA7" s="79"/>
      <c r="BB7" s="79">
        <v>0.0</v>
      </c>
      <c r="BC7" s="79"/>
      <c r="BD7" s="79">
        <v>0.0</v>
      </c>
      <c r="BE7" s="79"/>
      <c r="BF7" s="79">
        <v>0.0</v>
      </c>
      <c r="BG7" s="79"/>
      <c r="BH7" s="79">
        <v>0.0</v>
      </c>
      <c r="BI7" s="79" t="s">
        <v>493</v>
      </c>
      <c r="BJ7" s="79">
        <v>0.0</v>
      </c>
      <c r="BK7" s="79" t="s">
        <v>494</v>
      </c>
      <c r="BL7" s="79">
        <v>0.0</v>
      </c>
      <c r="BM7" s="79" t="s">
        <v>495</v>
      </c>
      <c r="BN7" s="79">
        <v>0.0</v>
      </c>
      <c r="BO7" s="79" t="s">
        <v>496</v>
      </c>
      <c r="BP7" s="79">
        <v>0.0</v>
      </c>
      <c r="BQ7" s="79"/>
      <c r="BR7" s="79">
        <v>0.0</v>
      </c>
      <c r="BS7" s="79"/>
      <c r="BT7" s="79">
        <v>0.0</v>
      </c>
      <c r="BU7" s="79"/>
      <c r="BV7" s="79">
        <v>0.0</v>
      </c>
      <c r="BW7" s="79"/>
      <c r="BX7" s="79">
        <v>0.0</v>
      </c>
      <c r="BY7" s="79">
        <v>0.0</v>
      </c>
      <c r="BZ7" s="79" t="s">
        <v>491</v>
      </c>
      <c r="CA7" s="79">
        <v>0.0</v>
      </c>
      <c r="CB7" s="79" t="s">
        <v>507</v>
      </c>
      <c r="CC7" s="79" t="s">
        <v>508</v>
      </c>
      <c r="CD7" s="79">
        <v>0.0</v>
      </c>
      <c r="CE7" s="79"/>
      <c r="CF7" s="79">
        <v>0.0</v>
      </c>
      <c r="CG7" s="79"/>
      <c r="CH7" s="79">
        <v>0.0</v>
      </c>
      <c r="CI7" s="79"/>
      <c r="CJ7" s="79">
        <v>0.0</v>
      </c>
      <c r="CK7" s="79"/>
      <c r="CL7" s="79">
        <v>0.0</v>
      </c>
      <c r="CM7" s="79"/>
      <c r="CN7" s="79">
        <v>0.0</v>
      </c>
      <c r="CO7" s="79" t="s">
        <v>493</v>
      </c>
      <c r="CP7" s="79">
        <v>0.0</v>
      </c>
      <c r="CQ7" s="79" t="s">
        <v>494</v>
      </c>
      <c r="CR7" s="79">
        <v>0.0</v>
      </c>
      <c r="CS7" s="79" t="s">
        <v>495</v>
      </c>
      <c r="CT7" s="79">
        <v>0.0</v>
      </c>
      <c r="CU7" s="79" t="s">
        <v>496</v>
      </c>
      <c r="CV7" s="79">
        <v>0.0</v>
      </c>
      <c r="CW7" s="79"/>
      <c r="CX7" s="79">
        <v>0.0</v>
      </c>
      <c r="CY7" s="79"/>
      <c r="CZ7" s="79">
        <v>0.0</v>
      </c>
      <c r="DA7" s="79"/>
      <c r="DB7" s="79">
        <v>0.0</v>
      </c>
      <c r="DC7" s="79"/>
      <c r="DD7" s="79">
        <v>0.0</v>
      </c>
      <c r="DE7" s="79">
        <v>15200.0</v>
      </c>
      <c r="DF7" s="79">
        <v>9600.0</v>
      </c>
      <c r="DG7" s="79">
        <v>0.0</v>
      </c>
      <c r="DH7" s="79">
        <v>0.0</v>
      </c>
      <c r="DI7" s="79">
        <v>7680.0</v>
      </c>
      <c r="DJ7" s="79" t="s">
        <v>509</v>
      </c>
      <c r="DK7" s="79" t="s">
        <v>486</v>
      </c>
      <c r="DL7" s="79" t="s">
        <v>487</v>
      </c>
      <c r="DM7" s="79" t="s">
        <v>510</v>
      </c>
      <c r="DN7" s="79" t="s">
        <v>511</v>
      </c>
      <c r="DO7" s="79" t="s">
        <v>512</v>
      </c>
      <c r="DP7" s="79"/>
      <c r="DQ7" s="79"/>
      <c r="DR7" s="79"/>
      <c r="DS7" s="79"/>
      <c r="DT7" s="82"/>
      <c r="DU7" s="79"/>
      <c r="DV7" s="82"/>
      <c r="DW7" s="79"/>
      <c r="DX7" s="79"/>
      <c r="DY7" s="79"/>
      <c r="DZ7" s="79"/>
      <c r="EA7" s="79"/>
      <c r="EB7" s="79"/>
      <c r="EC7" s="79"/>
      <c r="ED7" s="79"/>
      <c r="EE7" s="79"/>
      <c r="EF7" s="82"/>
      <c r="EG7" s="79"/>
      <c r="EH7" s="82"/>
      <c r="EI7" s="79"/>
      <c r="EJ7" s="82"/>
      <c r="EK7" s="79"/>
      <c r="EL7" s="82"/>
      <c r="EM7" s="79"/>
      <c r="EN7" s="79" t="s">
        <v>156</v>
      </c>
      <c r="EO7" s="79" t="s">
        <v>48</v>
      </c>
      <c r="EP7" s="80"/>
      <c r="EQ7" s="83"/>
      <c r="ER7" s="83" t="str">
        <f t="shared" si="1"/>
        <v/>
      </c>
      <c r="ES7" s="79"/>
      <c r="ET7" s="79" t="str">
        <f t="shared" si="2"/>
        <v/>
      </c>
      <c r="EU7" s="79"/>
      <c r="EV7" s="82"/>
      <c r="EW7" s="82"/>
      <c r="EX7" s="82"/>
      <c r="EY7" s="82"/>
      <c r="EZ7" s="82"/>
      <c r="FA7" s="82"/>
      <c r="FB7" s="82"/>
    </row>
    <row r="8" ht="15.75" customHeight="1">
      <c r="A8" s="19"/>
      <c r="B8" s="4" t="s">
        <v>468</v>
      </c>
      <c r="C8" s="4" t="s">
        <v>469</v>
      </c>
      <c r="D8" s="78">
        <v>46082.0</v>
      </c>
      <c r="E8" s="4" t="s">
        <v>513</v>
      </c>
      <c r="F8" s="19"/>
      <c r="AH8" s="23">
        <v>253439.0</v>
      </c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19"/>
      <c r="CY8" s="19"/>
      <c r="CZ8" s="1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19"/>
      <c r="DP8" s="19"/>
      <c r="DQ8" s="1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19"/>
      <c r="EG8" s="19"/>
      <c r="EH8" s="19"/>
      <c r="EI8" s="19"/>
      <c r="EJ8" s="19"/>
      <c r="EK8" s="19"/>
      <c r="EL8" s="19"/>
      <c r="EM8" s="19"/>
      <c r="EN8" s="4" t="s">
        <v>79</v>
      </c>
      <c r="EO8" s="19"/>
      <c r="EP8" s="17"/>
      <c r="EQ8" s="23"/>
      <c r="ER8" s="23" t="str">
        <f t="shared" si="1"/>
        <v/>
      </c>
      <c r="ES8" s="19"/>
      <c r="ET8" s="19" t="str">
        <f t="shared" si="2"/>
        <v/>
      </c>
      <c r="EU8" s="19"/>
      <c r="EV8" s="19"/>
      <c r="EW8" s="19"/>
      <c r="EX8" s="19"/>
      <c r="EY8" s="19"/>
      <c r="EZ8" s="19"/>
      <c r="FA8" s="19"/>
      <c r="FB8" s="19"/>
    </row>
    <row r="9" ht="15.75" customHeight="1">
      <c r="A9" s="79" t="s">
        <v>514</v>
      </c>
      <c r="B9" s="79" t="s">
        <v>515</v>
      </c>
      <c r="C9" s="79" t="s">
        <v>476</v>
      </c>
      <c r="D9" s="80">
        <v>46083.0</v>
      </c>
      <c r="E9" s="79" t="s">
        <v>516</v>
      </c>
      <c r="F9" s="79"/>
      <c r="G9" s="79" t="s">
        <v>517</v>
      </c>
      <c r="H9" s="79" t="s">
        <v>518</v>
      </c>
      <c r="I9" s="79" t="s">
        <v>480</v>
      </c>
      <c r="J9" s="79" t="s">
        <v>519</v>
      </c>
      <c r="K9" s="79">
        <v>3000.0</v>
      </c>
      <c r="L9" s="79" t="s">
        <v>482</v>
      </c>
      <c r="M9" s="79" t="s">
        <v>520</v>
      </c>
      <c r="N9" s="79" t="s">
        <v>521</v>
      </c>
      <c r="O9" s="79" t="s">
        <v>484</v>
      </c>
      <c r="P9" s="79" t="s">
        <v>522</v>
      </c>
      <c r="Q9" s="79" t="s">
        <v>523</v>
      </c>
      <c r="R9" s="80">
        <v>46392.0</v>
      </c>
      <c r="S9" s="79"/>
      <c r="T9" s="79">
        <v>45536.0</v>
      </c>
      <c r="U9" s="79"/>
      <c r="V9" s="79"/>
      <c r="W9" s="80">
        <v>46079.0</v>
      </c>
      <c r="X9" s="79"/>
      <c r="Y9" s="80">
        <v>46083.0</v>
      </c>
      <c r="Z9" s="79" t="s">
        <v>486</v>
      </c>
      <c r="AA9" s="79" t="s">
        <v>487</v>
      </c>
      <c r="AB9" s="79" t="s">
        <v>524</v>
      </c>
      <c r="AC9" s="79" t="s">
        <v>488</v>
      </c>
      <c r="AD9" s="79">
        <v>109130.0</v>
      </c>
      <c r="AE9" s="79">
        <v>0.0</v>
      </c>
      <c r="AF9" s="79">
        <v>0.0</v>
      </c>
      <c r="AG9" s="79">
        <v>10913.0</v>
      </c>
      <c r="AH9" s="81">
        <v>120043.0</v>
      </c>
      <c r="AI9" s="79"/>
      <c r="AJ9" s="79">
        <v>0.0</v>
      </c>
      <c r="AK9" s="79">
        <v>28613.0</v>
      </c>
      <c r="AL9" s="79">
        <v>0.0</v>
      </c>
      <c r="AM9" s="79">
        <v>0.0</v>
      </c>
      <c r="AN9" s="79">
        <v>2861.0</v>
      </c>
      <c r="AO9" s="79">
        <v>31474.0</v>
      </c>
      <c r="AP9" s="79">
        <v>0.0</v>
      </c>
      <c r="AQ9" s="79">
        <v>80517.0</v>
      </c>
      <c r="AR9" s="79" t="s">
        <v>525</v>
      </c>
      <c r="AS9" s="79">
        <v>0.0</v>
      </c>
      <c r="AT9" s="79" t="s">
        <v>490</v>
      </c>
      <c r="AU9" s="79" t="s">
        <v>491</v>
      </c>
      <c r="AV9" s="79">
        <v>0.0</v>
      </c>
      <c r="AW9" s="79" t="s">
        <v>508</v>
      </c>
      <c r="AX9" s="79">
        <v>0.0</v>
      </c>
      <c r="AY9" s="79"/>
      <c r="AZ9" s="79">
        <v>0.0</v>
      </c>
      <c r="BA9" s="79"/>
      <c r="BB9" s="79">
        <v>0.0</v>
      </c>
      <c r="BC9" s="79"/>
      <c r="BD9" s="79">
        <v>0.0</v>
      </c>
      <c r="BE9" s="79"/>
      <c r="BF9" s="79">
        <v>0.0</v>
      </c>
      <c r="BG9" s="79"/>
      <c r="BH9" s="79">
        <v>0.0</v>
      </c>
      <c r="BI9" s="79" t="s">
        <v>493</v>
      </c>
      <c r="BJ9" s="79">
        <v>0.0</v>
      </c>
      <c r="BK9" s="79" t="s">
        <v>494</v>
      </c>
      <c r="BL9" s="79">
        <v>0.0</v>
      </c>
      <c r="BM9" s="79" t="s">
        <v>495</v>
      </c>
      <c r="BN9" s="79">
        <v>0.0</v>
      </c>
      <c r="BO9" s="79" t="s">
        <v>496</v>
      </c>
      <c r="BP9" s="79">
        <v>0.0</v>
      </c>
      <c r="BQ9" s="79"/>
      <c r="BR9" s="79">
        <v>0.0</v>
      </c>
      <c r="BS9" s="79"/>
      <c r="BT9" s="79">
        <v>0.0</v>
      </c>
      <c r="BU9" s="79"/>
      <c r="BV9" s="79">
        <v>0.0</v>
      </c>
      <c r="BW9" s="79"/>
      <c r="BX9" s="79">
        <v>0.0</v>
      </c>
      <c r="BY9" s="79">
        <v>0.0</v>
      </c>
      <c r="BZ9" s="79" t="s">
        <v>491</v>
      </c>
      <c r="CA9" s="79">
        <v>0.0</v>
      </c>
      <c r="CB9" s="79" t="s">
        <v>490</v>
      </c>
      <c r="CC9" s="79" t="s">
        <v>508</v>
      </c>
      <c r="CD9" s="79">
        <v>0.0</v>
      </c>
      <c r="CE9" s="79"/>
      <c r="CF9" s="79">
        <v>0.0</v>
      </c>
      <c r="CG9" s="79"/>
      <c r="CH9" s="79">
        <v>0.0</v>
      </c>
      <c r="CI9" s="79"/>
      <c r="CJ9" s="79">
        <v>0.0</v>
      </c>
      <c r="CK9" s="79"/>
      <c r="CL9" s="79">
        <v>0.0</v>
      </c>
      <c r="CM9" s="79"/>
      <c r="CN9" s="79">
        <v>0.0</v>
      </c>
      <c r="CO9" s="79" t="s">
        <v>493</v>
      </c>
      <c r="CP9" s="79">
        <v>0.0</v>
      </c>
      <c r="CQ9" s="79" t="s">
        <v>494</v>
      </c>
      <c r="CR9" s="79">
        <v>0.0</v>
      </c>
      <c r="CS9" s="79" t="s">
        <v>495</v>
      </c>
      <c r="CT9" s="79">
        <v>0.0</v>
      </c>
      <c r="CU9" s="79" t="s">
        <v>496</v>
      </c>
      <c r="CV9" s="79">
        <v>0.0</v>
      </c>
      <c r="CW9" s="79"/>
      <c r="CX9" s="79">
        <v>0.0</v>
      </c>
      <c r="CY9" s="79"/>
      <c r="CZ9" s="79">
        <v>0.0</v>
      </c>
      <c r="DA9" s="79"/>
      <c r="DB9" s="79">
        <v>0.0</v>
      </c>
      <c r="DC9" s="79"/>
      <c r="DD9" s="79">
        <v>0.0</v>
      </c>
      <c r="DE9" s="79">
        <v>56700.0</v>
      </c>
      <c r="DF9" s="79">
        <v>52430.0</v>
      </c>
      <c r="DG9" s="79">
        <v>0.0</v>
      </c>
      <c r="DH9" s="79">
        <v>0.0</v>
      </c>
      <c r="DI9" s="79">
        <v>28613.0</v>
      </c>
      <c r="DJ9" s="79" t="s">
        <v>526</v>
      </c>
      <c r="DK9" s="79"/>
      <c r="DL9" s="79" t="s">
        <v>487</v>
      </c>
      <c r="DM9" s="79" t="s">
        <v>527</v>
      </c>
      <c r="DN9" s="79"/>
      <c r="DO9" s="79" t="s">
        <v>528</v>
      </c>
      <c r="DP9" s="79"/>
      <c r="DQ9" s="79"/>
      <c r="DR9" s="79"/>
      <c r="DS9" s="79"/>
      <c r="DT9" s="82"/>
      <c r="DU9" s="79"/>
      <c r="DV9" s="82"/>
      <c r="DW9" s="79"/>
      <c r="DX9" s="79"/>
      <c r="DY9" s="79"/>
      <c r="DZ9" s="79"/>
      <c r="EA9" s="79"/>
      <c r="EB9" s="79"/>
      <c r="EC9" s="79"/>
      <c r="ED9" s="79"/>
      <c r="EE9" s="79"/>
      <c r="EF9" s="82"/>
      <c r="EG9" s="79"/>
      <c r="EH9" s="82"/>
      <c r="EI9" s="79"/>
      <c r="EJ9" s="82"/>
      <c r="EK9" s="79"/>
      <c r="EL9" s="82"/>
      <c r="EM9" s="79"/>
      <c r="EN9" s="79" t="s">
        <v>79</v>
      </c>
      <c r="EO9" s="79"/>
      <c r="EP9" s="80"/>
      <c r="EQ9" s="83"/>
      <c r="ER9" s="83" t="str">
        <f t="shared" si="1"/>
        <v/>
      </c>
      <c r="ES9" s="79"/>
      <c r="ET9" s="79" t="str">
        <f t="shared" si="2"/>
        <v/>
      </c>
      <c r="EU9" s="79"/>
      <c r="EV9" s="79"/>
      <c r="EW9" s="82"/>
      <c r="EX9" s="82"/>
      <c r="EY9" s="82"/>
      <c r="EZ9" s="82"/>
      <c r="FA9" s="82"/>
      <c r="FB9" s="82"/>
    </row>
    <row r="10" ht="15.75" customHeight="1">
      <c r="A10" s="79" t="s">
        <v>529</v>
      </c>
      <c r="B10" s="79" t="s">
        <v>530</v>
      </c>
      <c r="C10" s="79" t="s">
        <v>476</v>
      </c>
      <c r="D10" s="80">
        <v>46083.0</v>
      </c>
      <c r="E10" s="79" t="s">
        <v>531</v>
      </c>
      <c r="F10" s="79" t="s">
        <v>532</v>
      </c>
      <c r="G10" s="79" t="s">
        <v>533</v>
      </c>
      <c r="H10" s="79" t="s">
        <v>534</v>
      </c>
      <c r="I10" s="79"/>
      <c r="J10" s="79" t="s">
        <v>535</v>
      </c>
      <c r="K10" s="79">
        <v>0.0</v>
      </c>
      <c r="L10" s="79"/>
      <c r="M10" s="79" t="s">
        <v>536</v>
      </c>
      <c r="N10" s="79"/>
      <c r="O10" s="79"/>
      <c r="P10" s="79"/>
      <c r="Q10" s="79"/>
      <c r="R10" s="80">
        <v>46160.0</v>
      </c>
      <c r="S10" s="79"/>
      <c r="T10" s="79">
        <v>23228.0</v>
      </c>
      <c r="U10" s="79"/>
      <c r="V10" s="79"/>
      <c r="W10" s="80">
        <v>46074.0</v>
      </c>
      <c r="X10" s="79"/>
      <c r="Y10" s="79"/>
      <c r="Z10" s="79" t="s">
        <v>486</v>
      </c>
      <c r="AA10" s="79" t="s">
        <v>537</v>
      </c>
      <c r="AB10" s="79" t="s">
        <v>486</v>
      </c>
      <c r="AC10" s="79" t="s">
        <v>488</v>
      </c>
      <c r="AD10" s="79">
        <v>259800.0</v>
      </c>
      <c r="AE10" s="79">
        <v>0.0</v>
      </c>
      <c r="AF10" s="79">
        <v>0.0</v>
      </c>
      <c r="AG10" s="79">
        <v>25980.0</v>
      </c>
      <c r="AH10" s="81">
        <v>285780.0</v>
      </c>
      <c r="AI10" s="79"/>
      <c r="AJ10" s="79">
        <v>0.0</v>
      </c>
      <c r="AK10" s="79">
        <v>187440.0</v>
      </c>
      <c r="AL10" s="79">
        <v>0.0</v>
      </c>
      <c r="AM10" s="79">
        <v>0.0</v>
      </c>
      <c r="AN10" s="79">
        <v>18744.0</v>
      </c>
      <c r="AO10" s="79">
        <v>206184.0</v>
      </c>
      <c r="AP10" s="79">
        <v>0.0</v>
      </c>
      <c r="AQ10" s="79">
        <v>72360.0</v>
      </c>
      <c r="AR10" s="79" t="s">
        <v>489</v>
      </c>
      <c r="AS10" s="79">
        <v>0.0</v>
      </c>
      <c r="AT10" s="79" t="s">
        <v>490</v>
      </c>
      <c r="AU10" s="79" t="s">
        <v>491</v>
      </c>
      <c r="AV10" s="79">
        <v>0.0</v>
      </c>
      <c r="AW10" s="79" t="s">
        <v>508</v>
      </c>
      <c r="AX10" s="79">
        <v>0.0</v>
      </c>
      <c r="AY10" s="79"/>
      <c r="AZ10" s="79">
        <v>0.0</v>
      </c>
      <c r="BA10" s="79"/>
      <c r="BB10" s="79">
        <v>0.0</v>
      </c>
      <c r="BC10" s="79"/>
      <c r="BD10" s="79">
        <v>0.0</v>
      </c>
      <c r="BE10" s="79"/>
      <c r="BF10" s="79">
        <v>0.0</v>
      </c>
      <c r="BG10" s="79"/>
      <c r="BH10" s="79">
        <v>0.0</v>
      </c>
      <c r="BI10" s="79" t="s">
        <v>493</v>
      </c>
      <c r="BJ10" s="79">
        <v>0.0</v>
      </c>
      <c r="BK10" s="79" t="s">
        <v>494</v>
      </c>
      <c r="BL10" s="79">
        <v>0.0</v>
      </c>
      <c r="BM10" s="79" t="s">
        <v>495</v>
      </c>
      <c r="BN10" s="79">
        <v>0.0</v>
      </c>
      <c r="BO10" s="79" t="s">
        <v>496</v>
      </c>
      <c r="BP10" s="79">
        <v>0.0</v>
      </c>
      <c r="BQ10" s="79"/>
      <c r="BR10" s="79">
        <v>0.0</v>
      </c>
      <c r="BS10" s="79"/>
      <c r="BT10" s="79">
        <v>0.0</v>
      </c>
      <c r="BU10" s="79"/>
      <c r="BV10" s="79">
        <v>0.0</v>
      </c>
      <c r="BW10" s="79"/>
      <c r="BX10" s="79">
        <v>0.0</v>
      </c>
      <c r="BY10" s="79">
        <v>0.0</v>
      </c>
      <c r="BZ10" s="79" t="s">
        <v>491</v>
      </c>
      <c r="CA10" s="79">
        <v>0.0</v>
      </c>
      <c r="CB10" s="79" t="s">
        <v>490</v>
      </c>
      <c r="CC10" s="79" t="s">
        <v>508</v>
      </c>
      <c r="CD10" s="79">
        <v>0.0</v>
      </c>
      <c r="CE10" s="79"/>
      <c r="CF10" s="79">
        <v>0.0</v>
      </c>
      <c r="CG10" s="79"/>
      <c r="CH10" s="79">
        <v>0.0</v>
      </c>
      <c r="CI10" s="79"/>
      <c r="CJ10" s="79">
        <v>0.0</v>
      </c>
      <c r="CK10" s="79"/>
      <c r="CL10" s="79">
        <v>0.0</v>
      </c>
      <c r="CM10" s="79"/>
      <c r="CN10" s="79">
        <v>0.0</v>
      </c>
      <c r="CO10" s="79" t="s">
        <v>493</v>
      </c>
      <c r="CP10" s="79">
        <v>0.0</v>
      </c>
      <c r="CQ10" s="79" t="s">
        <v>494</v>
      </c>
      <c r="CR10" s="79">
        <v>0.0</v>
      </c>
      <c r="CS10" s="79" t="s">
        <v>495</v>
      </c>
      <c r="CT10" s="79">
        <v>0.0</v>
      </c>
      <c r="CU10" s="79" t="s">
        <v>496</v>
      </c>
      <c r="CV10" s="79">
        <v>0.0</v>
      </c>
      <c r="CW10" s="79"/>
      <c r="CX10" s="79">
        <v>0.0</v>
      </c>
      <c r="CY10" s="79"/>
      <c r="CZ10" s="79">
        <v>0.0</v>
      </c>
      <c r="DA10" s="79"/>
      <c r="DB10" s="79">
        <v>0.0</v>
      </c>
      <c r="DC10" s="79"/>
      <c r="DD10" s="79">
        <v>0.0</v>
      </c>
      <c r="DE10" s="79">
        <v>25500.0</v>
      </c>
      <c r="DF10" s="79">
        <v>234300.0</v>
      </c>
      <c r="DG10" s="79">
        <v>0.0</v>
      </c>
      <c r="DH10" s="79">
        <v>0.0</v>
      </c>
      <c r="DI10" s="79">
        <v>187440.0</v>
      </c>
      <c r="DJ10" s="79" t="s">
        <v>538</v>
      </c>
      <c r="DK10" s="79" t="s">
        <v>486</v>
      </c>
      <c r="DL10" s="79" t="s">
        <v>537</v>
      </c>
      <c r="DM10" s="79" t="s">
        <v>539</v>
      </c>
      <c r="DN10" s="79" t="s">
        <v>540</v>
      </c>
      <c r="DO10" s="79" t="s">
        <v>541</v>
      </c>
      <c r="DP10" s="79"/>
      <c r="DQ10" s="79"/>
      <c r="DR10" s="79"/>
      <c r="DS10" s="79"/>
      <c r="DT10" s="82"/>
      <c r="DU10" s="79"/>
      <c r="DV10" s="82"/>
      <c r="DW10" s="79"/>
      <c r="DX10" s="79"/>
      <c r="DY10" s="79"/>
      <c r="DZ10" s="79"/>
      <c r="EA10" s="79"/>
      <c r="EB10" s="79"/>
      <c r="EC10" s="79"/>
      <c r="ED10" s="82"/>
      <c r="EE10" s="79"/>
      <c r="EF10" s="82"/>
      <c r="EG10" s="79"/>
      <c r="EH10" s="82"/>
      <c r="EI10" s="79"/>
      <c r="EJ10" s="82"/>
      <c r="EK10" s="79"/>
      <c r="EL10" s="82"/>
      <c r="EM10" s="79"/>
      <c r="EN10" s="79" t="s">
        <v>79</v>
      </c>
      <c r="EO10" s="79"/>
      <c r="EP10" s="80"/>
      <c r="EQ10" s="83"/>
      <c r="ER10" s="83" t="str">
        <f t="shared" si="1"/>
        <v/>
      </c>
      <c r="ES10" s="82"/>
      <c r="ET10" s="79" t="str">
        <f t="shared" si="2"/>
        <v/>
      </c>
      <c r="EU10" s="79"/>
      <c r="EV10" s="79"/>
      <c r="EW10" s="82"/>
      <c r="EX10" s="82"/>
      <c r="EY10" s="82"/>
      <c r="EZ10" s="82"/>
      <c r="FA10" s="82"/>
      <c r="FB10" s="82"/>
    </row>
    <row r="11" ht="15.75" customHeight="1">
      <c r="A11" s="79" t="s">
        <v>542</v>
      </c>
      <c r="B11" s="79" t="s">
        <v>543</v>
      </c>
      <c r="C11" s="79" t="s">
        <v>476</v>
      </c>
      <c r="D11" s="80">
        <v>46083.0</v>
      </c>
      <c r="E11" s="79" t="s">
        <v>531</v>
      </c>
      <c r="F11" s="79" t="s">
        <v>532</v>
      </c>
      <c r="G11" s="79" t="s">
        <v>533</v>
      </c>
      <c r="H11" s="79" t="s">
        <v>534</v>
      </c>
      <c r="I11" s="79"/>
      <c r="J11" s="79" t="s">
        <v>535</v>
      </c>
      <c r="K11" s="79">
        <v>0.0</v>
      </c>
      <c r="L11" s="79"/>
      <c r="M11" s="79" t="s">
        <v>536</v>
      </c>
      <c r="N11" s="79"/>
      <c r="O11" s="79"/>
      <c r="P11" s="79"/>
      <c r="Q11" s="79"/>
      <c r="R11" s="80">
        <v>46160.0</v>
      </c>
      <c r="S11" s="79"/>
      <c r="T11" s="79">
        <v>23228.0</v>
      </c>
      <c r="U11" s="79"/>
      <c r="V11" s="79"/>
      <c r="W11" s="80">
        <v>46074.0</v>
      </c>
      <c r="X11" s="79"/>
      <c r="Y11" s="79"/>
      <c r="Z11" s="79" t="s">
        <v>486</v>
      </c>
      <c r="AA11" s="79" t="s">
        <v>537</v>
      </c>
      <c r="AB11" s="79" t="s">
        <v>486</v>
      </c>
      <c r="AC11" s="79" t="s">
        <v>488</v>
      </c>
      <c r="AD11" s="79">
        <v>72727.0</v>
      </c>
      <c r="AE11" s="79">
        <v>0.0</v>
      </c>
      <c r="AF11" s="79">
        <v>0.0</v>
      </c>
      <c r="AG11" s="79">
        <v>7273.0</v>
      </c>
      <c r="AH11" s="81">
        <v>80000.0</v>
      </c>
      <c r="AI11" s="79"/>
      <c r="AJ11" s="79">
        <v>0.0</v>
      </c>
      <c r="AK11" s="79">
        <v>0.0</v>
      </c>
      <c r="AL11" s="79">
        <v>0.0</v>
      </c>
      <c r="AM11" s="79">
        <v>0.0</v>
      </c>
      <c r="AN11" s="79">
        <v>0.0</v>
      </c>
      <c r="AO11" s="79">
        <v>0.0</v>
      </c>
      <c r="AP11" s="79">
        <v>0.0</v>
      </c>
      <c r="AQ11" s="79">
        <v>72727.0</v>
      </c>
      <c r="AR11" s="79" t="s">
        <v>489</v>
      </c>
      <c r="AS11" s="79">
        <v>0.0</v>
      </c>
      <c r="AT11" s="79" t="s">
        <v>490</v>
      </c>
      <c r="AU11" s="79" t="s">
        <v>491</v>
      </c>
      <c r="AV11" s="79">
        <v>0.0</v>
      </c>
      <c r="AW11" s="79" t="s">
        <v>508</v>
      </c>
      <c r="AX11" s="79">
        <v>0.0</v>
      </c>
      <c r="AY11" s="79"/>
      <c r="AZ11" s="79">
        <v>0.0</v>
      </c>
      <c r="BA11" s="79"/>
      <c r="BB11" s="79">
        <v>0.0</v>
      </c>
      <c r="BC11" s="79"/>
      <c r="BD11" s="79">
        <v>0.0</v>
      </c>
      <c r="BE11" s="79"/>
      <c r="BF11" s="79">
        <v>0.0</v>
      </c>
      <c r="BG11" s="79"/>
      <c r="BH11" s="79">
        <v>0.0</v>
      </c>
      <c r="BI11" s="79" t="s">
        <v>493</v>
      </c>
      <c r="BJ11" s="79">
        <v>0.0</v>
      </c>
      <c r="BK11" s="79" t="s">
        <v>494</v>
      </c>
      <c r="BL11" s="79">
        <v>0.0</v>
      </c>
      <c r="BM11" s="79" t="s">
        <v>495</v>
      </c>
      <c r="BN11" s="79">
        <v>0.0</v>
      </c>
      <c r="BO11" s="79" t="s">
        <v>496</v>
      </c>
      <c r="BP11" s="79">
        <v>0.0</v>
      </c>
      <c r="BQ11" s="79"/>
      <c r="BR11" s="79">
        <v>0.0</v>
      </c>
      <c r="BS11" s="79"/>
      <c r="BT11" s="79">
        <v>0.0</v>
      </c>
      <c r="BU11" s="79"/>
      <c r="BV11" s="79">
        <v>0.0</v>
      </c>
      <c r="BW11" s="79"/>
      <c r="BX11" s="79">
        <v>0.0</v>
      </c>
      <c r="BY11" s="79">
        <v>0.0</v>
      </c>
      <c r="BZ11" s="79" t="s">
        <v>491</v>
      </c>
      <c r="CA11" s="79">
        <v>0.0</v>
      </c>
      <c r="CB11" s="79" t="s">
        <v>490</v>
      </c>
      <c r="CC11" s="79" t="s">
        <v>508</v>
      </c>
      <c r="CD11" s="79">
        <v>0.0</v>
      </c>
      <c r="CE11" s="79"/>
      <c r="CF11" s="79">
        <v>0.0</v>
      </c>
      <c r="CG11" s="79"/>
      <c r="CH11" s="79">
        <v>0.0</v>
      </c>
      <c r="CI11" s="79"/>
      <c r="CJ11" s="79">
        <v>0.0</v>
      </c>
      <c r="CK11" s="79"/>
      <c r="CL11" s="79">
        <v>0.0</v>
      </c>
      <c r="CM11" s="79"/>
      <c r="CN11" s="79">
        <v>0.0</v>
      </c>
      <c r="CO11" s="79" t="s">
        <v>493</v>
      </c>
      <c r="CP11" s="79">
        <v>0.0</v>
      </c>
      <c r="CQ11" s="79" t="s">
        <v>494</v>
      </c>
      <c r="CR11" s="79">
        <v>0.0</v>
      </c>
      <c r="CS11" s="79" t="s">
        <v>495</v>
      </c>
      <c r="CT11" s="79">
        <v>0.0</v>
      </c>
      <c r="CU11" s="79" t="s">
        <v>496</v>
      </c>
      <c r="CV11" s="79">
        <v>0.0</v>
      </c>
      <c r="CW11" s="79"/>
      <c r="CX11" s="79">
        <v>0.0</v>
      </c>
      <c r="CY11" s="79"/>
      <c r="CZ11" s="79">
        <v>0.0</v>
      </c>
      <c r="DA11" s="79"/>
      <c r="DB11" s="79">
        <v>0.0</v>
      </c>
      <c r="DC11" s="79"/>
      <c r="DD11" s="79">
        <v>0.0</v>
      </c>
      <c r="DE11" s="79">
        <v>0.0</v>
      </c>
      <c r="DF11" s="79">
        <v>72727.0</v>
      </c>
      <c r="DG11" s="79">
        <v>0.0</v>
      </c>
      <c r="DH11" s="79">
        <v>0.0</v>
      </c>
      <c r="DI11" s="79">
        <v>0.0</v>
      </c>
      <c r="DJ11" s="79" t="s">
        <v>538</v>
      </c>
      <c r="DK11" s="79" t="s">
        <v>486</v>
      </c>
      <c r="DL11" s="79" t="s">
        <v>537</v>
      </c>
      <c r="DM11" s="79" t="s">
        <v>539</v>
      </c>
      <c r="DN11" s="79" t="s">
        <v>540</v>
      </c>
      <c r="DO11" s="79" t="s">
        <v>541</v>
      </c>
      <c r="DP11" s="79"/>
      <c r="DQ11" s="79"/>
      <c r="DR11" s="79"/>
      <c r="DS11" s="79"/>
      <c r="DT11" s="82"/>
      <c r="DU11" s="79"/>
      <c r="DV11" s="82"/>
      <c r="DW11" s="79"/>
      <c r="DX11" s="79"/>
      <c r="DY11" s="79"/>
      <c r="DZ11" s="79"/>
      <c r="EA11" s="79"/>
      <c r="EB11" s="79"/>
      <c r="EC11" s="79"/>
      <c r="ED11" s="79"/>
      <c r="EE11" s="79"/>
      <c r="EF11" s="82"/>
      <c r="EG11" s="79"/>
      <c r="EH11" s="82"/>
      <c r="EI11" s="79"/>
      <c r="EJ11" s="82"/>
      <c r="EK11" s="79"/>
      <c r="EL11" s="82"/>
      <c r="EM11" s="79"/>
      <c r="EN11" s="79" t="s">
        <v>79</v>
      </c>
      <c r="EO11" s="79"/>
      <c r="EP11" s="80"/>
      <c r="EQ11" s="83"/>
      <c r="ER11" s="83" t="str">
        <f t="shared" si="1"/>
        <v/>
      </c>
      <c r="ES11" s="82"/>
      <c r="ET11" s="79" t="str">
        <f t="shared" si="2"/>
        <v/>
      </c>
      <c r="EU11" s="79"/>
      <c r="EV11" s="79"/>
      <c r="EW11" s="82"/>
      <c r="EX11" s="82"/>
      <c r="EY11" s="82"/>
      <c r="EZ11" s="82"/>
      <c r="FA11" s="82"/>
      <c r="FB11" s="82"/>
    </row>
    <row r="12" ht="15.75" customHeight="1">
      <c r="A12" s="79" t="s">
        <v>544</v>
      </c>
      <c r="B12" s="79" t="s">
        <v>475</v>
      </c>
      <c r="C12" s="79" t="s">
        <v>476</v>
      </c>
      <c r="D12" s="80">
        <v>46083.0</v>
      </c>
      <c r="E12" s="79" t="s">
        <v>545</v>
      </c>
      <c r="F12" s="79"/>
      <c r="G12" s="79" t="s">
        <v>517</v>
      </c>
      <c r="H12" s="79" t="s">
        <v>546</v>
      </c>
      <c r="I12" s="79" t="s">
        <v>547</v>
      </c>
      <c r="J12" s="79" t="s">
        <v>548</v>
      </c>
      <c r="K12" s="79">
        <v>660.0</v>
      </c>
      <c r="L12" s="79" t="s">
        <v>549</v>
      </c>
      <c r="M12" s="79" t="s">
        <v>550</v>
      </c>
      <c r="N12" s="79"/>
      <c r="O12" s="79" t="s">
        <v>551</v>
      </c>
      <c r="P12" s="79" t="s">
        <v>552</v>
      </c>
      <c r="Q12" s="79" t="s">
        <v>553</v>
      </c>
      <c r="R12" s="80">
        <v>46722.0</v>
      </c>
      <c r="S12" s="79"/>
      <c r="T12" s="79">
        <v>66509.0</v>
      </c>
      <c r="U12" s="79"/>
      <c r="V12" s="79"/>
      <c r="W12" s="80">
        <v>46083.0</v>
      </c>
      <c r="X12" s="79"/>
      <c r="Y12" s="79"/>
      <c r="Z12" s="79" t="s">
        <v>554</v>
      </c>
      <c r="AA12" s="79" t="s">
        <v>555</v>
      </c>
      <c r="AB12" s="79" t="s">
        <v>554</v>
      </c>
      <c r="AC12" s="79" t="s">
        <v>488</v>
      </c>
      <c r="AD12" s="79">
        <v>4400.0</v>
      </c>
      <c r="AE12" s="79">
        <v>0.0</v>
      </c>
      <c r="AF12" s="79">
        <v>0.0</v>
      </c>
      <c r="AG12" s="79">
        <v>440.0</v>
      </c>
      <c r="AH12" s="81">
        <v>4840.0</v>
      </c>
      <c r="AI12" s="79"/>
      <c r="AJ12" s="79">
        <v>0.0</v>
      </c>
      <c r="AK12" s="79">
        <v>1422.0</v>
      </c>
      <c r="AL12" s="79">
        <v>0.0</v>
      </c>
      <c r="AM12" s="79">
        <v>0.0</v>
      </c>
      <c r="AN12" s="79">
        <v>142.0</v>
      </c>
      <c r="AO12" s="79">
        <v>1564.0</v>
      </c>
      <c r="AP12" s="79">
        <v>0.0</v>
      </c>
      <c r="AQ12" s="79">
        <v>2978.0</v>
      </c>
      <c r="AR12" s="79" t="s">
        <v>556</v>
      </c>
      <c r="AS12" s="79">
        <v>0.0</v>
      </c>
      <c r="AT12" s="79" t="s">
        <v>507</v>
      </c>
      <c r="AU12" s="79" t="s">
        <v>491</v>
      </c>
      <c r="AV12" s="79">
        <v>0.0</v>
      </c>
      <c r="AW12" s="79" t="s">
        <v>508</v>
      </c>
      <c r="AX12" s="79">
        <v>0.0</v>
      </c>
      <c r="AY12" s="79"/>
      <c r="AZ12" s="79">
        <v>0.0</v>
      </c>
      <c r="BA12" s="79"/>
      <c r="BB12" s="79">
        <v>0.0</v>
      </c>
      <c r="BC12" s="79"/>
      <c r="BD12" s="79">
        <v>0.0</v>
      </c>
      <c r="BE12" s="79"/>
      <c r="BF12" s="79">
        <v>0.0</v>
      </c>
      <c r="BG12" s="79"/>
      <c r="BH12" s="79">
        <v>0.0</v>
      </c>
      <c r="BI12" s="79" t="s">
        <v>493</v>
      </c>
      <c r="BJ12" s="79">
        <v>0.0</v>
      </c>
      <c r="BK12" s="79" t="s">
        <v>494</v>
      </c>
      <c r="BL12" s="79">
        <v>0.0</v>
      </c>
      <c r="BM12" s="79" t="s">
        <v>495</v>
      </c>
      <c r="BN12" s="79">
        <v>0.0</v>
      </c>
      <c r="BO12" s="79" t="s">
        <v>496</v>
      </c>
      <c r="BP12" s="79">
        <v>0.0</v>
      </c>
      <c r="BQ12" s="79"/>
      <c r="BR12" s="79">
        <v>0.0</v>
      </c>
      <c r="BS12" s="79"/>
      <c r="BT12" s="79">
        <v>0.0</v>
      </c>
      <c r="BU12" s="79"/>
      <c r="BV12" s="79">
        <v>0.0</v>
      </c>
      <c r="BW12" s="79"/>
      <c r="BX12" s="79">
        <v>0.0</v>
      </c>
      <c r="BY12" s="79">
        <v>0.0</v>
      </c>
      <c r="BZ12" s="79" t="s">
        <v>491</v>
      </c>
      <c r="CA12" s="79">
        <v>0.0</v>
      </c>
      <c r="CB12" s="79" t="s">
        <v>507</v>
      </c>
      <c r="CC12" s="79" t="s">
        <v>508</v>
      </c>
      <c r="CD12" s="79">
        <v>0.0</v>
      </c>
      <c r="CE12" s="79"/>
      <c r="CF12" s="79">
        <v>0.0</v>
      </c>
      <c r="CG12" s="79"/>
      <c r="CH12" s="79">
        <v>0.0</v>
      </c>
      <c r="CI12" s="79"/>
      <c r="CJ12" s="79">
        <v>0.0</v>
      </c>
      <c r="CK12" s="79"/>
      <c r="CL12" s="79">
        <v>0.0</v>
      </c>
      <c r="CM12" s="79"/>
      <c r="CN12" s="79">
        <v>0.0</v>
      </c>
      <c r="CO12" s="79" t="s">
        <v>493</v>
      </c>
      <c r="CP12" s="79">
        <v>0.0</v>
      </c>
      <c r="CQ12" s="79" t="s">
        <v>494</v>
      </c>
      <c r="CR12" s="79">
        <v>0.0</v>
      </c>
      <c r="CS12" s="79" t="s">
        <v>495</v>
      </c>
      <c r="CT12" s="79">
        <v>0.0</v>
      </c>
      <c r="CU12" s="79" t="s">
        <v>496</v>
      </c>
      <c r="CV12" s="79">
        <v>0.0</v>
      </c>
      <c r="CW12" s="79"/>
      <c r="CX12" s="79">
        <v>0.0</v>
      </c>
      <c r="CY12" s="79"/>
      <c r="CZ12" s="79">
        <v>0.0</v>
      </c>
      <c r="DA12" s="79"/>
      <c r="DB12" s="79">
        <v>0.0</v>
      </c>
      <c r="DC12" s="79"/>
      <c r="DD12" s="79">
        <v>0.0</v>
      </c>
      <c r="DE12" s="79">
        <v>2000.0</v>
      </c>
      <c r="DF12" s="79">
        <v>2400.0</v>
      </c>
      <c r="DG12" s="79">
        <v>0.0</v>
      </c>
      <c r="DH12" s="79">
        <v>0.0</v>
      </c>
      <c r="DI12" s="79">
        <v>1422.0</v>
      </c>
      <c r="DJ12" s="79" t="s">
        <v>325</v>
      </c>
      <c r="DK12" s="79" t="s">
        <v>557</v>
      </c>
      <c r="DL12" s="79" t="s">
        <v>555</v>
      </c>
      <c r="DM12" s="79" t="s">
        <v>558</v>
      </c>
      <c r="DN12" s="79" t="s">
        <v>559</v>
      </c>
      <c r="DO12" s="79"/>
      <c r="DP12" s="79"/>
      <c r="DQ12" s="79"/>
      <c r="DR12" s="79"/>
      <c r="DS12" s="79"/>
      <c r="DT12" s="82"/>
      <c r="DU12" s="79"/>
      <c r="DV12" s="82"/>
      <c r="DW12" s="79"/>
      <c r="DX12" s="79"/>
      <c r="DY12" s="79"/>
      <c r="DZ12" s="79"/>
      <c r="EA12" s="79"/>
      <c r="EB12" s="79"/>
      <c r="EC12" s="79"/>
      <c r="ED12" s="79"/>
      <c r="EE12" s="79"/>
      <c r="EF12" s="82"/>
      <c r="EG12" s="79"/>
      <c r="EH12" s="82"/>
      <c r="EI12" s="79"/>
      <c r="EJ12" s="82"/>
      <c r="EK12" s="79"/>
      <c r="EL12" s="82"/>
      <c r="EM12" s="79"/>
      <c r="EN12" s="79" t="s">
        <v>79</v>
      </c>
      <c r="EO12" s="79"/>
      <c r="EP12" s="80"/>
      <c r="EQ12" s="83"/>
      <c r="ER12" s="83" t="str">
        <f t="shared" si="1"/>
        <v/>
      </c>
      <c r="ES12" s="82"/>
      <c r="ET12" s="79" t="str">
        <f t="shared" si="2"/>
        <v/>
      </c>
      <c r="EU12" s="79"/>
      <c r="EV12" s="79"/>
      <c r="EW12" s="82"/>
      <c r="EX12" s="82"/>
      <c r="EY12" s="82"/>
      <c r="EZ12" s="82"/>
      <c r="FA12" s="82"/>
      <c r="FB12" s="82"/>
    </row>
    <row r="13" ht="15.75" customHeight="1">
      <c r="A13" s="79" t="s">
        <v>561</v>
      </c>
      <c r="B13" s="79" t="s">
        <v>475</v>
      </c>
      <c r="C13" s="79" t="s">
        <v>476</v>
      </c>
      <c r="D13" s="80">
        <v>46086.0</v>
      </c>
      <c r="E13" s="79" t="s">
        <v>545</v>
      </c>
      <c r="F13" s="79" t="s">
        <v>562</v>
      </c>
      <c r="G13" s="79" t="s">
        <v>563</v>
      </c>
      <c r="H13" s="79" t="s">
        <v>546</v>
      </c>
      <c r="I13" s="79"/>
      <c r="J13" s="79" t="s">
        <v>564</v>
      </c>
      <c r="K13" s="79">
        <v>0.0</v>
      </c>
      <c r="L13" s="79"/>
      <c r="M13" s="79" t="s">
        <v>565</v>
      </c>
      <c r="N13" s="79"/>
      <c r="O13" s="79"/>
      <c r="P13" s="79"/>
      <c r="Q13" s="79"/>
      <c r="R13" s="80">
        <v>46364.0</v>
      </c>
      <c r="S13" s="79"/>
      <c r="T13" s="79">
        <v>39499.0</v>
      </c>
      <c r="U13" s="79"/>
      <c r="V13" s="79"/>
      <c r="W13" s="80">
        <v>46086.0</v>
      </c>
      <c r="X13" s="79"/>
      <c r="Y13" s="80">
        <v>46086.0</v>
      </c>
      <c r="Z13" s="79" t="s">
        <v>557</v>
      </c>
      <c r="AA13" s="79" t="s">
        <v>555</v>
      </c>
      <c r="AB13" s="79" t="s">
        <v>554</v>
      </c>
      <c r="AC13" s="79" t="s">
        <v>488</v>
      </c>
      <c r="AD13" s="79">
        <v>4400.0</v>
      </c>
      <c r="AE13" s="79">
        <v>0.0</v>
      </c>
      <c r="AF13" s="79">
        <v>0.0</v>
      </c>
      <c r="AG13" s="79">
        <v>440.0</v>
      </c>
      <c r="AH13" s="81">
        <v>4840.0</v>
      </c>
      <c r="AI13" s="79"/>
      <c r="AJ13" s="79">
        <v>0.0</v>
      </c>
      <c r="AK13" s="79">
        <v>1422.0</v>
      </c>
      <c r="AL13" s="79">
        <v>0.0</v>
      </c>
      <c r="AM13" s="79">
        <v>0.0</v>
      </c>
      <c r="AN13" s="79">
        <v>142.0</v>
      </c>
      <c r="AO13" s="79">
        <v>1564.0</v>
      </c>
      <c r="AP13" s="79">
        <v>0.0</v>
      </c>
      <c r="AQ13" s="79">
        <v>2978.0</v>
      </c>
      <c r="AR13" s="79" t="s">
        <v>556</v>
      </c>
      <c r="AS13" s="79">
        <v>0.0</v>
      </c>
      <c r="AT13" s="79" t="s">
        <v>490</v>
      </c>
      <c r="AU13" s="79" t="s">
        <v>491</v>
      </c>
      <c r="AV13" s="79">
        <v>0.0</v>
      </c>
      <c r="AW13" s="79" t="s">
        <v>508</v>
      </c>
      <c r="AX13" s="79">
        <v>0.0</v>
      </c>
      <c r="AY13" s="79"/>
      <c r="AZ13" s="79">
        <v>0.0</v>
      </c>
      <c r="BA13" s="79"/>
      <c r="BB13" s="79">
        <v>0.0</v>
      </c>
      <c r="BC13" s="79"/>
      <c r="BD13" s="79">
        <v>0.0</v>
      </c>
      <c r="BE13" s="79"/>
      <c r="BF13" s="79">
        <v>0.0</v>
      </c>
      <c r="BG13" s="79"/>
      <c r="BH13" s="79">
        <v>0.0</v>
      </c>
      <c r="BI13" s="79" t="s">
        <v>493</v>
      </c>
      <c r="BJ13" s="79">
        <v>0.0</v>
      </c>
      <c r="BK13" s="79" t="s">
        <v>494</v>
      </c>
      <c r="BL13" s="79">
        <v>0.0</v>
      </c>
      <c r="BM13" s="79" t="s">
        <v>495</v>
      </c>
      <c r="BN13" s="79">
        <v>0.0</v>
      </c>
      <c r="BO13" s="79" t="s">
        <v>496</v>
      </c>
      <c r="BP13" s="79">
        <v>0.0</v>
      </c>
      <c r="BQ13" s="79"/>
      <c r="BR13" s="79">
        <v>0.0</v>
      </c>
      <c r="BS13" s="79"/>
      <c r="BT13" s="79">
        <v>0.0</v>
      </c>
      <c r="BU13" s="79"/>
      <c r="BV13" s="79">
        <v>0.0</v>
      </c>
      <c r="BW13" s="79"/>
      <c r="BX13" s="79">
        <v>0.0</v>
      </c>
      <c r="BY13" s="79">
        <v>0.0</v>
      </c>
      <c r="BZ13" s="79" t="s">
        <v>491</v>
      </c>
      <c r="CA13" s="79">
        <v>0.0</v>
      </c>
      <c r="CB13" s="79" t="s">
        <v>490</v>
      </c>
      <c r="CC13" s="79" t="s">
        <v>508</v>
      </c>
      <c r="CD13" s="79">
        <v>0.0</v>
      </c>
      <c r="CE13" s="79"/>
      <c r="CF13" s="79">
        <v>0.0</v>
      </c>
      <c r="CG13" s="79"/>
      <c r="CH13" s="79">
        <v>0.0</v>
      </c>
      <c r="CI13" s="79"/>
      <c r="CJ13" s="79">
        <v>0.0</v>
      </c>
      <c r="CK13" s="79"/>
      <c r="CL13" s="79">
        <v>0.0</v>
      </c>
      <c r="CM13" s="79"/>
      <c r="CN13" s="79">
        <v>0.0</v>
      </c>
      <c r="CO13" s="79" t="s">
        <v>493</v>
      </c>
      <c r="CP13" s="79">
        <v>0.0</v>
      </c>
      <c r="CQ13" s="79" t="s">
        <v>494</v>
      </c>
      <c r="CR13" s="79">
        <v>0.0</v>
      </c>
      <c r="CS13" s="79" t="s">
        <v>495</v>
      </c>
      <c r="CT13" s="79">
        <v>0.0</v>
      </c>
      <c r="CU13" s="79" t="s">
        <v>496</v>
      </c>
      <c r="CV13" s="79">
        <v>0.0</v>
      </c>
      <c r="CW13" s="79"/>
      <c r="CX13" s="79">
        <v>0.0</v>
      </c>
      <c r="CY13" s="79"/>
      <c r="CZ13" s="79">
        <v>0.0</v>
      </c>
      <c r="DA13" s="79"/>
      <c r="DB13" s="79">
        <v>0.0</v>
      </c>
      <c r="DC13" s="79"/>
      <c r="DD13" s="79">
        <v>0.0</v>
      </c>
      <c r="DE13" s="79">
        <v>2000.0</v>
      </c>
      <c r="DF13" s="79">
        <v>2400.0</v>
      </c>
      <c r="DG13" s="79">
        <v>0.0</v>
      </c>
      <c r="DH13" s="79">
        <v>0.0</v>
      </c>
      <c r="DI13" s="79">
        <v>1422.0</v>
      </c>
      <c r="DJ13" s="79" t="s">
        <v>325</v>
      </c>
      <c r="DK13" s="79" t="s">
        <v>557</v>
      </c>
      <c r="DL13" s="79" t="s">
        <v>555</v>
      </c>
      <c r="DM13" s="79" t="s">
        <v>558</v>
      </c>
      <c r="DN13" s="79" t="s">
        <v>559</v>
      </c>
      <c r="DO13" s="79"/>
      <c r="DP13" s="79"/>
      <c r="DQ13" s="79"/>
      <c r="DR13" s="79"/>
      <c r="DS13" s="79"/>
      <c r="DT13" s="82"/>
      <c r="DU13" s="79"/>
      <c r="DV13" s="82"/>
      <c r="DW13" s="79"/>
      <c r="DX13" s="79"/>
      <c r="DY13" s="79"/>
      <c r="DZ13" s="79"/>
      <c r="EA13" s="79"/>
      <c r="EB13" s="79"/>
      <c r="EC13" s="79"/>
      <c r="ED13" s="79"/>
      <c r="EE13" s="79"/>
      <c r="EF13" s="82"/>
      <c r="EG13" s="79"/>
      <c r="EH13" s="82"/>
      <c r="EI13" s="79"/>
      <c r="EJ13" s="82"/>
      <c r="EK13" s="79"/>
      <c r="EL13" s="82"/>
      <c r="EM13" s="79"/>
      <c r="EN13" s="79" t="s">
        <v>79</v>
      </c>
      <c r="EO13" s="79"/>
      <c r="EP13" s="80"/>
      <c r="EQ13" s="83"/>
      <c r="ER13" s="83" t="str">
        <f t="shared" si="1"/>
        <v/>
      </c>
      <c r="ES13" s="79"/>
      <c r="ET13" s="79" t="str">
        <f t="shared" si="2"/>
        <v/>
      </c>
      <c r="EU13" s="79"/>
      <c r="EV13" s="79"/>
      <c r="EW13" s="82"/>
      <c r="EX13" s="82"/>
      <c r="EY13" s="82"/>
      <c r="EZ13" s="82"/>
      <c r="FA13" s="82"/>
      <c r="FB13" s="82"/>
    </row>
    <row r="14" ht="15.75" customHeight="1">
      <c r="A14" s="79" t="s">
        <v>566</v>
      </c>
      <c r="B14" s="79" t="s">
        <v>515</v>
      </c>
      <c r="C14" s="79" t="s">
        <v>476</v>
      </c>
      <c r="D14" s="80">
        <v>46086.0</v>
      </c>
      <c r="E14" s="79" t="s">
        <v>567</v>
      </c>
      <c r="F14" s="79" t="s">
        <v>568</v>
      </c>
      <c r="G14" s="79" t="s">
        <v>569</v>
      </c>
      <c r="H14" s="79" t="s">
        <v>479</v>
      </c>
      <c r="I14" s="79"/>
      <c r="J14" s="79" t="s">
        <v>570</v>
      </c>
      <c r="K14" s="79">
        <v>0.0</v>
      </c>
      <c r="L14" s="79"/>
      <c r="M14" s="79" t="s">
        <v>571</v>
      </c>
      <c r="N14" s="79" t="s">
        <v>572</v>
      </c>
      <c r="O14" s="79" t="s">
        <v>573</v>
      </c>
      <c r="P14" s="79"/>
      <c r="Q14" s="79" t="s">
        <v>574</v>
      </c>
      <c r="R14" s="80">
        <v>46837.0</v>
      </c>
      <c r="S14" s="79"/>
      <c r="T14" s="79">
        <v>11964.0</v>
      </c>
      <c r="U14" s="79"/>
      <c r="V14" s="79"/>
      <c r="W14" s="80">
        <v>46086.0</v>
      </c>
      <c r="X14" s="79"/>
      <c r="Y14" s="80">
        <v>46086.0</v>
      </c>
      <c r="Z14" s="79" t="s">
        <v>486</v>
      </c>
      <c r="AA14" s="79" t="s">
        <v>555</v>
      </c>
      <c r="AB14" s="79" t="s">
        <v>486</v>
      </c>
      <c r="AC14" s="79" t="s">
        <v>488</v>
      </c>
      <c r="AD14" s="79">
        <v>19235.0</v>
      </c>
      <c r="AE14" s="79">
        <v>0.0</v>
      </c>
      <c r="AF14" s="79">
        <v>0.0</v>
      </c>
      <c r="AG14" s="79">
        <v>1924.0</v>
      </c>
      <c r="AH14" s="81">
        <v>21159.0</v>
      </c>
      <c r="AI14" s="79"/>
      <c r="AJ14" s="79">
        <v>0.0</v>
      </c>
      <c r="AK14" s="79">
        <v>1300.0</v>
      </c>
      <c r="AL14" s="79">
        <v>0.0</v>
      </c>
      <c r="AM14" s="79">
        <v>0.0</v>
      </c>
      <c r="AN14" s="79">
        <v>130.0</v>
      </c>
      <c r="AO14" s="79">
        <v>1430.0</v>
      </c>
      <c r="AP14" s="79">
        <v>0.0</v>
      </c>
      <c r="AQ14" s="79">
        <v>17935.0</v>
      </c>
      <c r="AR14" s="79" t="s">
        <v>489</v>
      </c>
      <c r="AS14" s="79">
        <v>0.0</v>
      </c>
      <c r="AT14" s="79" t="s">
        <v>490</v>
      </c>
      <c r="AU14" s="79" t="s">
        <v>491</v>
      </c>
      <c r="AV14" s="79">
        <v>0.0</v>
      </c>
      <c r="AW14" s="79" t="s">
        <v>508</v>
      </c>
      <c r="AX14" s="79">
        <v>0.0</v>
      </c>
      <c r="AY14" s="79"/>
      <c r="AZ14" s="79">
        <v>0.0</v>
      </c>
      <c r="BA14" s="79"/>
      <c r="BB14" s="79">
        <v>0.0</v>
      </c>
      <c r="BC14" s="79"/>
      <c r="BD14" s="79">
        <v>0.0</v>
      </c>
      <c r="BE14" s="79"/>
      <c r="BF14" s="79">
        <v>0.0</v>
      </c>
      <c r="BG14" s="79"/>
      <c r="BH14" s="79">
        <v>0.0</v>
      </c>
      <c r="BI14" s="79" t="s">
        <v>493</v>
      </c>
      <c r="BJ14" s="79">
        <v>0.0</v>
      </c>
      <c r="BK14" s="79" t="s">
        <v>494</v>
      </c>
      <c r="BL14" s="79">
        <v>0.0</v>
      </c>
      <c r="BM14" s="79" t="s">
        <v>495</v>
      </c>
      <c r="BN14" s="79">
        <v>0.0</v>
      </c>
      <c r="BO14" s="79" t="s">
        <v>496</v>
      </c>
      <c r="BP14" s="79">
        <v>0.0</v>
      </c>
      <c r="BQ14" s="79"/>
      <c r="BR14" s="79">
        <v>0.0</v>
      </c>
      <c r="BS14" s="79"/>
      <c r="BT14" s="79">
        <v>0.0</v>
      </c>
      <c r="BU14" s="79"/>
      <c r="BV14" s="79">
        <v>0.0</v>
      </c>
      <c r="BW14" s="79"/>
      <c r="BX14" s="79">
        <v>0.0</v>
      </c>
      <c r="BY14" s="79">
        <v>0.0</v>
      </c>
      <c r="BZ14" s="79" t="s">
        <v>491</v>
      </c>
      <c r="CA14" s="79">
        <v>0.0</v>
      </c>
      <c r="CB14" s="79" t="s">
        <v>490</v>
      </c>
      <c r="CC14" s="79" t="s">
        <v>508</v>
      </c>
      <c r="CD14" s="79">
        <v>0.0</v>
      </c>
      <c r="CE14" s="79"/>
      <c r="CF14" s="79">
        <v>0.0</v>
      </c>
      <c r="CG14" s="79"/>
      <c r="CH14" s="79">
        <v>0.0</v>
      </c>
      <c r="CI14" s="79"/>
      <c r="CJ14" s="79">
        <v>0.0</v>
      </c>
      <c r="CK14" s="79"/>
      <c r="CL14" s="79">
        <v>0.0</v>
      </c>
      <c r="CM14" s="79"/>
      <c r="CN14" s="79">
        <v>0.0</v>
      </c>
      <c r="CO14" s="79" t="s">
        <v>493</v>
      </c>
      <c r="CP14" s="79">
        <v>0.0</v>
      </c>
      <c r="CQ14" s="79" t="s">
        <v>494</v>
      </c>
      <c r="CR14" s="79">
        <v>0.0</v>
      </c>
      <c r="CS14" s="79" t="s">
        <v>495</v>
      </c>
      <c r="CT14" s="79">
        <v>0.0</v>
      </c>
      <c r="CU14" s="79" t="s">
        <v>496</v>
      </c>
      <c r="CV14" s="79">
        <v>0.0</v>
      </c>
      <c r="CW14" s="79"/>
      <c r="CX14" s="79">
        <v>0.0</v>
      </c>
      <c r="CY14" s="79"/>
      <c r="CZ14" s="79">
        <v>0.0</v>
      </c>
      <c r="DA14" s="79"/>
      <c r="DB14" s="79">
        <v>0.0</v>
      </c>
      <c r="DC14" s="79"/>
      <c r="DD14" s="79">
        <v>0.0</v>
      </c>
      <c r="DE14" s="79">
        <v>16435.0</v>
      </c>
      <c r="DF14" s="79">
        <v>2800.0</v>
      </c>
      <c r="DG14" s="79">
        <v>0.0</v>
      </c>
      <c r="DH14" s="79">
        <v>0.0</v>
      </c>
      <c r="DI14" s="79">
        <v>1300.0</v>
      </c>
      <c r="DJ14" s="79" t="s">
        <v>575</v>
      </c>
      <c r="DK14" s="79" t="s">
        <v>486</v>
      </c>
      <c r="DL14" s="79" t="s">
        <v>555</v>
      </c>
      <c r="DM14" s="79" t="s">
        <v>576</v>
      </c>
      <c r="DN14" s="79"/>
      <c r="DO14" s="79" t="s">
        <v>577</v>
      </c>
      <c r="DP14" s="79"/>
      <c r="DQ14" s="79"/>
      <c r="DR14" s="79"/>
      <c r="DS14" s="79"/>
      <c r="DT14" s="82"/>
      <c r="DU14" s="79"/>
      <c r="DV14" s="82"/>
      <c r="DW14" s="79"/>
      <c r="DX14" s="79"/>
      <c r="DY14" s="79"/>
      <c r="DZ14" s="79"/>
      <c r="EA14" s="79"/>
      <c r="EB14" s="79"/>
      <c r="EC14" s="79"/>
      <c r="ED14" s="79"/>
      <c r="EE14" s="79"/>
      <c r="EF14" s="82"/>
      <c r="EG14" s="79"/>
      <c r="EH14" s="82"/>
      <c r="EI14" s="79"/>
      <c r="EJ14" s="82"/>
      <c r="EK14" s="79"/>
      <c r="EL14" s="82"/>
      <c r="EM14" s="79"/>
      <c r="EN14" s="79" t="s">
        <v>79</v>
      </c>
      <c r="EO14" s="79"/>
      <c r="EP14" s="80"/>
      <c r="EQ14" s="83"/>
      <c r="ER14" s="83" t="str">
        <f t="shared" si="1"/>
        <v/>
      </c>
      <c r="ES14" s="82"/>
      <c r="ET14" s="79" t="str">
        <f t="shared" si="2"/>
        <v/>
      </c>
      <c r="EU14" s="79"/>
      <c r="EV14" s="79"/>
      <c r="EW14" s="82"/>
      <c r="EX14" s="82"/>
      <c r="EY14" s="82"/>
      <c r="EZ14" s="82"/>
      <c r="FA14" s="82"/>
      <c r="FB14" s="82"/>
    </row>
    <row r="15" ht="15.75" customHeight="1">
      <c r="A15" s="79" t="s">
        <v>578</v>
      </c>
      <c r="B15" s="79" t="s">
        <v>475</v>
      </c>
      <c r="C15" s="79" t="s">
        <v>476</v>
      </c>
      <c r="D15" s="80">
        <v>46086.0</v>
      </c>
      <c r="E15" s="79" t="s">
        <v>579</v>
      </c>
      <c r="F15" s="79"/>
      <c r="G15" s="79" t="s">
        <v>580</v>
      </c>
      <c r="H15" s="79" t="s">
        <v>581</v>
      </c>
      <c r="I15" s="79"/>
      <c r="J15" s="79" t="s">
        <v>582</v>
      </c>
      <c r="K15" s="79">
        <v>3980.0</v>
      </c>
      <c r="L15" s="79"/>
      <c r="M15" s="79" t="s">
        <v>583</v>
      </c>
      <c r="N15" s="79" t="s">
        <v>572</v>
      </c>
      <c r="O15" s="79" t="s">
        <v>484</v>
      </c>
      <c r="P15" s="79"/>
      <c r="Q15" s="79" t="s">
        <v>584</v>
      </c>
      <c r="R15" s="79" t="s">
        <v>585</v>
      </c>
      <c r="S15" s="79"/>
      <c r="T15" s="79"/>
      <c r="U15" s="79"/>
      <c r="V15" s="79"/>
      <c r="W15" s="79"/>
      <c r="X15" s="79"/>
      <c r="Y15" s="79"/>
      <c r="Z15" s="79" t="s">
        <v>557</v>
      </c>
      <c r="AA15" s="79" t="s">
        <v>487</v>
      </c>
      <c r="AB15" s="79" t="s">
        <v>557</v>
      </c>
      <c r="AC15" s="79" t="s">
        <v>488</v>
      </c>
      <c r="AD15" s="79">
        <v>85000.0</v>
      </c>
      <c r="AE15" s="79">
        <v>0.0</v>
      </c>
      <c r="AF15" s="79">
        <v>0.0</v>
      </c>
      <c r="AG15" s="79">
        <v>8500.0</v>
      </c>
      <c r="AH15" s="81">
        <v>93500.0</v>
      </c>
      <c r="AI15" s="79"/>
      <c r="AJ15" s="79">
        <v>0.0</v>
      </c>
      <c r="AK15" s="79">
        <v>40360.0</v>
      </c>
      <c r="AL15" s="79">
        <v>0.0</v>
      </c>
      <c r="AM15" s="79">
        <v>0.0</v>
      </c>
      <c r="AN15" s="79">
        <v>4036.0</v>
      </c>
      <c r="AO15" s="79">
        <v>44396.0</v>
      </c>
      <c r="AP15" s="79">
        <v>0.0</v>
      </c>
      <c r="AQ15" s="79">
        <v>44640.0</v>
      </c>
      <c r="AR15" s="79" t="s">
        <v>525</v>
      </c>
      <c r="AS15" s="79">
        <v>0.0</v>
      </c>
      <c r="AT15" s="79" t="s">
        <v>507</v>
      </c>
      <c r="AU15" s="79" t="s">
        <v>491</v>
      </c>
      <c r="AV15" s="79">
        <v>0.0</v>
      </c>
      <c r="AW15" s="79" t="s">
        <v>508</v>
      </c>
      <c r="AX15" s="79">
        <v>0.0</v>
      </c>
      <c r="AY15" s="79"/>
      <c r="AZ15" s="79">
        <v>0.0</v>
      </c>
      <c r="BA15" s="79"/>
      <c r="BB15" s="79">
        <v>0.0</v>
      </c>
      <c r="BC15" s="79"/>
      <c r="BD15" s="79">
        <v>0.0</v>
      </c>
      <c r="BE15" s="79"/>
      <c r="BF15" s="79">
        <v>0.0</v>
      </c>
      <c r="BG15" s="79"/>
      <c r="BH15" s="79">
        <v>0.0</v>
      </c>
      <c r="BI15" s="79" t="s">
        <v>493</v>
      </c>
      <c r="BJ15" s="79">
        <v>0.0</v>
      </c>
      <c r="BK15" s="79" t="s">
        <v>494</v>
      </c>
      <c r="BL15" s="79">
        <v>0.0</v>
      </c>
      <c r="BM15" s="79" t="s">
        <v>495</v>
      </c>
      <c r="BN15" s="79">
        <v>0.0</v>
      </c>
      <c r="BO15" s="79" t="s">
        <v>496</v>
      </c>
      <c r="BP15" s="79">
        <v>0.0</v>
      </c>
      <c r="BQ15" s="79"/>
      <c r="BR15" s="79">
        <v>0.0</v>
      </c>
      <c r="BS15" s="79"/>
      <c r="BT15" s="79">
        <v>0.0</v>
      </c>
      <c r="BU15" s="79"/>
      <c r="BV15" s="79">
        <v>0.0</v>
      </c>
      <c r="BW15" s="79"/>
      <c r="BX15" s="79">
        <v>0.0</v>
      </c>
      <c r="BY15" s="79">
        <v>0.0</v>
      </c>
      <c r="BZ15" s="79" t="s">
        <v>491</v>
      </c>
      <c r="CA15" s="79">
        <v>0.0</v>
      </c>
      <c r="CB15" s="79" t="s">
        <v>507</v>
      </c>
      <c r="CC15" s="79" t="s">
        <v>508</v>
      </c>
      <c r="CD15" s="79">
        <v>0.0</v>
      </c>
      <c r="CE15" s="79"/>
      <c r="CF15" s="79">
        <v>0.0</v>
      </c>
      <c r="CG15" s="79"/>
      <c r="CH15" s="79">
        <v>0.0</v>
      </c>
      <c r="CI15" s="79"/>
      <c r="CJ15" s="79">
        <v>0.0</v>
      </c>
      <c r="CK15" s="79"/>
      <c r="CL15" s="79">
        <v>0.0</v>
      </c>
      <c r="CM15" s="79"/>
      <c r="CN15" s="79">
        <v>0.0</v>
      </c>
      <c r="CO15" s="79" t="s">
        <v>493</v>
      </c>
      <c r="CP15" s="79">
        <v>0.0</v>
      </c>
      <c r="CQ15" s="79" t="s">
        <v>494</v>
      </c>
      <c r="CR15" s="79">
        <v>0.0</v>
      </c>
      <c r="CS15" s="79" t="s">
        <v>495</v>
      </c>
      <c r="CT15" s="79">
        <v>0.0</v>
      </c>
      <c r="CU15" s="79" t="s">
        <v>496</v>
      </c>
      <c r="CV15" s="79">
        <v>0.0</v>
      </c>
      <c r="CW15" s="79"/>
      <c r="CX15" s="79">
        <v>0.0</v>
      </c>
      <c r="CY15" s="79"/>
      <c r="CZ15" s="79">
        <v>0.0</v>
      </c>
      <c r="DA15" s="79"/>
      <c r="DB15" s="79">
        <v>0.0</v>
      </c>
      <c r="DC15" s="79"/>
      <c r="DD15" s="79">
        <v>0.0</v>
      </c>
      <c r="DE15" s="79">
        <v>35000.0</v>
      </c>
      <c r="DF15" s="79">
        <v>50000.0</v>
      </c>
      <c r="DG15" s="79">
        <v>0.0</v>
      </c>
      <c r="DH15" s="79">
        <v>0.0</v>
      </c>
      <c r="DI15" s="79">
        <v>40360.0</v>
      </c>
      <c r="DJ15" s="79" t="s">
        <v>586</v>
      </c>
      <c r="DK15" s="79" t="s">
        <v>557</v>
      </c>
      <c r="DL15" s="79" t="s">
        <v>487</v>
      </c>
      <c r="DM15" s="79" t="s">
        <v>587</v>
      </c>
      <c r="DN15" s="79" t="s">
        <v>588</v>
      </c>
      <c r="DO15" s="79" t="s">
        <v>589</v>
      </c>
      <c r="DP15" s="79"/>
      <c r="DQ15" s="79"/>
      <c r="DR15" s="79"/>
      <c r="DS15" s="79"/>
      <c r="DT15" s="82"/>
      <c r="DU15" s="79"/>
      <c r="DV15" s="82"/>
      <c r="DW15" s="79"/>
      <c r="DX15" s="79"/>
      <c r="DY15" s="79"/>
      <c r="DZ15" s="79"/>
      <c r="EA15" s="79"/>
      <c r="EB15" s="79"/>
      <c r="EC15" s="79"/>
      <c r="ED15" s="79"/>
      <c r="EE15" s="79"/>
      <c r="EF15" s="82"/>
      <c r="EG15" s="79"/>
      <c r="EH15" s="82"/>
      <c r="EI15" s="79"/>
      <c r="EJ15" s="82"/>
      <c r="EK15" s="79"/>
      <c r="EL15" s="82"/>
      <c r="EM15" s="79"/>
      <c r="EN15" s="79" t="s">
        <v>79</v>
      </c>
      <c r="EO15" s="79"/>
      <c r="EP15" s="80"/>
      <c r="EQ15" s="83"/>
      <c r="ER15" s="83" t="str">
        <f t="shared" si="1"/>
        <v/>
      </c>
      <c r="ES15" s="79"/>
      <c r="ET15" s="79" t="str">
        <f t="shared" si="2"/>
        <v/>
      </c>
      <c r="EU15" s="79"/>
      <c r="EV15" s="79"/>
      <c r="EW15" s="82"/>
      <c r="EX15" s="82"/>
      <c r="EY15" s="82"/>
      <c r="EZ15" s="82"/>
      <c r="FA15" s="82"/>
      <c r="FB15" s="82"/>
    </row>
    <row r="16" ht="15.75" customHeight="1">
      <c r="A16" s="4" t="s">
        <v>590</v>
      </c>
      <c r="B16" s="4" t="s">
        <v>591</v>
      </c>
      <c r="C16" s="4" t="s">
        <v>476</v>
      </c>
      <c r="D16" s="78">
        <v>46086.0</v>
      </c>
      <c r="E16" s="4" t="s">
        <v>592</v>
      </c>
      <c r="F16" s="19"/>
      <c r="G16" s="4" t="s">
        <v>593</v>
      </c>
      <c r="H16" s="4" t="s">
        <v>594</v>
      </c>
      <c r="R16" s="4" t="s">
        <v>595</v>
      </c>
      <c r="Y16" s="4" t="s">
        <v>596</v>
      </c>
      <c r="Z16" s="4" t="s">
        <v>597</v>
      </c>
      <c r="AB16" s="4" t="s">
        <v>597</v>
      </c>
      <c r="AH16" s="23">
        <v>172788.0</v>
      </c>
      <c r="AL16" s="19"/>
      <c r="AM16" s="19"/>
      <c r="AN16" s="19"/>
      <c r="AO16" s="19"/>
      <c r="AP16" s="19"/>
      <c r="AQ16" s="4">
        <v>139130.0</v>
      </c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19"/>
      <c r="CY16" s="19"/>
      <c r="CZ16" s="1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19"/>
      <c r="DP16" s="19"/>
      <c r="DQ16" s="1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19"/>
      <c r="EG16" s="19"/>
      <c r="EH16" s="19"/>
      <c r="EI16" s="19"/>
      <c r="EJ16" s="19"/>
      <c r="EK16" s="19"/>
      <c r="EL16" s="19"/>
      <c r="EM16" s="19"/>
      <c r="EN16" s="4" t="s">
        <v>79</v>
      </c>
      <c r="EO16" s="19"/>
      <c r="EP16" s="17"/>
      <c r="EQ16" s="23"/>
      <c r="ER16" s="23" t="str">
        <f t="shared" si="1"/>
        <v/>
      </c>
      <c r="ES16" s="19"/>
      <c r="ET16" s="19" t="str">
        <f t="shared" si="2"/>
        <v/>
      </c>
      <c r="EU16" s="19"/>
      <c r="EV16" s="19"/>
      <c r="EW16" s="19"/>
      <c r="EX16" s="19"/>
      <c r="EY16" s="19"/>
      <c r="EZ16" s="82"/>
      <c r="FA16" s="82"/>
      <c r="FB16" s="82"/>
    </row>
    <row r="17" ht="15.75" customHeight="1">
      <c r="A17" s="4" t="s">
        <v>598</v>
      </c>
      <c r="B17" s="4" t="s">
        <v>591</v>
      </c>
      <c r="C17" s="4" t="s">
        <v>476</v>
      </c>
      <c r="D17" s="78">
        <v>46086.0</v>
      </c>
      <c r="E17" s="4" t="s">
        <v>599</v>
      </c>
      <c r="F17" s="19"/>
      <c r="G17" s="4" t="s">
        <v>600</v>
      </c>
      <c r="H17" s="4" t="s">
        <v>601</v>
      </c>
      <c r="R17" s="4" t="s">
        <v>602</v>
      </c>
      <c r="Y17" s="4" t="s">
        <v>603</v>
      </c>
      <c r="Z17" s="4" t="s">
        <v>597</v>
      </c>
      <c r="AB17" s="4" t="s">
        <v>597</v>
      </c>
      <c r="AH17" s="23">
        <v>194000.0</v>
      </c>
      <c r="AL17" s="19"/>
      <c r="AM17" s="19"/>
      <c r="AN17" s="19"/>
      <c r="AO17" s="19"/>
      <c r="AP17" s="19"/>
      <c r="AQ17" s="4">
        <v>121199.0</v>
      </c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19"/>
      <c r="CY17" s="19"/>
      <c r="CZ17" s="1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19"/>
      <c r="DP17" s="19"/>
      <c r="DQ17" s="1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19"/>
      <c r="EG17" s="19"/>
      <c r="EH17" s="19"/>
      <c r="EI17" s="19"/>
      <c r="EJ17" s="19"/>
      <c r="EK17" s="19"/>
      <c r="EL17" s="19"/>
      <c r="EM17" s="19"/>
      <c r="EN17" s="4" t="s">
        <v>79</v>
      </c>
      <c r="EO17" s="19"/>
      <c r="EP17" s="17"/>
      <c r="EQ17" s="23"/>
      <c r="ER17" s="23" t="str">
        <f t="shared" si="1"/>
        <v/>
      </c>
      <c r="ES17" s="19"/>
      <c r="ET17" s="19" t="str">
        <f t="shared" si="2"/>
        <v/>
      </c>
      <c r="EU17" s="19"/>
      <c r="EV17" s="19"/>
      <c r="EW17" s="19"/>
      <c r="EX17" s="19"/>
      <c r="EY17" s="19"/>
      <c r="EZ17" s="79"/>
      <c r="FA17" s="79"/>
      <c r="FB17" s="79"/>
    </row>
    <row r="18" ht="15.75" customHeight="1">
      <c r="A18" s="4" t="s">
        <v>604</v>
      </c>
      <c r="B18" s="4" t="s">
        <v>605</v>
      </c>
      <c r="C18" s="4" t="s">
        <v>476</v>
      </c>
      <c r="D18" s="78">
        <v>46086.0</v>
      </c>
      <c r="E18" s="4" t="s">
        <v>599</v>
      </c>
      <c r="F18" s="4" t="s">
        <v>606</v>
      </c>
      <c r="G18" s="4" t="s">
        <v>600</v>
      </c>
      <c r="H18" s="4" t="s">
        <v>601</v>
      </c>
      <c r="R18" s="4" t="s">
        <v>602</v>
      </c>
      <c r="V18" s="4" t="s">
        <v>607</v>
      </c>
      <c r="Y18" s="4" t="s">
        <v>603</v>
      </c>
      <c r="Z18" s="4" t="s">
        <v>597</v>
      </c>
      <c r="AB18" s="4" t="s">
        <v>597</v>
      </c>
      <c r="AH18" s="23">
        <v>69769.0</v>
      </c>
      <c r="AL18" s="19"/>
      <c r="AM18" s="19"/>
      <c r="AN18" s="19"/>
      <c r="AO18" s="19"/>
      <c r="AP18" s="19"/>
      <c r="AQ18" s="4">
        <v>34870.0</v>
      </c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19"/>
      <c r="DP18" s="19"/>
      <c r="DQ18" s="1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19"/>
      <c r="EG18" s="19"/>
      <c r="EH18" s="19"/>
      <c r="EI18" s="19"/>
      <c r="EJ18" s="19"/>
      <c r="EK18" s="19"/>
      <c r="EL18" s="19"/>
      <c r="EM18" s="19"/>
      <c r="EN18" s="4" t="s">
        <v>79</v>
      </c>
      <c r="EO18" s="19"/>
      <c r="EP18" s="17"/>
      <c r="EQ18" s="23"/>
      <c r="ER18" s="23" t="str">
        <f t="shared" si="1"/>
        <v/>
      </c>
      <c r="ES18" s="19"/>
      <c r="ET18" s="19" t="str">
        <f t="shared" si="2"/>
        <v/>
      </c>
      <c r="EU18" s="19"/>
      <c r="EV18" s="19"/>
      <c r="EW18" s="19"/>
      <c r="EX18" s="19"/>
      <c r="EY18" s="19"/>
      <c r="EZ18" s="82"/>
      <c r="FA18" s="82"/>
      <c r="FB18" s="82"/>
    </row>
    <row r="19" ht="15.75" customHeight="1">
      <c r="A19" s="4" t="s">
        <v>608</v>
      </c>
      <c r="B19" s="4" t="s">
        <v>605</v>
      </c>
      <c r="C19" s="4" t="s">
        <v>476</v>
      </c>
      <c r="D19" s="78">
        <v>46086.0</v>
      </c>
      <c r="E19" s="4" t="s">
        <v>599</v>
      </c>
      <c r="F19" s="4" t="s">
        <v>606</v>
      </c>
      <c r="G19" s="4" t="s">
        <v>600</v>
      </c>
      <c r="H19" s="4" t="s">
        <v>601</v>
      </c>
      <c r="R19" s="4" t="s">
        <v>602</v>
      </c>
      <c r="V19" s="4" t="s">
        <v>607</v>
      </c>
      <c r="Y19" s="4" t="s">
        <v>603</v>
      </c>
      <c r="Z19" s="4" t="s">
        <v>597</v>
      </c>
      <c r="AB19" s="4" t="s">
        <v>597</v>
      </c>
      <c r="AH19" s="23">
        <v>116597.0</v>
      </c>
      <c r="AL19" s="19"/>
      <c r="AM19" s="19"/>
      <c r="AN19" s="19"/>
      <c r="AO19" s="19"/>
      <c r="AP19" s="19"/>
      <c r="AQ19" s="4">
        <v>29678.0</v>
      </c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19"/>
      <c r="CY19" s="19"/>
      <c r="CZ19" s="1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19"/>
      <c r="DP19" s="19"/>
      <c r="DQ19" s="1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19"/>
      <c r="EG19" s="19"/>
      <c r="EH19" s="19"/>
      <c r="EI19" s="19"/>
      <c r="EJ19" s="19"/>
      <c r="EK19" s="19"/>
      <c r="EL19" s="19"/>
      <c r="EM19" s="19"/>
      <c r="EN19" s="4" t="s">
        <v>79</v>
      </c>
      <c r="EO19" s="19"/>
      <c r="EP19" s="17"/>
      <c r="EQ19" s="23"/>
      <c r="ER19" s="23" t="str">
        <f t="shared" si="1"/>
        <v/>
      </c>
      <c r="ES19" s="19"/>
      <c r="ET19" s="19" t="str">
        <f t="shared" si="2"/>
        <v/>
      </c>
      <c r="EU19" s="19"/>
      <c r="EV19" s="19"/>
      <c r="EW19" s="19"/>
      <c r="EX19" s="19"/>
      <c r="EY19" s="19"/>
      <c r="EZ19" s="82"/>
      <c r="FA19" s="82"/>
      <c r="FB19" s="82"/>
    </row>
    <row r="20" ht="15.75" customHeight="1">
      <c r="A20" s="79" t="s">
        <v>609</v>
      </c>
      <c r="B20" s="79" t="s">
        <v>515</v>
      </c>
      <c r="C20" s="79" t="s">
        <v>476</v>
      </c>
      <c r="D20" s="80">
        <v>46089.0</v>
      </c>
      <c r="E20" s="79" t="s">
        <v>610</v>
      </c>
      <c r="F20" s="79" t="s">
        <v>568</v>
      </c>
      <c r="G20" s="79" t="s">
        <v>569</v>
      </c>
      <c r="H20" s="79" t="s">
        <v>611</v>
      </c>
      <c r="I20" s="79"/>
      <c r="J20" s="79" t="s">
        <v>612</v>
      </c>
      <c r="K20" s="79">
        <v>0.0</v>
      </c>
      <c r="L20" s="79"/>
      <c r="M20" s="79" t="s">
        <v>613</v>
      </c>
      <c r="N20" s="79"/>
      <c r="O20" s="79"/>
      <c r="P20" s="79"/>
      <c r="Q20" s="79"/>
      <c r="R20" s="80">
        <v>46838.0</v>
      </c>
      <c r="S20" s="79"/>
      <c r="T20" s="79">
        <v>11417.0</v>
      </c>
      <c r="U20" s="79"/>
      <c r="V20" s="79"/>
      <c r="W20" s="80">
        <v>46089.0</v>
      </c>
      <c r="X20" s="79"/>
      <c r="Y20" s="80">
        <v>46089.0</v>
      </c>
      <c r="Z20" s="79" t="s">
        <v>486</v>
      </c>
      <c r="AA20" s="79" t="s">
        <v>555</v>
      </c>
      <c r="AB20" s="79" t="s">
        <v>486</v>
      </c>
      <c r="AC20" s="79" t="s">
        <v>488</v>
      </c>
      <c r="AD20" s="79">
        <v>19875.0</v>
      </c>
      <c r="AE20" s="79">
        <v>0.0</v>
      </c>
      <c r="AF20" s="79">
        <v>0.0</v>
      </c>
      <c r="AG20" s="79">
        <v>1988.0</v>
      </c>
      <c r="AH20" s="81">
        <v>21863.0</v>
      </c>
      <c r="AI20" s="79"/>
      <c r="AJ20" s="79">
        <v>0.0</v>
      </c>
      <c r="AK20" s="79">
        <v>1736.0</v>
      </c>
      <c r="AL20" s="79">
        <v>0.0</v>
      </c>
      <c r="AM20" s="79">
        <v>0.0</v>
      </c>
      <c r="AN20" s="79">
        <v>174.0</v>
      </c>
      <c r="AO20" s="79">
        <v>1910.0</v>
      </c>
      <c r="AP20" s="79">
        <v>0.0</v>
      </c>
      <c r="AQ20" s="79">
        <v>18139.0</v>
      </c>
      <c r="AR20" s="79" t="s">
        <v>489</v>
      </c>
      <c r="AS20" s="79">
        <v>0.0</v>
      </c>
      <c r="AT20" s="79" t="s">
        <v>490</v>
      </c>
      <c r="AU20" s="79" t="s">
        <v>491</v>
      </c>
      <c r="AV20" s="79">
        <v>0.0</v>
      </c>
      <c r="AW20" s="79" t="s">
        <v>508</v>
      </c>
      <c r="AX20" s="79">
        <v>0.0</v>
      </c>
      <c r="AY20" s="79"/>
      <c r="AZ20" s="79">
        <v>0.0</v>
      </c>
      <c r="BA20" s="79"/>
      <c r="BB20" s="79">
        <v>0.0</v>
      </c>
      <c r="BC20" s="79"/>
      <c r="BD20" s="79">
        <v>0.0</v>
      </c>
      <c r="BE20" s="79"/>
      <c r="BF20" s="79">
        <v>0.0</v>
      </c>
      <c r="BG20" s="79"/>
      <c r="BH20" s="79">
        <v>0.0</v>
      </c>
      <c r="BI20" s="79" t="s">
        <v>493</v>
      </c>
      <c r="BJ20" s="79">
        <v>0.0</v>
      </c>
      <c r="BK20" s="79" t="s">
        <v>494</v>
      </c>
      <c r="BL20" s="79">
        <v>0.0</v>
      </c>
      <c r="BM20" s="79" t="s">
        <v>495</v>
      </c>
      <c r="BN20" s="79">
        <v>0.0</v>
      </c>
      <c r="BO20" s="79" t="s">
        <v>496</v>
      </c>
      <c r="BP20" s="79">
        <v>0.0</v>
      </c>
      <c r="BQ20" s="79"/>
      <c r="BR20" s="79">
        <v>0.0</v>
      </c>
      <c r="BS20" s="79"/>
      <c r="BT20" s="79">
        <v>0.0</v>
      </c>
      <c r="BU20" s="79"/>
      <c r="BV20" s="79">
        <v>0.0</v>
      </c>
      <c r="BW20" s="79"/>
      <c r="BX20" s="79">
        <v>0.0</v>
      </c>
      <c r="BY20" s="79">
        <v>0.0</v>
      </c>
      <c r="BZ20" s="79" t="s">
        <v>491</v>
      </c>
      <c r="CA20" s="79">
        <v>0.0</v>
      </c>
      <c r="CB20" s="79" t="s">
        <v>490</v>
      </c>
      <c r="CC20" s="79" t="s">
        <v>508</v>
      </c>
      <c r="CD20" s="79">
        <v>0.0</v>
      </c>
      <c r="CE20" s="79"/>
      <c r="CF20" s="79">
        <v>0.0</v>
      </c>
      <c r="CG20" s="79"/>
      <c r="CH20" s="79">
        <v>0.0</v>
      </c>
      <c r="CI20" s="79"/>
      <c r="CJ20" s="79">
        <v>0.0</v>
      </c>
      <c r="CK20" s="79"/>
      <c r="CL20" s="79">
        <v>0.0</v>
      </c>
      <c r="CM20" s="79"/>
      <c r="CN20" s="79">
        <v>0.0</v>
      </c>
      <c r="CO20" s="79" t="s">
        <v>493</v>
      </c>
      <c r="CP20" s="79">
        <v>0.0</v>
      </c>
      <c r="CQ20" s="79" t="s">
        <v>494</v>
      </c>
      <c r="CR20" s="79">
        <v>0.0</v>
      </c>
      <c r="CS20" s="79" t="s">
        <v>495</v>
      </c>
      <c r="CT20" s="79">
        <v>0.0</v>
      </c>
      <c r="CU20" s="79" t="s">
        <v>496</v>
      </c>
      <c r="CV20" s="79">
        <v>0.0</v>
      </c>
      <c r="CW20" s="79"/>
      <c r="CX20" s="79">
        <v>0.0</v>
      </c>
      <c r="CY20" s="79"/>
      <c r="CZ20" s="79">
        <v>0.0</v>
      </c>
      <c r="DA20" s="79"/>
      <c r="DB20" s="79">
        <v>0.0</v>
      </c>
      <c r="DC20" s="79"/>
      <c r="DD20" s="79">
        <v>0.0</v>
      </c>
      <c r="DE20" s="79">
        <v>17575.0</v>
      </c>
      <c r="DF20" s="79">
        <v>2300.0</v>
      </c>
      <c r="DG20" s="79">
        <v>0.0</v>
      </c>
      <c r="DH20" s="79">
        <v>0.0</v>
      </c>
      <c r="DI20" s="79">
        <v>1736.0</v>
      </c>
      <c r="DJ20" s="79" t="s">
        <v>614</v>
      </c>
      <c r="DK20" s="79" t="s">
        <v>486</v>
      </c>
      <c r="DL20" s="79" t="s">
        <v>555</v>
      </c>
      <c r="DM20" s="79" t="s">
        <v>615</v>
      </c>
      <c r="DN20" s="79"/>
      <c r="DO20" s="79" t="s">
        <v>616</v>
      </c>
      <c r="DP20" s="79"/>
      <c r="DQ20" s="79"/>
      <c r="DR20" s="79"/>
      <c r="DS20" s="79"/>
      <c r="DT20" s="82"/>
      <c r="DU20" s="79"/>
      <c r="DV20" s="82"/>
      <c r="DW20" s="79"/>
      <c r="DX20" s="79"/>
      <c r="DY20" s="79"/>
      <c r="DZ20" s="79"/>
      <c r="EA20" s="79"/>
      <c r="EB20" s="79"/>
      <c r="EC20" s="79"/>
      <c r="ED20" s="79"/>
      <c r="EE20" s="79"/>
      <c r="EF20" s="82"/>
      <c r="EG20" s="79"/>
      <c r="EH20" s="82"/>
      <c r="EI20" s="79"/>
      <c r="EJ20" s="82"/>
      <c r="EK20" s="79"/>
      <c r="EL20" s="82"/>
      <c r="EM20" s="79"/>
      <c r="EN20" s="79" t="s">
        <v>79</v>
      </c>
      <c r="EO20" s="79"/>
      <c r="EP20" s="80"/>
      <c r="EQ20" s="83"/>
      <c r="ER20" s="83" t="str">
        <f t="shared" si="1"/>
        <v/>
      </c>
      <c r="ES20" s="79"/>
      <c r="ET20" s="79" t="str">
        <f t="shared" si="2"/>
        <v/>
      </c>
      <c r="EU20" s="79"/>
      <c r="EV20" s="79"/>
      <c r="EW20" s="82"/>
      <c r="EX20" s="82"/>
      <c r="EY20" s="82"/>
      <c r="EZ20" s="82"/>
      <c r="FA20" s="82"/>
      <c r="FB20" s="82"/>
    </row>
    <row r="21" ht="15.75" customHeight="1">
      <c r="A21" s="79" t="s">
        <v>617</v>
      </c>
      <c r="B21" s="79" t="s">
        <v>591</v>
      </c>
      <c r="C21" s="79" t="s">
        <v>476</v>
      </c>
      <c r="D21" s="80">
        <v>46089.0</v>
      </c>
      <c r="E21" s="79" t="s">
        <v>618</v>
      </c>
      <c r="F21" s="79"/>
      <c r="G21" s="79" t="s">
        <v>619</v>
      </c>
      <c r="H21" s="79" t="s">
        <v>620</v>
      </c>
      <c r="I21" s="79" t="s">
        <v>621</v>
      </c>
      <c r="J21" s="79" t="s">
        <v>622</v>
      </c>
      <c r="K21" s="79">
        <v>3800.0</v>
      </c>
      <c r="L21" s="79" t="s">
        <v>623</v>
      </c>
      <c r="M21" s="79" t="s">
        <v>624</v>
      </c>
      <c r="N21" s="79" t="s">
        <v>521</v>
      </c>
      <c r="O21" s="79" t="s">
        <v>484</v>
      </c>
      <c r="P21" s="79" t="s">
        <v>625</v>
      </c>
      <c r="Q21" s="79" t="s">
        <v>626</v>
      </c>
      <c r="R21" s="80">
        <v>46822.0</v>
      </c>
      <c r="S21" s="79"/>
      <c r="T21" s="79">
        <v>34767.0</v>
      </c>
      <c r="U21" s="79"/>
      <c r="V21" s="79"/>
      <c r="W21" s="80">
        <v>46079.0</v>
      </c>
      <c r="X21" s="79"/>
      <c r="Y21" s="80">
        <v>46090.0</v>
      </c>
      <c r="Z21" s="79" t="s">
        <v>557</v>
      </c>
      <c r="AA21" s="79" t="s">
        <v>627</v>
      </c>
      <c r="AB21" s="79" t="s">
        <v>557</v>
      </c>
      <c r="AC21" s="79" t="s">
        <v>488</v>
      </c>
      <c r="AD21" s="79">
        <v>304100.0</v>
      </c>
      <c r="AE21" s="79">
        <v>11227.0</v>
      </c>
      <c r="AF21" s="79">
        <v>52750.0</v>
      </c>
      <c r="AG21" s="79">
        <v>31533.0</v>
      </c>
      <c r="AH21" s="81">
        <v>399610.0</v>
      </c>
      <c r="AI21" s="79"/>
      <c r="AJ21" s="79">
        <v>0.0</v>
      </c>
      <c r="AK21" s="79">
        <v>67480.0</v>
      </c>
      <c r="AL21" s="79">
        <v>0.0</v>
      </c>
      <c r="AM21" s="79">
        <v>52750.0</v>
      </c>
      <c r="AN21" s="79">
        <v>6749.0</v>
      </c>
      <c r="AO21" s="79">
        <v>126979.0</v>
      </c>
      <c r="AP21" s="79">
        <v>0.0</v>
      </c>
      <c r="AQ21" s="79">
        <v>247847.0</v>
      </c>
      <c r="AR21" s="79" t="s">
        <v>525</v>
      </c>
      <c r="AS21" s="79">
        <v>10000.0</v>
      </c>
      <c r="AT21" s="79" t="s">
        <v>490</v>
      </c>
      <c r="AU21" s="79" t="s">
        <v>491</v>
      </c>
      <c r="AV21" s="79">
        <v>1227.0</v>
      </c>
      <c r="AW21" s="79"/>
      <c r="AX21" s="79">
        <v>0.0</v>
      </c>
      <c r="AY21" s="79"/>
      <c r="AZ21" s="79">
        <v>0.0</v>
      </c>
      <c r="BA21" s="79"/>
      <c r="BB21" s="79">
        <v>0.0</v>
      </c>
      <c r="BC21" s="79"/>
      <c r="BD21" s="79">
        <v>0.0</v>
      </c>
      <c r="BE21" s="79"/>
      <c r="BF21" s="79">
        <v>0.0</v>
      </c>
      <c r="BG21" s="79"/>
      <c r="BH21" s="79">
        <v>0.0</v>
      </c>
      <c r="BI21" s="79" t="s">
        <v>493</v>
      </c>
      <c r="BJ21" s="79">
        <v>17650.0</v>
      </c>
      <c r="BK21" s="79" t="s">
        <v>494</v>
      </c>
      <c r="BL21" s="79">
        <v>32800.0</v>
      </c>
      <c r="BM21" s="79" t="s">
        <v>495</v>
      </c>
      <c r="BN21" s="79">
        <v>2300.0</v>
      </c>
      <c r="BO21" s="79"/>
      <c r="BP21" s="79">
        <v>0.0</v>
      </c>
      <c r="BQ21" s="79"/>
      <c r="BR21" s="79">
        <v>0.0</v>
      </c>
      <c r="BS21" s="79"/>
      <c r="BT21" s="79">
        <v>0.0</v>
      </c>
      <c r="BU21" s="79"/>
      <c r="BV21" s="79">
        <v>0.0</v>
      </c>
      <c r="BW21" s="79"/>
      <c r="BX21" s="79">
        <v>0.0</v>
      </c>
      <c r="BY21" s="79">
        <v>0.0</v>
      </c>
      <c r="BZ21" s="79" t="s">
        <v>491</v>
      </c>
      <c r="CA21" s="79">
        <v>0.0</v>
      </c>
      <c r="CB21" s="79" t="s">
        <v>490</v>
      </c>
      <c r="CC21" s="79"/>
      <c r="CD21" s="79">
        <v>0.0</v>
      </c>
      <c r="CE21" s="79"/>
      <c r="CF21" s="79">
        <v>0.0</v>
      </c>
      <c r="CG21" s="79"/>
      <c r="CH21" s="79">
        <v>0.0</v>
      </c>
      <c r="CI21" s="79"/>
      <c r="CJ21" s="79">
        <v>0.0</v>
      </c>
      <c r="CK21" s="79"/>
      <c r="CL21" s="79">
        <v>0.0</v>
      </c>
      <c r="CM21" s="79"/>
      <c r="CN21" s="79">
        <v>0.0</v>
      </c>
      <c r="CO21" s="79" t="s">
        <v>493</v>
      </c>
      <c r="CP21" s="79">
        <v>17650.0</v>
      </c>
      <c r="CQ21" s="79" t="s">
        <v>494</v>
      </c>
      <c r="CR21" s="79">
        <v>32800.0</v>
      </c>
      <c r="CS21" s="79" t="s">
        <v>495</v>
      </c>
      <c r="CT21" s="79">
        <v>2300.0</v>
      </c>
      <c r="CU21" s="79"/>
      <c r="CV21" s="79">
        <v>0.0</v>
      </c>
      <c r="CW21" s="79"/>
      <c r="CX21" s="79">
        <v>0.0</v>
      </c>
      <c r="CY21" s="79"/>
      <c r="CZ21" s="79">
        <v>0.0</v>
      </c>
      <c r="DA21" s="79"/>
      <c r="DB21" s="79">
        <v>0.0</v>
      </c>
      <c r="DC21" s="79"/>
      <c r="DD21" s="79">
        <v>0.0</v>
      </c>
      <c r="DE21" s="79">
        <v>150000.0</v>
      </c>
      <c r="DF21" s="79">
        <v>154100.0</v>
      </c>
      <c r="DG21" s="79">
        <v>0.0</v>
      </c>
      <c r="DH21" s="79">
        <v>0.0</v>
      </c>
      <c r="DI21" s="79">
        <v>67480.0</v>
      </c>
      <c r="DJ21" s="79" t="s">
        <v>628</v>
      </c>
      <c r="DK21" s="79" t="s">
        <v>557</v>
      </c>
      <c r="DL21" s="79" t="s">
        <v>627</v>
      </c>
      <c r="DM21" s="79" t="s">
        <v>629</v>
      </c>
      <c r="DN21" s="79" t="s">
        <v>630</v>
      </c>
      <c r="DO21" s="79">
        <v>9.037442434E9</v>
      </c>
      <c r="DP21" s="79"/>
      <c r="DQ21" s="79"/>
      <c r="DR21" s="79"/>
      <c r="DS21" s="79"/>
      <c r="DT21" s="82"/>
      <c r="DU21" s="79"/>
      <c r="DV21" s="82"/>
      <c r="DW21" s="79"/>
      <c r="DX21" s="79"/>
      <c r="DY21" s="79"/>
      <c r="DZ21" s="79"/>
      <c r="EA21" s="79"/>
      <c r="EB21" s="79"/>
      <c r="EC21" s="79"/>
      <c r="ED21" s="79"/>
      <c r="EE21" s="79"/>
      <c r="EF21" s="82"/>
      <c r="EG21" s="79"/>
      <c r="EH21" s="82"/>
      <c r="EI21" s="79"/>
      <c r="EJ21" s="82"/>
      <c r="EK21" s="79"/>
      <c r="EL21" s="82"/>
      <c r="EM21" s="79"/>
      <c r="EN21" s="79" t="s">
        <v>79</v>
      </c>
      <c r="EO21" s="79"/>
      <c r="EP21" s="80"/>
      <c r="EQ21" s="83"/>
      <c r="ER21" s="83" t="str">
        <f t="shared" si="1"/>
        <v/>
      </c>
      <c r="ES21" s="82"/>
      <c r="ET21" s="79" t="str">
        <f t="shared" si="2"/>
        <v/>
      </c>
      <c r="EU21" s="79"/>
      <c r="EV21" s="82"/>
      <c r="EW21" s="82"/>
      <c r="EX21" s="82"/>
      <c r="EY21" s="82"/>
      <c r="EZ21" s="82"/>
      <c r="FA21" s="82"/>
      <c r="FB21" s="82"/>
    </row>
    <row r="22" ht="15.75" customHeight="1">
      <c r="A22" s="79" t="s">
        <v>631</v>
      </c>
      <c r="B22" s="79" t="s">
        <v>475</v>
      </c>
      <c r="C22" s="79" t="s">
        <v>476</v>
      </c>
      <c r="D22" s="80">
        <v>46089.0</v>
      </c>
      <c r="E22" s="79" t="s">
        <v>610</v>
      </c>
      <c r="F22" s="79" t="s">
        <v>568</v>
      </c>
      <c r="G22" s="79" t="s">
        <v>569</v>
      </c>
      <c r="H22" s="79" t="s">
        <v>611</v>
      </c>
      <c r="I22" s="79"/>
      <c r="J22" s="79" t="s">
        <v>612</v>
      </c>
      <c r="K22" s="79">
        <v>0.0</v>
      </c>
      <c r="L22" s="79"/>
      <c r="M22" s="79" t="s">
        <v>613</v>
      </c>
      <c r="N22" s="79"/>
      <c r="O22" s="79"/>
      <c r="P22" s="79"/>
      <c r="Q22" s="79"/>
      <c r="R22" s="80">
        <v>46838.0</v>
      </c>
      <c r="S22" s="79"/>
      <c r="T22" s="79">
        <v>11417.0</v>
      </c>
      <c r="U22" s="79"/>
      <c r="V22" s="79"/>
      <c r="W22" s="80">
        <v>46089.0</v>
      </c>
      <c r="X22" s="79"/>
      <c r="Y22" s="80">
        <v>46089.0</v>
      </c>
      <c r="Z22" s="79" t="s">
        <v>486</v>
      </c>
      <c r="AA22" s="79" t="s">
        <v>555</v>
      </c>
      <c r="AB22" s="79" t="s">
        <v>486</v>
      </c>
      <c r="AC22" s="79" t="s">
        <v>488</v>
      </c>
      <c r="AD22" s="79">
        <v>14000.0</v>
      </c>
      <c r="AE22" s="79">
        <v>0.0</v>
      </c>
      <c r="AF22" s="79">
        <v>0.0</v>
      </c>
      <c r="AG22" s="79">
        <v>1400.0</v>
      </c>
      <c r="AH22" s="81">
        <v>15400.0</v>
      </c>
      <c r="AI22" s="79"/>
      <c r="AJ22" s="79">
        <v>0.0</v>
      </c>
      <c r="AK22" s="79">
        <v>0.0</v>
      </c>
      <c r="AL22" s="79">
        <v>0.0</v>
      </c>
      <c r="AM22" s="79">
        <v>0.0</v>
      </c>
      <c r="AN22" s="79">
        <v>0.0</v>
      </c>
      <c r="AO22" s="79">
        <v>0.0</v>
      </c>
      <c r="AP22" s="79">
        <v>0.0</v>
      </c>
      <c r="AQ22" s="79">
        <v>14000.0</v>
      </c>
      <c r="AR22" s="79" t="s">
        <v>489</v>
      </c>
      <c r="AS22" s="79">
        <v>0.0</v>
      </c>
      <c r="AT22" s="79" t="s">
        <v>490</v>
      </c>
      <c r="AU22" s="79" t="s">
        <v>491</v>
      </c>
      <c r="AV22" s="79">
        <v>0.0</v>
      </c>
      <c r="AW22" s="79" t="s">
        <v>508</v>
      </c>
      <c r="AX22" s="79">
        <v>0.0</v>
      </c>
      <c r="AY22" s="79"/>
      <c r="AZ22" s="79">
        <v>0.0</v>
      </c>
      <c r="BA22" s="79"/>
      <c r="BB22" s="79">
        <v>0.0</v>
      </c>
      <c r="BC22" s="79"/>
      <c r="BD22" s="79">
        <v>0.0</v>
      </c>
      <c r="BE22" s="79"/>
      <c r="BF22" s="79">
        <v>0.0</v>
      </c>
      <c r="BG22" s="79"/>
      <c r="BH22" s="79">
        <v>0.0</v>
      </c>
      <c r="BI22" s="79" t="s">
        <v>493</v>
      </c>
      <c r="BJ22" s="79">
        <v>0.0</v>
      </c>
      <c r="BK22" s="79" t="s">
        <v>494</v>
      </c>
      <c r="BL22" s="79">
        <v>0.0</v>
      </c>
      <c r="BM22" s="79" t="s">
        <v>495</v>
      </c>
      <c r="BN22" s="79">
        <v>0.0</v>
      </c>
      <c r="BO22" s="79" t="s">
        <v>496</v>
      </c>
      <c r="BP22" s="79">
        <v>0.0</v>
      </c>
      <c r="BQ22" s="79"/>
      <c r="BR22" s="79">
        <v>0.0</v>
      </c>
      <c r="BS22" s="79"/>
      <c r="BT22" s="79">
        <v>0.0</v>
      </c>
      <c r="BU22" s="79"/>
      <c r="BV22" s="79">
        <v>0.0</v>
      </c>
      <c r="BW22" s="79"/>
      <c r="BX22" s="79">
        <v>0.0</v>
      </c>
      <c r="BY22" s="79">
        <v>0.0</v>
      </c>
      <c r="BZ22" s="79" t="s">
        <v>491</v>
      </c>
      <c r="CA22" s="79">
        <v>0.0</v>
      </c>
      <c r="CB22" s="79" t="s">
        <v>490</v>
      </c>
      <c r="CC22" s="79" t="s">
        <v>508</v>
      </c>
      <c r="CD22" s="79">
        <v>0.0</v>
      </c>
      <c r="CE22" s="79"/>
      <c r="CF22" s="79">
        <v>0.0</v>
      </c>
      <c r="CG22" s="79"/>
      <c r="CH22" s="79">
        <v>0.0</v>
      </c>
      <c r="CI22" s="79"/>
      <c r="CJ22" s="79">
        <v>0.0</v>
      </c>
      <c r="CK22" s="79"/>
      <c r="CL22" s="79">
        <v>0.0</v>
      </c>
      <c r="CM22" s="79"/>
      <c r="CN22" s="79">
        <v>0.0</v>
      </c>
      <c r="CO22" s="79" t="s">
        <v>493</v>
      </c>
      <c r="CP22" s="79">
        <v>0.0</v>
      </c>
      <c r="CQ22" s="79" t="s">
        <v>494</v>
      </c>
      <c r="CR22" s="79">
        <v>0.0</v>
      </c>
      <c r="CS22" s="79" t="s">
        <v>495</v>
      </c>
      <c r="CT22" s="79">
        <v>0.0</v>
      </c>
      <c r="CU22" s="79" t="s">
        <v>496</v>
      </c>
      <c r="CV22" s="79">
        <v>0.0</v>
      </c>
      <c r="CW22" s="79"/>
      <c r="CX22" s="79">
        <v>0.0</v>
      </c>
      <c r="CY22" s="79"/>
      <c r="CZ22" s="79">
        <v>0.0</v>
      </c>
      <c r="DA22" s="79"/>
      <c r="DB22" s="79">
        <v>0.0</v>
      </c>
      <c r="DC22" s="79"/>
      <c r="DD22" s="79">
        <v>0.0</v>
      </c>
      <c r="DE22" s="79">
        <v>14000.0</v>
      </c>
      <c r="DF22" s="79">
        <v>0.0</v>
      </c>
      <c r="DG22" s="79">
        <v>0.0</v>
      </c>
      <c r="DH22" s="79">
        <v>0.0</v>
      </c>
      <c r="DI22" s="79">
        <v>0.0</v>
      </c>
      <c r="DJ22" s="79" t="s">
        <v>614</v>
      </c>
      <c r="DK22" s="79" t="s">
        <v>486</v>
      </c>
      <c r="DL22" s="79" t="s">
        <v>555</v>
      </c>
      <c r="DM22" s="79" t="s">
        <v>615</v>
      </c>
      <c r="DN22" s="79"/>
      <c r="DO22" s="79" t="s">
        <v>616</v>
      </c>
      <c r="DP22" s="79"/>
      <c r="DQ22" s="79"/>
      <c r="DR22" s="79"/>
      <c r="DS22" s="79"/>
      <c r="DT22" s="82"/>
      <c r="DU22" s="79"/>
      <c r="DV22" s="82"/>
      <c r="DW22" s="79"/>
      <c r="DX22" s="79"/>
      <c r="DY22" s="79"/>
      <c r="DZ22" s="79"/>
      <c r="EA22" s="79"/>
      <c r="EB22" s="79"/>
      <c r="EC22" s="79"/>
      <c r="ED22" s="79"/>
      <c r="EE22" s="79"/>
      <c r="EF22" s="82"/>
      <c r="EG22" s="79"/>
      <c r="EH22" s="82"/>
      <c r="EI22" s="79"/>
      <c r="EJ22" s="82"/>
      <c r="EK22" s="79"/>
      <c r="EL22" s="82"/>
      <c r="EM22" s="79"/>
      <c r="EN22" s="79" t="s">
        <v>79</v>
      </c>
      <c r="EO22" s="79"/>
      <c r="EP22" s="80"/>
      <c r="EQ22" s="83"/>
      <c r="ER22" s="83" t="str">
        <f t="shared" si="1"/>
        <v/>
      </c>
      <c r="ES22" s="79"/>
      <c r="ET22" s="79" t="str">
        <f t="shared" si="2"/>
        <v/>
      </c>
      <c r="EU22" s="79"/>
      <c r="EV22" s="79"/>
      <c r="EW22" s="82"/>
      <c r="EX22" s="82"/>
      <c r="EY22" s="82"/>
      <c r="EZ22" s="82"/>
      <c r="FA22" s="82"/>
      <c r="FB22" s="82"/>
    </row>
    <row r="23" ht="15.75" customHeight="1">
      <c r="A23" s="79" t="s">
        <v>632</v>
      </c>
      <c r="B23" s="79" t="s">
        <v>530</v>
      </c>
      <c r="C23" s="79" t="s">
        <v>476</v>
      </c>
      <c r="D23" s="80">
        <v>46089.0</v>
      </c>
      <c r="E23" s="79" t="s">
        <v>633</v>
      </c>
      <c r="F23" s="79" t="s">
        <v>634</v>
      </c>
      <c r="G23" s="79" t="s">
        <v>635</v>
      </c>
      <c r="H23" s="79" t="s">
        <v>636</v>
      </c>
      <c r="I23" s="79" t="s">
        <v>480</v>
      </c>
      <c r="J23" s="79" t="s">
        <v>637</v>
      </c>
      <c r="K23" s="79">
        <v>3000.0</v>
      </c>
      <c r="L23" s="79"/>
      <c r="M23" s="79" t="s">
        <v>613</v>
      </c>
      <c r="N23" s="79" t="s">
        <v>638</v>
      </c>
      <c r="O23" s="79" t="s">
        <v>573</v>
      </c>
      <c r="P23" s="79"/>
      <c r="Q23" s="79" t="s">
        <v>639</v>
      </c>
      <c r="R23" s="80">
        <v>47147.0</v>
      </c>
      <c r="S23" s="79"/>
      <c r="T23" s="79"/>
      <c r="U23" s="79"/>
      <c r="V23" s="79"/>
      <c r="W23" s="79"/>
      <c r="X23" s="79"/>
      <c r="Y23" s="79"/>
      <c r="Z23" s="79" t="s">
        <v>486</v>
      </c>
      <c r="AA23" s="79" t="s">
        <v>537</v>
      </c>
      <c r="AB23" s="79" t="s">
        <v>486</v>
      </c>
      <c r="AC23" s="79" t="s">
        <v>488</v>
      </c>
      <c r="AD23" s="79">
        <v>272727.0</v>
      </c>
      <c r="AE23" s="79">
        <v>0.0</v>
      </c>
      <c r="AF23" s="79">
        <v>0.0</v>
      </c>
      <c r="AG23" s="79">
        <v>27273.0</v>
      </c>
      <c r="AH23" s="81">
        <v>300000.0</v>
      </c>
      <c r="AI23" s="79"/>
      <c r="AJ23" s="79">
        <v>0.0</v>
      </c>
      <c r="AK23" s="79">
        <v>190424.0</v>
      </c>
      <c r="AL23" s="79">
        <v>0.0</v>
      </c>
      <c r="AM23" s="79">
        <v>0.0</v>
      </c>
      <c r="AN23" s="79">
        <v>19042.0</v>
      </c>
      <c r="AO23" s="79">
        <v>209466.0</v>
      </c>
      <c r="AP23" s="79">
        <v>0.0</v>
      </c>
      <c r="AQ23" s="79">
        <v>82303.0</v>
      </c>
      <c r="AR23" s="79" t="s">
        <v>489</v>
      </c>
      <c r="AS23" s="79">
        <v>0.0</v>
      </c>
      <c r="AT23" s="79" t="s">
        <v>507</v>
      </c>
      <c r="AU23" s="79" t="s">
        <v>491</v>
      </c>
      <c r="AV23" s="79">
        <v>0.0</v>
      </c>
      <c r="AW23" s="79" t="s">
        <v>508</v>
      </c>
      <c r="AX23" s="79">
        <v>0.0</v>
      </c>
      <c r="AY23" s="79"/>
      <c r="AZ23" s="79">
        <v>0.0</v>
      </c>
      <c r="BA23" s="79"/>
      <c r="BB23" s="79">
        <v>0.0</v>
      </c>
      <c r="BC23" s="79"/>
      <c r="BD23" s="79">
        <v>0.0</v>
      </c>
      <c r="BE23" s="79"/>
      <c r="BF23" s="79">
        <v>0.0</v>
      </c>
      <c r="BG23" s="79"/>
      <c r="BH23" s="79">
        <v>0.0</v>
      </c>
      <c r="BI23" s="79" t="s">
        <v>493</v>
      </c>
      <c r="BJ23" s="79">
        <v>0.0</v>
      </c>
      <c r="BK23" s="79" t="s">
        <v>494</v>
      </c>
      <c r="BL23" s="79">
        <v>0.0</v>
      </c>
      <c r="BM23" s="79" t="s">
        <v>495</v>
      </c>
      <c r="BN23" s="79">
        <v>0.0</v>
      </c>
      <c r="BO23" s="79" t="s">
        <v>496</v>
      </c>
      <c r="BP23" s="79">
        <v>0.0</v>
      </c>
      <c r="BQ23" s="79"/>
      <c r="BR23" s="79">
        <v>0.0</v>
      </c>
      <c r="BS23" s="79"/>
      <c r="BT23" s="79">
        <v>0.0</v>
      </c>
      <c r="BU23" s="79"/>
      <c r="BV23" s="79">
        <v>0.0</v>
      </c>
      <c r="BW23" s="79"/>
      <c r="BX23" s="79">
        <v>0.0</v>
      </c>
      <c r="BY23" s="79">
        <v>0.0</v>
      </c>
      <c r="BZ23" s="79" t="s">
        <v>491</v>
      </c>
      <c r="CA23" s="79">
        <v>0.0</v>
      </c>
      <c r="CB23" s="79" t="s">
        <v>507</v>
      </c>
      <c r="CC23" s="79" t="s">
        <v>508</v>
      </c>
      <c r="CD23" s="79">
        <v>0.0</v>
      </c>
      <c r="CE23" s="79"/>
      <c r="CF23" s="79">
        <v>0.0</v>
      </c>
      <c r="CG23" s="79"/>
      <c r="CH23" s="79">
        <v>0.0</v>
      </c>
      <c r="CI23" s="79"/>
      <c r="CJ23" s="79">
        <v>0.0</v>
      </c>
      <c r="CK23" s="79"/>
      <c r="CL23" s="79">
        <v>0.0</v>
      </c>
      <c r="CM23" s="79"/>
      <c r="CN23" s="79">
        <v>0.0</v>
      </c>
      <c r="CO23" s="79" t="s">
        <v>493</v>
      </c>
      <c r="CP23" s="79">
        <v>0.0</v>
      </c>
      <c r="CQ23" s="79" t="s">
        <v>494</v>
      </c>
      <c r="CR23" s="79">
        <v>0.0</v>
      </c>
      <c r="CS23" s="79" t="s">
        <v>495</v>
      </c>
      <c r="CT23" s="79">
        <v>0.0</v>
      </c>
      <c r="CU23" s="79" t="s">
        <v>496</v>
      </c>
      <c r="CV23" s="79">
        <v>0.0</v>
      </c>
      <c r="CW23" s="79"/>
      <c r="CX23" s="79">
        <v>0.0</v>
      </c>
      <c r="CY23" s="79"/>
      <c r="CZ23" s="79">
        <v>0.0</v>
      </c>
      <c r="DA23" s="79"/>
      <c r="DB23" s="79">
        <v>0.0</v>
      </c>
      <c r="DC23" s="79"/>
      <c r="DD23" s="79">
        <v>0.0</v>
      </c>
      <c r="DE23" s="79">
        <v>11407.0</v>
      </c>
      <c r="DF23" s="79">
        <v>261320.0</v>
      </c>
      <c r="DG23" s="79">
        <v>0.0</v>
      </c>
      <c r="DH23" s="79">
        <v>33560.0</v>
      </c>
      <c r="DI23" s="79">
        <v>156864.0</v>
      </c>
      <c r="DJ23" s="79" t="s">
        <v>640</v>
      </c>
      <c r="DK23" s="79" t="s">
        <v>486</v>
      </c>
      <c r="DL23" s="79" t="s">
        <v>537</v>
      </c>
      <c r="DM23" s="79" t="s">
        <v>641</v>
      </c>
      <c r="DN23" s="79"/>
      <c r="DO23" s="79" t="s">
        <v>642</v>
      </c>
      <c r="DP23" s="79"/>
      <c r="DQ23" s="79"/>
      <c r="DR23" s="79"/>
      <c r="DS23" s="79"/>
      <c r="DT23" s="82"/>
      <c r="DU23" s="79"/>
      <c r="DV23" s="82"/>
      <c r="DW23" s="79"/>
      <c r="DX23" s="79"/>
      <c r="DY23" s="79"/>
      <c r="DZ23" s="79"/>
      <c r="EA23" s="79"/>
      <c r="EB23" s="79"/>
      <c r="EC23" s="79"/>
      <c r="ED23" s="79"/>
      <c r="EE23" s="79"/>
      <c r="EF23" s="82"/>
      <c r="EG23" s="79"/>
      <c r="EH23" s="82"/>
      <c r="EI23" s="79"/>
      <c r="EJ23" s="82"/>
      <c r="EK23" s="79"/>
      <c r="EL23" s="82"/>
      <c r="EM23" s="79"/>
      <c r="EN23" s="79" t="s">
        <v>57</v>
      </c>
      <c r="EO23" s="79" t="s">
        <v>48</v>
      </c>
      <c r="EP23" s="80"/>
      <c r="EQ23" s="83"/>
      <c r="ER23" s="83" t="str">
        <f t="shared" si="1"/>
        <v/>
      </c>
      <c r="ES23" s="82"/>
      <c r="ET23" s="79" t="str">
        <f t="shared" si="2"/>
        <v/>
      </c>
      <c r="EU23" s="79"/>
      <c r="EV23" s="82"/>
      <c r="EW23" s="82"/>
      <c r="EX23" s="82"/>
      <c r="EY23" s="82"/>
      <c r="EZ23" s="82"/>
      <c r="FA23" s="82"/>
      <c r="FB23" s="82"/>
    </row>
    <row r="24" ht="15.75" customHeight="1">
      <c r="A24" s="79" t="s">
        <v>643</v>
      </c>
      <c r="B24" s="79" t="s">
        <v>475</v>
      </c>
      <c r="C24" s="79" t="s">
        <v>476</v>
      </c>
      <c r="D24" s="80">
        <v>46089.0</v>
      </c>
      <c r="E24" s="79" t="s">
        <v>644</v>
      </c>
      <c r="F24" s="79" t="s">
        <v>568</v>
      </c>
      <c r="G24" s="79" t="s">
        <v>600</v>
      </c>
      <c r="H24" s="79" t="s">
        <v>611</v>
      </c>
      <c r="I24" s="79"/>
      <c r="J24" s="79" t="s">
        <v>645</v>
      </c>
      <c r="K24" s="79">
        <v>0.0</v>
      </c>
      <c r="L24" s="79"/>
      <c r="M24" s="79" t="s">
        <v>613</v>
      </c>
      <c r="N24" s="79" t="s">
        <v>646</v>
      </c>
      <c r="O24" s="79"/>
      <c r="P24" s="79"/>
      <c r="Q24" s="79" t="s">
        <v>647</v>
      </c>
      <c r="R24" s="80">
        <v>46108.0</v>
      </c>
      <c r="S24" s="79"/>
      <c r="T24" s="79">
        <v>12219.0</v>
      </c>
      <c r="U24" s="79"/>
      <c r="V24" s="79"/>
      <c r="W24" s="80">
        <v>46086.0</v>
      </c>
      <c r="X24" s="79"/>
      <c r="Y24" s="80">
        <v>46093.0</v>
      </c>
      <c r="Z24" s="79" t="s">
        <v>486</v>
      </c>
      <c r="AA24" s="79" t="s">
        <v>487</v>
      </c>
      <c r="AB24" s="79" t="s">
        <v>486</v>
      </c>
      <c r="AC24" s="79" t="s">
        <v>488</v>
      </c>
      <c r="AD24" s="79">
        <v>31000.0</v>
      </c>
      <c r="AE24" s="79">
        <v>0.0</v>
      </c>
      <c r="AF24" s="79">
        <v>0.0</v>
      </c>
      <c r="AG24" s="79">
        <v>3100.0</v>
      </c>
      <c r="AH24" s="81">
        <v>34100.0</v>
      </c>
      <c r="AI24" s="79"/>
      <c r="AJ24" s="79">
        <v>0.0</v>
      </c>
      <c r="AK24" s="79">
        <v>0.0</v>
      </c>
      <c r="AL24" s="79">
        <v>0.0</v>
      </c>
      <c r="AM24" s="79">
        <v>0.0</v>
      </c>
      <c r="AN24" s="79">
        <v>0.0</v>
      </c>
      <c r="AO24" s="79">
        <v>0.0</v>
      </c>
      <c r="AP24" s="79">
        <v>0.0</v>
      </c>
      <c r="AQ24" s="79">
        <v>31000.0</v>
      </c>
      <c r="AR24" s="79" t="s">
        <v>489</v>
      </c>
      <c r="AS24" s="79">
        <v>0.0</v>
      </c>
      <c r="AT24" s="79" t="s">
        <v>490</v>
      </c>
      <c r="AU24" s="79" t="s">
        <v>491</v>
      </c>
      <c r="AV24" s="79">
        <v>0.0</v>
      </c>
      <c r="AW24" s="79"/>
      <c r="AX24" s="79">
        <v>0.0</v>
      </c>
      <c r="AY24" s="79" t="s">
        <v>492</v>
      </c>
      <c r="AZ24" s="79">
        <v>0.0</v>
      </c>
      <c r="BA24" s="79"/>
      <c r="BB24" s="79">
        <v>0.0</v>
      </c>
      <c r="BC24" s="79"/>
      <c r="BD24" s="79">
        <v>0.0</v>
      </c>
      <c r="BE24" s="79"/>
      <c r="BF24" s="79">
        <v>0.0</v>
      </c>
      <c r="BG24" s="79"/>
      <c r="BH24" s="79">
        <v>0.0</v>
      </c>
      <c r="BI24" s="79" t="s">
        <v>493</v>
      </c>
      <c r="BJ24" s="79">
        <v>0.0</v>
      </c>
      <c r="BK24" s="79" t="s">
        <v>494</v>
      </c>
      <c r="BL24" s="79">
        <v>0.0</v>
      </c>
      <c r="BM24" s="79" t="s">
        <v>495</v>
      </c>
      <c r="BN24" s="79">
        <v>0.0</v>
      </c>
      <c r="BO24" s="79" t="s">
        <v>496</v>
      </c>
      <c r="BP24" s="79">
        <v>0.0</v>
      </c>
      <c r="BQ24" s="79"/>
      <c r="BR24" s="79">
        <v>0.0</v>
      </c>
      <c r="BS24" s="79"/>
      <c r="BT24" s="79">
        <v>0.0</v>
      </c>
      <c r="BU24" s="79"/>
      <c r="BV24" s="79">
        <v>0.0</v>
      </c>
      <c r="BW24" s="79"/>
      <c r="BX24" s="79">
        <v>0.0</v>
      </c>
      <c r="BY24" s="79">
        <v>0.0</v>
      </c>
      <c r="BZ24" s="79" t="s">
        <v>491</v>
      </c>
      <c r="CA24" s="79">
        <v>0.0</v>
      </c>
      <c r="CB24" s="79" t="s">
        <v>490</v>
      </c>
      <c r="CC24" s="79"/>
      <c r="CD24" s="79">
        <v>0.0</v>
      </c>
      <c r="CE24" s="79" t="s">
        <v>492</v>
      </c>
      <c r="CF24" s="79">
        <v>0.0</v>
      </c>
      <c r="CG24" s="79"/>
      <c r="CH24" s="79">
        <v>0.0</v>
      </c>
      <c r="CI24" s="79"/>
      <c r="CJ24" s="79">
        <v>0.0</v>
      </c>
      <c r="CK24" s="79"/>
      <c r="CL24" s="79">
        <v>0.0</v>
      </c>
      <c r="CM24" s="79"/>
      <c r="CN24" s="79">
        <v>0.0</v>
      </c>
      <c r="CO24" s="79" t="s">
        <v>493</v>
      </c>
      <c r="CP24" s="79">
        <v>0.0</v>
      </c>
      <c r="CQ24" s="79" t="s">
        <v>494</v>
      </c>
      <c r="CR24" s="79">
        <v>0.0</v>
      </c>
      <c r="CS24" s="79" t="s">
        <v>495</v>
      </c>
      <c r="CT24" s="79">
        <v>0.0</v>
      </c>
      <c r="CU24" s="79" t="s">
        <v>496</v>
      </c>
      <c r="CV24" s="79">
        <v>0.0</v>
      </c>
      <c r="CW24" s="79"/>
      <c r="CX24" s="79">
        <v>0.0</v>
      </c>
      <c r="CY24" s="79"/>
      <c r="CZ24" s="79">
        <v>0.0</v>
      </c>
      <c r="DA24" s="79"/>
      <c r="DB24" s="79">
        <v>0.0</v>
      </c>
      <c r="DC24" s="79"/>
      <c r="DD24" s="79">
        <v>0.0</v>
      </c>
      <c r="DE24" s="79">
        <v>28000.0</v>
      </c>
      <c r="DF24" s="79">
        <v>3000.0</v>
      </c>
      <c r="DG24" s="79">
        <v>0.0</v>
      </c>
      <c r="DH24" s="79">
        <v>0.0</v>
      </c>
      <c r="DI24" s="79">
        <v>0.0</v>
      </c>
      <c r="DJ24" s="79" t="s">
        <v>648</v>
      </c>
      <c r="DK24" s="79" t="s">
        <v>486</v>
      </c>
      <c r="DL24" s="79" t="s">
        <v>487</v>
      </c>
      <c r="DM24" s="79" t="s">
        <v>649</v>
      </c>
      <c r="DN24" s="79" t="s">
        <v>650</v>
      </c>
      <c r="DO24" s="79" t="s">
        <v>651</v>
      </c>
      <c r="DP24" s="79"/>
      <c r="DQ24" s="79"/>
      <c r="DR24" s="79"/>
      <c r="DS24" s="79"/>
      <c r="DT24" s="82"/>
      <c r="DU24" s="79"/>
      <c r="DV24" s="82"/>
      <c r="DW24" s="79"/>
      <c r="DX24" s="79"/>
      <c r="DY24" s="79"/>
      <c r="DZ24" s="79"/>
      <c r="EA24" s="79"/>
      <c r="EB24" s="79"/>
      <c r="EC24" s="79"/>
      <c r="ED24" s="79"/>
      <c r="EE24" s="79"/>
      <c r="EF24" s="82"/>
      <c r="EG24" s="79"/>
      <c r="EH24" s="82"/>
      <c r="EI24" s="79"/>
      <c r="EJ24" s="82"/>
      <c r="EK24" s="79"/>
      <c r="EL24" s="82"/>
      <c r="EM24" s="79"/>
      <c r="EN24" s="79" t="s">
        <v>79</v>
      </c>
      <c r="EO24" s="79"/>
      <c r="EP24" s="80"/>
      <c r="EQ24" s="83"/>
      <c r="ER24" s="83" t="str">
        <f t="shared" si="1"/>
        <v/>
      </c>
      <c r="ES24" s="82"/>
      <c r="ET24" s="79" t="str">
        <f t="shared" si="2"/>
        <v/>
      </c>
      <c r="EU24" s="79"/>
      <c r="EV24" s="82"/>
      <c r="EW24" s="82"/>
      <c r="EX24" s="82"/>
      <c r="EY24" s="82"/>
      <c r="EZ24" s="82"/>
      <c r="FA24" s="82"/>
      <c r="FB24" s="82"/>
    </row>
    <row r="25" ht="15.75" customHeight="1">
      <c r="A25" s="79" t="s">
        <v>652</v>
      </c>
      <c r="B25" s="79" t="s">
        <v>530</v>
      </c>
      <c r="C25" s="79" t="s">
        <v>476</v>
      </c>
      <c r="D25" s="80">
        <v>46089.0</v>
      </c>
      <c r="E25" s="79" t="s">
        <v>633</v>
      </c>
      <c r="F25" s="79" t="s">
        <v>568</v>
      </c>
      <c r="G25" s="79" t="s">
        <v>635</v>
      </c>
      <c r="H25" s="79" t="s">
        <v>636</v>
      </c>
      <c r="I25" s="79" t="s">
        <v>480</v>
      </c>
      <c r="J25" s="79" t="s">
        <v>637</v>
      </c>
      <c r="K25" s="79">
        <v>3000.0</v>
      </c>
      <c r="L25" s="79"/>
      <c r="M25" s="79" t="s">
        <v>613</v>
      </c>
      <c r="N25" s="79" t="s">
        <v>638</v>
      </c>
      <c r="O25" s="79" t="s">
        <v>573</v>
      </c>
      <c r="P25" s="79"/>
      <c r="Q25" s="79" t="s">
        <v>639</v>
      </c>
      <c r="R25" s="80">
        <v>47147.0</v>
      </c>
      <c r="S25" s="79"/>
      <c r="T25" s="79"/>
      <c r="U25" s="79"/>
      <c r="V25" s="79"/>
      <c r="W25" s="79"/>
      <c r="X25" s="79"/>
      <c r="Y25" s="79"/>
      <c r="Z25" s="79" t="s">
        <v>486</v>
      </c>
      <c r="AA25" s="79" t="s">
        <v>537</v>
      </c>
      <c r="AB25" s="79" t="s">
        <v>486</v>
      </c>
      <c r="AC25" s="79" t="s">
        <v>488</v>
      </c>
      <c r="AD25" s="79">
        <v>80000.0</v>
      </c>
      <c r="AE25" s="79">
        <v>0.0</v>
      </c>
      <c r="AF25" s="79">
        <v>0.0</v>
      </c>
      <c r="AG25" s="79">
        <v>8000.0</v>
      </c>
      <c r="AH25" s="83">
        <v>88000.0</v>
      </c>
      <c r="AI25" s="79"/>
      <c r="AJ25" s="79">
        <v>0.0</v>
      </c>
      <c r="AK25" s="79">
        <v>0.0</v>
      </c>
      <c r="AL25" s="83">
        <v>0.0</v>
      </c>
      <c r="AM25" s="79">
        <v>0.0</v>
      </c>
      <c r="AN25" s="79">
        <v>0.0</v>
      </c>
      <c r="AO25" s="79">
        <v>0.0</v>
      </c>
      <c r="AP25" s="79">
        <v>0.0</v>
      </c>
      <c r="AQ25" s="79">
        <v>80000.0</v>
      </c>
      <c r="AR25" s="79" t="s">
        <v>489</v>
      </c>
      <c r="AS25" s="79">
        <v>0.0</v>
      </c>
      <c r="AT25" s="79" t="s">
        <v>507</v>
      </c>
      <c r="AU25" s="79" t="s">
        <v>491</v>
      </c>
      <c r="AV25" s="79">
        <v>0.0</v>
      </c>
      <c r="AW25" s="79" t="s">
        <v>508</v>
      </c>
      <c r="AX25" s="79">
        <v>0.0</v>
      </c>
      <c r="AY25" s="79"/>
      <c r="AZ25" s="79">
        <v>0.0</v>
      </c>
      <c r="BA25" s="82"/>
      <c r="BB25" s="79">
        <v>0.0</v>
      </c>
      <c r="BC25" s="82"/>
      <c r="BD25" s="79">
        <v>0.0</v>
      </c>
      <c r="BE25" s="82"/>
      <c r="BF25" s="79">
        <v>0.0</v>
      </c>
      <c r="BG25" s="79"/>
      <c r="BH25" s="79">
        <v>0.0</v>
      </c>
      <c r="BI25" s="79" t="s">
        <v>493</v>
      </c>
      <c r="BJ25" s="79">
        <v>0.0</v>
      </c>
      <c r="BK25" s="79" t="s">
        <v>494</v>
      </c>
      <c r="BL25" s="79">
        <v>0.0</v>
      </c>
      <c r="BM25" s="79" t="s">
        <v>495</v>
      </c>
      <c r="BN25" s="79">
        <v>0.0</v>
      </c>
      <c r="BO25" s="79" t="s">
        <v>496</v>
      </c>
      <c r="BP25" s="79">
        <v>0.0</v>
      </c>
      <c r="BQ25" s="79"/>
      <c r="BR25" s="79">
        <v>0.0</v>
      </c>
      <c r="BS25" s="79"/>
      <c r="BT25" s="79">
        <v>0.0</v>
      </c>
      <c r="BU25" s="79"/>
      <c r="BV25" s="79">
        <v>0.0</v>
      </c>
      <c r="BW25" s="79"/>
      <c r="BX25" s="79">
        <v>0.0</v>
      </c>
      <c r="BY25" s="79">
        <v>0.0</v>
      </c>
      <c r="BZ25" s="79" t="s">
        <v>491</v>
      </c>
      <c r="CA25" s="79">
        <v>0.0</v>
      </c>
      <c r="CB25" s="79" t="s">
        <v>507</v>
      </c>
      <c r="CC25" s="79" t="s">
        <v>508</v>
      </c>
      <c r="CD25" s="79">
        <v>0.0</v>
      </c>
      <c r="CE25" s="79"/>
      <c r="CF25" s="79">
        <v>0.0</v>
      </c>
      <c r="CG25" s="79"/>
      <c r="CH25" s="79">
        <v>0.0</v>
      </c>
      <c r="CI25" s="79"/>
      <c r="CJ25" s="79">
        <v>0.0</v>
      </c>
      <c r="CK25" s="79"/>
      <c r="CL25" s="79">
        <v>0.0</v>
      </c>
      <c r="CM25" s="79"/>
      <c r="CN25" s="79">
        <v>0.0</v>
      </c>
      <c r="CO25" s="79" t="s">
        <v>493</v>
      </c>
      <c r="CP25" s="79">
        <v>0.0</v>
      </c>
      <c r="CQ25" s="79" t="s">
        <v>494</v>
      </c>
      <c r="CR25" s="79">
        <v>0.0</v>
      </c>
      <c r="CS25" s="79" t="s">
        <v>495</v>
      </c>
      <c r="CT25" s="79">
        <v>0.0</v>
      </c>
      <c r="CU25" s="79" t="s">
        <v>496</v>
      </c>
      <c r="CV25" s="79">
        <v>0.0</v>
      </c>
      <c r="CW25" s="79"/>
      <c r="CX25" s="79">
        <v>0.0</v>
      </c>
      <c r="CY25" s="79"/>
      <c r="CZ25" s="79">
        <v>0.0</v>
      </c>
      <c r="DA25" s="79"/>
      <c r="DB25" s="79">
        <v>0.0</v>
      </c>
      <c r="DC25" s="79"/>
      <c r="DD25" s="79">
        <v>0.0</v>
      </c>
      <c r="DE25" s="79">
        <v>80000.0</v>
      </c>
      <c r="DF25" s="79">
        <v>0.0</v>
      </c>
      <c r="DG25" s="79">
        <v>0.0</v>
      </c>
      <c r="DH25" s="79">
        <v>0.0</v>
      </c>
      <c r="DI25" s="79">
        <v>0.0</v>
      </c>
      <c r="DJ25" s="79" t="s">
        <v>640</v>
      </c>
      <c r="DK25" s="79" t="s">
        <v>486</v>
      </c>
      <c r="DL25" s="79" t="s">
        <v>537</v>
      </c>
      <c r="DM25" s="79" t="s">
        <v>641</v>
      </c>
      <c r="DN25" s="82"/>
      <c r="DO25" s="79" t="s">
        <v>642</v>
      </c>
      <c r="DP25" s="82"/>
      <c r="DQ25" s="79"/>
      <c r="DR25" s="82"/>
      <c r="DS25" s="79"/>
      <c r="DT25" s="82"/>
      <c r="DU25" s="79"/>
      <c r="DV25" s="82"/>
      <c r="DW25" s="79"/>
      <c r="DX25" s="79"/>
      <c r="DY25" s="79"/>
      <c r="DZ25" s="79"/>
      <c r="EA25" s="79"/>
      <c r="EB25" s="79"/>
      <c r="EC25" s="79"/>
      <c r="ED25" s="79"/>
      <c r="EE25" s="79"/>
      <c r="EF25" s="82"/>
      <c r="EG25" s="79"/>
      <c r="EH25" s="82"/>
      <c r="EI25" s="79"/>
      <c r="EJ25" s="82"/>
      <c r="EK25" s="79"/>
      <c r="EL25" s="82"/>
      <c r="EM25" s="79"/>
      <c r="EN25" s="79" t="s">
        <v>79</v>
      </c>
      <c r="EO25" s="79"/>
      <c r="EP25" s="80"/>
      <c r="EQ25" s="83"/>
      <c r="ER25" s="83" t="str">
        <f t="shared" si="1"/>
        <v/>
      </c>
      <c r="ES25" s="82"/>
      <c r="ET25" s="79" t="str">
        <f t="shared" si="2"/>
        <v/>
      </c>
      <c r="EU25" s="79"/>
      <c r="EV25" s="79"/>
      <c r="EW25" s="82"/>
      <c r="EX25" s="82"/>
      <c r="EY25" s="82"/>
      <c r="EZ25" s="82"/>
      <c r="FA25" s="82"/>
      <c r="FB25" s="82"/>
    </row>
    <row r="26" ht="15.75" customHeight="1">
      <c r="A26" s="79" t="s">
        <v>653</v>
      </c>
      <c r="B26" s="79" t="s">
        <v>654</v>
      </c>
      <c r="C26" s="79" t="s">
        <v>476</v>
      </c>
      <c r="D26" s="80">
        <v>46089.0</v>
      </c>
      <c r="E26" s="79"/>
      <c r="F26" s="82"/>
      <c r="G26" s="79" t="s">
        <v>655</v>
      </c>
      <c r="H26" s="79" t="s">
        <v>611</v>
      </c>
      <c r="I26" s="79"/>
      <c r="J26" s="79" t="s">
        <v>656</v>
      </c>
      <c r="K26" s="79">
        <v>2000.0</v>
      </c>
      <c r="L26" s="79"/>
      <c r="M26" s="79" t="s">
        <v>657</v>
      </c>
      <c r="N26" s="79" t="s">
        <v>658</v>
      </c>
      <c r="O26" s="79" t="s">
        <v>573</v>
      </c>
      <c r="P26" s="79"/>
      <c r="Q26" s="79" t="s">
        <v>659</v>
      </c>
      <c r="R26" s="80">
        <v>46293.0</v>
      </c>
      <c r="S26" s="79"/>
      <c r="T26" s="79">
        <v>16852.0</v>
      </c>
      <c r="U26" s="79"/>
      <c r="V26" s="79"/>
      <c r="W26" s="79"/>
      <c r="X26" s="79"/>
      <c r="Y26" s="79"/>
      <c r="Z26" s="79" t="s">
        <v>524</v>
      </c>
      <c r="AA26" s="79" t="s">
        <v>487</v>
      </c>
      <c r="AB26" s="79" t="s">
        <v>486</v>
      </c>
      <c r="AC26" s="79" t="s">
        <v>488</v>
      </c>
      <c r="AD26" s="79">
        <v>8000.0</v>
      </c>
      <c r="AE26" s="79">
        <v>0.0</v>
      </c>
      <c r="AF26" s="79">
        <v>0.0</v>
      </c>
      <c r="AG26" s="79">
        <v>800.0</v>
      </c>
      <c r="AH26" s="83">
        <v>8800.0</v>
      </c>
      <c r="AI26" s="79"/>
      <c r="AJ26" s="79">
        <v>0.0</v>
      </c>
      <c r="AK26" s="79">
        <v>0.0</v>
      </c>
      <c r="AL26" s="83">
        <v>0.0</v>
      </c>
      <c r="AM26" s="79">
        <v>0.0</v>
      </c>
      <c r="AN26" s="79">
        <v>0.0</v>
      </c>
      <c r="AO26" s="79">
        <v>0.0</v>
      </c>
      <c r="AP26" s="79">
        <v>0.0</v>
      </c>
      <c r="AQ26" s="79">
        <v>8000.0</v>
      </c>
      <c r="AR26" s="79" t="s">
        <v>489</v>
      </c>
      <c r="AS26" s="79">
        <v>0.0</v>
      </c>
      <c r="AT26" s="79" t="s">
        <v>490</v>
      </c>
      <c r="AU26" s="79" t="s">
        <v>491</v>
      </c>
      <c r="AV26" s="79">
        <v>0.0</v>
      </c>
      <c r="AW26" s="79"/>
      <c r="AX26" s="79">
        <v>0.0</v>
      </c>
      <c r="AY26" s="79" t="s">
        <v>492</v>
      </c>
      <c r="AZ26" s="79">
        <v>0.0</v>
      </c>
      <c r="BA26" s="79"/>
      <c r="BB26" s="79">
        <v>0.0</v>
      </c>
      <c r="BC26" s="82"/>
      <c r="BD26" s="79">
        <v>0.0</v>
      </c>
      <c r="BE26" s="82"/>
      <c r="BF26" s="79">
        <v>0.0</v>
      </c>
      <c r="BG26" s="82"/>
      <c r="BH26" s="79">
        <v>0.0</v>
      </c>
      <c r="BI26" s="79" t="s">
        <v>493</v>
      </c>
      <c r="BJ26" s="79">
        <v>0.0</v>
      </c>
      <c r="BK26" s="79" t="s">
        <v>494</v>
      </c>
      <c r="BL26" s="79">
        <v>0.0</v>
      </c>
      <c r="BM26" s="79" t="s">
        <v>495</v>
      </c>
      <c r="BN26" s="79">
        <v>0.0</v>
      </c>
      <c r="BO26" s="79" t="s">
        <v>496</v>
      </c>
      <c r="BP26" s="79">
        <v>0.0</v>
      </c>
      <c r="BQ26" s="79"/>
      <c r="BR26" s="79">
        <v>0.0</v>
      </c>
      <c r="BS26" s="79"/>
      <c r="BT26" s="79">
        <v>0.0</v>
      </c>
      <c r="BU26" s="79"/>
      <c r="BV26" s="79">
        <v>0.0</v>
      </c>
      <c r="BW26" s="79"/>
      <c r="BX26" s="79">
        <v>0.0</v>
      </c>
      <c r="BY26" s="79">
        <v>0.0</v>
      </c>
      <c r="BZ26" s="79" t="s">
        <v>491</v>
      </c>
      <c r="CA26" s="79">
        <v>0.0</v>
      </c>
      <c r="CB26" s="79" t="s">
        <v>490</v>
      </c>
      <c r="CC26" s="79"/>
      <c r="CD26" s="79">
        <v>0.0</v>
      </c>
      <c r="CE26" s="79" t="s">
        <v>492</v>
      </c>
      <c r="CF26" s="79">
        <v>0.0</v>
      </c>
      <c r="CG26" s="79"/>
      <c r="CH26" s="79">
        <v>0.0</v>
      </c>
      <c r="CI26" s="79"/>
      <c r="CJ26" s="79">
        <v>0.0</v>
      </c>
      <c r="CK26" s="79"/>
      <c r="CL26" s="79">
        <v>0.0</v>
      </c>
      <c r="CM26" s="79"/>
      <c r="CN26" s="79">
        <v>0.0</v>
      </c>
      <c r="CO26" s="79" t="s">
        <v>493</v>
      </c>
      <c r="CP26" s="79">
        <v>0.0</v>
      </c>
      <c r="CQ26" s="79" t="s">
        <v>494</v>
      </c>
      <c r="CR26" s="79">
        <v>0.0</v>
      </c>
      <c r="CS26" s="79" t="s">
        <v>495</v>
      </c>
      <c r="CT26" s="79">
        <v>0.0</v>
      </c>
      <c r="CU26" s="79" t="s">
        <v>496</v>
      </c>
      <c r="CV26" s="79">
        <v>0.0</v>
      </c>
      <c r="CW26" s="79"/>
      <c r="CX26" s="79">
        <v>0.0</v>
      </c>
      <c r="CY26" s="79"/>
      <c r="CZ26" s="79">
        <v>0.0</v>
      </c>
      <c r="DA26" s="79"/>
      <c r="DB26" s="79">
        <v>0.0</v>
      </c>
      <c r="DC26" s="79"/>
      <c r="DD26" s="79">
        <v>0.0</v>
      </c>
      <c r="DE26" s="79">
        <v>8000.0</v>
      </c>
      <c r="DF26" s="79">
        <v>0.0</v>
      </c>
      <c r="DG26" s="79">
        <v>0.0</v>
      </c>
      <c r="DH26" s="79">
        <v>0.0</v>
      </c>
      <c r="DI26" s="79">
        <v>0.0</v>
      </c>
      <c r="DJ26" s="79"/>
      <c r="DK26" s="79"/>
      <c r="DL26" s="79"/>
      <c r="DM26" s="79"/>
      <c r="DN26" s="82"/>
      <c r="DO26" s="79"/>
      <c r="DP26" s="82"/>
      <c r="DQ26" s="79"/>
      <c r="DR26" s="82"/>
      <c r="DS26" s="79"/>
      <c r="DT26" s="82"/>
      <c r="DU26" s="79"/>
      <c r="DV26" s="82"/>
      <c r="DW26" s="79"/>
      <c r="DX26" s="79"/>
      <c r="DY26" s="79"/>
      <c r="DZ26" s="79"/>
      <c r="EA26" s="79"/>
      <c r="EB26" s="79"/>
      <c r="EC26" s="79"/>
      <c r="ED26" s="79"/>
      <c r="EE26" s="79"/>
      <c r="EF26" s="82"/>
      <c r="EG26" s="79"/>
      <c r="EH26" s="82"/>
      <c r="EI26" s="79"/>
      <c r="EJ26" s="82"/>
      <c r="EK26" s="79"/>
      <c r="EL26" s="82"/>
      <c r="EM26" s="79"/>
      <c r="EN26" s="79" t="s">
        <v>79</v>
      </c>
      <c r="EO26" s="79"/>
      <c r="EP26" s="80"/>
      <c r="EQ26" s="83"/>
      <c r="ER26" s="83" t="str">
        <f t="shared" si="1"/>
        <v/>
      </c>
      <c r="ES26" s="82"/>
      <c r="ET26" s="79" t="str">
        <f t="shared" si="2"/>
        <v/>
      </c>
      <c r="EU26" s="79"/>
      <c r="EV26" s="79"/>
      <c r="EW26" s="82"/>
      <c r="EX26" s="82"/>
      <c r="EY26" s="82"/>
      <c r="EZ26" s="82"/>
      <c r="FA26" s="82"/>
      <c r="FB26" s="82"/>
    </row>
    <row r="27" ht="15.75" customHeight="1">
      <c r="A27" s="79" t="s">
        <v>660</v>
      </c>
      <c r="B27" s="79" t="s">
        <v>475</v>
      </c>
      <c r="C27" s="79" t="s">
        <v>476</v>
      </c>
      <c r="D27" s="80">
        <v>46090.0</v>
      </c>
      <c r="E27" s="79" t="s">
        <v>661</v>
      </c>
      <c r="F27" s="79" t="s">
        <v>568</v>
      </c>
      <c r="G27" s="79" t="s">
        <v>662</v>
      </c>
      <c r="H27" s="79" t="s">
        <v>611</v>
      </c>
      <c r="I27" s="79"/>
      <c r="J27" s="79" t="s">
        <v>663</v>
      </c>
      <c r="K27" s="79">
        <v>0.0</v>
      </c>
      <c r="L27" s="79"/>
      <c r="M27" s="79"/>
      <c r="N27" s="79"/>
      <c r="O27" s="79"/>
      <c r="P27" s="79"/>
      <c r="Q27" s="79"/>
      <c r="R27" s="80">
        <v>46295.0</v>
      </c>
      <c r="S27" s="79"/>
      <c r="T27" s="79">
        <v>78788.0</v>
      </c>
      <c r="U27" s="79"/>
      <c r="V27" s="79"/>
      <c r="W27" s="80">
        <v>46090.0</v>
      </c>
      <c r="X27" s="79"/>
      <c r="Y27" s="80">
        <v>46090.0</v>
      </c>
      <c r="Z27" s="79" t="s">
        <v>486</v>
      </c>
      <c r="AA27" s="79" t="s">
        <v>487</v>
      </c>
      <c r="AB27" s="79" t="s">
        <v>486</v>
      </c>
      <c r="AC27" s="79" t="s">
        <v>488</v>
      </c>
      <c r="AD27" s="79">
        <v>23000.0</v>
      </c>
      <c r="AE27" s="79">
        <v>0.0</v>
      </c>
      <c r="AF27" s="79">
        <v>0.0</v>
      </c>
      <c r="AG27" s="79">
        <v>2300.0</v>
      </c>
      <c r="AH27" s="81">
        <v>25300.0</v>
      </c>
      <c r="AI27" s="79"/>
      <c r="AJ27" s="79">
        <v>0.0</v>
      </c>
      <c r="AK27" s="79">
        <v>0.0</v>
      </c>
      <c r="AL27" s="79">
        <v>0.0</v>
      </c>
      <c r="AM27" s="79">
        <v>0.0</v>
      </c>
      <c r="AN27" s="79">
        <v>0.0</v>
      </c>
      <c r="AO27" s="79">
        <v>0.0</v>
      </c>
      <c r="AP27" s="79">
        <v>0.0</v>
      </c>
      <c r="AQ27" s="79">
        <v>23000.0</v>
      </c>
      <c r="AR27" s="79" t="s">
        <v>489</v>
      </c>
      <c r="AS27" s="79">
        <v>0.0</v>
      </c>
      <c r="AT27" s="79" t="s">
        <v>507</v>
      </c>
      <c r="AU27" s="79" t="s">
        <v>491</v>
      </c>
      <c r="AV27" s="79">
        <v>0.0</v>
      </c>
      <c r="AW27" s="79" t="s">
        <v>508</v>
      </c>
      <c r="AX27" s="79">
        <v>0.0</v>
      </c>
      <c r="AY27" s="79"/>
      <c r="AZ27" s="79">
        <v>0.0</v>
      </c>
      <c r="BA27" s="79"/>
      <c r="BB27" s="79">
        <v>0.0</v>
      </c>
      <c r="BC27" s="79"/>
      <c r="BD27" s="79">
        <v>0.0</v>
      </c>
      <c r="BE27" s="79"/>
      <c r="BF27" s="79">
        <v>0.0</v>
      </c>
      <c r="BG27" s="79"/>
      <c r="BH27" s="79">
        <v>0.0</v>
      </c>
      <c r="BI27" s="79" t="s">
        <v>493</v>
      </c>
      <c r="BJ27" s="79">
        <v>0.0</v>
      </c>
      <c r="BK27" s="79" t="s">
        <v>494</v>
      </c>
      <c r="BL27" s="79">
        <v>0.0</v>
      </c>
      <c r="BM27" s="79" t="s">
        <v>495</v>
      </c>
      <c r="BN27" s="79">
        <v>0.0</v>
      </c>
      <c r="BO27" s="79" t="s">
        <v>496</v>
      </c>
      <c r="BP27" s="79">
        <v>0.0</v>
      </c>
      <c r="BQ27" s="79"/>
      <c r="BR27" s="79">
        <v>0.0</v>
      </c>
      <c r="BS27" s="79"/>
      <c r="BT27" s="79">
        <v>0.0</v>
      </c>
      <c r="BU27" s="79"/>
      <c r="BV27" s="79">
        <v>0.0</v>
      </c>
      <c r="BW27" s="79"/>
      <c r="BX27" s="79">
        <v>0.0</v>
      </c>
      <c r="BY27" s="79">
        <v>0.0</v>
      </c>
      <c r="BZ27" s="79" t="s">
        <v>491</v>
      </c>
      <c r="CA27" s="79">
        <v>0.0</v>
      </c>
      <c r="CB27" s="79" t="s">
        <v>507</v>
      </c>
      <c r="CC27" s="79" t="s">
        <v>508</v>
      </c>
      <c r="CD27" s="79">
        <v>0.0</v>
      </c>
      <c r="CE27" s="79"/>
      <c r="CF27" s="79">
        <v>0.0</v>
      </c>
      <c r="CG27" s="79"/>
      <c r="CH27" s="79">
        <v>0.0</v>
      </c>
      <c r="CI27" s="79"/>
      <c r="CJ27" s="79">
        <v>0.0</v>
      </c>
      <c r="CK27" s="79"/>
      <c r="CL27" s="79">
        <v>0.0</v>
      </c>
      <c r="CM27" s="79"/>
      <c r="CN27" s="79">
        <v>0.0</v>
      </c>
      <c r="CO27" s="79" t="s">
        <v>493</v>
      </c>
      <c r="CP27" s="79">
        <v>0.0</v>
      </c>
      <c r="CQ27" s="79" t="s">
        <v>494</v>
      </c>
      <c r="CR27" s="79">
        <v>0.0</v>
      </c>
      <c r="CS27" s="79" t="s">
        <v>495</v>
      </c>
      <c r="CT27" s="79">
        <v>0.0</v>
      </c>
      <c r="CU27" s="79" t="s">
        <v>496</v>
      </c>
      <c r="CV27" s="79">
        <v>0.0</v>
      </c>
      <c r="CW27" s="79"/>
      <c r="CX27" s="79">
        <v>0.0</v>
      </c>
      <c r="CY27" s="79"/>
      <c r="CZ27" s="79">
        <v>0.0</v>
      </c>
      <c r="DA27" s="79"/>
      <c r="DB27" s="79">
        <v>0.0</v>
      </c>
      <c r="DC27" s="79"/>
      <c r="DD27" s="79">
        <v>0.0</v>
      </c>
      <c r="DE27" s="79">
        <v>23000.0</v>
      </c>
      <c r="DF27" s="79">
        <v>0.0</v>
      </c>
      <c r="DG27" s="79">
        <v>0.0</v>
      </c>
      <c r="DH27" s="79">
        <v>0.0</v>
      </c>
      <c r="DI27" s="79">
        <v>0.0</v>
      </c>
      <c r="DJ27" s="79" t="s">
        <v>664</v>
      </c>
      <c r="DK27" s="79" t="s">
        <v>486</v>
      </c>
      <c r="DL27" s="79" t="s">
        <v>487</v>
      </c>
      <c r="DM27" s="79" t="s">
        <v>665</v>
      </c>
      <c r="DN27" s="79" t="s">
        <v>666</v>
      </c>
      <c r="DO27" s="79" t="s">
        <v>667</v>
      </c>
      <c r="DP27" s="79"/>
      <c r="DQ27" s="79"/>
      <c r="DR27" s="79"/>
      <c r="DS27" s="79"/>
      <c r="DT27" s="82"/>
      <c r="DU27" s="79"/>
      <c r="DV27" s="82"/>
      <c r="DW27" s="79"/>
      <c r="DX27" s="79"/>
      <c r="DY27" s="79"/>
      <c r="DZ27" s="79"/>
      <c r="EA27" s="79"/>
      <c r="EB27" s="79"/>
      <c r="EC27" s="79"/>
      <c r="ED27" s="82"/>
      <c r="EE27" s="79"/>
      <c r="EF27" s="82"/>
      <c r="EG27" s="79"/>
      <c r="EH27" s="82"/>
      <c r="EI27" s="79"/>
      <c r="EJ27" s="82"/>
      <c r="EK27" s="79"/>
      <c r="EL27" s="82"/>
      <c r="EM27" s="79"/>
      <c r="EN27" s="79" t="s">
        <v>79</v>
      </c>
      <c r="EO27" s="79"/>
      <c r="EP27" s="80"/>
      <c r="EQ27" s="83"/>
      <c r="ER27" s="83" t="str">
        <f t="shared" si="1"/>
        <v/>
      </c>
      <c r="ES27" s="79"/>
      <c r="ET27" s="79" t="str">
        <f t="shared" si="2"/>
        <v/>
      </c>
      <c r="EU27" s="79"/>
      <c r="EV27" s="79"/>
      <c r="EW27" s="82"/>
      <c r="EX27" s="82"/>
      <c r="EY27" s="82"/>
      <c r="EZ27" s="82"/>
      <c r="FA27" s="82"/>
      <c r="FB27" s="82"/>
    </row>
    <row r="28" ht="15.75" customHeight="1">
      <c r="A28" s="79" t="s">
        <v>668</v>
      </c>
      <c r="B28" s="79" t="s">
        <v>515</v>
      </c>
      <c r="C28" s="79" t="s">
        <v>476</v>
      </c>
      <c r="D28" s="80">
        <v>46090.0</v>
      </c>
      <c r="E28" s="79" t="s">
        <v>669</v>
      </c>
      <c r="F28" s="79" t="s">
        <v>568</v>
      </c>
      <c r="G28" s="79" t="s">
        <v>569</v>
      </c>
      <c r="H28" s="79" t="s">
        <v>534</v>
      </c>
      <c r="I28" s="79"/>
      <c r="J28" s="79" t="s">
        <v>670</v>
      </c>
      <c r="K28" s="79">
        <v>0.0</v>
      </c>
      <c r="L28" s="79"/>
      <c r="M28" s="79" t="s">
        <v>671</v>
      </c>
      <c r="N28" s="79"/>
      <c r="O28" s="79"/>
      <c r="P28" s="79"/>
      <c r="Q28" s="79"/>
      <c r="R28" s="80">
        <v>46842.0</v>
      </c>
      <c r="S28" s="79"/>
      <c r="T28" s="79">
        <v>7240.0</v>
      </c>
      <c r="U28" s="79"/>
      <c r="V28" s="79"/>
      <c r="W28" s="80">
        <v>46090.0</v>
      </c>
      <c r="X28" s="79"/>
      <c r="Y28" s="80">
        <v>46090.0</v>
      </c>
      <c r="Z28" s="79" t="s">
        <v>486</v>
      </c>
      <c r="AA28" s="79" t="s">
        <v>555</v>
      </c>
      <c r="AB28" s="79" t="s">
        <v>486</v>
      </c>
      <c r="AC28" s="79" t="s">
        <v>488</v>
      </c>
      <c r="AD28" s="79">
        <v>19375.0</v>
      </c>
      <c r="AE28" s="79">
        <v>0.0</v>
      </c>
      <c r="AF28" s="79">
        <v>0.0</v>
      </c>
      <c r="AG28" s="79">
        <v>1938.0</v>
      </c>
      <c r="AH28" s="81">
        <v>21313.0</v>
      </c>
      <c r="AI28" s="79"/>
      <c r="AJ28" s="79">
        <v>0.0</v>
      </c>
      <c r="AK28" s="79">
        <v>0.0</v>
      </c>
      <c r="AL28" s="79">
        <v>0.0</v>
      </c>
      <c r="AM28" s="79">
        <v>0.0</v>
      </c>
      <c r="AN28" s="79">
        <v>0.0</v>
      </c>
      <c r="AO28" s="79">
        <v>0.0</v>
      </c>
      <c r="AP28" s="79">
        <v>0.0</v>
      </c>
      <c r="AQ28" s="79">
        <v>19375.0</v>
      </c>
      <c r="AR28" s="79" t="s">
        <v>489</v>
      </c>
      <c r="AS28" s="79">
        <v>0.0</v>
      </c>
      <c r="AT28" s="79" t="s">
        <v>507</v>
      </c>
      <c r="AU28" s="79" t="s">
        <v>491</v>
      </c>
      <c r="AV28" s="79">
        <v>0.0</v>
      </c>
      <c r="AW28" s="79" t="s">
        <v>508</v>
      </c>
      <c r="AX28" s="79">
        <v>0.0</v>
      </c>
      <c r="AY28" s="79"/>
      <c r="AZ28" s="79">
        <v>0.0</v>
      </c>
      <c r="BA28" s="79"/>
      <c r="BB28" s="79">
        <v>0.0</v>
      </c>
      <c r="BC28" s="79"/>
      <c r="BD28" s="79">
        <v>0.0</v>
      </c>
      <c r="BE28" s="79"/>
      <c r="BF28" s="79">
        <v>0.0</v>
      </c>
      <c r="BG28" s="79"/>
      <c r="BH28" s="79">
        <v>0.0</v>
      </c>
      <c r="BI28" s="79" t="s">
        <v>493</v>
      </c>
      <c r="BJ28" s="79">
        <v>0.0</v>
      </c>
      <c r="BK28" s="79" t="s">
        <v>494</v>
      </c>
      <c r="BL28" s="79">
        <v>0.0</v>
      </c>
      <c r="BM28" s="79" t="s">
        <v>495</v>
      </c>
      <c r="BN28" s="79">
        <v>0.0</v>
      </c>
      <c r="BO28" s="79" t="s">
        <v>496</v>
      </c>
      <c r="BP28" s="79">
        <v>0.0</v>
      </c>
      <c r="BQ28" s="79"/>
      <c r="BR28" s="79">
        <v>0.0</v>
      </c>
      <c r="BS28" s="79"/>
      <c r="BT28" s="79">
        <v>0.0</v>
      </c>
      <c r="BU28" s="79"/>
      <c r="BV28" s="79">
        <v>0.0</v>
      </c>
      <c r="BW28" s="79"/>
      <c r="BX28" s="79">
        <v>0.0</v>
      </c>
      <c r="BY28" s="79">
        <v>0.0</v>
      </c>
      <c r="BZ28" s="79" t="s">
        <v>491</v>
      </c>
      <c r="CA28" s="79">
        <v>0.0</v>
      </c>
      <c r="CB28" s="79" t="s">
        <v>507</v>
      </c>
      <c r="CC28" s="79" t="s">
        <v>508</v>
      </c>
      <c r="CD28" s="79">
        <v>0.0</v>
      </c>
      <c r="CE28" s="79"/>
      <c r="CF28" s="79">
        <v>0.0</v>
      </c>
      <c r="CG28" s="79"/>
      <c r="CH28" s="79">
        <v>0.0</v>
      </c>
      <c r="CI28" s="79"/>
      <c r="CJ28" s="79">
        <v>0.0</v>
      </c>
      <c r="CK28" s="79"/>
      <c r="CL28" s="79">
        <v>0.0</v>
      </c>
      <c r="CM28" s="79"/>
      <c r="CN28" s="79">
        <v>0.0</v>
      </c>
      <c r="CO28" s="79" t="s">
        <v>493</v>
      </c>
      <c r="CP28" s="79">
        <v>0.0</v>
      </c>
      <c r="CQ28" s="79" t="s">
        <v>494</v>
      </c>
      <c r="CR28" s="79">
        <v>0.0</v>
      </c>
      <c r="CS28" s="79" t="s">
        <v>495</v>
      </c>
      <c r="CT28" s="79">
        <v>0.0</v>
      </c>
      <c r="CU28" s="79" t="s">
        <v>496</v>
      </c>
      <c r="CV28" s="79">
        <v>0.0</v>
      </c>
      <c r="CW28" s="79"/>
      <c r="CX28" s="79">
        <v>0.0</v>
      </c>
      <c r="CY28" s="79"/>
      <c r="CZ28" s="79">
        <v>0.0</v>
      </c>
      <c r="DA28" s="79"/>
      <c r="DB28" s="79">
        <v>0.0</v>
      </c>
      <c r="DC28" s="79"/>
      <c r="DD28" s="79">
        <v>0.0</v>
      </c>
      <c r="DE28" s="79">
        <v>17575.0</v>
      </c>
      <c r="DF28" s="79">
        <v>1800.0</v>
      </c>
      <c r="DG28" s="79">
        <v>0.0</v>
      </c>
      <c r="DH28" s="79">
        <v>0.0</v>
      </c>
      <c r="DI28" s="79">
        <v>0.0</v>
      </c>
      <c r="DJ28" s="79" t="s">
        <v>672</v>
      </c>
      <c r="DK28" s="79" t="s">
        <v>486</v>
      </c>
      <c r="DL28" s="79" t="s">
        <v>555</v>
      </c>
      <c r="DM28" s="79" t="s">
        <v>673</v>
      </c>
      <c r="DN28" s="79" t="s">
        <v>674</v>
      </c>
      <c r="DO28" s="79" t="s">
        <v>675</v>
      </c>
      <c r="DP28" s="79"/>
      <c r="DQ28" s="79"/>
      <c r="DR28" s="79"/>
      <c r="DS28" s="79"/>
      <c r="DT28" s="82"/>
      <c r="DU28" s="79"/>
      <c r="DV28" s="82"/>
      <c r="DW28" s="79"/>
      <c r="DX28" s="79"/>
      <c r="DY28" s="79"/>
      <c r="DZ28" s="79"/>
      <c r="EA28" s="79"/>
      <c r="EB28" s="79"/>
      <c r="EC28" s="79"/>
      <c r="ED28" s="79"/>
      <c r="EE28" s="79"/>
      <c r="EF28" s="82"/>
      <c r="EG28" s="79"/>
      <c r="EH28" s="82"/>
      <c r="EI28" s="79"/>
      <c r="EJ28" s="82"/>
      <c r="EK28" s="79"/>
      <c r="EL28" s="82"/>
      <c r="EM28" s="79"/>
      <c r="EN28" s="79" t="s">
        <v>79</v>
      </c>
      <c r="EO28" s="79"/>
      <c r="EP28" s="80"/>
      <c r="EQ28" s="83"/>
      <c r="ER28" s="83" t="str">
        <f t="shared" si="1"/>
        <v/>
      </c>
      <c r="ES28" s="82"/>
      <c r="ET28" s="82" t="str">
        <f t="shared" si="2"/>
        <v/>
      </c>
      <c r="EU28" s="79"/>
      <c r="EV28" s="82"/>
      <c r="EW28" s="82"/>
      <c r="EX28" s="82"/>
      <c r="EY28" s="82"/>
      <c r="EZ28" s="82"/>
      <c r="FA28" s="82"/>
      <c r="FB28" s="82"/>
    </row>
    <row r="29" ht="15.75" customHeight="1">
      <c r="A29" s="4" t="s">
        <v>676</v>
      </c>
      <c r="B29" s="4" t="s">
        <v>475</v>
      </c>
      <c r="C29" s="4" t="s">
        <v>476</v>
      </c>
      <c r="D29" s="78">
        <v>46090.0</v>
      </c>
      <c r="E29" s="4" t="s">
        <v>677</v>
      </c>
      <c r="F29" s="19"/>
      <c r="G29" s="4" t="s">
        <v>678</v>
      </c>
      <c r="H29" s="4" t="s">
        <v>679</v>
      </c>
      <c r="I29" s="4"/>
      <c r="J29" s="4"/>
      <c r="K29" s="4"/>
      <c r="L29" s="4"/>
      <c r="M29" s="4"/>
      <c r="N29" s="4"/>
      <c r="O29" s="4"/>
      <c r="P29" s="4"/>
      <c r="Q29" s="4"/>
      <c r="R29" s="4" t="s">
        <v>680</v>
      </c>
      <c r="S29" s="4"/>
      <c r="T29" s="4"/>
      <c r="U29" s="4"/>
      <c r="V29" s="4" t="s">
        <v>681</v>
      </c>
      <c r="W29" s="4"/>
      <c r="X29" s="4"/>
      <c r="Y29" s="4" t="s">
        <v>682</v>
      </c>
      <c r="Z29" s="4" t="s">
        <v>597</v>
      </c>
      <c r="AA29" s="4"/>
      <c r="AB29" s="4" t="s">
        <v>597</v>
      </c>
      <c r="AC29" s="4"/>
      <c r="AD29" s="4"/>
      <c r="AE29" s="4"/>
      <c r="AF29" s="4"/>
      <c r="AG29" s="4"/>
      <c r="AH29" s="23">
        <v>100000.0</v>
      </c>
      <c r="AI29" s="4"/>
      <c r="AJ29" s="4"/>
      <c r="AK29" s="4"/>
      <c r="AL29" s="19"/>
      <c r="AM29" s="19"/>
      <c r="AN29" s="19"/>
      <c r="AO29" s="19"/>
      <c r="AP29" s="19"/>
      <c r="AQ29" s="4">
        <v>90909.0</v>
      </c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19"/>
      <c r="CY29" s="19"/>
      <c r="CZ29" s="1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19"/>
      <c r="DP29" s="19"/>
      <c r="DQ29" s="1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19"/>
      <c r="EG29" s="19"/>
      <c r="EH29" s="19"/>
      <c r="EI29" s="19"/>
      <c r="EJ29" s="19"/>
      <c r="EK29" s="19"/>
      <c r="EL29" s="19"/>
      <c r="EM29" s="19"/>
      <c r="EN29" s="4" t="s">
        <v>57</v>
      </c>
      <c r="EO29" s="19"/>
      <c r="EP29" s="17"/>
      <c r="EQ29" s="23"/>
      <c r="ER29" s="23" t="str">
        <f t="shared" si="1"/>
        <v/>
      </c>
      <c r="ES29" s="19"/>
      <c r="ET29" s="19" t="str">
        <f t="shared" si="2"/>
        <v/>
      </c>
      <c r="EU29" s="19"/>
      <c r="EV29" s="19"/>
      <c r="EW29" s="19"/>
      <c r="EX29" s="19"/>
      <c r="EY29" s="19"/>
      <c r="EZ29" s="82"/>
      <c r="FA29" s="82"/>
      <c r="FB29" s="82"/>
    </row>
    <row r="30" ht="15.75" customHeight="1">
      <c r="A30" s="79" t="s">
        <v>683</v>
      </c>
      <c r="B30" s="79" t="s">
        <v>515</v>
      </c>
      <c r="C30" s="79" t="s">
        <v>476</v>
      </c>
      <c r="D30" s="80">
        <v>46093.0</v>
      </c>
      <c r="E30" s="79" t="s">
        <v>684</v>
      </c>
      <c r="F30" s="79"/>
      <c r="G30" s="79" t="s">
        <v>685</v>
      </c>
      <c r="H30" s="79" t="s">
        <v>686</v>
      </c>
      <c r="I30" s="79"/>
      <c r="J30" s="79" t="s">
        <v>687</v>
      </c>
      <c r="K30" s="79">
        <v>3000.0</v>
      </c>
      <c r="L30" s="79"/>
      <c r="M30" s="79" t="s">
        <v>688</v>
      </c>
      <c r="N30" s="79" t="s">
        <v>689</v>
      </c>
      <c r="O30" s="79" t="s">
        <v>484</v>
      </c>
      <c r="P30" s="79"/>
      <c r="Q30" s="79" t="s">
        <v>690</v>
      </c>
      <c r="R30" s="80">
        <v>46495.0</v>
      </c>
      <c r="S30" s="79"/>
      <c r="T30" s="79">
        <v>72830.0</v>
      </c>
      <c r="U30" s="79"/>
      <c r="V30" s="79"/>
      <c r="W30" s="80">
        <v>46093.0</v>
      </c>
      <c r="X30" s="79"/>
      <c r="Y30" s="80">
        <v>46095.0</v>
      </c>
      <c r="Z30" s="79" t="s">
        <v>557</v>
      </c>
      <c r="AA30" s="79" t="s">
        <v>487</v>
      </c>
      <c r="AB30" s="79" t="s">
        <v>557</v>
      </c>
      <c r="AC30" s="79" t="s">
        <v>488</v>
      </c>
      <c r="AD30" s="79">
        <v>95130.0</v>
      </c>
      <c r="AE30" s="79">
        <v>0.0</v>
      </c>
      <c r="AF30" s="79">
        <v>0.0</v>
      </c>
      <c r="AG30" s="79">
        <v>9513.0</v>
      </c>
      <c r="AH30" s="81">
        <v>104643.0</v>
      </c>
      <c r="AI30" s="79"/>
      <c r="AJ30" s="79">
        <v>0.0</v>
      </c>
      <c r="AK30" s="79">
        <v>25842.0</v>
      </c>
      <c r="AL30" s="79">
        <v>0.0</v>
      </c>
      <c r="AM30" s="79">
        <v>0.0</v>
      </c>
      <c r="AN30" s="79">
        <v>2584.0</v>
      </c>
      <c r="AO30" s="79">
        <v>28426.0</v>
      </c>
      <c r="AP30" s="79">
        <v>0.0</v>
      </c>
      <c r="AQ30" s="79">
        <v>69288.0</v>
      </c>
      <c r="AR30" s="79" t="s">
        <v>525</v>
      </c>
      <c r="AS30" s="79">
        <v>0.0</v>
      </c>
      <c r="AT30" s="79" t="s">
        <v>507</v>
      </c>
      <c r="AU30" s="79" t="s">
        <v>491</v>
      </c>
      <c r="AV30" s="79">
        <v>0.0</v>
      </c>
      <c r="AW30" s="79" t="s">
        <v>508</v>
      </c>
      <c r="AX30" s="79">
        <v>0.0</v>
      </c>
      <c r="AY30" s="79"/>
      <c r="AZ30" s="79">
        <v>0.0</v>
      </c>
      <c r="BA30" s="79"/>
      <c r="BB30" s="79">
        <v>0.0</v>
      </c>
      <c r="BC30" s="79"/>
      <c r="BD30" s="79">
        <v>0.0</v>
      </c>
      <c r="BE30" s="79"/>
      <c r="BF30" s="79">
        <v>0.0</v>
      </c>
      <c r="BG30" s="79"/>
      <c r="BH30" s="79">
        <v>0.0</v>
      </c>
      <c r="BI30" s="79" t="s">
        <v>493</v>
      </c>
      <c r="BJ30" s="79">
        <v>0.0</v>
      </c>
      <c r="BK30" s="79" t="s">
        <v>494</v>
      </c>
      <c r="BL30" s="79">
        <v>0.0</v>
      </c>
      <c r="BM30" s="79" t="s">
        <v>495</v>
      </c>
      <c r="BN30" s="79">
        <v>0.0</v>
      </c>
      <c r="BO30" s="79" t="s">
        <v>496</v>
      </c>
      <c r="BP30" s="79">
        <v>0.0</v>
      </c>
      <c r="BQ30" s="79"/>
      <c r="BR30" s="79">
        <v>0.0</v>
      </c>
      <c r="BS30" s="79"/>
      <c r="BT30" s="79">
        <v>0.0</v>
      </c>
      <c r="BU30" s="79"/>
      <c r="BV30" s="79">
        <v>0.0</v>
      </c>
      <c r="BW30" s="79"/>
      <c r="BX30" s="79">
        <v>0.0</v>
      </c>
      <c r="BY30" s="79">
        <v>0.0</v>
      </c>
      <c r="BZ30" s="79" t="s">
        <v>491</v>
      </c>
      <c r="CA30" s="79">
        <v>0.0</v>
      </c>
      <c r="CB30" s="79" t="s">
        <v>507</v>
      </c>
      <c r="CC30" s="79" t="s">
        <v>508</v>
      </c>
      <c r="CD30" s="79">
        <v>0.0</v>
      </c>
      <c r="CE30" s="79"/>
      <c r="CF30" s="79">
        <v>0.0</v>
      </c>
      <c r="CG30" s="79"/>
      <c r="CH30" s="79">
        <v>0.0</v>
      </c>
      <c r="CI30" s="79"/>
      <c r="CJ30" s="79">
        <v>0.0</v>
      </c>
      <c r="CK30" s="79"/>
      <c r="CL30" s="79">
        <v>0.0</v>
      </c>
      <c r="CM30" s="79"/>
      <c r="CN30" s="79">
        <v>0.0</v>
      </c>
      <c r="CO30" s="79" t="s">
        <v>493</v>
      </c>
      <c r="CP30" s="79">
        <v>0.0</v>
      </c>
      <c r="CQ30" s="79" t="s">
        <v>494</v>
      </c>
      <c r="CR30" s="79">
        <v>0.0</v>
      </c>
      <c r="CS30" s="79" t="s">
        <v>495</v>
      </c>
      <c r="CT30" s="79">
        <v>0.0</v>
      </c>
      <c r="CU30" s="79" t="s">
        <v>496</v>
      </c>
      <c r="CV30" s="79">
        <v>0.0</v>
      </c>
      <c r="CW30" s="79"/>
      <c r="CX30" s="79">
        <v>0.0</v>
      </c>
      <c r="CY30" s="79"/>
      <c r="CZ30" s="79">
        <v>0.0</v>
      </c>
      <c r="DA30" s="79"/>
      <c r="DB30" s="79">
        <v>0.0</v>
      </c>
      <c r="DC30" s="79"/>
      <c r="DD30" s="79">
        <v>0.0</v>
      </c>
      <c r="DE30" s="79">
        <v>52600.0</v>
      </c>
      <c r="DF30" s="79">
        <v>42530.0</v>
      </c>
      <c r="DG30" s="79">
        <v>0.0</v>
      </c>
      <c r="DH30" s="79">
        <v>0.0</v>
      </c>
      <c r="DI30" s="79">
        <v>25842.0</v>
      </c>
      <c r="DJ30" s="79" t="s">
        <v>691</v>
      </c>
      <c r="DK30" s="79" t="s">
        <v>692</v>
      </c>
      <c r="DL30" s="79" t="s">
        <v>487</v>
      </c>
      <c r="DM30" s="79" t="s">
        <v>693</v>
      </c>
      <c r="DN30" s="79" t="s">
        <v>694</v>
      </c>
      <c r="DO30" s="79" t="s">
        <v>695</v>
      </c>
      <c r="DP30" s="79"/>
      <c r="DQ30" s="79"/>
      <c r="DR30" s="79"/>
      <c r="DS30" s="79"/>
      <c r="DT30" s="82"/>
      <c r="DU30" s="79"/>
      <c r="DV30" s="82"/>
      <c r="DW30" s="79"/>
      <c r="DX30" s="79"/>
      <c r="DY30" s="79"/>
      <c r="DZ30" s="79"/>
      <c r="EA30" s="79"/>
      <c r="EB30" s="79"/>
      <c r="EC30" s="79"/>
      <c r="ED30" s="79"/>
      <c r="EE30" s="79"/>
      <c r="EF30" s="82"/>
      <c r="EG30" s="79"/>
      <c r="EH30" s="82"/>
      <c r="EI30" s="79"/>
      <c r="EJ30" s="82"/>
      <c r="EK30" s="79"/>
      <c r="EL30" s="82"/>
      <c r="EM30" s="79"/>
      <c r="EN30" s="79" t="s">
        <v>156</v>
      </c>
      <c r="EO30" s="79" t="s">
        <v>48</v>
      </c>
      <c r="EP30" s="80"/>
      <c r="EQ30" s="83"/>
      <c r="ER30" s="83" t="str">
        <f t="shared" si="1"/>
        <v/>
      </c>
      <c r="ES30" s="79"/>
      <c r="ET30" s="79" t="str">
        <f t="shared" si="2"/>
        <v/>
      </c>
      <c r="EU30" s="79"/>
      <c r="EV30" s="79"/>
      <c r="EW30" s="82"/>
      <c r="EX30" s="82"/>
      <c r="EY30" s="82"/>
      <c r="EZ30" s="82"/>
      <c r="FA30" s="82"/>
      <c r="FB30" s="82"/>
    </row>
    <row r="31" ht="15.75" customHeight="1">
      <c r="A31" s="79" t="s">
        <v>696</v>
      </c>
      <c r="B31" s="79" t="s">
        <v>475</v>
      </c>
      <c r="C31" s="79" t="s">
        <v>476</v>
      </c>
      <c r="D31" s="80">
        <v>46093.0</v>
      </c>
      <c r="E31" s="79" t="s">
        <v>545</v>
      </c>
      <c r="F31" s="79" t="s">
        <v>562</v>
      </c>
      <c r="G31" s="79" t="s">
        <v>697</v>
      </c>
      <c r="H31" s="79" t="s">
        <v>698</v>
      </c>
      <c r="I31" s="79" t="s">
        <v>699</v>
      </c>
      <c r="J31" s="79" t="s">
        <v>700</v>
      </c>
      <c r="K31" s="79">
        <v>660.0</v>
      </c>
      <c r="L31" s="79" t="s">
        <v>549</v>
      </c>
      <c r="M31" s="79" t="s">
        <v>701</v>
      </c>
      <c r="N31" s="79"/>
      <c r="O31" s="79" t="s">
        <v>551</v>
      </c>
      <c r="P31" s="79" t="s">
        <v>702</v>
      </c>
      <c r="Q31" s="79" t="s">
        <v>703</v>
      </c>
      <c r="R31" s="80">
        <v>46585.0</v>
      </c>
      <c r="S31" s="79"/>
      <c r="T31" s="79">
        <v>78060.0</v>
      </c>
      <c r="U31" s="79"/>
      <c r="V31" s="79"/>
      <c r="W31" s="80">
        <v>46093.0</v>
      </c>
      <c r="X31" s="79"/>
      <c r="Y31" s="80">
        <v>46093.0</v>
      </c>
      <c r="Z31" s="79" t="s">
        <v>557</v>
      </c>
      <c r="AA31" s="79" t="s">
        <v>555</v>
      </c>
      <c r="AB31" s="79" t="s">
        <v>554</v>
      </c>
      <c r="AC31" s="79" t="s">
        <v>488</v>
      </c>
      <c r="AD31" s="79">
        <v>4400.0</v>
      </c>
      <c r="AE31" s="79">
        <v>0.0</v>
      </c>
      <c r="AF31" s="79">
        <v>0.0</v>
      </c>
      <c r="AG31" s="79">
        <v>440.0</v>
      </c>
      <c r="AH31" s="81">
        <v>4840.0</v>
      </c>
      <c r="AI31" s="79"/>
      <c r="AJ31" s="79">
        <v>0.0</v>
      </c>
      <c r="AK31" s="79">
        <v>1422.0</v>
      </c>
      <c r="AL31" s="79">
        <v>0.0</v>
      </c>
      <c r="AM31" s="79">
        <v>0.0</v>
      </c>
      <c r="AN31" s="79">
        <v>142.0</v>
      </c>
      <c r="AO31" s="79">
        <v>1564.0</v>
      </c>
      <c r="AP31" s="79">
        <v>0.0</v>
      </c>
      <c r="AQ31" s="79">
        <v>2978.0</v>
      </c>
      <c r="AR31" s="79" t="s">
        <v>556</v>
      </c>
      <c r="AS31" s="79">
        <v>0.0</v>
      </c>
      <c r="AT31" s="79" t="s">
        <v>507</v>
      </c>
      <c r="AU31" s="79" t="s">
        <v>491</v>
      </c>
      <c r="AV31" s="79">
        <v>0.0</v>
      </c>
      <c r="AW31" s="79" t="s">
        <v>508</v>
      </c>
      <c r="AX31" s="79">
        <v>0.0</v>
      </c>
      <c r="AY31" s="79"/>
      <c r="AZ31" s="79">
        <v>0.0</v>
      </c>
      <c r="BA31" s="79"/>
      <c r="BB31" s="79">
        <v>0.0</v>
      </c>
      <c r="BC31" s="79"/>
      <c r="BD31" s="79">
        <v>0.0</v>
      </c>
      <c r="BE31" s="79"/>
      <c r="BF31" s="79">
        <v>0.0</v>
      </c>
      <c r="BG31" s="79"/>
      <c r="BH31" s="79">
        <v>0.0</v>
      </c>
      <c r="BI31" s="79" t="s">
        <v>493</v>
      </c>
      <c r="BJ31" s="79">
        <v>0.0</v>
      </c>
      <c r="BK31" s="79" t="s">
        <v>494</v>
      </c>
      <c r="BL31" s="79">
        <v>0.0</v>
      </c>
      <c r="BM31" s="79" t="s">
        <v>495</v>
      </c>
      <c r="BN31" s="79">
        <v>0.0</v>
      </c>
      <c r="BO31" s="79" t="s">
        <v>496</v>
      </c>
      <c r="BP31" s="79">
        <v>0.0</v>
      </c>
      <c r="BQ31" s="79"/>
      <c r="BR31" s="79">
        <v>0.0</v>
      </c>
      <c r="BS31" s="79"/>
      <c r="BT31" s="79">
        <v>0.0</v>
      </c>
      <c r="BU31" s="79"/>
      <c r="BV31" s="79">
        <v>0.0</v>
      </c>
      <c r="BW31" s="79"/>
      <c r="BX31" s="79">
        <v>0.0</v>
      </c>
      <c r="BY31" s="79">
        <v>0.0</v>
      </c>
      <c r="BZ31" s="79" t="s">
        <v>491</v>
      </c>
      <c r="CA31" s="79">
        <v>0.0</v>
      </c>
      <c r="CB31" s="79" t="s">
        <v>507</v>
      </c>
      <c r="CC31" s="79" t="s">
        <v>508</v>
      </c>
      <c r="CD31" s="79">
        <v>0.0</v>
      </c>
      <c r="CE31" s="79"/>
      <c r="CF31" s="79">
        <v>0.0</v>
      </c>
      <c r="CG31" s="79"/>
      <c r="CH31" s="79">
        <v>0.0</v>
      </c>
      <c r="CI31" s="79"/>
      <c r="CJ31" s="79">
        <v>0.0</v>
      </c>
      <c r="CK31" s="79"/>
      <c r="CL31" s="79">
        <v>0.0</v>
      </c>
      <c r="CM31" s="79"/>
      <c r="CN31" s="79">
        <v>0.0</v>
      </c>
      <c r="CO31" s="79" t="s">
        <v>493</v>
      </c>
      <c r="CP31" s="79">
        <v>0.0</v>
      </c>
      <c r="CQ31" s="79" t="s">
        <v>494</v>
      </c>
      <c r="CR31" s="79">
        <v>0.0</v>
      </c>
      <c r="CS31" s="79" t="s">
        <v>495</v>
      </c>
      <c r="CT31" s="79">
        <v>0.0</v>
      </c>
      <c r="CU31" s="79" t="s">
        <v>496</v>
      </c>
      <c r="CV31" s="79">
        <v>0.0</v>
      </c>
      <c r="CW31" s="79"/>
      <c r="CX31" s="79">
        <v>0.0</v>
      </c>
      <c r="CY31" s="79"/>
      <c r="CZ31" s="79">
        <v>0.0</v>
      </c>
      <c r="DA31" s="79"/>
      <c r="DB31" s="79">
        <v>0.0</v>
      </c>
      <c r="DC31" s="79"/>
      <c r="DD31" s="79">
        <v>0.0</v>
      </c>
      <c r="DE31" s="79">
        <v>2000.0</v>
      </c>
      <c r="DF31" s="79">
        <v>2400.0</v>
      </c>
      <c r="DG31" s="79">
        <v>0.0</v>
      </c>
      <c r="DH31" s="79">
        <v>0.0</v>
      </c>
      <c r="DI31" s="79">
        <v>1422.0</v>
      </c>
      <c r="DJ31" s="79" t="s">
        <v>325</v>
      </c>
      <c r="DK31" s="79" t="s">
        <v>557</v>
      </c>
      <c r="DL31" s="79" t="s">
        <v>555</v>
      </c>
      <c r="DM31" s="79" t="s">
        <v>558</v>
      </c>
      <c r="DN31" s="79" t="s">
        <v>559</v>
      </c>
      <c r="DO31" s="79"/>
      <c r="DP31" s="79"/>
      <c r="DQ31" s="79"/>
      <c r="DR31" s="79"/>
      <c r="DS31" s="79"/>
      <c r="DT31" s="82"/>
      <c r="DU31" s="79"/>
      <c r="DV31" s="82"/>
      <c r="DW31" s="79"/>
      <c r="DX31" s="79"/>
      <c r="DY31" s="79"/>
      <c r="DZ31" s="79"/>
      <c r="EA31" s="79"/>
      <c r="EB31" s="79"/>
      <c r="EC31" s="79"/>
      <c r="ED31" s="79"/>
      <c r="EE31" s="79"/>
      <c r="EF31" s="82"/>
      <c r="EG31" s="79"/>
      <c r="EH31" s="82"/>
      <c r="EI31" s="79"/>
      <c r="EJ31" s="82"/>
      <c r="EK31" s="79"/>
      <c r="EL31" s="82"/>
      <c r="EM31" s="79"/>
      <c r="EN31" s="79" t="s">
        <v>79</v>
      </c>
      <c r="EO31" s="79"/>
      <c r="EP31" s="80"/>
      <c r="EQ31" s="83"/>
      <c r="ER31" s="83" t="str">
        <f t="shared" si="1"/>
        <v/>
      </c>
      <c r="ES31" s="79"/>
      <c r="ET31" s="79" t="str">
        <f t="shared" si="2"/>
        <v/>
      </c>
      <c r="EU31" s="79"/>
      <c r="EV31" s="79"/>
      <c r="EW31" s="82"/>
      <c r="EX31" s="82"/>
      <c r="EY31" s="82"/>
      <c r="EZ31" s="82"/>
      <c r="FA31" s="82"/>
      <c r="FB31" s="82"/>
    </row>
    <row r="32" ht="15.75" customHeight="1">
      <c r="A32" s="79" t="s">
        <v>704</v>
      </c>
      <c r="B32" s="79" t="s">
        <v>475</v>
      </c>
      <c r="C32" s="79" t="s">
        <v>476</v>
      </c>
      <c r="D32" s="80">
        <v>46093.0</v>
      </c>
      <c r="E32" s="79" t="s">
        <v>705</v>
      </c>
      <c r="F32" s="79" t="s">
        <v>706</v>
      </c>
      <c r="G32" s="79" t="s">
        <v>707</v>
      </c>
      <c r="H32" s="79" t="s">
        <v>534</v>
      </c>
      <c r="I32" s="79"/>
      <c r="J32" s="79" t="s">
        <v>708</v>
      </c>
      <c r="K32" s="79">
        <v>3000.0</v>
      </c>
      <c r="L32" s="79"/>
      <c r="M32" s="79" t="s">
        <v>709</v>
      </c>
      <c r="N32" s="79" t="s">
        <v>710</v>
      </c>
      <c r="O32" s="79"/>
      <c r="P32" s="79"/>
      <c r="Q32" s="79" t="s">
        <v>711</v>
      </c>
      <c r="R32" s="80">
        <v>46101.0</v>
      </c>
      <c r="S32" s="79"/>
      <c r="T32" s="79">
        <v>26353.0</v>
      </c>
      <c r="U32" s="79"/>
      <c r="V32" s="79"/>
      <c r="W32" s="80">
        <v>46093.0</v>
      </c>
      <c r="X32" s="79"/>
      <c r="Y32" s="80">
        <v>46093.0</v>
      </c>
      <c r="Z32" s="79" t="s">
        <v>486</v>
      </c>
      <c r="AA32" s="79" t="s">
        <v>487</v>
      </c>
      <c r="AB32" s="79" t="s">
        <v>486</v>
      </c>
      <c r="AC32" s="79" t="s">
        <v>488</v>
      </c>
      <c r="AD32" s="79">
        <v>8500.0</v>
      </c>
      <c r="AE32" s="79">
        <v>0.0</v>
      </c>
      <c r="AF32" s="79">
        <v>0.0</v>
      </c>
      <c r="AG32" s="79">
        <v>850.0</v>
      </c>
      <c r="AH32" s="81">
        <v>9350.0</v>
      </c>
      <c r="AI32" s="79"/>
      <c r="AJ32" s="79">
        <v>0.0</v>
      </c>
      <c r="AK32" s="79">
        <v>0.0</v>
      </c>
      <c r="AL32" s="79">
        <v>0.0</v>
      </c>
      <c r="AM32" s="79">
        <v>0.0</v>
      </c>
      <c r="AN32" s="79">
        <v>0.0</v>
      </c>
      <c r="AO32" s="79">
        <v>0.0</v>
      </c>
      <c r="AP32" s="79">
        <v>0.0</v>
      </c>
      <c r="AQ32" s="79">
        <v>8500.0</v>
      </c>
      <c r="AR32" s="79" t="s">
        <v>489</v>
      </c>
      <c r="AS32" s="79">
        <v>0.0</v>
      </c>
      <c r="AT32" s="79" t="s">
        <v>490</v>
      </c>
      <c r="AU32" s="79" t="s">
        <v>491</v>
      </c>
      <c r="AV32" s="79">
        <v>0.0</v>
      </c>
      <c r="AW32" s="79"/>
      <c r="AX32" s="79">
        <v>0.0</v>
      </c>
      <c r="AY32" s="79" t="s">
        <v>492</v>
      </c>
      <c r="AZ32" s="79">
        <v>0.0</v>
      </c>
      <c r="BA32" s="79"/>
      <c r="BB32" s="79">
        <v>0.0</v>
      </c>
      <c r="BC32" s="79"/>
      <c r="BD32" s="79">
        <v>0.0</v>
      </c>
      <c r="BE32" s="79"/>
      <c r="BF32" s="79">
        <v>0.0</v>
      </c>
      <c r="BG32" s="79"/>
      <c r="BH32" s="79">
        <v>0.0</v>
      </c>
      <c r="BI32" s="79" t="s">
        <v>493</v>
      </c>
      <c r="BJ32" s="79">
        <v>0.0</v>
      </c>
      <c r="BK32" s="79" t="s">
        <v>494</v>
      </c>
      <c r="BL32" s="79">
        <v>0.0</v>
      </c>
      <c r="BM32" s="79" t="s">
        <v>495</v>
      </c>
      <c r="BN32" s="79">
        <v>0.0</v>
      </c>
      <c r="BO32" s="79" t="s">
        <v>496</v>
      </c>
      <c r="BP32" s="79">
        <v>0.0</v>
      </c>
      <c r="BQ32" s="79"/>
      <c r="BR32" s="79">
        <v>0.0</v>
      </c>
      <c r="BS32" s="79"/>
      <c r="BT32" s="79">
        <v>0.0</v>
      </c>
      <c r="BU32" s="79"/>
      <c r="BV32" s="79">
        <v>0.0</v>
      </c>
      <c r="BW32" s="79"/>
      <c r="BX32" s="79">
        <v>0.0</v>
      </c>
      <c r="BY32" s="79">
        <v>0.0</v>
      </c>
      <c r="BZ32" s="79" t="s">
        <v>491</v>
      </c>
      <c r="CA32" s="79">
        <v>0.0</v>
      </c>
      <c r="CB32" s="79" t="s">
        <v>490</v>
      </c>
      <c r="CC32" s="79"/>
      <c r="CD32" s="79">
        <v>0.0</v>
      </c>
      <c r="CE32" s="79" t="s">
        <v>492</v>
      </c>
      <c r="CF32" s="79">
        <v>0.0</v>
      </c>
      <c r="CG32" s="79"/>
      <c r="CH32" s="79">
        <v>0.0</v>
      </c>
      <c r="CI32" s="79"/>
      <c r="CJ32" s="79">
        <v>0.0</v>
      </c>
      <c r="CK32" s="79"/>
      <c r="CL32" s="79">
        <v>0.0</v>
      </c>
      <c r="CM32" s="79"/>
      <c r="CN32" s="79">
        <v>0.0</v>
      </c>
      <c r="CO32" s="79" t="s">
        <v>493</v>
      </c>
      <c r="CP32" s="79">
        <v>0.0</v>
      </c>
      <c r="CQ32" s="79" t="s">
        <v>494</v>
      </c>
      <c r="CR32" s="79">
        <v>0.0</v>
      </c>
      <c r="CS32" s="79" t="s">
        <v>495</v>
      </c>
      <c r="CT32" s="79">
        <v>0.0</v>
      </c>
      <c r="CU32" s="79" t="s">
        <v>496</v>
      </c>
      <c r="CV32" s="79">
        <v>0.0</v>
      </c>
      <c r="CW32" s="79"/>
      <c r="CX32" s="79">
        <v>0.0</v>
      </c>
      <c r="CY32" s="79"/>
      <c r="CZ32" s="79">
        <v>0.0</v>
      </c>
      <c r="DA32" s="79"/>
      <c r="DB32" s="79">
        <v>0.0</v>
      </c>
      <c r="DC32" s="79"/>
      <c r="DD32" s="79">
        <v>0.0</v>
      </c>
      <c r="DE32" s="79">
        <v>8500.0</v>
      </c>
      <c r="DF32" s="79">
        <v>0.0</v>
      </c>
      <c r="DG32" s="79">
        <v>0.0</v>
      </c>
      <c r="DH32" s="79">
        <v>0.0</v>
      </c>
      <c r="DI32" s="79">
        <v>0.0</v>
      </c>
      <c r="DJ32" s="79" t="s">
        <v>712</v>
      </c>
      <c r="DK32" s="79" t="s">
        <v>486</v>
      </c>
      <c r="DL32" s="79" t="s">
        <v>713</v>
      </c>
      <c r="DM32" s="79" t="s">
        <v>714</v>
      </c>
      <c r="DN32" s="79"/>
      <c r="DO32" s="79" t="s">
        <v>715</v>
      </c>
      <c r="DP32" s="79"/>
      <c r="DQ32" s="79"/>
      <c r="DR32" s="79"/>
      <c r="DS32" s="79"/>
      <c r="DT32" s="82"/>
      <c r="DU32" s="79"/>
      <c r="DV32" s="82"/>
      <c r="DW32" s="79"/>
      <c r="DX32" s="79"/>
      <c r="DY32" s="79"/>
      <c r="DZ32" s="79"/>
      <c r="EA32" s="79"/>
      <c r="EB32" s="79"/>
      <c r="EC32" s="79"/>
      <c r="ED32" s="79"/>
      <c r="EE32" s="79"/>
      <c r="EF32" s="82"/>
      <c r="EG32" s="79"/>
      <c r="EH32" s="82"/>
      <c r="EI32" s="79"/>
      <c r="EJ32" s="82"/>
      <c r="EK32" s="79"/>
      <c r="EL32" s="82"/>
      <c r="EM32" s="79"/>
      <c r="EN32" s="79" t="s">
        <v>79</v>
      </c>
      <c r="EO32" s="79"/>
      <c r="EP32" s="80"/>
      <c r="EQ32" s="83"/>
      <c r="ER32" s="83" t="str">
        <f t="shared" si="1"/>
        <v/>
      </c>
      <c r="ES32" s="79"/>
      <c r="ET32" s="79" t="str">
        <f t="shared" si="2"/>
        <v/>
      </c>
      <c r="EU32" s="79"/>
      <c r="EV32" s="79"/>
      <c r="EW32" s="82"/>
      <c r="EX32" s="82"/>
      <c r="EY32" s="82"/>
      <c r="EZ32" s="82"/>
      <c r="FA32" s="82"/>
      <c r="FB32" s="82"/>
    </row>
    <row r="33" ht="15.75" customHeight="1">
      <c r="A33" s="79" t="s">
        <v>716</v>
      </c>
      <c r="B33" s="79" t="s">
        <v>475</v>
      </c>
      <c r="C33" s="79" t="s">
        <v>476</v>
      </c>
      <c r="D33" s="80">
        <v>46094.0</v>
      </c>
      <c r="E33" s="79" t="s">
        <v>717</v>
      </c>
      <c r="F33" s="79"/>
      <c r="G33" s="79" t="s">
        <v>718</v>
      </c>
      <c r="H33" s="79" t="s">
        <v>611</v>
      </c>
      <c r="I33" s="79"/>
      <c r="J33" s="79" t="s">
        <v>719</v>
      </c>
      <c r="K33" s="79">
        <v>0.0</v>
      </c>
      <c r="L33" s="79"/>
      <c r="M33" s="79" t="s">
        <v>613</v>
      </c>
      <c r="N33" s="79"/>
      <c r="O33" s="79"/>
      <c r="P33" s="79"/>
      <c r="Q33" s="79"/>
      <c r="R33" s="80">
        <v>46567.0</v>
      </c>
      <c r="S33" s="79"/>
      <c r="T33" s="79">
        <v>70458.0</v>
      </c>
      <c r="U33" s="79"/>
      <c r="V33" s="79"/>
      <c r="W33" s="79"/>
      <c r="X33" s="79"/>
      <c r="Y33" s="79"/>
      <c r="Z33" s="79" t="s">
        <v>486</v>
      </c>
      <c r="AA33" s="79" t="s">
        <v>487</v>
      </c>
      <c r="AB33" s="79" t="s">
        <v>486</v>
      </c>
      <c r="AC33" s="79" t="s">
        <v>488</v>
      </c>
      <c r="AD33" s="79">
        <v>219800.0</v>
      </c>
      <c r="AE33" s="79">
        <v>0.0</v>
      </c>
      <c r="AF33" s="79">
        <v>0.0</v>
      </c>
      <c r="AG33" s="79">
        <v>21980.0</v>
      </c>
      <c r="AH33" s="81">
        <v>241780.0</v>
      </c>
      <c r="AI33" s="79"/>
      <c r="AJ33" s="79">
        <v>0.0</v>
      </c>
      <c r="AK33" s="79">
        <v>111500.0</v>
      </c>
      <c r="AL33" s="79">
        <v>0.0</v>
      </c>
      <c r="AM33" s="79">
        <v>0.0</v>
      </c>
      <c r="AN33" s="79">
        <v>11150.0</v>
      </c>
      <c r="AO33" s="79">
        <v>122650.0</v>
      </c>
      <c r="AP33" s="79">
        <v>0.0</v>
      </c>
      <c r="AQ33" s="79">
        <v>108300.0</v>
      </c>
      <c r="AR33" s="79" t="s">
        <v>489</v>
      </c>
      <c r="AS33" s="79">
        <v>0.0</v>
      </c>
      <c r="AT33" s="79" t="s">
        <v>490</v>
      </c>
      <c r="AU33" s="79" t="s">
        <v>491</v>
      </c>
      <c r="AV33" s="79">
        <v>0.0</v>
      </c>
      <c r="AW33" s="79"/>
      <c r="AX33" s="79">
        <v>0.0</v>
      </c>
      <c r="AY33" s="79" t="s">
        <v>492</v>
      </c>
      <c r="AZ33" s="79">
        <v>0.0</v>
      </c>
      <c r="BA33" s="79"/>
      <c r="BB33" s="79">
        <v>0.0</v>
      </c>
      <c r="BC33" s="79"/>
      <c r="BD33" s="79">
        <v>0.0</v>
      </c>
      <c r="BE33" s="79"/>
      <c r="BF33" s="79">
        <v>0.0</v>
      </c>
      <c r="BG33" s="79"/>
      <c r="BH33" s="79">
        <v>0.0</v>
      </c>
      <c r="BI33" s="79" t="s">
        <v>493</v>
      </c>
      <c r="BJ33" s="79">
        <v>0.0</v>
      </c>
      <c r="BK33" s="79" t="s">
        <v>494</v>
      </c>
      <c r="BL33" s="79">
        <v>0.0</v>
      </c>
      <c r="BM33" s="79" t="s">
        <v>495</v>
      </c>
      <c r="BN33" s="79">
        <v>0.0</v>
      </c>
      <c r="BO33" s="79" t="s">
        <v>496</v>
      </c>
      <c r="BP33" s="79">
        <v>0.0</v>
      </c>
      <c r="BQ33" s="79"/>
      <c r="BR33" s="79">
        <v>0.0</v>
      </c>
      <c r="BS33" s="79"/>
      <c r="BT33" s="79">
        <v>0.0</v>
      </c>
      <c r="BU33" s="79"/>
      <c r="BV33" s="79">
        <v>0.0</v>
      </c>
      <c r="BW33" s="79"/>
      <c r="BX33" s="79">
        <v>0.0</v>
      </c>
      <c r="BY33" s="79">
        <v>0.0</v>
      </c>
      <c r="BZ33" s="79" t="s">
        <v>491</v>
      </c>
      <c r="CA33" s="79">
        <v>0.0</v>
      </c>
      <c r="CB33" s="79" t="s">
        <v>490</v>
      </c>
      <c r="CC33" s="79"/>
      <c r="CD33" s="79">
        <v>0.0</v>
      </c>
      <c r="CE33" s="79" t="s">
        <v>492</v>
      </c>
      <c r="CF33" s="79">
        <v>0.0</v>
      </c>
      <c r="CG33" s="79"/>
      <c r="CH33" s="79">
        <v>0.0</v>
      </c>
      <c r="CI33" s="79"/>
      <c r="CJ33" s="79">
        <v>0.0</v>
      </c>
      <c r="CK33" s="79"/>
      <c r="CL33" s="79">
        <v>0.0</v>
      </c>
      <c r="CM33" s="79"/>
      <c r="CN33" s="79">
        <v>0.0</v>
      </c>
      <c r="CO33" s="79" t="s">
        <v>493</v>
      </c>
      <c r="CP33" s="79">
        <v>0.0</v>
      </c>
      <c r="CQ33" s="79" t="s">
        <v>494</v>
      </c>
      <c r="CR33" s="79">
        <v>0.0</v>
      </c>
      <c r="CS33" s="79" t="s">
        <v>495</v>
      </c>
      <c r="CT33" s="79">
        <v>0.0</v>
      </c>
      <c r="CU33" s="79" t="s">
        <v>496</v>
      </c>
      <c r="CV33" s="79">
        <v>0.0</v>
      </c>
      <c r="CW33" s="79"/>
      <c r="CX33" s="79">
        <v>0.0</v>
      </c>
      <c r="CY33" s="79"/>
      <c r="CZ33" s="79">
        <v>0.0</v>
      </c>
      <c r="DA33" s="79"/>
      <c r="DB33" s="79">
        <v>0.0</v>
      </c>
      <c r="DC33" s="79"/>
      <c r="DD33" s="79">
        <v>0.0</v>
      </c>
      <c r="DE33" s="79">
        <v>57800.0</v>
      </c>
      <c r="DF33" s="79">
        <v>162000.0</v>
      </c>
      <c r="DG33" s="79">
        <v>0.0</v>
      </c>
      <c r="DH33" s="79">
        <v>0.0</v>
      </c>
      <c r="DI33" s="79">
        <v>111500.0</v>
      </c>
      <c r="DJ33" s="79" t="s">
        <v>720</v>
      </c>
      <c r="DK33" s="79" t="s">
        <v>486</v>
      </c>
      <c r="DL33" s="79" t="s">
        <v>487</v>
      </c>
      <c r="DM33" s="79" t="s">
        <v>721</v>
      </c>
      <c r="DN33" s="79" t="s">
        <v>722</v>
      </c>
      <c r="DO33" s="79" t="s">
        <v>723</v>
      </c>
      <c r="DP33" s="79"/>
      <c r="DQ33" s="79"/>
      <c r="DR33" s="79"/>
      <c r="DS33" s="79"/>
      <c r="DT33" s="82"/>
      <c r="DU33" s="79"/>
      <c r="DV33" s="82"/>
      <c r="DW33" s="79"/>
      <c r="DX33" s="79"/>
      <c r="DY33" s="79"/>
      <c r="DZ33" s="79"/>
      <c r="EA33" s="79"/>
      <c r="EB33" s="79"/>
      <c r="EC33" s="79"/>
      <c r="ED33" s="79"/>
      <c r="EE33" s="79"/>
      <c r="EF33" s="82"/>
      <c r="EG33" s="79"/>
      <c r="EH33" s="82"/>
      <c r="EI33" s="79"/>
      <c r="EJ33" s="82"/>
      <c r="EK33" s="79"/>
      <c r="EL33" s="82"/>
      <c r="EM33" s="79"/>
      <c r="EN33" s="79" t="s">
        <v>79</v>
      </c>
      <c r="EO33" s="79"/>
      <c r="EP33" s="80"/>
      <c r="EQ33" s="83"/>
      <c r="ER33" s="83" t="str">
        <f t="shared" si="1"/>
        <v/>
      </c>
      <c r="ES33" s="79"/>
      <c r="ET33" s="79" t="str">
        <f t="shared" si="2"/>
        <v/>
      </c>
      <c r="EU33" s="79"/>
      <c r="EV33" s="82"/>
      <c r="EW33" s="82"/>
      <c r="EX33" s="82"/>
      <c r="EY33" s="82"/>
      <c r="EZ33" s="82"/>
      <c r="FA33" s="82"/>
      <c r="FB33" s="82"/>
    </row>
    <row r="34" ht="15.75" customHeight="1">
      <c r="A34" s="79" t="s">
        <v>724</v>
      </c>
      <c r="B34" s="79" t="s">
        <v>591</v>
      </c>
      <c r="C34" s="79" t="s">
        <v>476</v>
      </c>
      <c r="D34" s="80">
        <v>46094.0</v>
      </c>
      <c r="E34" s="79" t="s">
        <v>725</v>
      </c>
      <c r="F34" s="79"/>
      <c r="G34" s="79" t="s">
        <v>726</v>
      </c>
      <c r="H34" s="79" t="s">
        <v>479</v>
      </c>
      <c r="I34" s="79" t="s">
        <v>480</v>
      </c>
      <c r="J34" s="79" t="s">
        <v>727</v>
      </c>
      <c r="K34" s="79">
        <v>2000.0</v>
      </c>
      <c r="L34" s="79" t="s">
        <v>482</v>
      </c>
      <c r="M34" s="79" t="s">
        <v>483</v>
      </c>
      <c r="N34" s="79" t="s">
        <v>521</v>
      </c>
      <c r="O34" s="79" t="s">
        <v>484</v>
      </c>
      <c r="P34" s="79" t="s">
        <v>728</v>
      </c>
      <c r="Q34" s="79" t="s">
        <v>729</v>
      </c>
      <c r="R34" s="80">
        <v>46090.0</v>
      </c>
      <c r="S34" s="79"/>
      <c r="T34" s="79">
        <v>97764.0</v>
      </c>
      <c r="U34" s="79"/>
      <c r="V34" s="79"/>
      <c r="W34" s="80">
        <v>46074.0</v>
      </c>
      <c r="X34" s="79"/>
      <c r="Y34" s="80">
        <v>46081.0</v>
      </c>
      <c r="Z34" s="79" t="s">
        <v>486</v>
      </c>
      <c r="AA34" s="79" t="s">
        <v>537</v>
      </c>
      <c r="AB34" s="79" t="s">
        <v>486</v>
      </c>
      <c r="AC34" s="79" t="s">
        <v>488</v>
      </c>
      <c r="AD34" s="79">
        <v>286100.0</v>
      </c>
      <c r="AE34" s="79">
        <v>12000.0</v>
      </c>
      <c r="AF34" s="79">
        <v>65550.0</v>
      </c>
      <c r="AG34" s="79">
        <v>29810.0</v>
      </c>
      <c r="AH34" s="81">
        <v>393460.0</v>
      </c>
      <c r="AI34" s="79"/>
      <c r="AJ34" s="79">
        <v>0.0</v>
      </c>
      <c r="AK34" s="79">
        <v>87105.0</v>
      </c>
      <c r="AL34" s="79">
        <v>0.0</v>
      </c>
      <c r="AM34" s="79">
        <v>65550.0</v>
      </c>
      <c r="AN34" s="79">
        <v>8713.0</v>
      </c>
      <c r="AO34" s="79">
        <v>161368.0</v>
      </c>
      <c r="AP34" s="79">
        <v>0.0</v>
      </c>
      <c r="AQ34" s="79">
        <v>210995.0</v>
      </c>
      <c r="AR34" s="79" t="s">
        <v>489</v>
      </c>
      <c r="AS34" s="79">
        <v>12000.0</v>
      </c>
      <c r="AT34" s="79" t="s">
        <v>490</v>
      </c>
      <c r="AU34" s="79" t="s">
        <v>491</v>
      </c>
      <c r="AV34" s="79">
        <v>0.0</v>
      </c>
      <c r="AW34" s="79"/>
      <c r="AX34" s="79">
        <v>0.0</v>
      </c>
      <c r="AY34" s="79"/>
      <c r="AZ34" s="79">
        <v>0.0</v>
      </c>
      <c r="BA34" s="79"/>
      <c r="BB34" s="79">
        <v>0.0</v>
      </c>
      <c r="BC34" s="79"/>
      <c r="BD34" s="79">
        <v>0.0</v>
      </c>
      <c r="BE34" s="79"/>
      <c r="BF34" s="79">
        <v>0.0</v>
      </c>
      <c r="BG34" s="79"/>
      <c r="BH34" s="79">
        <v>0.0</v>
      </c>
      <c r="BI34" s="79" t="s">
        <v>493</v>
      </c>
      <c r="BJ34" s="79">
        <v>17650.0</v>
      </c>
      <c r="BK34" s="79" t="s">
        <v>494</v>
      </c>
      <c r="BL34" s="79">
        <v>45600.0</v>
      </c>
      <c r="BM34" s="79" t="s">
        <v>495</v>
      </c>
      <c r="BN34" s="79">
        <v>2300.0</v>
      </c>
      <c r="BO34" s="79" t="s">
        <v>496</v>
      </c>
      <c r="BP34" s="79">
        <v>0.0</v>
      </c>
      <c r="BQ34" s="79"/>
      <c r="BR34" s="79">
        <v>0.0</v>
      </c>
      <c r="BS34" s="79"/>
      <c r="BT34" s="79">
        <v>0.0</v>
      </c>
      <c r="BU34" s="79"/>
      <c r="BV34" s="79">
        <v>0.0</v>
      </c>
      <c r="BW34" s="79"/>
      <c r="BX34" s="79">
        <v>0.0</v>
      </c>
      <c r="BY34" s="79">
        <v>0.0</v>
      </c>
      <c r="BZ34" s="79" t="s">
        <v>491</v>
      </c>
      <c r="CA34" s="79">
        <v>0.0</v>
      </c>
      <c r="CB34" s="79" t="s">
        <v>490</v>
      </c>
      <c r="CC34" s="79"/>
      <c r="CD34" s="79">
        <v>0.0</v>
      </c>
      <c r="CE34" s="79"/>
      <c r="CF34" s="79">
        <v>0.0</v>
      </c>
      <c r="CG34" s="79"/>
      <c r="CH34" s="79">
        <v>0.0</v>
      </c>
      <c r="CI34" s="79"/>
      <c r="CJ34" s="79">
        <v>0.0</v>
      </c>
      <c r="CK34" s="79"/>
      <c r="CL34" s="79">
        <v>0.0</v>
      </c>
      <c r="CM34" s="79"/>
      <c r="CN34" s="79">
        <v>0.0</v>
      </c>
      <c r="CO34" s="79" t="s">
        <v>493</v>
      </c>
      <c r="CP34" s="79">
        <v>17650.0</v>
      </c>
      <c r="CQ34" s="79" t="s">
        <v>494</v>
      </c>
      <c r="CR34" s="79">
        <v>45600.0</v>
      </c>
      <c r="CS34" s="79" t="s">
        <v>495</v>
      </c>
      <c r="CT34" s="79">
        <v>2300.0</v>
      </c>
      <c r="CU34" s="79" t="s">
        <v>496</v>
      </c>
      <c r="CV34" s="79">
        <v>0.0</v>
      </c>
      <c r="CW34" s="79"/>
      <c r="CX34" s="79">
        <v>0.0</v>
      </c>
      <c r="CY34" s="79"/>
      <c r="CZ34" s="79">
        <v>0.0</v>
      </c>
      <c r="DA34" s="79"/>
      <c r="DB34" s="79">
        <v>0.0</v>
      </c>
      <c r="DC34" s="79"/>
      <c r="DD34" s="79">
        <v>0.0</v>
      </c>
      <c r="DE34" s="79">
        <v>139500.0</v>
      </c>
      <c r="DF34" s="79">
        <v>146600.0</v>
      </c>
      <c r="DG34" s="79">
        <v>0.0</v>
      </c>
      <c r="DH34" s="79">
        <v>0.0</v>
      </c>
      <c r="DI34" s="79">
        <v>87105.0</v>
      </c>
      <c r="DJ34" s="79" t="s">
        <v>730</v>
      </c>
      <c r="DK34" s="79" t="s">
        <v>486</v>
      </c>
      <c r="DL34" s="79" t="s">
        <v>537</v>
      </c>
      <c r="DM34" s="79" t="s">
        <v>731</v>
      </c>
      <c r="DN34" s="79" t="s">
        <v>732</v>
      </c>
      <c r="DO34" s="79" t="s">
        <v>733</v>
      </c>
      <c r="DP34" s="79"/>
      <c r="DQ34" s="79"/>
      <c r="DR34" s="79"/>
      <c r="DS34" s="79"/>
      <c r="DT34" s="82"/>
      <c r="DU34" s="79"/>
      <c r="DV34" s="82"/>
      <c r="DW34" s="79"/>
      <c r="DX34" s="79"/>
      <c r="DY34" s="79"/>
      <c r="DZ34" s="79"/>
      <c r="EA34" s="79"/>
      <c r="EB34" s="79"/>
      <c r="EC34" s="79"/>
      <c r="ED34" s="79"/>
      <c r="EE34" s="79"/>
      <c r="EF34" s="82"/>
      <c r="EG34" s="79"/>
      <c r="EH34" s="82"/>
      <c r="EI34" s="79"/>
      <c r="EJ34" s="82"/>
      <c r="EK34" s="79"/>
      <c r="EL34" s="82"/>
      <c r="EM34" s="79"/>
      <c r="EN34" s="79" t="s">
        <v>57</v>
      </c>
      <c r="EO34" s="79"/>
      <c r="EP34" s="80"/>
      <c r="EQ34" s="83"/>
      <c r="ER34" s="83" t="str">
        <f t="shared" si="1"/>
        <v/>
      </c>
      <c r="ES34" s="79"/>
      <c r="ET34" s="79" t="str">
        <f t="shared" si="2"/>
        <v/>
      </c>
      <c r="EU34" s="79"/>
      <c r="EV34" s="79"/>
      <c r="EW34" s="82"/>
      <c r="EX34" s="82"/>
      <c r="EY34" s="82"/>
      <c r="EZ34" s="82"/>
      <c r="FA34" s="82"/>
      <c r="FB34" s="82"/>
    </row>
    <row r="35" ht="15.75" customHeight="1">
      <c r="A35" s="79" t="s">
        <v>735</v>
      </c>
      <c r="B35" s="79" t="s">
        <v>591</v>
      </c>
      <c r="C35" s="79" t="s">
        <v>476</v>
      </c>
      <c r="D35" s="80">
        <v>46094.0</v>
      </c>
      <c r="E35" s="79" t="s">
        <v>736</v>
      </c>
      <c r="F35" s="79"/>
      <c r="G35" s="79" t="s">
        <v>600</v>
      </c>
      <c r="H35" s="79" t="s">
        <v>479</v>
      </c>
      <c r="I35" s="79" t="s">
        <v>737</v>
      </c>
      <c r="J35" s="79" t="s">
        <v>738</v>
      </c>
      <c r="K35" s="79">
        <v>1990.0</v>
      </c>
      <c r="L35" s="79"/>
      <c r="M35" s="79" t="s">
        <v>571</v>
      </c>
      <c r="N35" s="79" t="s">
        <v>739</v>
      </c>
      <c r="O35" s="79" t="s">
        <v>740</v>
      </c>
      <c r="P35" s="79"/>
      <c r="Q35" s="79"/>
      <c r="R35" s="80">
        <v>46841.0</v>
      </c>
      <c r="S35" s="79"/>
      <c r="T35" s="79">
        <v>10420.0</v>
      </c>
      <c r="U35" s="79"/>
      <c r="V35" s="79"/>
      <c r="W35" s="80">
        <v>46081.0</v>
      </c>
      <c r="X35" s="79"/>
      <c r="Y35" s="80">
        <v>46081.0</v>
      </c>
      <c r="Z35" s="79" t="s">
        <v>486</v>
      </c>
      <c r="AA35" s="79" t="s">
        <v>487</v>
      </c>
      <c r="AB35" s="79" t="s">
        <v>486</v>
      </c>
      <c r="AC35" s="79" t="s">
        <v>488</v>
      </c>
      <c r="AD35" s="79">
        <v>196200.0</v>
      </c>
      <c r="AE35" s="79">
        <v>12000.0</v>
      </c>
      <c r="AF35" s="79">
        <v>52750.0</v>
      </c>
      <c r="AG35" s="79">
        <v>20820.0</v>
      </c>
      <c r="AH35" s="81">
        <v>281770.0</v>
      </c>
      <c r="AI35" s="79"/>
      <c r="AJ35" s="79">
        <v>0.0</v>
      </c>
      <c r="AK35" s="79">
        <v>52245.0</v>
      </c>
      <c r="AL35" s="79">
        <v>800.0</v>
      </c>
      <c r="AM35" s="79">
        <v>52750.0</v>
      </c>
      <c r="AN35" s="79">
        <v>5305.0</v>
      </c>
      <c r="AO35" s="79">
        <v>111100.0</v>
      </c>
      <c r="AP35" s="79">
        <v>0.0</v>
      </c>
      <c r="AQ35" s="79">
        <v>155155.0</v>
      </c>
      <c r="AR35" s="79" t="s">
        <v>489</v>
      </c>
      <c r="AS35" s="79">
        <v>12000.0</v>
      </c>
      <c r="AT35" s="79" t="s">
        <v>490</v>
      </c>
      <c r="AU35" s="79" t="s">
        <v>491</v>
      </c>
      <c r="AV35" s="79">
        <v>0.0</v>
      </c>
      <c r="AW35" s="79"/>
      <c r="AX35" s="79">
        <v>0.0</v>
      </c>
      <c r="AY35" s="79"/>
      <c r="AZ35" s="79">
        <v>0.0</v>
      </c>
      <c r="BA35" s="79"/>
      <c r="BB35" s="79">
        <v>0.0</v>
      </c>
      <c r="BC35" s="79"/>
      <c r="BD35" s="79">
        <v>0.0</v>
      </c>
      <c r="BE35" s="79"/>
      <c r="BF35" s="79">
        <v>0.0</v>
      </c>
      <c r="BG35" s="79"/>
      <c r="BH35" s="79">
        <v>0.0</v>
      </c>
      <c r="BI35" s="79" t="s">
        <v>493</v>
      </c>
      <c r="BJ35" s="79">
        <v>17650.0</v>
      </c>
      <c r="BK35" s="79" t="s">
        <v>494</v>
      </c>
      <c r="BL35" s="79">
        <v>32800.0</v>
      </c>
      <c r="BM35" s="79" t="s">
        <v>495</v>
      </c>
      <c r="BN35" s="79">
        <v>2300.0</v>
      </c>
      <c r="BO35" s="79" t="s">
        <v>496</v>
      </c>
      <c r="BP35" s="79">
        <v>0.0</v>
      </c>
      <c r="BQ35" s="79"/>
      <c r="BR35" s="79">
        <v>0.0</v>
      </c>
      <c r="BS35" s="79"/>
      <c r="BT35" s="79">
        <v>0.0</v>
      </c>
      <c r="BU35" s="79"/>
      <c r="BV35" s="79">
        <v>0.0</v>
      </c>
      <c r="BW35" s="79"/>
      <c r="BX35" s="79">
        <v>0.0</v>
      </c>
      <c r="BY35" s="79">
        <v>800.0</v>
      </c>
      <c r="BZ35" s="79" t="s">
        <v>491</v>
      </c>
      <c r="CA35" s="79">
        <v>0.0</v>
      </c>
      <c r="CB35" s="79" t="s">
        <v>490</v>
      </c>
      <c r="CC35" s="79"/>
      <c r="CD35" s="79">
        <v>0.0</v>
      </c>
      <c r="CE35" s="79"/>
      <c r="CF35" s="79">
        <v>0.0</v>
      </c>
      <c r="CG35" s="79"/>
      <c r="CH35" s="79">
        <v>0.0</v>
      </c>
      <c r="CI35" s="79"/>
      <c r="CJ35" s="79">
        <v>0.0</v>
      </c>
      <c r="CK35" s="79"/>
      <c r="CL35" s="79">
        <v>0.0</v>
      </c>
      <c r="CM35" s="79"/>
      <c r="CN35" s="79">
        <v>0.0</v>
      </c>
      <c r="CO35" s="79" t="s">
        <v>493</v>
      </c>
      <c r="CP35" s="79">
        <v>17650.0</v>
      </c>
      <c r="CQ35" s="79" t="s">
        <v>494</v>
      </c>
      <c r="CR35" s="79">
        <v>32800.0</v>
      </c>
      <c r="CS35" s="79" t="s">
        <v>495</v>
      </c>
      <c r="CT35" s="79">
        <v>2300.0</v>
      </c>
      <c r="CU35" s="79" t="s">
        <v>496</v>
      </c>
      <c r="CV35" s="79">
        <v>0.0</v>
      </c>
      <c r="CW35" s="79"/>
      <c r="CX35" s="79">
        <v>0.0</v>
      </c>
      <c r="CY35" s="79"/>
      <c r="CZ35" s="79">
        <v>0.0</v>
      </c>
      <c r="DA35" s="79"/>
      <c r="DB35" s="79">
        <v>0.0</v>
      </c>
      <c r="DC35" s="79"/>
      <c r="DD35" s="79">
        <v>0.0</v>
      </c>
      <c r="DE35" s="79">
        <v>90200.0</v>
      </c>
      <c r="DF35" s="79">
        <v>106000.0</v>
      </c>
      <c r="DG35" s="79">
        <v>0.0</v>
      </c>
      <c r="DH35" s="79">
        <v>0.0</v>
      </c>
      <c r="DI35" s="79">
        <v>52245.0</v>
      </c>
      <c r="DJ35" s="79" t="s">
        <v>741</v>
      </c>
      <c r="DK35" s="79" t="s">
        <v>486</v>
      </c>
      <c r="DL35" s="79" t="s">
        <v>487</v>
      </c>
      <c r="DM35" s="79" t="s">
        <v>742</v>
      </c>
      <c r="DN35" s="79"/>
      <c r="DO35" s="79" t="s">
        <v>743</v>
      </c>
      <c r="DP35" s="79"/>
      <c r="DQ35" s="79"/>
      <c r="DR35" s="79"/>
      <c r="DS35" s="79"/>
      <c r="DT35" s="82"/>
      <c r="DU35" s="79"/>
      <c r="DV35" s="82"/>
      <c r="DW35" s="79"/>
      <c r="DX35" s="79"/>
      <c r="DY35" s="79"/>
      <c r="DZ35" s="79"/>
      <c r="EA35" s="79"/>
      <c r="EB35" s="79"/>
      <c r="EC35" s="79"/>
      <c r="ED35" s="79"/>
      <c r="EE35" s="79"/>
      <c r="EF35" s="82"/>
      <c r="EG35" s="79"/>
      <c r="EH35" s="82"/>
      <c r="EI35" s="79"/>
      <c r="EJ35" s="82"/>
      <c r="EK35" s="79"/>
      <c r="EL35" s="82"/>
      <c r="EM35" s="79"/>
      <c r="EN35" s="79" t="s">
        <v>79</v>
      </c>
      <c r="EO35" s="79"/>
      <c r="EP35" s="80"/>
      <c r="EQ35" s="83"/>
      <c r="ER35" s="83" t="str">
        <f t="shared" si="1"/>
        <v/>
      </c>
      <c r="ES35" s="79"/>
      <c r="ET35" s="79" t="str">
        <f t="shared" si="2"/>
        <v/>
      </c>
      <c r="EU35" s="79"/>
      <c r="EV35" s="79"/>
      <c r="EW35" s="82"/>
      <c r="EX35" s="82"/>
      <c r="EY35" s="82"/>
      <c r="EZ35" s="82"/>
      <c r="FA35" s="82"/>
      <c r="FB35" s="82"/>
    </row>
    <row r="36" ht="15.75" customHeight="1">
      <c r="A36" s="79" t="s">
        <v>312</v>
      </c>
      <c r="B36" s="79" t="s">
        <v>591</v>
      </c>
      <c r="C36" s="79" t="s">
        <v>476</v>
      </c>
      <c r="D36" s="80">
        <v>46094.0</v>
      </c>
      <c r="E36" s="79" t="s">
        <v>744</v>
      </c>
      <c r="F36" s="79"/>
      <c r="G36" s="79" t="s">
        <v>745</v>
      </c>
      <c r="H36" s="79" t="s">
        <v>746</v>
      </c>
      <c r="I36" s="79"/>
      <c r="J36" s="79" t="s">
        <v>747</v>
      </c>
      <c r="K36" s="79">
        <v>0.0</v>
      </c>
      <c r="L36" s="79"/>
      <c r="M36" s="79" t="s">
        <v>748</v>
      </c>
      <c r="N36" s="79"/>
      <c r="O36" s="79"/>
      <c r="P36" s="79"/>
      <c r="Q36" s="79"/>
      <c r="R36" s="80">
        <v>46810.0</v>
      </c>
      <c r="S36" s="79"/>
      <c r="T36" s="79">
        <v>24024.0</v>
      </c>
      <c r="U36" s="79"/>
      <c r="V36" s="79"/>
      <c r="W36" s="80">
        <v>46080.0</v>
      </c>
      <c r="X36" s="79"/>
      <c r="Y36" s="79"/>
      <c r="Z36" s="79" t="s">
        <v>486</v>
      </c>
      <c r="AA36" s="79" t="s">
        <v>487</v>
      </c>
      <c r="AB36" s="79" t="s">
        <v>486</v>
      </c>
      <c r="AC36" s="79" t="s">
        <v>488</v>
      </c>
      <c r="AD36" s="79">
        <v>183100.0</v>
      </c>
      <c r="AE36" s="79">
        <v>12000.0</v>
      </c>
      <c r="AF36" s="79">
        <v>52750.0</v>
      </c>
      <c r="AG36" s="79">
        <v>19510.0</v>
      </c>
      <c r="AH36" s="83">
        <v>267360.0</v>
      </c>
      <c r="AI36" s="79"/>
      <c r="AJ36" s="79">
        <v>0.0</v>
      </c>
      <c r="AK36" s="79">
        <v>43150.0</v>
      </c>
      <c r="AL36" s="83">
        <v>1600.0</v>
      </c>
      <c r="AM36" s="79">
        <v>52750.0</v>
      </c>
      <c r="AN36" s="79">
        <v>4475.0</v>
      </c>
      <c r="AO36" s="79">
        <v>101975.0</v>
      </c>
      <c r="AP36" s="79">
        <v>0.0</v>
      </c>
      <c r="AQ36" s="79">
        <v>150350.0</v>
      </c>
      <c r="AR36" s="79" t="s">
        <v>489</v>
      </c>
      <c r="AS36" s="79">
        <v>12000.0</v>
      </c>
      <c r="AT36" s="79" t="s">
        <v>507</v>
      </c>
      <c r="AU36" s="79" t="s">
        <v>491</v>
      </c>
      <c r="AV36" s="79">
        <v>0.0</v>
      </c>
      <c r="AW36" s="79" t="s">
        <v>508</v>
      </c>
      <c r="AX36" s="79">
        <v>0.0</v>
      </c>
      <c r="AY36" s="82"/>
      <c r="AZ36" s="79">
        <v>0.0</v>
      </c>
      <c r="BA36" s="82"/>
      <c r="BB36" s="79">
        <v>0.0</v>
      </c>
      <c r="BC36" s="82"/>
      <c r="BD36" s="79">
        <v>0.0</v>
      </c>
      <c r="BE36" s="82"/>
      <c r="BF36" s="79">
        <v>0.0</v>
      </c>
      <c r="BG36" s="79"/>
      <c r="BH36" s="79">
        <v>0.0</v>
      </c>
      <c r="BI36" s="79" t="s">
        <v>493</v>
      </c>
      <c r="BJ36" s="79">
        <v>17650.0</v>
      </c>
      <c r="BK36" s="79" t="s">
        <v>494</v>
      </c>
      <c r="BL36" s="79">
        <v>32800.0</v>
      </c>
      <c r="BM36" s="79" t="s">
        <v>495</v>
      </c>
      <c r="BN36" s="79">
        <v>2300.0</v>
      </c>
      <c r="BO36" s="79" t="s">
        <v>496</v>
      </c>
      <c r="BP36" s="79">
        <v>0.0</v>
      </c>
      <c r="BQ36" s="79"/>
      <c r="BR36" s="79">
        <v>0.0</v>
      </c>
      <c r="BS36" s="79"/>
      <c r="BT36" s="79">
        <v>0.0</v>
      </c>
      <c r="BU36" s="79"/>
      <c r="BV36" s="79">
        <v>0.0</v>
      </c>
      <c r="BW36" s="79"/>
      <c r="BX36" s="79">
        <v>0.0</v>
      </c>
      <c r="BY36" s="79">
        <v>1600.0</v>
      </c>
      <c r="BZ36" s="79" t="s">
        <v>491</v>
      </c>
      <c r="CA36" s="79">
        <v>0.0</v>
      </c>
      <c r="CB36" s="79" t="s">
        <v>507</v>
      </c>
      <c r="CC36" s="79" t="s">
        <v>508</v>
      </c>
      <c r="CD36" s="79">
        <v>0.0</v>
      </c>
      <c r="CE36" s="79"/>
      <c r="CF36" s="79">
        <v>0.0</v>
      </c>
      <c r="CG36" s="79"/>
      <c r="CH36" s="79">
        <v>0.0</v>
      </c>
      <c r="CI36" s="79"/>
      <c r="CJ36" s="79">
        <v>0.0</v>
      </c>
      <c r="CK36" s="79"/>
      <c r="CL36" s="79">
        <v>0.0</v>
      </c>
      <c r="CM36" s="79"/>
      <c r="CN36" s="79">
        <v>0.0</v>
      </c>
      <c r="CO36" s="79" t="s">
        <v>493</v>
      </c>
      <c r="CP36" s="79">
        <v>17650.0</v>
      </c>
      <c r="CQ36" s="79" t="s">
        <v>494</v>
      </c>
      <c r="CR36" s="79">
        <v>32800.0</v>
      </c>
      <c r="CS36" s="79" t="s">
        <v>495</v>
      </c>
      <c r="CT36" s="79">
        <v>2300.0</v>
      </c>
      <c r="CU36" s="79" t="s">
        <v>496</v>
      </c>
      <c r="CV36" s="79">
        <v>0.0</v>
      </c>
      <c r="CW36" s="79"/>
      <c r="CX36" s="79">
        <v>0.0</v>
      </c>
      <c r="CY36" s="79"/>
      <c r="CZ36" s="79">
        <v>0.0</v>
      </c>
      <c r="DA36" s="79"/>
      <c r="DB36" s="79">
        <v>0.0</v>
      </c>
      <c r="DC36" s="79"/>
      <c r="DD36" s="79">
        <v>0.0</v>
      </c>
      <c r="DE36" s="79">
        <v>97600.0</v>
      </c>
      <c r="DF36" s="79">
        <v>85500.0</v>
      </c>
      <c r="DG36" s="79">
        <v>0.0</v>
      </c>
      <c r="DH36" s="79">
        <v>0.0</v>
      </c>
      <c r="DI36" s="79">
        <v>43150.0</v>
      </c>
      <c r="DJ36" s="79" t="s">
        <v>313</v>
      </c>
      <c r="DK36" s="79" t="s">
        <v>486</v>
      </c>
      <c r="DL36" s="79" t="s">
        <v>487</v>
      </c>
      <c r="DM36" s="79" t="s">
        <v>749</v>
      </c>
      <c r="DN36" s="79" t="s">
        <v>750</v>
      </c>
      <c r="DO36" s="79" t="s">
        <v>751</v>
      </c>
      <c r="DP36" s="82"/>
      <c r="DQ36" s="79"/>
      <c r="DR36" s="82"/>
      <c r="DS36" s="79"/>
      <c r="DT36" s="82"/>
      <c r="DU36" s="79"/>
      <c r="DV36" s="82"/>
      <c r="DW36" s="79"/>
      <c r="DX36" s="79"/>
      <c r="DY36" s="79"/>
      <c r="DZ36" s="79"/>
      <c r="EA36" s="79"/>
      <c r="EB36" s="79"/>
      <c r="EC36" s="79"/>
      <c r="ED36" s="79"/>
      <c r="EE36" s="79"/>
      <c r="EF36" s="82"/>
      <c r="EG36" s="79"/>
      <c r="EH36" s="82"/>
      <c r="EI36" s="79"/>
      <c r="EJ36" s="82"/>
      <c r="EK36" s="79"/>
      <c r="EL36" s="82"/>
      <c r="EM36" s="79"/>
      <c r="EN36" s="79" t="s">
        <v>79</v>
      </c>
      <c r="EO36" s="79"/>
      <c r="EP36" s="80"/>
      <c r="EQ36" s="83"/>
      <c r="ER36" s="83" t="str">
        <f t="shared" si="1"/>
        <v/>
      </c>
      <c r="ES36" s="82"/>
      <c r="ET36" s="79" t="str">
        <f t="shared" si="2"/>
        <v/>
      </c>
      <c r="EU36" s="79"/>
      <c r="EV36" s="79"/>
      <c r="EW36" s="82"/>
      <c r="EX36" s="82"/>
      <c r="EY36" s="82"/>
      <c r="EZ36" s="82"/>
      <c r="FA36" s="82"/>
      <c r="FB36" s="82"/>
    </row>
    <row r="37" ht="15.75" customHeight="1">
      <c r="A37" s="79" t="s">
        <v>753</v>
      </c>
      <c r="B37" s="79" t="s">
        <v>475</v>
      </c>
      <c r="C37" s="79" t="s">
        <v>476</v>
      </c>
      <c r="D37" s="80">
        <v>46094.0</v>
      </c>
      <c r="E37" s="79" t="s">
        <v>736</v>
      </c>
      <c r="F37" s="79" t="s">
        <v>568</v>
      </c>
      <c r="G37" s="79" t="s">
        <v>600</v>
      </c>
      <c r="H37" s="79" t="s">
        <v>479</v>
      </c>
      <c r="I37" s="79" t="s">
        <v>737</v>
      </c>
      <c r="J37" s="79" t="s">
        <v>738</v>
      </c>
      <c r="K37" s="79">
        <v>1990.0</v>
      </c>
      <c r="L37" s="79"/>
      <c r="M37" s="79" t="s">
        <v>571</v>
      </c>
      <c r="N37" s="79" t="s">
        <v>739</v>
      </c>
      <c r="O37" s="79" t="s">
        <v>740</v>
      </c>
      <c r="P37" s="79"/>
      <c r="Q37" s="79"/>
      <c r="R37" s="80">
        <v>46841.0</v>
      </c>
      <c r="S37" s="79"/>
      <c r="T37" s="79">
        <v>10420.0</v>
      </c>
      <c r="U37" s="79"/>
      <c r="V37" s="79"/>
      <c r="W37" s="80">
        <v>46081.0</v>
      </c>
      <c r="X37" s="79"/>
      <c r="Y37" s="80">
        <v>46081.0</v>
      </c>
      <c r="Z37" s="79" t="s">
        <v>486</v>
      </c>
      <c r="AA37" s="79" t="s">
        <v>487</v>
      </c>
      <c r="AB37" s="79" t="s">
        <v>486</v>
      </c>
      <c r="AC37" s="79" t="s">
        <v>488</v>
      </c>
      <c r="AD37" s="79">
        <v>10000.0</v>
      </c>
      <c r="AE37" s="79">
        <v>0.0</v>
      </c>
      <c r="AF37" s="79">
        <v>0.0</v>
      </c>
      <c r="AG37" s="79">
        <v>1000.0</v>
      </c>
      <c r="AH37" s="81">
        <v>11000.0</v>
      </c>
      <c r="AI37" s="79"/>
      <c r="AJ37" s="79">
        <v>0.0</v>
      </c>
      <c r="AK37" s="79">
        <v>0.0</v>
      </c>
      <c r="AL37" s="79">
        <v>0.0</v>
      </c>
      <c r="AM37" s="79">
        <v>0.0</v>
      </c>
      <c r="AN37" s="79">
        <v>0.0</v>
      </c>
      <c r="AO37" s="79">
        <v>0.0</v>
      </c>
      <c r="AP37" s="79">
        <v>0.0</v>
      </c>
      <c r="AQ37" s="79">
        <v>10000.0</v>
      </c>
      <c r="AR37" s="79" t="s">
        <v>489</v>
      </c>
      <c r="AS37" s="79">
        <v>0.0</v>
      </c>
      <c r="AT37" s="79" t="s">
        <v>490</v>
      </c>
      <c r="AU37" s="79" t="s">
        <v>491</v>
      </c>
      <c r="AV37" s="79">
        <v>0.0</v>
      </c>
      <c r="AW37" s="79"/>
      <c r="AX37" s="79">
        <v>0.0</v>
      </c>
      <c r="AY37" s="79" t="s">
        <v>492</v>
      </c>
      <c r="AZ37" s="79">
        <v>0.0</v>
      </c>
      <c r="BA37" s="79"/>
      <c r="BB37" s="79">
        <v>0.0</v>
      </c>
      <c r="BC37" s="79"/>
      <c r="BD37" s="79">
        <v>0.0</v>
      </c>
      <c r="BE37" s="79"/>
      <c r="BF37" s="79">
        <v>0.0</v>
      </c>
      <c r="BG37" s="79"/>
      <c r="BH37" s="79">
        <v>0.0</v>
      </c>
      <c r="BI37" s="79" t="s">
        <v>493</v>
      </c>
      <c r="BJ37" s="79">
        <v>0.0</v>
      </c>
      <c r="BK37" s="79" t="s">
        <v>494</v>
      </c>
      <c r="BL37" s="79">
        <v>0.0</v>
      </c>
      <c r="BM37" s="79" t="s">
        <v>495</v>
      </c>
      <c r="BN37" s="79">
        <v>0.0</v>
      </c>
      <c r="BO37" s="79" t="s">
        <v>496</v>
      </c>
      <c r="BP37" s="79">
        <v>0.0</v>
      </c>
      <c r="BQ37" s="79"/>
      <c r="BR37" s="79">
        <v>0.0</v>
      </c>
      <c r="BS37" s="79"/>
      <c r="BT37" s="79">
        <v>0.0</v>
      </c>
      <c r="BU37" s="79"/>
      <c r="BV37" s="79">
        <v>0.0</v>
      </c>
      <c r="BW37" s="79"/>
      <c r="BX37" s="79">
        <v>0.0</v>
      </c>
      <c r="BY37" s="79">
        <v>0.0</v>
      </c>
      <c r="BZ37" s="79" t="s">
        <v>491</v>
      </c>
      <c r="CA37" s="79">
        <v>0.0</v>
      </c>
      <c r="CB37" s="79" t="s">
        <v>490</v>
      </c>
      <c r="CC37" s="79"/>
      <c r="CD37" s="79">
        <v>0.0</v>
      </c>
      <c r="CE37" s="79" t="s">
        <v>492</v>
      </c>
      <c r="CF37" s="79">
        <v>0.0</v>
      </c>
      <c r="CG37" s="79"/>
      <c r="CH37" s="79">
        <v>0.0</v>
      </c>
      <c r="CI37" s="79"/>
      <c r="CJ37" s="79">
        <v>0.0</v>
      </c>
      <c r="CK37" s="79"/>
      <c r="CL37" s="79">
        <v>0.0</v>
      </c>
      <c r="CM37" s="79"/>
      <c r="CN37" s="79">
        <v>0.0</v>
      </c>
      <c r="CO37" s="79" t="s">
        <v>493</v>
      </c>
      <c r="CP37" s="79">
        <v>0.0</v>
      </c>
      <c r="CQ37" s="79" t="s">
        <v>494</v>
      </c>
      <c r="CR37" s="79">
        <v>0.0</v>
      </c>
      <c r="CS37" s="79" t="s">
        <v>495</v>
      </c>
      <c r="CT37" s="79">
        <v>0.0</v>
      </c>
      <c r="CU37" s="79" t="s">
        <v>496</v>
      </c>
      <c r="CV37" s="79">
        <v>0.0</v>
      </c>
      <c r="CW37" s="79"/>
      <c r="CX37" s="79">
        <v>0.0</v>
      </c>
      <c r="CY37" s="79"/>
      <c r="CZ37" s="79">
        <v>0.0</v>
      </c>
      <c r="DA37" s="79"/>
      <c r="DB37" s="79">
        <v>0.0</v>
      </c>
      <c r="DC37" s="79"/>
      <c r="DD37" s="79">
        <v>0.0</v>
      </c>
      <c r="DE37" s="79">
        <v>10000.0</v>
      </c>
      <c r="DF37" s="79">
        <v>0.0</v>
      </c>
      <c r="DG37" s="79">
        <v>0.0</v>
      </c>
      <c r="DH37" s="79">
        <v>0.0</v>
      </c>
      <c r="DI37" s="79">
        <v>0.0</v>
      </c>
      <c r="DJ37" s="79" t="s">
        <v>741</v>
      </c>
      <c r="DK37" s="79" t="s">
        <v>486</v>
      </c>
      <c r="DL37" s="79" t="s">
        <v>487</v>
      </c>
      <c r="DM37" s="79" t="s">
        <v>742</v>
      </c>
      <c r="DN37" s="79"/>
      <c r="DO37" s="79" t="s">
        <v>743</v>
      </c>
      <c r="DP37" s="79"/>
      <c r="DQ37" s="79"/>
      <c r="DR37" s="79"/>
      <c r="DS37" s="79"/>
      <c r="DT37" s="82"/>
      <c r="DU37" s="79"/>
      <c r="DV37" s="82"/>
      <c r="DW37" s="79"/>
      <c r="DX37" s="79"/>
      <c r="DY37" s="79"/>
      <c r="DZ37" s="79"/>
      <c r="EA37" s="79"/>
      <c r="EB37" s="79"/>
      <c r="EC37" s="79"/>
      <c r="ED37" s="79"/>
      <c r="EE37" s="79"/>
      <c r="EF37" s="82"/>
      <c r="EG37" s="79"/>
      <c r="EH37" s="82"/>
      <c r="EI37" s="79"/>
      <c r="EJ37" s="82"/>
      <c r="EK37" s="79"/>
      <c r="EL37" s="82"/>
      <c r="EM37" s="79"/>
      <c r="EN37" s="79" t="s">
        <v>79</v>
      </c>
      <c r="EO37" s="79"/>
      <c r="EP37" s="80"/>
      <c r="EQ37" s="83"/>
      <c r="ER37" s="83" t="str">
        <f t="shared" si="1"/>
        <v/>
      </c>
      <c r="ES37" s="82"/>
      <c r="ET37" s="79" t="str">
        <f t="shared" si="2"/>
        <v/>
      </c>
      <c r="EU37" s="79"/>
      <c r="EV37" s="79"/>
      <c r="EW37" s="82"/>
      <c r="EX37" s="82"/>
      <c r="EY37" s="82"/>
      <c r="EZ37" s="82"/>
      <c r="FA37" s="82"/>
      <c r="FB37" s="82"/>
    </row>
    <row r="38" ht="15.75" customHeight="1">
      <c r="A38" s="79" t="s">
        <v>754</v>
      </c>
      <c r="B38" s="79" t="s">
        <v>475</v>
      </c>
      <c r="C38" s="79" t="s">
        <v>476</v>
      </c>
      <c r="D38" s="80">
        <v>46094.0</v>
      </c>
      <c r="E38" s="79" t="s">
        <v>736</v>
      </c>
      <c r="F38" s="79" t="s">
        <v>568</v>
      </c>
      <c r="G38" s="79" t="s">
        <v>600</v>
      </c>
      <c r="H38" s="79" t="s">
        <v>479</v>
      </c>
      <c r="I38" s="79" t="s">
        <v>737</v>
      </c>
      <c r="J38" s="79" t="s">
        <v>738</v>
      </c>
      <c r="K38" s="79">
        <v>1990.0</v>
      </c>
      <c r="L38" s="79"/>
      <c r="M38" s="79" t="s">
        <v>571</v>
      </c>
      <c r="N38" s="79" t="s">
        <v>739</v>
      </c>
      <c r="O38" s="79" t="s">
        <v>740</v>
      </c>
      <c r="P38" s="79"/>
      <c r="Q38" s="79"/>
      <c r="R38" s="80">
        <v>46841.0</v>
      </c>
      <c r="S38" s="79"/>
      <c r="T38" s="79">
        <v>10420.0</v>
      </c>
      <c r="U38" s="79"/>
      <c r="V38" s="79"/>
      <c r="W38" s="80">
        <v>46081.0</v>
      </c>
      <c r="X38" s="79"/>
      <c r="Y38" s="80">
        <v>46081.0</v>
      </c>
      <c r="Z38" s="79" t="s">
        <v>486</v>
      </c>
      <c r="AA38" s="79" t="s">
        <v>487</v>
      </c>
      <c r="AB38" s="79" t="s">
        <v>486</v>
      </c>
      <c r="AC38" s="79" t="s">
        <v>488</v>
      </c>
      <c r="AD38" s="79">
        <v>9000.0</v>
      </c>
      <c r="AE38" s="79">
        <v>0.0</v>
      </c>
      <c r="AF38" s="79">
        <v>0.0</v>
      </c>
      <c r="AG38" s="79">
        <v>900.0</v>
      </c>
      <c r="AH38" s="81">
        <v>9900.0</v>
      </c>
      <c r="AI38" s="79"/>
      <c r="AJ38" s="79">
        <v>0.0</v>
      </c>
      <c r="AK38" s="79">
        <v>0.0</v>
      </c>
      <c r="AL38" s="79">
        <v>0.0</v>
      </c>
      <c r="AM38" s="79">
        <v>0.0</v>
      </c>
      <c r="AN38" s="79">
        <v>0.0</v>
      </c>
      <c r="AO38" s="79">
        <v>0.0</v>
      </c>
      <c r="AP38" s="79">
        <v>0.0</v>
      </c>
      <c r="AQ38" s="79">
        <v>9000.0</v>
      </c>
      <c r="AR38" s="79" t="s">
        <v>489</v>
      </c>
      <c r="AS38" s="79">
        <v>0.0</v>
      </c>
      <c r="AT38" s="79" t="s">
        <v>490</v>
      </c>
      <c r="AU38" s="79" t="s">
        <v>491</v>
      </c>
      <c r="AV38" s="79">
        <v>0.0</v>
      </c>
      <c r="AW38" s="79"/>
      <c r="AX38" s="79">
        <v>0.0</v>
      </c>
      <c r="AY38" s="79" t="s">
        <v>492</v>
      </c>
      <c r="AZ38" s="79">
        <v>0.0</v>
      </c>
      <c r="BA38" s="79"/>
      <c r="BB38" s="79">
        <v>0.0</v>
      </c>
      <c r="BC38" s="79"/>
      <c r="BD38" s="79">
        <v>0.0</v>
      </c>
      <c r="BE38" s="79"/>
      <c r="BF38" s="79">
        <v>0.0</v>
      </c>
      <c r="BG38" s="79"/>
      <c r="BH38" s="79">
        <v>0.0</v>
      </c>
      <c r="BI38" s="79" t="s">
        <v>493</v>
      </c>
      <c r="BJ38" s="79">
        <v>0.0</v>
      </c>
      <c r="BK38" s="79" t="s">
        <v>494</v>
      </c>
      <c r="BL38" s="79">
        <v>0.0</v>
      </c>
      <c r="BM38" s="79" t="s">
        <v>495</v>
      </c>
      <c r="BN38" s="79">
        <v>0.0</v>
      </c>
      <c r="BO38" s="79" t="s">
        <v>496</v>
      </c>
      <c r="BP38" s="79">
        <v>0.0</v>
      </c>
      <c r="BQ38" s="79"/>
      <c r="BR38" s="79">
        <v>0.0</v>
      </c>
      <c r="BS38" s="79"/>
      <c r="BT38" s="79">
        <v>0.0</v>
      </c>
      <c r="BU38" s="79"/>
      <c r="BV38" s="79">
        <v>0.0</v>
      </c>
      <c r="BW38" s="79"/>
      <c r="BX38" s="79">
        <v>0.0</v>
      </c>
      <c r="BY38" s="79">
        <v>0.0</v>
      </c>
      <c r="BZ38" s="79" t="s">
        <v>491</v>
      </c>
      <c r="CA38" s="79">
        <v>0.0</v>
      </c>
      <c r="CB38" s="79" t="s">
        <v>490</v>
      </c>
      <c r="CC38" s="79"/>
      <c r="CD38" s="79">
        <v>0.0</v>
      </c>
      <c r="CE38" s="79" t="s">
        <v>492</v>
      </c>
      <c r="CF38" s="79">
        <v>0.0</v>
      </c>
      <c r="CG38" s="79"/>
      <c r="CH38" s="79">
        <v>0.0</v>
      </c>
      <c r="CI38" s="79"/>
      <c r="CJ38" s="79">
        <v>0.0</v>
      </c>
      <c r="CK38" s="79"/>
      <c r="CL38" s="79">
        <v>0.0</v>
      </c>
      <c r="CM38" s="79"/>
      <c r="CN38" s="79">
        <v>0.0</v>
      </c>
      <c r="CO38" s="79" t="s">
        <v>493</v>
      </c>
      <c r="CP38" s="79">
        <v>0.0</v>
      </c>
      <c r="CQ38" s="79" t="s">
        <v>494</v>
      </c>
      <c r="CR38" s="79">
        <v>0.0</v>
      </c>
      <c r="CS38" s="79" t="s">
        <v>495</v>
      </c>
      <c r="CT38" s="79">
        <v>0.0</v>
      </c>
      <c r="CU38" s="79" t="s">
        <v>496</v>
      </c>
      <c r="CV38" s="79">
        <v>0.0</v>
      </c>
      <c r="CW38" s="79"/>
      <c r="CX38" s="79">
        <v>0.0</v>
      </c>
      <c r="CY38" s="79"/>
      <c r="CZ38" s="79">
        <v>0.0</v>
      </c>
      <c r="DA38" s="79"/>
      <c r="DB38" s="79">
        <v>0.0</v>
      </c>
      <c r="DC38" s="79"/>
      <c r="DD38" s="79">
        <v>0.0</v>
      </c>
      <c r="DE38" s="79">
        <v>9000.0</v>
      </c>
      <c r="DF38" s="79">
        <v>0.0</v>
      </c>
      <c r="DG38" s="79">
        <v>0.0</v>
      </c>
      <c r="DH38" s="79">
        <v>0.0</v>
      </c>
      <c r="DI38" s="79">
        <v>0.0</v>
      </c>
      <c r="DJ38" s="79" t="s">
        <v>741</v>
      </c>
      <c r="DK38" s="79" t="s">
        <v>486</v>
      </c>
      <c r="DL38" s="79" t="s">
        <v>487</v>
      </c>
      <c r="DM38" s="79" t="s">
        <v>742</v>
      </c>
      <c r="DN38" s="79"/>
      <c r="DO38" s="79" t="s">
        <v>743</v>
      </c>
      <c r="DP38" s="79"/>
      <c r="DQ38" s="79"/>
      <c r="DR38" s="79"/>
      <c r="DS38" s="79"/>
      <c r="DT38" s="82"/>
      <c r="DU38" s="79"/>
      <c r="DV38" s="82"/>
      <c r="DW38" s="79"/>
      <c r="DX38" s="79"/>
      <c r="DY38" s="79"/>
      <c r="DZ38" s="79"/>
      <c r="EA38" s="79"/>
      <c r="EB38" s="79"/>
      <c r="EC38" s="79"/>
      <c r="ED38" s="79"/>
      <c r="EE38" s="79"/>
      <c r="EF38" s="82"/>
      <c r="EG38" s="79"/>
      <c r="EH38" s="82"/>
      <c r="EI38" s="79"/>
      <c r="EJ38" s="82"/>
      <c r="EK38" s="79"/>
      <c r="EL38" s="82"/>
      <c r="EM38" s="79"/>
      <c r="EN38" s="79" t="s">
        <v>79</v>
      </c>
      <c r="EO38" s="79"/>
      <c r="EP38" s="80"/>
      <c r="EQ38" s="83"/>
      <c r="ER38" s="83" t="str">
        <f t="shared" si="1"/>
        <v/>
      </c>
      <c r="ES38" s="82"/>
      <c r="ET38" s="79" t="str">
        <f t="shared" si="2"/>
        <v/>
      </c>
      <c r="EU38" s="79"/>
      <c r="EV38" s="79"/>
      <c r="EW38" s="82"/>
      <c r="EX38" s="82"/>
      <c r="EY38" s="82"/>
      <c r="EZ38" s="82"/>
      <c r="FA38" s="82"/>
      <c r="FB38" s="82"/>
    </row>
    <row r="39" ht="15.75" customHeight="1">
      <c r="A39" s="79" t="s">
        <v>755</v>
      </c>
      <c r="B39" s="79" t="s">
        <v>475</v>
      </c>
      <c r="C39" s="79" t="s">
        <v>476</v>
      </c>
      <c r="D39" s="80">
        <v>46094.0</v>
      </c>
      <c r="E39" s="79" t="s">
        <v>756</v>
      </c>
      <c r="F39" s="79"/>
      <c r="G39" s="79" t="s">
        <v>517</v>
      </c>
      <c r="H39" s="79" t="s">
        <v>757</v>
      </c>
      <c r="I39" s="79"/>
      <c r="J39" s="79" t="s">
        <v>758</v>
      </c>
      <c r="K39" s="79">
        <v>1984.0</v>
      </c>
      <c r="L39" s="79"/>
      <c r="M39" s="79" t="s">
        <v>759</v>
      </c>
      <c r="N39" s="79" t="s">
        <v>760</v>
      </c>
      <c r="O39" s="79" t="s">
        <v>484</v>
      </c>
      <c r="P39" s="79"/>
      <c r="Q39" s="79" t="s">
        <v>761</v>
      </c>
      <c r="R39" s="84">
        <v>46368.0</v>
      </c>
      <c r="S39" s="79"/>
      <c r="T39" s="79">
        <v>96810.0</v>
      </c>
      <c r="U39" s="79"/>
      <c r="V39" s="79"/>
      <c r="W39" s="80">
        <v>46094.0</v>
      </c>
      <c r="X39" s="79"/>
      <c r="Y39" s="80">
        <v>46094.0</v>
      </c>
      <c r="Z39" s="79" t="s">
        <v>524</v>
      </c>
      <c r="AA39" s="79" t="s">
        <v>487</v>
      </c>
      <c r="AB39" s="79" t="s">
        <v>524</v>
      </c>
      <c r="AC39" s="79" t="s">
        <v>488</v>
      </c>
      <c r="AD39" s="79">
        <v>3500.0</v>
      </c>
      <c r="AE39" s="79">
        <v>0.0</v>
      </c>
      <c r="AF39" s="79">
        <v>0.0</v>
      </c>
      <c r="AG39" s="79">
        <v>350.0</v>
      </c>
      <c r="AH39" s="81">
        <v>3850.0</v>
      </c>
      <c r="AI39" s="79"/>
      <c r="AJ39" s="79">
        <v>0.0</v>
      </c>
      <c r="AK39" s="79">
        <v>0.0</v>
      </c>
      <c r="AL39" s="79">
        <v>0.0</v>
      </c>
      <c r="AM39" s="79">
        <v>0.0</v>
      </c>
      <c r="AN39" s="79">
        <v>0.0</v>
      </c>
      <c r="AO39" s="79">
        <v>0.0</v>
      </c>
      <c r="AP39" s="79">
        <v>0.0</v>
      </c>
      <c r="AQ39" s="79">
        <v>3500.0</v>
      </c>
      <c r="AR39" s="79" t="s">
        <v>525</v>
      </c>
      <c r="AS39" s="79">
        <v>0.0</v>
      </c>
      <c r="AT39" s="79" t="s">
        <v>490</v>
      </c>
      <c r="AU39" s="79" t="s">
        <v>491</v>
      </c>
      <c r="AV39" s="79">
        <v>0.0</v>
      </c>
      <c r="AW39" s="79"/>
      <c r="AX39" s="79">
        <v>0.0</v>
      </c>
      <c r="AY39" s="79" t="s">
        <v>492</v>
      </c>
      <c r="AZ39" s="79">
        <v>0.0</v>
      </c>
      <c r="BA39" s="79"/>
      <c r="BB39" s="79">
        <v>0.0</v>
      </c>
      <c r="BC39" s="79"/>
      <c r="BD39" s="79">
        <v>0.0</v>
      </c>
      <c r="BE39" s="79"/>
      <c r="BF39" s="79">
        <v>0.0</v>
      </c>
      <c r="BG39" s="79"/>
      <c r="BH39" s="79">
        <v>0.0</v>
      </c>
      <c r="BI39" s="79" t="s">
        <v>493</v>
      </c>
      <c r="BJ39" s="79">
        <v>0.0</v>
      </c>
      <c r="BK39" s="79" t="s">
        <v>494</v>
      </c>
      <c r="BL39" s="79">
        <v>0.0</v>
      </c>
      <c r="BM39" s="79" t="s">
        <v>495</v>
      </c>
      <c r="BN39" s="79">
        <v>0.0</v>
      </c>
      <c r="BO39" s="79" t="s">
        <v>496</v>
      </c>
      <c r="BP39" s="79">
        <v>0.0</v>
      </c>
      <c r="BQ39" s="79"/>
      <c r="BR39" s="79">
        <v>0.0</v>
      </c>
      <c r="BS39" s="79"/>
      <c r="BT39" s="79">
        <v>0.0</v>
      </c>
      <c r="BU39" s="79"/>
      <c r="BV39" s="79">
        <v>0.0</v>
      </c>
      <c r="BW39" s="79"/>
      <c r="BX39" s="79">
        <v>0.0</v>
      </c>
      <c r="BY39" s="79">
        <v>0.0</v>
      </c>
      <c r="BZ39" s="79" t="s">
        <v>491</v>
      </c>
      <c r="CA39" s="79">
        <v>0.0</v>
      </c>
      <c r="CB39" s="79" t="s">
        <v>490</v>
      </c>
      <c r="CC39" s="79"/>
      <c r="CD39" s="79">
        <v>0.0</v>
      </c>
      <c r="CE39" s="79" t="s">
        <v>492</v>
      </c>
      <c r="CF39" s="79">
        <v>0.0</v>
      </c>
      <c r="CG39" s="79"/>
      <c r="CH39" s="79">
        <v>0.0</v>
      </c>
      <c r="CI39" s="79"/>
      <c r="CJ39" s="79">
        <v>0.0</v>
      </c>
      <c r="CK39" s="79"/>
      <c r="CL39" s="79">
        <v>0.0</v>
      </c>
      <c r="CM39" s="79"/>
      <c r="CN39" s="79">
        <v>0.0</v>
      </c>
      <c r="CO39" s="79" t="s">
        <v>493</v>
      </c>
      <c r="CP39" s="79">
        <v>0.0</v>
      </c>
      <c r="CQ39" s="79" t="s">
        <v>494</v>
      </c>
      <c r="CR39" s="79">
        <v>0.0</v>
      </c>
      <c r="CS39" s="79" t="s">
        <v>495</v>
      </c>
      <c r="CT39" s="79">
        <v>0.0</v>
      </c>
      <c r="CU39" s="79" t="s">
        <v>496</v>
      </c>
      <c r="CV39" s="79">
        <v>0.0</v>
      </c>
      <c r="CW39" s="79"/>
      <c r="CX39" s="79">
        <v>0.0</v>
      </c>
      <c r="CY39" s="79"/>
      <c r="CZ39" s="79">
        <v>0.0</v>
      </c>
      <c r="DA39" s="79"/>
      <c r="DB39" s="79">
        <v>0.0</v>
      </c>
      <c r="DC39" s="79"/>
      <c r="DD39" s="79">
        <v>0.0</v>
      </c>
      <c r="DE39" s="79">
        <v>3500.0</v>
      </c>
      <c r="DF39" s="79">
        <v>0.0</v>
      </c>
      <c r="DG39" s="79">
        <v>0.0</v>
      </c>
      <c r="DH39" s="79">
        <v>0.0</v>
      </c>
      <c r="DI39" s="79">
        <v>0.0</v>
      </c>
      <c r="DJ39" s="79" t="s">
        <v>762</v>
      </c>
      <c r="DK39" s="79" t="s">
        <v>524</v>
      </c>
      <c r="DL39" s="79" t="s">
        <v>487</v>
      </c>
      <c r="DM39" s="79" t="s">
        <v>763</v>
      </c>
      <c r="DN39" s="79" t="s">
        <v>764</v>
      </c>
      <c r="DO39" s="79"/>
      <c r="DP39" s="79"/>
      <c r="DQ39" s="79"/>
      <c r="DR39" s="79"/>
      <c r="DS39" s="79"/>
      <c r="DT39" s="82"/>
      <c r="DU39" s="79"/>
      <c r="DV39" s="82"/>
      <c r="DW39" s="79"/>
      <c r="DX39" s="79"/>
      <c r="DY39" s="79"/>
      <c r="DZ39" s="79"/>
      <c r="EA39" s="79"/>
      <c r="EB39" s="79"/>
      <c r="EC39" s="79"/>
      <c r="ED39" s="79"/>
      <c r="EE39" s="79"/>
      <c r="EF39" s="82"/>
      <c r="EG39" s="79"/>
      <c r="EH39" s="82"/>
      <c r="EI39" s="79"/>
      <c r="EJ39" s="82"/>
      <c r="EK39" s="79"/>
      <c r="EL39" s="82"/>
      <c r="EM39" s="79"/>
      <c r="EN39" s="79" t="s">
        <v>79</v>
      </c>
      <c r="EO39" s="79"/>
      <c r="EP39" s="80"/>
      <c r="EQ39" s="83"/>
      <c r="ER39" s="83" t="str">
        <f t="shared" si="1"/>
        <v/>
      </c>
      <c r="ES39" s="82"/>
      <c r="ET39" s="79" t="str">
        <f t="shared" si="2"/>
        <v/>
      </c>
      <c r="EU39" s="79"/>
      <c r="EV39" s="79"/>
      <c r="EW39" s="82"/>
      <c r="EX39" s="82"/>
      <c r="EY39" s="82"/>
      <c r="EZ39" s="79"/>
      <c r="FA39" s="79"/>
      <c r="FB39" s="79"/>
    </row>
    <row r="40" ht="15.75" customHeight="1">
      <c r="A40" s="79" t="s">
        <v>766</v>
      </c>
      <c r="B40" s="79" t="s">
        <v>475</v>
      </c>
      <c r="C40" s="79" t="s">
        <v>476</v>
      </c>
      <c r="D40" s="80">
        <v>46094.0</v>
      </c>
      <c r="E40" s="79" t="s">
        <v>756</v>
      </c>
      <c r="F40" s="79"/>
      <c r="G40" s="79" t="s">
        <v>517</v>
      </c>
      <c r="H40" s="79" t="s">
        <v>757</v>
      </c>
      <c r="I40" s="79"/>
      <c r="J40" s="79" t="s">
        <v>758</v>
      </c>
      <c r="K40" s="79">
        <v>1984.0</v>
      </c>
      <c r="L40" s="79"/>
      <c r="M40" s="79" t="s">
        <v>759</v>
      </c>
      <c r="N40" s="79" t="s">
        <v>760</v>
      </c>
      <c r="O40" s="79" t="s">
        <v>484</v>
      </c>
      <c r="P40" s="79"/>
      <c r="Q40" s="79" t="s">
        <v>761</v>
      </c>
      <c r="R40" s="84">
        <v>46368.0</v>
      </c>
      <c r="S40" s="79"/>
      <c r="T40" s="79">
        <v>96810.0</v>
      </c>
      <c r="U40" s="79"/>
      <c r="V40" s="79"/>
      <c r="W40" s="79"/>
      <c r="X40" s="79"/>
      <c r="Y40" s="79"/>
      <c r="Z40" s="79" t="s">
        <v>524</v>
      </c>
      <c r="AA40" s="79" t="s">
        <v>487</v>
      </c>
      <c r="AB40" s="79" t="s">
        <v>524</v>
      </c>
      <c r="AC40" s="79" t="s">
        <v>488</v>
      </c>
      <c r="AD40" s="79">
        <v>177273.0</v>
      </c>
      <c r="AE40" s="79">
        <v>0.0</v>
      </c>
      <c r="AF40" s="79">
        <v>0.0</v>
      </c>
      <c r="AG40" s="79">
        <v>17727.0</v>
      </c>
      <c r="AH40" s="81">
        <v>195000.0</v>
      </c>
      <c r="AI40" s="79"/>
      <c r="AJ40" s="79">
        <v>0.0</v>
      </c>
      <c r="AK40" s="79">
        <v>84400.0</v>
      </c>
      <c r="AL40" s="79">
        <v>0.0</v>
      </c>
      <c r="AM40" s="79">
        <v>0.0</v>
      </c>
      <c r="AN40" s="79">
        <v>8440.0</v>
      </c>
      <c r="AO40" s="79">
        <v>92840.0</v>
      </c>
      <c r="AP40" s="79">
        <v>0.0</v>
      </c>
      <c r="AQ40" s="79">
        <v>92873.0</v>
      </c>
      <c r="AR40" s="79" t="s">
        <v>525</v>
      </c>
      <c r="AS40" s="79">
        <v>0.0</v>
      </c>
      <c r="AT40" s="79" t="s">
        <v>490</v>
      </c>
      <c r="AU40" s="79" t="s">
        <v>491</v>
      </c>
      <c r="AV40" s="79">
        <v>0.0</v>
      </c>
      <c r="AW40" s="79"/>
      <c r="AX40" s="79">
        <v>0.0</v>
      </c>
      <c r="AY40" s="79" t="s">
        <v>492</v>
      </c>
      <c r="AZ40" s="79">
        <v>0.0</v>
      </c>
      <c r="BA40" s="79"/>
      <c r="BB40" s="79">
        <v>0.0</v>
      </c>
      <c r="BC40" s="79"/>
      <c r="BD40" s="79">
        <v>0.0</v>
      </c>
      <c r="BE40" s="79"/>
      <c r="BF40" s="79">
        <v>0.0</v>
      </c>
      <c r="BG40" s="79"/>
      <c r="BH40" s="79">
        <v>0.0</v>
      </c>
      <c r="BI40" s="79" t="s">
        <v>493</v>
      </c>
      <c r="BJ40" s="79">
        <v>0.0</v>
      </c>
      <c r="BK40" s="79" t="s">
        <v>494</v>
      </c>
      <c r="BL40" s="79">
        <v>0.0</v>
      </c>
      <c r="BM40" s="79" t="s">
        <v>495</v>
      </c>
      <c r="BN40" s="79">
        <v>0.0</v>
      </c>
      <c r="BO40" s="79" t="s">
        <v>496</v>
      </c>
      <c r="BP40" s="79">
        <v>0.0</v>
      </c>
      <c r="BQ40" s="79"/>
      <c r="BR40" s="79">
        <v>0.0</v>
      </c>
      <c r="BS40" s="79"/>
      <c r="BT40" s="79">
        <v>0.0</v>
      </c>
      <c r="BU40" s="79"/>
      <c r="BV40" s="79">
        <v>0.0</v>
      </c>
      <c r="BW40" s="79"/>
      <c r="BX40" s="79">
        <v>0.0</v>
      </c>
      <c r="BY40" s="79">
        <v>0.0</v>
      </c>
      <c r="BZ40" s="79" t="s">
        <v>491</v>
      </c>
      <c r="CA40" s="79">
        <v>0.0</v>
      </c>
      <c r="CB40" s="79" t="s">
        <v>490</v>
      </c>
      <c r="CC40" s="79"/>
      <c r="CD40" s="79">
        <v>0.0</v>
      </c>
      <c r="CE40" s="79" t="s">
        <v>492</v>
      </c>
      <c r="CF40" s="79">
        <v>0.0</v>
      </c>
      <c r="CG40" s="79"/>
      <c r="CH40" s="79">
        <v>0.0</v>
      </c>
      <c r="CI40" s="79"/>
      <c r="CJ40" s="79">
        <v>0.0</v>
      </c>
      <c r="CK40" s="79"/>
      <c r="CL40" s="79">
        <v>0.0</v>
      </c>
      <c r="CM40" s="79"/>
      <c r="CN40" s="79">
        <v>0.0</v>
      </c>
      <c r="CO40" s="79" t="s">
        <v>493</v>
      </c>
      <c r="CP40" s="79">
        <v>0.0</v>
      </c>
      <c r="CQ40" s="79" t="s">
        <v>494</v>
      </c>
      <c r="CR40" s="79">
        <v>0.0</v>
      </c>
      <c r="CS40" s="79" t="s">
        <v>495</v>
      </c>
      <c r="CT40" s="79">
        <v>0.0</v>
      </c>
      <c r="CU40" s="79" t="s">
        <v>496</v>
      </c>
      <c r="CV40" s="79">
        <v>0.0</v>
      </c>
      <c r="CW40" s="79"/>
      <c r="CX40" s="79">
        <v>0.0</v>
      </c>
      <c r="CY40" s="79"/>
      <c r="CZ40" s="79">
        <v>0.0</v>
      </c>
      <c r="DA40" s="79"/>
      <c r="DB40" s="79">
        <v>0.0</v>
      </c>
      <c r="DC40" s="79"/>
      <c r="DD40" s="79">
        <v>0.0</v>
      </c>
      <c r="DE40" s="79">
        <v>18000.0</v>
      </c>
      <c r="DF40" s="79">
        <v>159273.0</v>
      </c>
      <c r="DG40" s="79">
        <v>0.0</v>
      </c>
      <c r="DH40" s="79">
        <v>0.0</v>
      </c>
      <c r="DI40" s="79">
        <v>84400.0</v>
      </c>
      <c r="DJ40" s="79" t="s">
        <v>762</v>
      </c>
      <c r="DK40" s="79" t="s">
        <v>524</v>
      </c>
      <c r="DL40" s="79" t="s">
        <v>487</v>
      </c>
      <c r="DM40" s="79" t="s">
        <v>763</v>
      </c>
      <c r="DN40" s="79" t="s">
        <v>764</v>
      </c>
      <c r="DO40" s="79"/>
      <c r="DP40" s="79"/>
      <c r="DQ40" s="79"/>
      <c r="DR40" s="79"/>
      <c r="DS40" s="79"/>
      <c r="DT40" s="82"/>
      <c r="DU40" s="79"/>
      <c r="DV40" s="82"/>
      <c r="DW40" s="79"/>
      <c r="DX40" s="79"/>
      <c r="DY40" s="79"/>
      <c r="DZ40" s="79"/>
      <c r="EA40" s="79"/>
      <c r="EB40" s="79"/>
      <c r="EC40" s="79"/>
      <c r="ED40" s="79"/>
      <c r="EE40" s="79"/>
      <c r="EF40" s="82"/>
      <c r="EG40" s="79"/>
      <c r="EH40" s="82"/>
      <c r="EI40" s="79"/>
      <c r="EJ40" s="82"/>
      <c r="EK40" s="79"/>
      <c r="EL40" s="82"/>
      <c r="EM40" s="79"/>
      <c r="EN40" s="79" t="s">
        <v>57</v>
      </c>
      <c r="EO40" s="79"/>
      <c r="EP40" s="80"/>
      <c r="EQ40" s="83"/>
      <c r="ER40" s="83" t="str">
        <f t="shared" si="1"/>
        <v/>
      </c>
      <c r="ES40" s="79"/>
      <c r="ET40" s="82" t="str">
        <f t="shared" si="2"/>
        <v/>
      </c>
      <c r="EU40" s="79"/>
      <c r="EV40" s="82"/>
      <c r="EW40" s="82"/>
      <c r="EX40" s="82"/>
      <c r="EY40" s="82"/>
      <c r="EZ40" s="79"/>
      <c r="FA40" s="79"/>
      <c r="FB40" s="79"/>
    </row>
    <row r="41" ht="15.75" customHeight="1">
      <c r="A41" s="79" t="s">
        <v>767</v>
      </c>
      <c r="B41" s="79" t="s">
        <v>768</v>
      </c>
      <c r="C41" s="79" t="s">
        <v>476</v>
      </c>
      <c r="D41" s="80">
        <v>46094.0</v>
      </c>
      <c r="E41" s="79"/>
      <c r="F41" s="82"/>
      <c r="G41" s="79" t="s">
        <v>580</v>
      </c>
      <c r="H41" s="79" t="s">
        <v>581</v>
      </c>
      <c r="I41" s="79"/>
      <c r="J41" s="79" t="s">
        <v>582</v>
      </c>
      <c r="K41" s="79">
        <v>3980.0</v>
      </c>
      <c r="L41" s="79"/>
      <c r="M41" s="79" t="s">
        <v>583</v>
      </c>
      <c r="N41" s="79" t="s">
        <v>572</v>
      </c>
      <c r="O41" s="79" t="s">
        <v>484</v>
      </c>
      <c r="P41" s="79"/>
      <c r="Q41" s="79" t="s">
        <v>584</v>
      </c>
      <c r="R41" s="79" t="s">
        <v>585</v>
      </c>
      <c r="S41" s="79"/>
      <c r="T41" s="79"/>
      <c r="U41" s="79"/>
      <c r="V41" s="79"/>
      <c r="W41" s="79"/>
      <c r="X41" s="79"/>
      <c r="Y41" s="79"/>
      <c r="Z41" s="79" t="s">
        <v>557</v>
      </c>
      <c r="AA41" s="79" t="s">
        <v>487</v>
      </c>
      <c r="AB41" s="79" t="s">
        <v>557</v>
      </c>
      <c r="AC41" s="79" t="s">
        <v>488</v>
      </c>
      <c r="AD41" s="79">
        <v>626000.0</v>
      </c>
      <c r="AE41" s="79">
        <v>0.0</v>
      </c>
      <c r="AF41" s="79">
        <v>0.0</v>
      </c>
      <c r="AG41" s="79">
        <v>62600.0</v>
      </c>
      <c r="AH41" s="83">
        <v>688600.0</v>
      </c>
      <c r="AI41" s="79"/>
      <c r="AJ41" s="79">
        <v>0.0</v>
      </c>
      <c r="AK41" s="79">
        <v>404000.0</v>
      </c>
      <c r="AL41" s="83">
        <v>0.0</v>
      </c>
      <c r="AM41" s="79">
        <v>0.0</v>
      </c>
      <c r="AN41" s="79">
        <v>40400.0</v>
      </c>
      <c r="AO41" s="79">
        <v>444400.0</v>
      </c>
      <c r="AP41" s="79">
        <v>0.0</v>
      </c>
      <c r="AQ41" s="79">
        <v>222000.0</v>
      </c>
      <c r="AR41" s="79" t="s">
        <v>525</v>
      </c>
      <c r="AS41" s="79">
        <v>0.0</v>
      </c>
      <c r="AT41" s="79" t="s">
        <v>507</v>
      </c>
      <c r="AU41" s="79" t="s">
        <v>491</v>
      </c>
      <c r="AV41" s="79">
        <v>0.0</v>
      </c>
      <c r="AW41" s="79" t="s">
        <v>508</v>
      </c>
      <c r="AX41" s="79">
        <v>0.0</v>
      </c>
      <c r="AY41" s="82"/>
      <c r="AZ41" s="79">
        <v>0.0</v>
      </c>
      <c r="BA41" s="82"/>
      <c r="BB41" s="79">
        <v>0.0</v>
      </c>
      <c r="BC41" s="82"/>
      <c r="BD41" s="79">
        <v>0.0</v>
      </c>
      <c r="BE41" s="82"/>
      <c r="BF41" s="79">
        <v>0.0</v>
      </c>
      <c r="BG41" s="82"/>
      <c r="BH41" s="79">
        <v>0.0</v>
      </c>
      <c r="BI41" s="79" t="s">
        <v>493</v>
      </c>
      <c r="BJ41" s="79">
        <v>0.0</v>
      </c>
      <c r="BK41" s="79" t="s">
        <v>494</v>
      </c>
      <c r="BL41" s="79">
        <v>0.0</v>
      </c>
      <c r="BM41" s="79" t="s">
        <v>495</v>
      </c>
      <c r="BN41" s="79">
        <v>0.0</v>
      </c>
      <c r="BO41" s="79" t="s">
        <v>496</v>
      </c>
      <c r="BP41" s="79">
        <v>0.0</v>
      </c>
      <c r="BQ41" s="79"/>
      <c r="BR41" s="79">
        <v>0.0</v>
      </c>
      <c r="BS41" s="79"/>
      <c r="BT41" s="79">
        <v>0.0</v>
      </c>
      <c r="BU41" s="79"/>
      <c r="BV41" s="79">
        <v>0.0</v>
      </c>
      <c r="BW41" s="79"/>
      <c r="BX41" s="79">
        <v>0.0</v>
      </c>
      <c r="BY41" s="79">
        <v>0.0</v>
      </c>
      <c r="BZ41" s="79" t="s">
        <v>491</v>
      </c>
      <c r="CA41" s="79">
        <v>0.0</v>
      </c>
      <c r="CB41" s="79" t="s">
        <v>507</v>
      </c>
      <c r="CC41" s="79" t="s">
        <v>508</v>
      </c>
      <c r="CD41" s="79">
        <v>0.0</v>
      </c>
      <c r="CE41" s="79"/>
      <c r="CF41" s="79">
        <v>0.0</v>
      </c>
      <c r="CG41" s="79"/>
      <c r="CH41" s="79">
        <v>0.0</v>
      </c>
      <c r="CI41" s="79"/>
      <c r="CJ41" s="79">
        <v>0.0</v>
      </c>
      <c r="CK41" s="79"/>
      <c r="CL41" s="79">
        <v>0.0</v>
      </c>
      <c r="CM41" s="79"/>
      <c r="CN41" s="79">
        <v>0.0</v>
      </c>
      <c r="CO41" s="79" t="s">
        <v>493</v>
      </c>
      <c r="CP41" s="79">
        <v>0.0</v>
      </c>
      <c r="CQ41" s="79" t="s">
        <v>494</v>
      </c>
      <c r="CR41" s="79">
        <v>0.0</v>
      </c>
      <c r="CS41" s="79" t="s">
        <v>495</v>
      </c>
      <c r="CT41" s="79">
        <v>0.0</v>
      </c>
      <c r="CU41" s="79" t="s">
        <v>496</v>
      </c>
      <c r="CV41" s="79">
        <v>0.0</v>
      </c>
      <c r="CW41" s="79"/>
      <c r="CX41" s="79">
        <v>0.0</v>
      </c>
      <c r="CY41" s="79"/>
      <c r="CZ41" s="79">
        <v>0.0</v>
      </c>
      <c r="DA41" s="79"/>
      <c r="DB41" s="79">
        <v>0.0</v>
      </c>
      <c r="DC41" s="79"/>
      <c r="DD41" s="79">
        <v>0.0</v>
      </c>
      <c r="DE41" s="79">
        <v>244000.0</v>
      </c>
      <c r="DF41" s="79">
        <v>382000.0</v>
      </c>
      <c r="DG41" s="79">
        <v>0.0</v>
      </c>
      <c r="DH41" s="79">
        <v>72000.0</v>
      </c>
      <c r="DI41" s="79">
        <v>332000.0</v>
      </c>
      <c r="DJ41" s="79"/>
      <c r="DK41" s="79"/>
      <c r="DL41" s="79"/>
      <c r="DM41" s="79"/>
      <c r="DN41" s="82"/>
      <c r="DO41" s="79"/>
      <c r="DP41" s="82"/>
      <c r="DQ41" s="79"/>
      <c r="DR41" s="82"/>
      <c r="DS41" s="79"/>
      <c r="DT41" s="82"/>
      <c r="DU41" s="79"/>
      <c r="DV41" s="82"/>
      <c r="DW41" s="79"/>
      <c r="DX41" s="79"/>
      <c r="DY41" s="79"/>
      <c r="DZ41" s="79"/>
      <c r="EA41" s="79"/>
      <c r="EB41" s="79"/>
      <c r="EC41" s="79"/>
      <c r="ED41" s="79"/>
      <c r="EE41" s="79"/>
      <c r="EF41" s="82"/>
      <c r="EG41" s="79"/>
      <c r="EH41" s="82"/>
      <c r="EI41" s="79"/>
      <c r="EJ41" s="82"/>
      <c r="EK41" s="79"/>
      <c r="EL41" s="82"/>
      <c r="EM41" s="79"/>
      <c r="EN41" s="79" t="s">
        <v>79</v>
      </c>
      <c r="EO41" s="79"/>
      <c r="EP41" s="80"/>
      <c r="EQ41" s="83"/>
      <c r="ER41" s="83" t="str">
        <f t="shared" si="1"/>
        <v/>
      </c>
      <c r="ES41" s="82"/>
      <c r="ET41" s="79" t="str">
        <f t="shared" si="2"/>
        <v/>
      </c>
      <c r="EU41" s="79"/>
      <c r="EV41" s="79"/>
      <c r="EW41" s="82"/>
      <c r="EX41" s="82"/>
      <c r="EY41" s="82"/>
      <c r="EZ41" s="19"/>
      <c r="FA41" s="19"/>
      <c r="FB41" s="19"/>
    </row>
    <row r="42" ht="15.75" customHeight="1">
      <c r="A42" s="4" t="s">
        <v>769</v>
      </c>
      <c r="B42" s="4" t="s">
        <v>475</v>
      </c>
      <c r="C42" s="4" t="s">
        <v>476</v>
      </c>
      <c r="D42" s="78">
        <v>46094.0</v>
      </c>
      <c r="E42" s="4" t="s">
        <v>770</v>
      </c>
      <c r="F42" s="1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 t="s">
        <v>597</v>
      </c>
      <c r="AA42" s="4"/>
      <c r="AB42" s="4" t="s">
        <v>597</v>
      </c>
      <c r="AC42" s="4"/>
      <c r="AD42" s="4"/>
      <c r="AE42" s="4"/>
      <c r="AF42" s="4"/>
      <c r="AG42" s="4"/>
      <c r="AH42" s="23">
        <v>17963.0</v>
      </c>
      <c r="AI42" s="4"/>
      <c r="AJ42" s="4"/>
      <c r="AK42" s="4"/>
      <c r="AL42" s="19"/>
      <c r="AM42" s="19"/>
      <c r="AN42" s="19"/>
      <c r="AO42" s="19"/>
      <c r="AP42" s="19"/>
      <c r="AQ42" s="4">
        <v>3602.0</v>
      </c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19"/>
      <c r="CI42" s="19"/>
      <c r="CJ42" s="19"/>
      <c r="CK42" s="19"/>
      <c r="CL42" s="19"/>
      <c r="CM42" s="19"/>
      <c r="CN42" s="19"/>
      <c r="CO42" s="19"/>
      <c r="CP42" s="19"/>
      <c r="CQ42" s="19"/>
      <c r="CR42" s="19"/>
      <c r="CS42" s="19"/>
      <c r="CT42" s="19"/>
      <c r="CU42" s="19"/>
      <c r="CV42" s="19"/>
      <c r="CW42" s="19"/>
      <c r="CX42" s="19"/>
      <c r="CY42" s="19"/>
      <c r="CZ42" s="19"/>
      <c r="DA42" s="19"/>
      <c r="DB42" s="19"/>
      <c r="DC42" s="19"/>
      <c r="DD42" s="19"/>
      <c r="DE42" s="19"/>
      <c r="DF42" s="19"/>
      <c r="DG42" s="19"/>
      <c r="DH42" s="19"/>
      <c r="DI42" s="19"/>
      <c r="DJ42" s="19"/>
      <c r="DK42" s="19"/>
      <c r="DL42" s="19"/>
      <c r="DM42" s="19"/>
      <c r="DN42" s="19"/>
      <c r="DO42" s="19"/>
      <c r="DP42" s="19"/>
      <c r="DQ42" s="19"/>
      <c r="DR42" s="19"/>
      <c r="DS42" s="19"/>
      <c r="DT42" s="19"/>
      <c r="DU42" s="19"/>
      <c r="DV42" s="19"/>
      <c r="DW42" s="19"/>
      <c r="DX42" s="19"/>
      <c r="DY42" s="19"/>
      <c r="DZ42" s="19"/>
      <c r="EA42" s="19"/>
      <c r="EB42" s="19"/>
      <c r="EC42" s="19"/>
      <c r="ED42" s="19"/>
      <c r="EE42" s="19"/>
      <c r="EF42" s="19"/>
      <c r="EG42" s="19"/>
      <c r="EH42" s="19"/>
      <c r="EI42" s="19"/>
      <c r="EJ42" s="19"/>
      <c r="EK42" s="19"/>
      <c r="EL42" s="19"/>
      <c r="EM42" s="19"/>
      <c r="EN42" s="4" t="s">
        <v>57</v>
      </c>
      <c r="EO42" s="19"/>
      <c r="EP42" s="17"/>
      <c r="EQ42" s="23"/>
      <c r="ER42" s="23" t="str">
        <f t="shared" si="1"/>
        <v/>
      </c>
      <c r="ES42" s="19"/>
      <c r="ET42" s="19" t="str">
        <f t="shared" si="2"/>
        <v/>
      </c>
      <c r="EU42" s="19"/>
      <c r="EV42" s="19"/>
      <c r="EW42" s="19"/>
      <c r="EX42" s="19"/>
      <c r="EY42" s="19"/>
      <c r="EZ42" s="19"/>
      <c r="FA42" s="19"/>
      <c r="FB42" s="19"/>
    </row>
    <row r="43" ht="15.75" customHeight="1">
      <c r="A43" s="79" t="s">
        <v>771</v>
      </c>
      <c r="B43" s="79" t="s">
        <v>475</v>
      </c>
      <c r="C43" s="79" t="s">
        <v>476</v>
      </c>
      <c r="D43" s="80">
        <v>46095.0</v>
      </c>
      <c r="E43" s="79" t="s">
        <v>772</v>
      </c>
      <c r="F43" s="79" t="s">
        <v>568</v>
      </c>
      <c r="G43" s="79" t="s">
        <v>655</v>
      </c>
      <c r="H43" s="79" t="s">
        <v>611</v>
      </c>
      <c r="I43" s="79"/>
      <c r="J43" s="79" t="s">
        <v>656</v>
      </c>
      <c r="K43" s="79">
        <v>2000.0</v>
      </c>
      <c r="L43" s="79"/>
      <c r="M43" s="79" t="s">
        <v>657</v>
      </c>
      <c r="N43" s="79" t="s">
        <v>658</v>
      </c>
      <c r="O43" s="79" t="s">
        <v>573</v>
      </c>
      <c r="P43" s="79"/>
      <c r="Q43" s="79" t="s">
        <v>659</v>
      </c>
      <c r="R43" s="80">
        <v>46293.0</v>
      </c>
      <c r="S43" s="79"/>
      <c r="T43" s="79">
        <v>16852.0</v>
      </c>
      <c r="U43" s="79"/>
      <c r="V43" s="79"/>
      <c r="W43" s="80">
        <v>46091.0</v>
      </c>
      <c r="X43" s="79"/>
      <c r="Y43" s="80">
        <v>46095.0</v>
      </c>
      <c r="Z43" s="79" t="s">
        <v>524</v>
      </c>
      <c r="AA43" s="79" t="s">
        <v>487</v>
      </c>
      <c r="AB43" s="79" t="s">
        <v>486</v>
      </c>
      <c r="AC43" s="79" t="s">
        <v>488</v>
      </c>
      <c r="AD43" s="79">
        <v>6000.0</v>
      </c>
      <c r="AE43" s="79">
        <v>0.0</v>
      </c>
      <c r="AF43" s="79">
        <v>0.0</v>
      </c>
      <c r="AG43" s="79">
        <v>600.0</v>
      </c>
      <c r="AH43" s="81">
        <v>6600.0</v>
      </c>
      <c r="AI43" s="79"/>
      <c r="AJ43" s="79">
        <v>0.0</v>
      </c>
      <c r="AK43" s="79">
        <v>0.0</v>
      </c>
      <c r="AL43" s="79">
        <v>0.0</v>
      </c>
      <c r="AM43" s="79">
        <v>0.0</v>
      </c>
      <c r="AN43" s="79">
        <v>0.0</v>
      </c>
      <c r="AO43" s="79">
        <v>0.0</v>
      </c>
      <c r="AP43" s="79">
        <v>0.0</v>
      </c>
      <c r="AQ43" s="79">
        <v>6000.0</v>
      </c>
      <c r="AR43" s="79" t="s">
        <v>489</v>
      </c>
      <c r="AS43" s="79">
        <v>0.0</v>
      </c>
      <c r="AT43" s="79" t="s">
        <v>490</v>
      </c>
      <c r="AU43" s="79" t="s">
        <v>491</v>
      </c>
      <c r="AV43" s="79">
        <v>0.0</v>
      </c>
      <c r="AW43" s="79"/>
      <c r="AX43" s="79">
        <v>0.0</v>
      </c>
      <c r="AY43" s="79" t="s">
        <v>492</v>
      </c>
      <c r="AZ43" s="79">
        <v>0.0</v>
      </c>
      <c r="BA43" s="79"/>
      <c r="BB43" s="79">
        <v>0.0</v>
      </c>
      <c r="BC43" s="79"/>
      <c r="BD43" s="79">
        <v>0.0</v>
      </c>
      <c r="BE43" s="79"/>
      <c r="BF43" s="79">
        <v>0.0</v>
      </c>
      <c r="BG43" s="79"/>
      <c r="BH43" s="79">
        <v>0.0</v>
      </c>
      <c r="BI43" s="79" t="s">
        <v>493</v>
      </c>
      <c r="BJ43" s="79">
        <v>0.0</v>
      </c>
      <c r="BK43" s="79" t="s">
        <v>494</v>
      </c>
      <c r="BL43" s="79">
        <v>0.0</v>
      </c>
      <c r="BM43" s="79" t="s">
        <v>495</v>
      </c>
      <c r="BN43" s="79">
        <v>0.0</v>
      </c>
      <c r="BO43" s="79" t="s">
        <v>496</v>
      </c>
      <c r="BP43" s="79">
        <v>0.0</v>
      </c>
      <c r="BQ43" s="79"/>
      <c r="BR43" s="79">
        <v>0.0</v>
      </c>
      <c r="BS43" s="79"/>
      <c r="BT43" s="79">
        <v>0.0</v>
      </c>
      <c r="BU43" s="79"/>
      <c r="BV43" s="79">
        <v>0.0</v>
      </c>
      <c r="BW43" s="79"/>
      <c r="BX43" s="79">
        <v>0.0</v>
      </c>
      <c r="BY43" s="79">
        <v>0.0</v>
      </c>
      <c r="BZ43" s="79" t="s">
        <v>491</v>
      </c>
      <c r="CA43" s="79">
        <v>0.0</v>
      </c>
      <c r="CB43" s="79" t="s">
        <v>490</v>
      </c>
      <c r="CC43" s="79"/>
      <c r="CD43" s="79">
        <v>0.0</v>
      </c>
      <c r="CE43" s="79" t="s">
        <v>492</v>
      </c>
      <c r="CF43" s="79">
        <v>0.0</v>
      </c>
      <c r="CG43" s="79"/>
      <c r="CH43" s="79">
        <v>0.0</v>
      </c>
      <c r="CI43" s="79"/>
      <c r="CJ43" s="79">
        <v>0.0</v>
      </c>
      <c r="CK43" s="79"/>
      <c r="CL43" s="79">
        <v>0.0</v>
      </c>
      <c r="CM43" s="79"/>
      <c r="CN43" s="79">
        <v>0.0</v>
      </c>
      <c r="CO43" s="79" t="s">
        <v>493</v>
      </c>
      <c r="CP43" s="79">
        <v>0.0</v>
      </c>
      <c r="CQ43" s="79" t="s">
        <v>494</v>
      </c>
      <c r="CR43" s="79">
        <v>0.0</v>
      </c>
      <c r="CS43" s="79" t="s">
        <v>495</v>
      </c>
      <c r="CT43" s="79">
        <v>0.0</v>
      </c>
      <c r="CU43" s="79" t="s">
        <v>496</v>
      </c>
      <c r="CV43" s="79">
        <v>0.0</v>
      </c>
      <c r="CW43" s="79"/>
      <c r="CX43" s="79">
        <v>0.0</v>
      </c>
      <c r="CY43" s="79"/>
      <c r="CZ43" s="79">
        <v>0.0</v>
      </c>
      <c r="DA43" s="79"/>
      <c r="DB43" s="79">
        <v>0.0</v>
      </c>
      <c r="DC43" s="79"/>
      <c r="DD43" s="79">
        <v>0.0</v>
      </c>
      <c r="DE43" s="79">
        <v>6000.0</v>
      </c>
      <c r="DF43" s="79">
        <v>0.0</v>
      </c>
      <c r="DG43" s="79">
        <v>0.0</v>
      </c>
      <c r="DH43" s="79">
        <v>0.0</v>
      </c>
      <c r="DI43" s="79">
        <v>0.0</v>
      </c>
      <c r="DJ43" s="79" t="s">
        <v>773</v>
      </c>
      <c r="DK43" s="79" t="s">
        <v>524</v>
      </c>
      <c r="DL43" s="79" t="s">
        <v>487</v>
      </c>
      <c r="DM43" s="79" t="s">
        <v>774</v>
      </c>
      <c r="DN43" s="79" t="s">
        <v>775</v>
      </c>
      <c r="DO43" s="79" t="s">
        <v>776</v>
      </c>
      <c r="DP43" s="79"/>
      <c r="DQ43" s="79"/>
      <c r="DR43" s="79"/>
      <c r="DS43" s="79"/>
      <c r="DT43" s="82"/>
      <c r="DU43" s="79"/>
      <c r="DV43" s="82"/>
      <c r="DW43" s="79"/>
      <c r="DX43" s="79"/>
      <c r="DY43" s="79"/>
      <c r="DZ43" s="79"/>
      <c r="EA43" s="79"/>
      <c r="EB43" s="79"/>
      <c r="EC43" s="79"/>
      <c r="ED43" s="79"/>
      <c r="EE43" s="79"/>
      <c r="EF43" s="82"/>
      <c r="EG43" s="79"/>
      <c r="EH43" s="82"/>
      <c r="EI43" s="79"/>
      <c r="EJ43" s="82"/>
      <c r="EK43" s="79"/>
      <c r="EL43" s="82"/>
      <c r="EM43" s="79"/>
      <c r="EN43" s="79" t="s">
        <v>79</v>
      </c>
      <c r="EO43" s="79"/>
      <c r="EP43" s="80"/>
      <c r="EQ43" s="83"/>
      <c r="ER43" s="83" t="str">
        <f t="shared" si="1"/>
        <v/>
      </c>
      <c r="ES43" s="82"/>
      <c r="ET43" s="79" t="str">
        <f t="shared" si="2"/>
        <v/>
      </c>
      <c r="EU43" s="79"/>
      <c r="EV43" s="79"/>
      <c r="EW43" s="82"/>
      <c r="EX43" s="82"/>
      <c r="EY43" s="82"/>
      <c r="EZ43" s="19"/>
      <c r="FA43" s="19"/>
      <c r="FB43" s="19"/>
    </row>
    <row r="44" ht="15.75" customHeight="1">
      <c r="A44" s="4" t="s">
        <v>777</v>
      </c>
      <c r="B44" s="4" t="s">
        <v>778</v>
      </c>
      <c r="C44" s="4" t="s">
        <v>476</v>
      </c>
      <c r="D44" s="78">
        <v>46095.0</v>
      </c>
      <c r="E44" s="4" t="s">
        <v>779</v>
      </c>
      <c r="F44" s="19"/>
      <c r="G44" s="4" t="s">
        <v>780</v>
      </c>
      <c r="H44" s="4" t="s">
        <v>781</v>
      </c>
      <c r="R44" s="4" t="s">
        <v>782</v>
      </c>
      <c r="V44" s="4" t="s">
        <v>783</v>
      </c>
      <c r="Y44" s="4" t="s">
        <v>784</v>
      </c>
      <c r="Z44" s="4" t="s">
        <v>597</v>
      </c>
      <c r="AB44" s="4" t="s">
        <v>597</v>
      </c>
      <c r="AH44" s="23">
        <v>98725.0</v>
      </c>
      <c r="AL44" s="19"/>
      <c r="AM44" s="19"/>
      <c r="AN44" s="19"/>
      <c r="AO44" s="19"/>
      <c r="AP44" s="19"/>
      <c r="AQ44" s="4">
        <v>67160.0</v>
      </c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  <c r="CL44" s="19"/>
      <c r="CM44" s="19"/>
      <c r="CN44" s="19"/>
      <c r="CO44" s="19"/>
      <c r="CP44" s="19"/>
      <c r="CQ44" s="19"/>
      <c r="CR44" s="19"/>
      <c r="CS44" s="19"/>
      <c r="CT44" s="19"/>
      <c r="CU44" s="19"/>
      <c r="CV44" s="19"/>
      <c r="CW44" s="19"/>
      <c r="CX44" s="19"/>
      <c r="CY44" s="19"/>
      <c r="CZ44" s="19"/>
      <c r="DA44" s="19"/>
      <c r="DB44" s="19"/>
      <c r="DC44" s="19"/>
      <c r="DD44" s="19"/>
      <c r="DE44" s="19"/>
      <c r="DF44" s="19"/>
      <c r="DG44" s="19"/>
      <c r="DH44" s="19"/>
      <c r="DI44" s="19"/>
      <c r="DJ44" s="19"/>
      <c r="DK44" s="19"/>
      <c r="DL44" s="19"/>
      <c r="DM44" s="19"/>
      <c r="DN44" s="19"/>
      <c r="DO44" s="19"/>
      <c r="DP44" s="19"/>
      <c r="DQ44" s="19"/>
      <c r="DR44" s="19"/>
      <c r="DS44" s="19"/>
      <c r="DT44" s="19"/>
      <c r="DU44" s="19"/>
      <c r="DV44" s="19"/>
      <c r="DW44" s="19"/>
      <c r="DX44" s="19"/>
      <c r="DY44" s="19"/>
      <c r="DZ44" s="19"/>
      <c r="EA44" s="19"/>
      <c r="EB44" s="19"/>
      <c r="EC44" s="19"/>
      <c r="ED44" s="19"/>
      <c r="EE44" s="19"/>
      <c r="EF44" s="19"/>
      <c r="EG44" s="19"/>
      <c r="EH44" s="19"/>
      <c r="EI44" s="19"/>
      <c r="EJ44" s="19"/>
      <c r="EK44" s="19"/>
      <c r="EL44" s="19"/>
      <c r="EM44" s="19"/>
      <c r="EN44" s="4" t="s">
        <v>79</v>
      </c>
      <c r="EO44" s="19"/>
      <c r="EP44" s="17"/>
      <c r="EQ44" s="23"/>
      <c r="ER44" s="23" t="str">
        <f t="shared" si="1"/>
        <v/>
      </c>
      <c r="ES44" s="19"/>
      <c r="ET44" s="19" t="str">
        <f t="shared" si="2"/>
        <v/>
      </c>
      <c r="EU44" s="19"/>
      <c r="EV44" s="19"/>
      <c r="EW44" s="19"/>
      <c r="EX44" s="19"/>
      <c r="EY44" s="19"/>
      <c r="EZ44" s="79"/>
      <c r="FA44" s="79"/>
      <c r="FB44" s="79"/>
    </row>
    <row r="45" ht="15.75" customHeight="1">
      <c r="A45" s="4" t="s">
        <v>785</v>
      </c>
      <c r="B45" s="4" t="s">
        <v>475</v>
      </c>
      <c r="C45" s="4" t="s">
        <v>476</v>
      </c>
      <c r="D45" s="78">
        <v>46096.0</v>
      </c>
      <c r="E45" s="4" t="s">
        <v>786</v>
      </c>
      <c r="F45" s="19"/>
      <c r="G45" s="4" t="s">
        <v>787</v>
      </c>
      <c r="H45" s="4" t="s">
        <v>788</v>
      </c>
      <c r="R45" s="4" t="s">
        <v>789</v>
      </c>
      <c r="Z45" s="4" t="s">
        <v>597</v>
      </c>
      <c r="AB45" s="4" t="s">
        <v>597</v>
      </c>
      <c r="AH45" s="23">
        <v>175000.0</v>
      </c>
      <c r="AL45" s="19"/>
      <c r="AM45" s="19"/>
      <c r="AN45" s="19"/>
      <c r="AO45" s="19"/>
      <c r="AP45" s="19"/>
      <c r="AQ45" s="4">
        <v>73680.0</v>
      </c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  <c r="CL45" s="19"/>
      <c r="CM45" s="19"/>
      <c r="CN45" s="19"/>
      <c r="CO45" s="19"/>
      <c r="CP45" s="19"/>
      <c r="CQ45" s="19"/>
      <c r="CR45" s="19"/>
      <c r="CS45" s="19"/>
      <c r="CT45" s="19"/>
      <c r="CU45" s="19"/>
      <c r="CV45" s="19"/>
      <c r="CW45" s="19"/>
      <c r="CX45" s="19"/>
      <c r="CY45" s="19"/>
      <c r="CZ45" s="19"/>
      <c r="DA45" s="19"/>
      <c r="DB45" s="19"/>
      <c r="DC45" s="19"/>
      <c r="DD45" s="19"/>
      <c r="DE45" s="19"/>
      <c r="DF45" s="19"/>
      <c r="DG45" s="19"/>
      <c r="DH45" s="19"/>
      <c r="DI45" s="19"/>
      <c r="DJ45" s="19"/>
      <c r="DK45" s="19"/>
      <c r="DL45" s="19"/>
      <c r="DM45" s="19"/>
      <c r="DN45" s="19"/>
      <c r="DO45" s="19"/>
      <c r="DP45" s="19"/>
      <c r="DQ45" s="19"/>
      <c r="DR45" s="19"/>
      <c r="DS45" s="19"/>
      <c r="DT45" s="19"/>
      <c r="DU45" s="19"/>
      <c r="DV45" s="19"/>
      <c r="DW45" s="19"/>
      <c r="DX45" s="19"/>
      <c r="DY45" s="19"/>
      <c r="DZ45" s="19"/>
      <c r="EA45" s="19"/>
      <c r="EB45" s="19"/>
      <c r="EC45" s="19"/>
      <c r="ED45" s="19"/>
      <c r="EE45" s="19"/>
      <c r="EF45" s="19"/>
      <c r="EG45" s="19"/>
      <c r="EH45" s="19"/>
      <c r="EI45" s="19"/>
      <c r="EJ45" s="19"/>
      <c r="EK45" s="19"/>
      <c r="EL45" s="19"/>
      <c r="EM45" s="19"/>
      <c r="EN45" s="4" t="s">
        <v>79</v>
      </c>
      <c r="EO45" s="19"/>
      <c r="EP45" s="17"/>
      <c r="EQ45" s="23"/>
      <c r="ER45" s="23" t="str">
        <f t="shared" si="1"/>
        <v/>
      </c>
      <c r="ES45" s="19"/>
      <c r="ET45" s="19" t="str">
        <f t="shared" si="2"/>
        <v/>
      </c>
      <c r="EU45" s="19"/>
      <c r="EV45" s="19"/>
      <c r="EW45" s="19"/>
      <c r="EX45" s="19"/>
      <c r="EY45" s="19"/>
      <c r="EZ45" s="79"/>
      <c r="FA45" s="79"/>
      <c r="FB45" s="79"/>
    </row>
    <row r="46" ht="15.75" customHeight="1">
      <c r="A46" s="79" t="s">
        <v>790</v>
      </c>
      <c r="B46" s="79" t="s">
        <v>475</v>
      </c>
      <c r="C46" s="79" t="s">
        <v>476</v>
      </c>
      <c r="D46" s="80">
        <v>46097.0</v>
      </c>
      <c r="E46" s="79" t="s">
        <v>197</v>
      </c>
      <c r="F46" s="79"/>
      <c r="G46" s="79" t="s">
        <v>791</v>
      </c>
      <c r="H46" s="79" t="s">
        <v>792</v>
      </c>
      <c r="I46" s="79"/>
      <c r="J46" s="79" t="s">
        <v>793</v>
      </c>
      <c r="K46" s="79">
        <v>0.0</v>
      </c>
      <c r="L46" s="79"/>
      <c r="M46" s="79"/>
      <c r="N46" s="79"/>
      <c r="O46" s="79"/>
      <c r="P46" s="79"/>
      <c r="Q46" s="79"/>
      <c r="R46" s="79"/>
      <c r="S46" s="79"/>
      <c r="T46" s="79">
        <v>58796.0</v>
      </c>
      <c r="U46" s="79"/>
      <c r="V46" s="79"/>
      <c r="W46" s="79"/>
      <c r="X46" s="79"/>
      <c r="Y46" s="79"/>
      <c r="Z46" s="79"/>
      <c r="AA46" s="79" t="s">
        <v>488</v>
      </c>
      <c r="AB46" s="79" t="s">
        <v>486</v>
      </c>
      <c r="AC46" s="79" t="s">
        <v>488</v>
      </c>
      <c r="AD46" s="79">
        <v>10500.0</v>
      </c>
      <c r="AE46" s="79">
        <v>0.0</v>
      </c>
      <c r="AF46" s="79">
        <v>0.0</v>
      </c>
      <c r="AG46" s="79">
        <v>1050.0</v>
      </c>
      <c r="AH46" s="81">
        <v>11550.0</v>
      </c>
      <c r="AI46" s="79"/>
      <c r="AJ46" s="79">
        <v>0.0</v>
      </c>
      <c r="AK46" s="79">
        <v>5680.0</v>
      </c>
      <c r="AL46" s="79">
        <v>0.0</v>
      </c>
      <c r="AM46" s="79">
        <v>0.0</v>
      </c>
      <c r="AN46" s="79">
        <v>568.0</v>
      </c>
      <c r="AO46" s="79">
        <v>6248.0</v>
      </c>
      <c r="AP46" s="79">
        <v>0.0</v>
      </c>
      <c r="AQ46" s="79">
        <v>4820.0</v>
      </c>
      <c r="AR46" s="79" t="s">
        <v>489</v>
      </c>
      <c r="AS46" s="79">
        <v>0.0</v>
      </c>
      <c r="AT46" s="79" t="s">
        <v>507</v>
      </c>
      <c r="AU46" s="79" t="s">
        <v>491</v>
      </c>
      <c r="AV46" s="79">
        <v>0.0</v>
      </c>
      <c r="AW46" s="79" t="s">
        <v>508</v>
      </c>
      <c r="AX46" s="79">
        <v>0.0</v>
      </c>
      <c r="AY46" s="79"/>
      <c r="AZ46" s="79">
        <v>0.0</v>
      </c>
      <c r="BA46" s="79"/>
      <c r="BB46" s="79">
        <v>0.0</v>
      </c>
      <c r="BC46" s="79"/>
      <c r="BD46" s="79">
        <v>0.0</v>
      </c>
      <c r="BE46" s="79"/>
      <c r="BF46" s="79">
        <v>0.0</v>
      </c>
      <c r="BG46" s="79"/>
      <c r="BH46" s="79">
        <v>0.0</v>
      </c>
      <c r="BI46" s="79" t="s">
        <v>493</v>
      </c>
      <c r="BJ46" s="79">
        <v>0.0</v>
      </c>
      <c r="BK46" s="79" t="s">
        <v>494</v>
      </c>
      <c r="BL46" s="79">
        <v>0.0</v>
      </c>
      <c r="BM46" s="79" t="s">
        <v>495</v>
      </c>
      <c r="BN46" s="79">
        <v>0.0</v>
      </c>
      <c r="BO46" s="79" t="s">
        <v>496</v>
      </c>
      <c r="BP46" s="79">
        <v>0.0</v>
      </c>
      <c r="BQ46" s="79"/>
      <c r="BR46" s="79">
        <v>0.0</v>
      </c>
      <c r="BS46" s="79"/>
      <c r="BT46" s="79">
        <v>0.0</v>
      </c>
      <c r="BU46" s="79"/>
      <c r="BV46" s="79">
        <v>0.0</v>
      </c>
      <c r="BW46" s="79"/>
      <c r="BX46" s="79">
        <v>0.0</v>
      </c>
      <c r="BY46" s="79">
        <v>0.0</v>
      </c>
      <c r="BZ46" s="79" t="s">
        <v>491</v>
      </c>
      <c r="CA46" s="79">
        <v>0.0</v>
      </c>
      <c r="CB46" s="79" t="s">
        <v>507</v>
      </c>
      <c r="CC46" s="79" t="s">
        <v>508</v>
      </c>
      <c r="CD46" s="79">
        <v>0.0</v>
      </c>
      <c r="CE46" s="79"/>
      <c r="CF46" s="79">
        <v>0.0</v>
      </c>
      <c r="CG46" s="79"/>
      <c r="CH46" s="79">
        <v>0.0</v>
      </c>
      <c r="CI46" s="79"/>
      <c r="CJ46" s="79">
        <v>0.0</v>
      </c>
      <c r="CK46" s="79"/>
      <c r="CL46" s="79">
        <v>0.0</v>
      </c>
      <c r="CM46" s="79"/>
      <c r="CN46" s="79">
        <v>0.0</v>
      </c>
      <c r="CO46" s="79" t="s">
        <v>493</v>
      </c>
      <c r="CP46" s="79">
        <v>0.0</v>
      </c>
      <c r="CQ46" s="79" t="s">
        <v>494</v>
      </c>
      <c r="CR46" s="79">
        <v>0.0</v>
      </c>
      <c r="CS46" s="79" t="s">
        <v>495</v>
      </c>
      <c r="CT46" s="79">
        <v>0.0</v>
      </c>
      <c r="CU46" s="79" t="s">
        <v>496</v>
      </c>
      <c r="CV46" s="79">
        <v>0.0</v>
      </c>
      <c r="CW46" s="79"/>
      <c r="CX46" s="79">
        <v>0.0</v>
      </c>
      <c r="CY46" s="79"/>
      <c r="CZ46" s="79">
        <v>0.0</v>
      </c>
      <c r="DA46" s="79"/>
      <c r="DB46" s="79">
        <v>0.0</v>
      </c>
      <c r="DC46" s="79"/>
      <c r="DD46" s="79">
        <v>0.0</v>
      </c>
      <c r="DE46" s="79">
        <v>3400.0</v>
      </c>
      <c r="DF46" s="79">
        <v>7100.0</v>
      </c>
      <c r="DG46" s="79">
        <v>0.0</v>
      </c>
      <c r="DH46" s="79">
        <v>0.0</v>
      </c>
      <c r="DI46" s="79">
        <v>5680.0</v>
      </c>
      <c r="DJ46" s="79" t="s">
        <v>794</v>
      </c>
      <c r="DK46" s="79"/>
      <c r="DL46" s="79"/>
      <c r="DM46" s="79" t="s">
        <v>795</v>
      </c>
      <c r="DN46" s="79" t="s">
        <v>796</v>
      </c>
      <c r="DO46" s="79" t="s">
        <v>797</v>
      </c>
      <c r="DP46" s="79"/>
      <c r="DQ46" s="79"/>
      <c r="DR46" s="79"/>
      <c r="DS46" s="79"/>
      <c r="DT46" s="82"/>
      <c r="DU46" s="79"/>
      <c r="DV46" s="82"/>
      <c r="DW46" s="79"/>
      <c r="DX46" s="79"/>
      <c r="DY46" s="79"/>
      <c r="DZ46" s="79"/>
      <c r="EA46" s="79"/>
      <c r="EB46" s="79"/>
      <c r="EC46" s="79"/>
      <c r="ED46" s="79"/>
      <c r="EE46" s="79"/>
      <c r="EF46" s="82"/>
      <c r="EG46" s="79"/>
      <c r="EH46" s="82"/>
      <c r="EI46" s="79"/>
      <c r="EJ46" s="82"/>
      <c r="EK46" s="79"/>
      <c r="EL46" s="82"/>
      <c r="EM46" s="79"/>
      <c r="EN46" s="79" t="s">
        <v>79</v>
      </c>
      <c r="EO46" s="79"/>
      <c r="EP46" s="80"/>
      <c r="EQ46" s="83"/>
      <c r="ER46" s="83" t="str">
        <f t="shared" si="1"/>
        <v/>
      </c>
      <c r="ES46" s="79"/>
      <c r="ET46" s="79" t="str">
        <f t="shared" si="2"/>
        <v/>
      </c>
      <c r="EU46" s="79"/>
      <c r="EV46" s="79"/>
      <c r="EW46" s="82"/>
      <c r="EX46" s="82"/>
      <c r="EY46" s="82"/>
      <c r="EZ46" s="79"/>
      <c r="FA46" s="79"/>
      <c r="FB46" s="79"/>
    </row>
    <row r="47" ht="15.75" customHeight="1">
      <c r="A47" s="79" t="s">
        <v>798</v>
      </c>
      <c r="B47" s="79" t="s">
        <v>475</v>
      </c>
      <c r="C47" s="79" t="s">
        <v>476</v>
      </c>
      <c r="D47" s="80">
        <v>46097.0</v>
      </c>
      <c r="E47" s="79" t="s">
        <v>799</v>
      </c>
      <c r="F47" s="79" t="s">
        <v>568</v>
      </c>
      <c r="G47" s="79" t="s">
        <v>655</v>
      </c>
      <c r="H47" s="79" t="s">
        <v>479</v>
      </c>
      <c r="I47" s="79"/>
      <c r="J47" s="79" t="s">
        <v>800</v>
      </c>
      <c r="K47" s="79">
        <v>0.0</v>
      </c>
      <c r="L47" s="79"/>
      <c r="M47" s="79" t="s">
        <v>801</v>
      </c>
      <c r="N47" s="79"/>
      <c r="O47" s="79"/>
      <c r="P47" s="79"/>
      <c r="Q47" s="79"/>
      <c r="R47" s="80">
        <v>46292.0</v>
      </c>
      <c r="S47" s="79"/>
      <c r="T47" s="79">
        <v>13069.0</v>
      </c>
      <c r="U47" s="79"/>
      <c r="V47" s="79"/>
      <c r="W47" s="79"/>
      <c r="X47" s="79"/>
      <c r="Y47" s="79"/>
      <c r="Z47" s="79" t="s">
        <v>486</v>
      </c>
      <c r="AA47" s="79" t="s">
        <v>537</v>
      </c>
      <c r="AB47" s="79" t="s">
        <v>486</v>
      </c>
      <c r="AC47" s="79" t="s">
        <v>488</v>
      </c>
      <c r="AD47" s="79">
        <v>11000.0</v>
      </c>
      <c r="AE47" s="79">
        <v>0.0</v>
      </c>
      <c r="AF47" s="79">
        <v>0.0</v>
      </c>
      <c r="AG47" s="79">
        <v>1100.0</v>
      </c>
      <c r="AH47" s="81">
        <v>12100.0</v>
      </c>
      <c r="AI47" s="79"/>
      <c r="AJ47" s="79">
        <v>0.0</v>
      </c>
      <c r="AK47" s="79">
        <v>0.0</v>
      </c>
      <c r="AL47" s="79">
        <v>0.0</v>
      </c>
      <c r="AM47" s="79">
        <v>0.0</v>
      </c>
      <c r="AN47" s="79">
        <v>0.0</v>
      </c>
      <c r="AO47" s="79">
        <v>0.0</v>
      </c>
      <c r="AP47" s="79">
        <v>0.0</v>
      </c>
      <c r="AQ47" s="79">
        <v>11000.0</v>
      </c>
      <c r="AR47" s="79" t="s">
        <v>489</v>
      </c>
      <c r="AS47" s="79">
        <v>0.0</v>
      </c>
      <c r="AT47" s="79" t="s">
        <v>507</v>
      </c>
      <c r="AU47" s="79" t="s">
        <v>491</v>
      </c>
      <c r="AV47" s="79">
        <v>0.0</v>
      </c>
      <c r="AW47" s="79" t="s">
        <v>508</v>
      </c>
      <c r="AX47" s="79">
        <v>0.0</v>
      </c>
      <c r="AY47" s="79"/>
      <c r="AZ47" s="79">
        <v>0.0</v>
      </c>
      <c r="BA47" s="79"/>
      <c r="BB47" s="79">
        <v>0.0</v>
      </c>
      <c r="BC47" s="79"/>
      <c r="BD47" s="79">
        <v>0.0</v>
      </c>
      <c r="BE47" s="79"/>
      <c r="BF47" s="79">
        <v>0.0</v>
      </c>
      <c r="BG47" s="79"/>
      <c r="BH47" s="79">
        <v>0.0</v>
      </c>
      <c r="BI47" s="79" t="s">
        <v>493</v>
      </c>
      <c r="BJ47" s="79">
        <v>0.0</v>
      </c>
      <c r="BK47" s="79" t="s">
        <v>494</v>
      </c>
      <c r="BL47" s="79">
        <v>0.0</v>
      </c>
      <c r="BM47" s="79" t="s">
        <v>495</v>
      </c>
      <c r="BN47" s="79">
        <v>0.0</v>
      </c>
      <c r="BO47" s="79" t="s">
        <v>496</v>
      </c>
      <c r="BP47" s="79">
        <v>0.0</v>
      </c>
      <c r="BQ47" s="79"/>
      <c r="BR47" s="79">
        <v>0.0</v>
      </c>
      <c r="BS47" s="79"/>
      <c r="BT47" s="79">
        <v>0.0</v>
      </c>
      <c r="BU47" s="79"/>
      <c r="BV47" s="79">
        <v>0.0</v>
      </c>
      <c r="BW47" s="79"/>
      <c r="BX47" s="79">
        <v>0.0</v>
      </c>
      <c r="BY47" s="79">
        <v>0.0</v>
      </c>
      <c r="BZ47" s="79" t="s">
        <v>491</v>
      </c>
      <c r="CA47" s="79">
        <v>0.0</v>
      </c>
      <c r="CB47" s="79" t="s">
        <v>507</v>
      </c>
      <c r="CC47" s="79" t="s">
        <v>508</v>
      </c>
      <c r="CD47" s="79">
        <v>0.0</v>
      </c>
      <c r="CE47" s="79"/>
      <c r="CF47" s="79">
        <v>0.0</v>
      </c>
      <c r="CG47" s="79"/>
      <c r="CH47" s="79">
        <v>0.0</v>
      </c>
      <c r="CI47" s="79"/>
      <c r="CJ47" s="79">
        <v>0.0</v>
      </c>
      <c r="CK47" s="79"/>
      <c r="CL47" s="79">
        <v>0.0</v>
      </c>
      <c r="CM47" s="79"/>
      <c r="CN47" s="79">
        <v>0.0</v>
      </c>
      <c r="CO47" s="79" t="s">
        <v>493</v>
      </c>
      <c r="CP47" s="79">
        <v>0.0</v>
      </c>
      <c r="CQ47" s="79" t="s">
        <v>494</v>
      </c>
      <c r="CR47" s="79">
        <v>0.0</v>
      </c>
      <c r="CS47" s="79" t="s">
        <v>495</v>
      </c>
      <c r="CT47" s="79">
        <v>0.0</v>
      </c>
      <c r="CU47" s="79" t="s">
        <v>496</v>
      </c>
      <c r="CV47" s="79">
        <v>0.0</v>
      </c>
      <c r="CW47" s="79"/>
      <c r="CX47" s="79">
        <v>0.0</v>
      </c>
      <c r="CY47" s="79"/>
      <c r="CZ47" s="79">
        <v>0.0</v>
      </c>
      <c r="DA47" s="79"/>
      <c r="DB47" s="79">
        <v>0.0</v>
      </c>
      <c r="DC47" s="79"/>
      <c r="DD47" s="79">
        <v>0.0</v>
      </c>
      <c r="DE47" s="79">
        <v>11000.0</v>
      </c>
      <c r="DF47" s="79">
        <v>0.0</v>
      </c>
      <c r="DG47" s="79">
        <v>0.0</v>
      </c>
      <c r="DH47" s="79">
        <v>0.0</v>
      </c>
      <c r="DI47" s="79">
        <v>0.0</v>
      </c>
      <c r="DJ47" s="79" t="s">
        <v>802</v>
      </c>
      <c r="DK47" s="79" t="s">
        <v>486</v>
      </c>
      <c r="DL47" s="79" t="s">
        <v>537</v>
      </c>
      <c r="DM47" s="79" t="s">
        <v>803</v>
      </c>
      <c r="DN47" s="79" t="s">
        <v>804</v>
      </c>
      <c r="DO47" s="79" t="s">
        <v>805</v>
      </c>
      <c r="DP47" s="79"/>
      <c r="DQ47" s="79"/>
      <c r="DR47" s="79"/>
      <c r="DS47" s="79"/>
      <c r="DT47" s="82"/>
      <c r="DU47" s="79"/>
      <c r="DV47" s="82"/>
      <c r="DW47" s="79"/>
      <c r="DX47" s="79"/>
      <c r="DY47" s="79"/>
      <c r="DZ47" s="79"/>
      <c r="EA47" s="79"/>
      <c r="EB47" s="79"/>
      <c r="EC47" s="79"/>
      <c r="ED47" s="79"/>
      <c r="EE47" s="79"/>
      <c r="EF47" s="82"/>
      <c r="EG47" s="79"/>
      <c r="EH47" s="82"/>
      <c r="EI47" s="79"/>
      <c r="EJ47" s="82"/>
      <c r="EK47" s="79"/>
      <c r="EL47" s="82"/>
      <c r="EM47" s="79"/>
      <c r="EN47" s="79" t="s">
        <v>79</v>
      </c>
      <c r="EO47" s="79"/>
      <c r="EP47" s="80"/>
      <c r="EQ47" s="83"/>
      <c r="ER47" s="83" t="str">
        <f t="shared" si="1"/>
        <v/>
      </c>
      <c r="ES47" s="82"/>
      <c r="ET47" s="79" t="str">
        <f t="shared" si="2"/>
        <v/>
      </c>
      <c r="EU47" s="79"/>
      <c r="EV47" s="79"/>
      <c r="EW47" s="82"/>
      <c r="EX47" s="82"/>
      <c r="EY47" s="82"/>
      <c r="EZ47" s="82"/>
      <c r="FA47" s="82"/>
      <c r="FB47" s="82"/>
    </row>
    <row r="48" ht="15.75" customHeight="1">
      <c r="A48" s="79" t="s">
        <v>806</v>
      </c>
      <c r="B48" s="79" t="s">
        <v>475</v>
      </c>
      <c r="C48" s="79" t="s">
        <v>476</v>
      </c>
      <c r="D48" s="80">
        <v>46097.0</v>
      </c>
      <c r="E48" s="79" t="s">
        <v>799</v>
      </c>
      <c r="F48" s="79" t="s">
        <v>568</v>
      </c>
      <c r="G48" s="79" t="s">
        <v>655</v>
      </c>
      <c r="H48" s="79" t="s">
        <v>479</v>
      </c>
      <c r="I48" s="79"/>
      <c r="J48" s="79" t="s">
        <v>800</v>
      </c>
      <c r="K48" s="79">
        <v>0.0</v>
      </c>
      <c r="L48" s="79"/>
      <c r="M48" s="79" t="s">
        <v>801</v>
      </c>
      <c r="N48" s="79"/>
      <c r="O48" s="79"/>
      <c r="P48" s="79"/>
      <c r="Q48" s="79"/>
      <c r="R48" s="80">
        <v>46292.0</v>
      </c>
      <c r="S48" s="79"/>
      <c r="T48" s="79">
        <v>13069.0</v>
      </c>
      <c r="U48" s="79"/>
      <c r="V48" s="79"/>
      <c r="W48" s="80">
        <v>46097.0</v>
      </c>
      <c r="X48" s="79"/>
      <c r="Y48" s="80">
        <v>46097.0</v>
      </c>
      <c r="Z48" s="79" t="s">
        <v>486</v>
      </c>
      <c r="AA48" s="79" t="s">
        <v>537</v>
      </c>
      <c r="AB48" s="79" t="s">
        <v>486</v>
      </c>
      <c r="AC48" s="79" t="s">
        <v>488</v>
      </c>
      <c r="AD48" s="79">
        <v>9000.0</v>
      </c>
      <c r="AE48" s="79">
        <v>0.0</v>
      </c>
      <c r="AF48" s="79">
        <v>0.0</v>
      </c>
      <c r="AG48" s="79">
        <v>900.0</v>
      </c>
      <c r="AH48" s="81">
        <v>9900.0</v>
      </c>
      <c r="AI48" s="79"/>
      <c r="AJ48" s="79">
        <v>0.0</v>
      </c>
      <c r="AK48" s="79">
        <v>0.0</v>
      </c>
      <c r="AL48" s="79">
        <v>0.0</v>
      </c>
      <c r="AM48" s="79">
        <v>0.0</v>
      </c>
      <c r="AN48" s="79">
        <v>0.0</v>
      </c>
      <c r="AO48" s="79">
        <v>0.0</v>
      </c>
      <c r="AP48" s="79">
        <v>0.0</v>
      </c>
      <c r="AQ48" s="79">
        <v>9000.0</v>
      </c>
      <c r="AR48" s="79" t="s">
        <v>489</v>
      </c>
      <c r="AS48" s="79">
        <v>0.0</v>
      </c>
      <c r="AT48" s="79" t="s">
        <v>507</v>
      </c>
      <c r="AU48" s="79" t="s">
        <v>491</v>
      </c>
      <c r="AV48" s="79">
        <v>0.0</v>
      </c>
      <c r="AW48" s="79" t="s">
        <v>508</v>
      </c>
      <c r="AX48" s="79">
        <v>0.0</v>
      </c>
      <c r="AY48" s="79"/>
      <c r="AZ48" s="79">
        <v>0.0</v>
      </c>
      <c r="BA48" s="79"/>
      <c r="BB48" s="79">
        <v>0.0</v>
      </c>
      <c r="BC48" s="79"/>
      <c r="BD48" s="79">
        <v>0.0</v>
      </c>
      <c r="BE48" s="79"/>
      <c r="BF48" s="79">
        <v>0.0</v>
      </c>
      <c r="BG48" s="79"/>
      <c r="BH48" s="79">
        <v>0.0</v>
      </c>
      <c r="BI48" s="79" t="s">
        <v>493</v>
      </c>
      <c r="BJ48" s="79">
        <v>0.0</v>
      </c>
      <c r="BK48" s="79" t="s">
        <v>494</v>
      </c>
      <c r="BL48" s="79">
        <v>0.0</v>
      </c>
      <c r="BM48" s="79" t="s">
        <v>495</v>
      </c>
      <c r="BN48" s="79">
        <v>0.0</v>
      </c>
      <c r="BO48" s="79" t="s">
        <v>496</v>
      </c>
      <c r="BP48" s="79">
        <v>0.0</v>
      </c>
      <c r="BQ48" s="79"/>
      <c r="BR48" s="79">
        <v>0.0</v>
      </c>
      <c r="BS48" s="79"/>
      <c r="BT48" s="79">
        <v>0.0</v>
      </c>
      <c r="BU48" s="79"/>
      <c r="BV48" s="79">
        <v>0.0</v>
      </c>
      <c r="BW48" s="79"/>
      <c r="BX48" s="79">
        <v>0.0</v>
      </c>
      <c r="BY48" s="79">
        <v>0.0</v>
      </c>
      <c r="BZ48" s="79" t="s">
        <v>491</v>
      </c>
      <c r="CA48" s="79">
        <v>0.0</v>
      </c>
      <c r="CB48" s="79" t="s">
        <v>507</v>
      </c>
      <c r="CC48" s="79" t="s">
        <v>508</v>
      </c>
      <c r="CD48" s="79">
        <v>0.0</v>
      </c>
      <c r="CE48" s="79"/>
      <c r="CF48" s="79">
        <v>0.0</v>
      </c>
      <c r="CG48" s="79"/>
      <c r="CH48" s="79">
        <v>0.0</v>
      </c>
      <c r="CI48" s="79"/>
      <c r="CJ48" s="79">
        <v>0.0</v>
      </c>
      <c r="CK48" s="79"/>
      <c r="CL48" s="79">
        <v>0.0</v>
      </c>
      <c r="CM48" s="79"/>
      <c r="CN48" s="79">
        <v>0.0</v>
      </c>
      <c r="CO48" s="79" t="s">
        <v>493</v>
      </c>
      <c r="CP48" s="79">
        <v>0.0</v>
      </c>
      <c r="CQ48" s="79" t="s">
        <v>494</v>
      </c>
      <c r="CR48" s="79">
        <v>0.0</v>
      </c>
      <c r="CS48" s="79" t="s">
        <v>495</v>
      </c>
      <c r="CT48" s="79">
        <v>0.0</v>
      </c>
      <c r="CU48" s="79" t="s">
        <v>496</v>
      </c>
      <c r="CV48" s="79">
        <v>0.0</v>
      </c>
      <c r="CW48" s="79"/>
      <c r="CX48" s="79">
        <v>0.0</v>
      </c>
      <c r="CY48" s="79"/>
      <c r="CZ48" s="79">
        <v>0.0</v>
      </c>
      <c r="DA48" s="79"/>
      <c r="DB48" s="79">
        <v>0.0</v>
      </c>
      <c r="DC48" s="79"/>
      <c r="DD48" s="79">
        <v>0.0</v>
      </c>
      <c r="DE48" s="79">
        <v>9000.0</v>
      </c>
      <c r="DF48" s="79">
        <v>0.0</v>
      </c>
      <c r="DG48" s="79">
        <v>0.0</v>
      </c>
      <c r="DH48" s="79">
        <v>0.0</v>
      </c>
      <c r="DI48" s="79">
        <v>0.0</v>
      </c>
      <c r="DJ48" s="79" t="s">
        <v>802</v>
      </c>
      <c r="DK48" s="79" t="s">
        <v>486</v>
      </c>
      <c r="DL48" s="79" t="s">
        <v>537</v>
      </c>
      <c r="DM48" s="79" t="s">
        <v>803</v>
      </c>
      <c r="DN48" s="79" t="s">
        <v>804</v>
      </c>
      <c r="DO48" s="79" t="s">
        <v>805</v>
      </c>
      <c r="DP48" s="79"/>
      <c r="DQ48" s="79"/>
      <c r="DR48" s="79"/>
      <c r="DS48" s="79"/>
      <c r="DT48" s="82"/>
      <c r="DU48" s="79"/>
      <c r="DV48" s="82"/>
      <c r="DW48" s="79"/>
      <c r="DX48" s="79"/>
      <c r="DY48" s="79"/>
      <c r="DZ48" s="79"/>
      <c r="EA48" s="79"/>
      <c r="EB48" s="79"/>
      <c r="EC48" s="79"/>
      <c r="ED48" s="79"/>
      <c r="EE48" s="79"/>
      <c r="EF48" s="82"/>
      <c r="EG48" s="79"/>
      <c r="EH48" s="82"/>
      <c r="EI48" s="79"/>
      <c r="EJ48" s="82"/>
      <c r="EK48" s="79"/>
      <c r="EL48" s="82"/>
      <c r="EM48" s="79"/>
      <c r="EN48" s="79" t="s">
        <v>79</v>
      </c>
      <c r="EO48" s="79"/>
      <c r="EP48" s="80"/>
      <c r="EQ48" s="83"/>
      <c r="ER48" s="83" t="str">
        <f t="shared" si="1"/>
        <v/>
      </c>
      <c r="ES48" s="79"/>
      <c r="ET48" s="79" t="str">
        <f t="shared" si="2"/>
        <v/>
      </c>
      <c r="EU48" s="79"/>
      <c r="EV48" s="79"/>
      <c r="EW48" s="82"/>
      <c r="EX48" s="82"/>
      <c r="EY48" s="82"/>
      <c r="EZ48" s="79"/>
      <c r="FA48" s="79"/>
      <c r="FB48" s="79"/>
    </row>
    <row r="49" ht="15.75" customHeight="1">
      <c r="A49" s="19"/>
      <c r="B49" s="4" t="s">
        <v>468</v>
      </c>
      <c r="C49" s="4" t="s">
        <v>469</v>
      </c>
      <c r="D49" s="78">
        <v>46097.0</v>
      </c>
      <c r="E49" s="4" t="s">
        <v>807</v>
      </c>
      <c r="F49" s="19"/>
      <c r="AH49" s="23">
        <v>3236110.0</v>
      </c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19"/>
      <c r="CI49" s="19"/>
      <c r="CJ49" s="19"/>
      <c r="CK49" s="19"/>
      <c r="CL49" s="19"/>
      <c r="CM49" s="19"/>
      <c r="CN49" s="19"/>
      <c r="CO49" s="19"/>
      <c r="CP49" s="19"/>
      <c r="CQ49" s="19"/>
      <c r="CR49" s="19"/>
      <c r="CS49" s="19"/>
      <c r="CT49" s="19"/>
      <c r="CU49" s="19"/>
      <c r="CV49" s="19"/>
      <c r="CW49" s="19"/>
      <c r="CX49" s="19"/>
      <c r="CY49" s="19"/>
      <c r="CZ49" s="19"/>
      <c r="DA49" s="19"/>
      <c r="DB49" s="19"/>
      <c r="DC49" s="19"/>
      <c r="DD49" s="19"/>
      <c r="DE49" s="19"/>
      <c r="DF49" s="19"/>
      <c r="DG49" s="19"/>
      <c r="DH49" s="19"/>
      <c r="DI49" s="19"/>
      <c r="DJ49" s="19"/>
      <c r="DK49" s="19"/>
      <c r="DL49" s="19"/>
      <c r="DM49" s="19"/>
      <c r="DN49" s="19"/>
      <c r="DO49" s="19"/>
      <c r="DP49" s="19"/>
      <c r="DQ49" s="19"/>
      <c r="DR49" s="19"/>
      <c r="DS49" s="19"/>
      <c r="DT49" s="19"/>
      <c r="DU49" s="19"/>
      <c r="DV49" s="19"/>
      <c r="DW49" s="19"/>
      <c r="DX49" s="19"/>
      <c r="DY49" s="19"/>
      <c r="DZ49" s="19"/>
      <c r="EA49" s="19"/>
      <c r="EB49" s="19"/>
      <c r="EC49" s="19"/>
      <c r="ED49" s="19"/>
      <c r="EE49" s="19"/>
      <c r="EF49" s="19"/>
      <c r="EG49" s="19"/>
      <c r="EH49" s="19"/>
      <c r="EI49" s="19"/>
      <c r="EJ49" s="19"/>
      <c r="EK49" s="19"/>
      <c r="EL49" s="19"/>
      <c r="EM49" s="19"/>
      <c r="EN49" s="4" t="s">
        <v>79</v>
      </c>
      <c r="EO49" s="19"/>
      <c r="EP49" s="17"/>
      <c r="EQ49" s="23"/>
      <c r="ER49" s="23" t="str">
        <f t="shared" si="1"/>
        <v/>
      </c>
      <c r="ES49" s="19"/>
      <c r="ET49" s="19" t="str">
        <f t="shared" si="2"/>
        <v/>
      </c>
      <c r="EU49" s="19"/>
      <c r="EV49" s="19"/>
      <c r="EW49" s="19"/>
      <c r="EX49" s="19"/>
      <c r="EY49" s="19"/>
      <c r="EZ49" s="82"/>
      <c r="FA49" s="82"/>
      <c r="FB49" s="82"/>
    </row>
    <row r="50" ht="15.75" customHeight="1">
      <c r="A50" s="4" t="s">
        <v>808</v>
      </c>
      <c r="B50" s="4" t="s">
        <v>475</v>
      </c>
      <c r="C50" s="4" t="s">
        <v>476</v>
      </c>
      <c r="D50" s="78">
        <v>46097.0</v>
      </c>
      <c r="E50" s="4" t="s">
        <v>809</v>
      </c>
      <c r="F50" s="4" t="s">
        <v>810</v>
      </c>
      <c r="G50" s="4" t="s">
        <v>811</v>
      </c>
      <c r="R50" s="4" t="s">
        <v>812</v>
      </c>
      <c r="V50" s="4" t="s">
        <v>813</v>
      </c>
      <c r="Y50" s="4" t="s">
        <v>784</v>
      </c>
      <c r="Z50" s="4" t="s">
        <v>597</v>
      </c>
      <c r="AB50" s="4" t="s">
        <v>597</v>
      </c>
      <c r="AH50" s="23">
        <v>131252.0</v>
      </c>
      <c r="AL50" s="19"/>
      <c r="AM50" s="19"/>
      <c r="AN50" s="19"/>
      <c r="AO50" s="19"/>
      <c r="AP50" s="19"/>
      <c r="AQ50" s="4">
        <v>50843.0</v>
      </c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19"/>
      <c r="CI50" s="19"/>
      <c r="CJ50" s="19"/>
      <c r="CK50" s="19"/>
      <c r="CL50" s="19"/>
      <c r="CM50" s="19"/>
      <c r="CN50" s="19"/>
      <c r="CO50" s="19"/>
      <c r="CP50" s="19"/>
      <c r="CQ50" s="19"/>
      <c r="CR50" s="19"/>
      <c r="CS50" s="19"/>
      <c r="CT50" s="19"/>
      <c r="CU50" s="19"/>
      <c r="CV50" s="19"/>
      <c r="CW50" s="19"/>
      <c r="CX50" s="19"/>
      <c r="CY50" s="19"/>
      <c r="CZ50" s="19"/>
      <c r="DA50" s="19"/>
      <c r="DB50" s="19"/>
      <c r="DC50" s="19"/>
      <c r="DD50" s="19"/>
      <c r="DE50" s="19"/>
      <c r="DF50" s="19"/>
      <c r="DG50" s="19"/>
      <c r="DH50" s="19"/>
      <c r="DI50" s="19"/>
      <c r="DJ50" s="19"/>
      <c r="DK50" s="19"/>
      <c r="DL50" s="19"/>
      <c r="DM50" s="19"/>
      <c r="DN50" s="19"/>
      <c r="DO50" s="19"/>
      <c r="DP50" s="19"/>
      <c r="DQ50" s="19"/>
      <c r="DR50" s="19"/>
      <c r="DS50" s="19"/>
      <c r="DT50" s="19"/>
      <c r="DU50" s="19"/>
      <c r="DV50" s="19"/>
      <c r="DW50" s="19"/>
      <c r="DX50" s="19"/>
      <c r="DY50" s="19"/>
      <c r="DZ50" s="19"/>
      <c r="EA50" s="19"/>
      <c r="EB50" s="19"/>
      <c r="EC50" s="19"/>
      <c r="ED50" s="19"/>
      <c r="EE50" s="19"/>
      <c r="EF50" s="19"/>
      <c r="EG50" s="19"/>
      <c r="EH50" s="19"/>
      <c r="EI50" s="19"/>
      <c r="EJ50" s="19"/>
      <c r="EK50" s="19"/>
      <c r="EL50" s="19"/>
      <c r="EM50" s="19"/>
      <c r="EN50" s="4" t="s">
        <v>79</v>
      </c>
      <c r="EO50" s="19"/>
      <c r="EP50" s="17"/>
      <c r="EQ50" s="23"/>
      <c r="ER50" s="23" t="str">
        <f t="shared" si="1"/>
        <v/>
      </c>
      <c r="ES50" s="19"/>
      <c r="ET50" s="19" t="str">
        <f t="shared" si="2"/>
        <v/>
      </c>
      <c r="EU50" s="19"/>
      <c r="EV50" s="19"/>
      <c r="EW50" s="19"/>
      <c r="EX50" s="19"/>
      <c r="EY50" s="19"/>
      <c r="EZ50" s="79"/>
      <c r="FA50" s="79"/>
      <c r="FB50" s="79"/>
    </row>
    <row r="51" ht="15.75" customHeight="1">
      <c r="A51" s="19"/>
      <c r="B51" s="4" t="s">
        <v>468</v>
      </c>
      <c r="C51" s="4" t="s">
        <v>469</v>
      </c>
      <c r="D51" s="78">
        <v>46098.0</v>
      </c>
      <c r="E51" s="4" t="s">
        <v>814</v>
      </c>
      <c r="F51" s="19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23">
        <v>1.82E7</v>
      </c>
      <c r="AI51" s="4"/>
      <c r="AJ51" s="4"/>
      <c r="AK51" s="4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  <c r="CL51" s="19"/>
      <c r="CM51" s="19"/>
      <c r="CN51" s="19"/>
      <c r="CO51" s="19"/>
      <c r="CP51" s="19"/>
      <c r="CQ51" s="19"/>
      <c r="CR51" s="19"/>
      <c r="CS51" s="19"/>
      <c r="CT51" s="19"/>
      <c r="CU51" s="19"/>
      <c r="CV51" s="19"/>
      <c r="CW51" s="19"/>
      <c r="CX51" s="19"/>
      <c r="CY51" s="19"/>
      <c r="CZ51" s="19"/>
      <c r="DA51" s="19"/>
      <c r="DB51" s="19"/>
      <c r="DC51" s="19"/>
      <c r="DD51" s="19"/>
      <c r="DE51" s="19"/>
      <c r="DF51" s="19"/>
      <c r="DG51" s="19"/>
      <c r="DH51" s="19"/>
      <c r="DI51" s="19"/>
      <c r="DJ51" s="19"/>
      <c r="DK51" s="19"/>
      <c r="DL51" s="19"/>
      <c r="DM51" s="19"/>
      <c r="DN51" s="19"/>
      <c r="DO51" s="19"/>
      <c r="DP51" s="19"/>
      <c r="DQ51" s="19"/>
      <c r="DR51" s="19"/>
      <c r="DS51" s="19"/>
      <c r="DT51" s="19"/>
      <c r="DU51" s="19"/>
      <c r="DV51" s="19"/>
      <c r="DW51" s="19"/>
      <c r="DX51" s="19"/>
      <c r="DY51" s="19"/>
      <c r="DZ51" s="19"/>
      <c r="EA51" s="19"/>
      <c r="EB51" s="19"/>
      <c r="EC51" s="19"/>
      <c r="ED51" s="19"/>
      <c r="EE51" s="19"/>
      <c r="EF51" s="19"/>
      <c r="EG51" s="19"/>
      <c r="EH51" s="19"/>
      <c r="EI51" s="19"/>
      <c r="EJ51" s="19"/>
      <c r="EK51" s="19"/>
      <c r="EL51" s="19"/>
      <c r="EM51" s="19"/>
      <c r="EN51" s="4" t="s">
        <v>57</v>
      </c>
      <c r="EO51" s="19"/>
      <c r="EP51" s="17"/>
      <c r="EQ51" s="23"/>
      <c r="ER51" s="23" t="str">
        <f t="shared" si="1"/>
        <v/>
      </c>
      <c r="ES51" s="19"/>
      <c r="ET51" s="19" t="str">
        <f t="shared" si="2"/>
        <v/>
      </c>
      <c r="EU51" s="19"/>
      <c r="EV51" s="19"/>
      <c r="EW51" s="19"/>
      <c r="EX51" s="19"/>
      <c r="EY51" s="19"/>
      <c r="EZ51" s="82"/>
      <c r="FA51" s="82"/>
      <c r="FB51" s="82"/>
    </row>
    <row r="52" ht="15.75" customHeight="1">
      <c r="A52" s="19"/>
      <c r="B52" s="4" t="s">
        <v>468</v>
      </c>
      <c r="C52" s="4" t="s">
        <v>469</v>
      </c>
      <c r="D52" s="78">
        <v>46099.0</v>
      </c>
      <c r="E52" s="4" t="s">
        <v>815</v>
      </c>
      <c r="F52" s="1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23">
        <v>1.5712182E7</v>
      </c>
      <c r="AI52" s="4"/>
      <c r="AJ52" s="4"/>
      <c r="AK52" s="4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  <c r="CL52" s="19"/>
      <c r="CM52" s="19"/>
      <c r="CN52" s="19"/>
      <c r="CO52" s="19"/>
      <c r="CP52" s="19"/>
      <c r="CQ52" s="19"/>
      <c r="CR52" s="19"/>
      <c r="CS52" s="19"/>
      <c r="CT52" s="19"/>
      <c r="CU52" s="19"/>
      <c r="CV52" s="19"/>
      <c r="CW52" s="19"/>
      <c r="CX52" s="19"/>
      <c r="CY52" s="19"/>
      <c r="CZ52" s="19"/>
      <c r="DA52" s="19"/>
      <c r="DB52" s="19"/>
      <c r="DC52" s="19"/>
      <c r="DD52" s="19"/>
      <c r="DE52" s="19"/>
      <c r="DF52" s="19"/>
      <c r="DG52" s="19"/>
      <c r="DH52" s="19"/>
      <c r="DI52" s="19"/>
      <c r="DJ52" s="19"/>
      <c r="DK52" s="19"/>
      <c r="DL52" s="19"/>
      <c r="DM52" s="19"/>
      <c r="DN52" s="19"/>
      <c r="DO52" s="19"/>
      <c r="DP52" s="19"/>
      <c r="DQ52" s="19"/>
      <c r="DR52" s="19"/>
      <c r="DS52" s="19"/>
      <c r="DT52" s="19"/>
      <c r="DU52" s="19"/>
      <c r="DV52" s="19"/>
      <c r="DW52" s="19"/>
      <c r="DX52" s="19"/>
      <c r="DY52" s="19"/>
      <c r="DZ52" s="19"/>
      <c r="EA52" s="19"/>
      <c r="EB52" s="19"/>
      <c r="EC52" s="19"/>
      <c r="ED52" s="19"/>
      <c r="EE52" s="19"/>
      <c r="EF52" s="19"/>
      <c r="EG52" s="19"/>
      <c r="EH52" s="19"/>
      <c r="EI52" s="19"/>
      <c r="EJ52" s="19"/>
      <c r="EK52" s="19"/>
      <c r="EL52" s="19"/>
      <c r="EM52" s="19"/>
      <c r="EN52" s="4" t="s">
        <v>57</v>
      </c>
      <c r="EO52" s="4" t="s">
        <v>48</v>
      </c>
      <c r="EP52" s="17"/>
      <c r="EQ52" s="23"/>
      <c r="ER52" s="23" t="str">
        <f t="shared" si="1"/>
        <v/>
      </c>
      <c r="ES52" s="19"/>
      <c r="ET52" s="19" t="str">
        <f t="shared" si="2"/>
        <v/>
      </c>
      <c r="EU52" s="19"/>
      <c r="EV52" s="19"/>
      <c r="EW52" s="19"/>
      <c r="EX52" s="19"/>
      <c r="EY52" s="19"/>
      <c r="EZ52" s="79"/>
      <c r="FA52" s="79"/>
      <c r="FB52" s="79"/>
    </row>
    <row r="53" ht="15.75" customHeight="1">
      <c r="A53" s="79" t="s">
        <v>816</v>
      </c>
      <c r="B53" s="79" t="s">
        <v>591</v>
      </c>
      <c r="C53" s="79" t="s">
        <v>476</v>
      </c>
      <c r="D53" s="80">
        <v>46102.0</v>
      </c>
      <c r="E53" s="79" t="s">
        <v>817</v>
      </c>
      <c r="F53" s="79"/>
      <c r="G53" s="79" t="s">
        <v>818</v>
      </c>
      <c r="H53" s="79" t="s">
        <v>819</v>
      </c>
      <c r="I53" s="79" t="s">
        <v>737</v>
      </c>
      <c r="J53" s="79" t="s">
        <v>820</v>
      </c>
      <c r="K53" s="79">
        <v>1300.0</v>
      </c>
      <c r="L53" s="79" t="s">
        <v>821</v>
      </c>
      <c r="M53" s="79" t="s">
        <v>822</v>
      </c>
      <c r="N53" s="79"/>
      <c r="O53" s="79" t="s">
        <v>823</v>
      </c>
      <c r="P53" s="79" t="s">
        <v>824</v>
      </c>
      <c r="Q53" s="79" t="s">
        <v>825</v>
      </c>
      <c r="R53" s="80">
        <v>46862.0</v>
      </c>
      <c r="S53" s="79"/>
      <c r="T53" s="79">
        <v>173482.0</v>
      </c>
      <c r="U53" s="79"/>
      <c r="V53" s="79"/>
      <c r="W53" s="80">
        <v>46094.0</v>
      </c>
      <c r="X53" s="79"/>
      <c r="Y53" s="80">
        <v>46094.0</v>
      </c>
      <c r="Z53" s="79" t="s">
        <v>554</v>
      </c>
      <c r="AA53" s="79" t="s">
        <v>488</v>
      </c>
      <c r="AB53" s="79" t="s">
        <v>554</v>
      </c>
      <c r="AC53" s="79" t="s">
        <v>488</v>
      </c>
      <c r="AD53" s="79">
        <v>38182.0</v>
      </c>
      <c r="AE53" s="79">
        <v>6227.0</v>
      </c>
      <c r="AF53" s="79">
        <v>57650.0</v>
      </c>
      <c r="AG53" s="79">
        <v>4441.0</v>
      </c>
      <c r="AH53" s="81">
        <v>106500.0</v>
      </c>
      <c r="AI53" s="79"/>
      <c r="AJ53" s="79">
        <v>0.0</v>
      </c>
      <c r="AK53" s="79">
        <v>7535.0</v>
      </c>
      <c r="AL53" s="79">
        <v>800.0</v>
      </c>
      <c r="AM53" s="79">
        <v>57650.0</v>
      </c>
      <c r="AN53" s="79">
        <v>834.0</v>
      </c>
      <c r="AO53" s="79">
        <v>66819.0</v>
      </c>
      <c r="AP53" s="79">
        <v>0.0</v>
      </c>
      <c r="AQ53" s="79">
        <v>36074.0</v>
      </c>
      <c r="AR53" s="79" t="s">
        <v>556</v>
      </c>
      <c r="AS53" s="79">
        <v>5000.0</v>
      </c>
      <c r="AT53" s="79" t="s">
        <v>490</v>
      </c>
      <c r="AU53" s="79" t="s">
        <v>491</v>
      </c>
      <c r="AV53" s="79">
        <v>1227.0</v>
      </c>
      <c r="AW53" s="79" t="s">
        <v>492</v>
      </c>
      <c r="AX53" s="79">
        <v>0.0</v>
      </c>
      <c r="AY53" s="79"/>
      <c r="AZ53" s="79">
        <v>0.0</v>
      </c>
      <c r="BA53" s="79"/>
      <c r="BB53" s="79">
        <v>0.0</v>
      </c>
      <c r="BC53" s="79"/>
      <c r="BD53" s="79">
        <v>0.0</v>
      </c>
      <c r="BE53" s="79"/>
      <c r="BF53" s="79">
        <v>0.0</v>
      </c>
      <c r="BG53" s="79"/>
      <c r="BH53" s="79">
        <v>0.0</v>
      </c>
      <c r="BI53" s="79" t="s">
        <v>493</v>
      </c>
      <c r="BJ53" s="79">
        <v>17650.0</v>
      </c>
      <c r="BK53" s="79" t="s">
        <v>494</v>
      </c>
      <c r="BL53" s="79">
        <v>37800.0</v>
      </c>
      <c r="BM53" s="79" t="s">
        <v>495</v>
      </c>
      <c r="BN53" s="79">
        <v>2200.0</v>
      </c>
      <c r="BO53" s="79" t="s">
        <v>496</v>
      </c>
      <c r="BP53" s="79">
        <v>0.0</v>
      </c>
      <c r="BQ53" s="79"/>
      <c r="BR53" s="79">
        <v>0.0</v>
      </c>
      <c r="BS53" s="79"/>
      <c r="BT53" s="79">
        <v>0.0</v>
      </c>
      <c r="BU53" s="79"/>
      <c r="BV53" s="79">
        <v>0.0</v>
      </c>
      <c r="BW53" s="79"/>
      <c r="BX53" s="79">
        <v>0.0</v>
      </c>
      <c r="BY53" s="79">
        <v>0.0</v>
      </c>
      <c r="BZ53" s="79" t="s">
        <v>491</v>
      </c>
      <c r="CA53" s="79">
        <v>800.0</v>
      </c>
      <c r="CB53" s="79" t="s">
        <v>490</v>
      </c>
      <c r="CC53" s="79" t="s">
        <v>492</v>
      </c>
      <c r="CD53" s="79">
        <v>0.0</v>
      </c>
      <c r="CE53" s="79"/>
      <c r="CF53" s="79">
        <v>0.0</v>
      </c>
      <c r="CG53" s="79"/>
      <c r="CH53" s="79">
        <v>0.0</v>
      </c>
      <c r="CI53" s="79"/>
      <c r="CJ53" s="79">
        <v>0.0</v>
      </c>
      <c r="CK53" s="79"/>
      <c r="CL53" s="79">
        <v>0.0</v>
      </c>
      <c r="CM53" s="79"/>
      <c r="CN53" s="79">
        <v>0.0</v>
      </c>
      <c r="CO53" s="79" t="s">
        <v>493</v>
      </c>
      <c r="CP53" s="79">
        <v>17650.0</v>
      </c>
      <c r="CQ53" s="79" t="s">
        <v>494</v>
      </c>
      <c r="CR53" s="79">
        <v>37800.0</v>
      </c>
      <c r="CS53" s="79" t="s">
        <v>495</v>
      </c>
      <c r="CT53" s="79">
        <v>2200.0</v>
      </c>
      <c r="CU53" s="79" t="s">
        <v>496</v>
      </c>
      <c r="CV53" s="79">
        <v>0.0</v>
      </c>
      <c r="CW53" s="79"/>
      <c r="CX53" s="79">
        <v>0.0</v>
      </c>
      <c r="CY53" s="79"/>
      <c r="CZ53" s="79">
        <v>0.0</v>
      </c>
      <c r="DA53" s="79"/>
      <c r="DB53" s="79">
        <v>0.0</v>
      </c>
      <c r="DC53" s="79"/>
      <c r="DD53" s="79">
        <v>0.0</v>
      </c>
      <c r="DE53" s="79">
        <v>20250.0</v>
      </c>
      <c r="DF53" s="79">
        <v>17932.0</v>
      </c>
      <c r="DG53" s="79">
        <v>0.0</v>
      </c>
      <c r="DH53" s="79">
        <v>0.0</v>
      </c>
      <c r="DI53" s="79">
        <v>7535.0</v>
      </c>
      <c r="DJ53" s="79" t="s">
        <v>826</v>
      </c>
      <c r="DK53" s="79"/>
      <c r="DL53" s="79"/>
      <c r="DM53" s="79" t="s">
        <v>827</v>
      </c>
      <c r="DN53" s="79"/>
      <c r="DO53" s="79"/>
      <c r="DP53" s="79"/>
      <c r="DQ53" s="79"/>
      <c r="DR53" s="79"/>
      <c r="DS53" s="79"/>
      <c r="DT53" s="82"/>
      <c r="DU53" s="79"/>
      <c r="DV53" s="82"/>
      <c r="DW53" s="79"/>
      <c r="DX53" s="79"/>
      <c r="DY53" s="79"/>
      <c r="DZ53" s="79"/>
      <c r="EA53" s="79"/>
      <c r="EB53" s="79"/>
      <c r="EC53" s="79"/>
      <c r="ED53" s="79"/>
      <c r="EE53" s="79"/>
      <c r="EF53" s="82"/>
      <c r="EG53" s="79"/>
      <c r="EH53" s="82"/>
      <c r="EI53" s="79"/>
      <c r="EJ53" s="82"/>
      <c r="EK53" s="79"/>
      <c r="EL53" s="82"/>
      <c r="EM53" s="79"/>
      <c r="EN53" s="79" t="s">
        <v>79</v>
      </c>
      <c r="EO53" s="79"/>
      <c r="EP53" s="80"/>
      <c r="EQ53" s="83"/>
      <c r="ER53" s="83" t="str">
        <f t="shared" si="1"/>
        <v/>
      </c>
      <c r="ES53" s="79"/>
      <c r="ET53" s="79" t="str">
        <f t="shared" si="2"/>
        <v/>
      </c>
      <c r="EU53" s="79"/>
      <c r="EV53" s="79"/>
      <c r="EW53" s="82"/>
      <c r="EX53" s="82"/>
      <c r="EY53" s="82"/>
      <c r="EZ53" s="79"/>
      <c r="FA53" s="79"/>
      <c r="FB53" s="79"/>
    </row>
    <row r="54" ht="15.75" customHeight="1">
      <c r="A54" s="79" t="s">
        <v>828</v>
      </c>
      <c r="B54" s="79" t="s">
        <v>515</v>
      </c>
      <c r="C54" s="79" t="s">
        <v>476</v>
      </c>
      <c r="D54" s="80">
        <v>46102.0</v>
      </c>
      <c r="E54" s="79" t="s">
        <v>829</v>
      </c>
      <c r="F54" s="79" t="s">
        <v>568</v>
      </c>
      <c r="G54" s="79" t="s">
        <v>569</v>
      </c>
      <c r="H54" s="79" t="s">
        <v>479</v>
      </c>
      <c r="I54" s="79"/>
      <c r="J54" s="79" t="s">
        <v>830</v>
      </c>
      <c r="K54" s="79">
        <v>2000.0</v>
      </c>
      <c r="L54" s="79"/>
      <c r="M54" s="79" t="s">
        <v>506</v>
      </c>
      <c r="N54" s="79" t="s">
        <v>831</v>
      </c>
      <c r="O54" s="79" t="s">
        <v>484</v>
      </c>
      <c r="P54" s="79"/>
      <c r="Q54" s="79"/>
      <c r="R54" s="80">
        <v>46835.0</v>
      </c>
      <c r="S54" s="79"/>
      <c r="T54" s="79">
        <v>10386.0</v>
      </c>
      <c r="U54" s="79"/>
      <c r="V54" s="79"/>
      <c r="W54" s="80">
        <v>46102.0</v>
      </c>
      <c r="X54" s="79"/>
      <c r="Y54" s="80">
        <v>46102.0</v>
      </c>
      <c r="Z54" s="79" t="s">
        <v>486</v>
      </c>
      <c r="AA54" s="79" t="s">
        <v>487</v>
      </c>
      <c r="AB54" s="79" t="s">
        <v>486</v>
      </c>
      <c r="AC54" s="79" t="s">
        <v>488</v>
      </c>
      <c r="AD54" s="79">
        <v>17985.0</v>
      </c>
      <c r="AE54" s="79">
        <v>0.0</v>
      </c>
      <c r="AF54" s="79">
        <v>0.0</v>
      </c>
      <c r="AG54" s="79">
        <v>1799.0</v>
      </c>
      <c r="AH54" s="81">
        <v>19784.0</v>
      </c>
      <c r="AI54" s="79"/>
      <c r="AJ54" s="79">
        <v>0.0</v>
      </c>
      <c r="AK54" s="79">
        <v>650.0</v>
      </c>
      <c r="AL54" s="79">
        <v>0.0</v>
      </c>
      <c r="AM54" s="79">
        <v>0.0</v>
      </c>
      <c r="AN54" s="79">
        <v>65.0</v>
      </c>
      <c r="AO54" s="79">
        <v>715.0</v>
      </c>
      <c r="AP54" s="79">
        <v>0.0</v>
      </c>
      <c r="AQ54" s="79">
        <v>17335.0</v>
      </c>
      <c r="AR54" s="79" t="s">
        <v>489</v>
      </c>
      <c r="AS54" s="79">
        <v>0.0</v>
      </c>
      <c r="AT54" s="79" t="s">
        <v>507</v>
      </c>
      <c r="AU54" s="79" t="s">
        <v>491</v>
      </c>
      <c r="AV54" s="79">
        <v>0.0</v>
      </c>
      <c r="AW54" s="79" t="s">
        <v>508</v>
      </c>
      <c r="AX54" s="79">
        <v>0.0</v>
      </c>
      <c r="AY54" s="79"/>
      <c r="AZ54" s="79">
        <v>0.0</v>
      </c>
      <c r="BA54" s="79"/>
      <c r="BB54" s="79">
        <v>0.0</v>
      </c>
      <c r="BC54" s="79"/>
      <c r="BD54" s="79">
        <v>0.0</v>
      </c>
      <c r="BE54" s="79"/>
      <c r="BF54" s="79">
        <v>0.0</v>
      </c>
      <c r="BG54" s="79"/>
      <c r="BH54" s="79">
        <v>0.0</v>
      </c>
      <c r="BI54" s="79" t="s">
        <v>493</v>
      </c>
      <c r="BJ54" s="79">
        <v>0.0</v>
      </c>
      <c r="BK54" s="79" t="s">
        <v>494</v>
      </c>
      <c r="BL54" s="79">
        <v>0.0</v>
      </c>
      <c r="BM54" s="79" t="s">
        <v>495</v>
      </c>
      <c r="BN54" s="79">
        <v>0.0</v>
      </c>
      <c r="BO54" s="79" t="s">
        <v>496</v>
      </c>
      <c r="BP54" s="79">
        <v>0.0</v>
      </c>
      <c r="BQ54" s="79"/>
      <c r="BR54" s="79">
        <v>0.0</v>
      </c>
      <c r="BS54" s="79"/>
      <c r="BT54" s="79">
        <v>0.0</v>
      </c>
      <c r="BU54" s="79"/>
      <c r="BV54" s="79">
        <v>0.0</v>
      </c>
      <c r="BW54" s="79"/>
      <c r="BX54" s="79">
        <v>0.0</v>
      </c>
      <c r="BY54" s="79">
        <v>0.0</v>
      </c>
      <c r="BZ54" s="79" t="s">
        <v>491</v>
      </c>
      <c r="CA54" s="79">
        <v>0.0</v>
      </c>
      <c r="CB54" s="79" t="s">
        <v>507</v>
      </c>
      <c r="CC54" s="79" t="s">
        <v>508</v>
      </c>
      <c r="CD54" s="79">
        <v>0.0</v>
      </c>
      <c r="CE54" s="79"/>
      <c r="CF54" s="79">
        <v>0.0</v>
      </c>
      <c r="CG54" s="79"/>
      <c r="CH54" s="79">
        <v>0.0</v>
      </c>
      <c r="CI54" s="79"/>
      <c r="CJ54" s="79">
        <v>0.0</v>
      </c>
      <c r="CK54" s="79"/>
      <c r="CL54" s="79">
        <v>0.0</v>
      </c>
      <c r="CM54" s="79"/>
      <c r="CN54" s="79">
        <v>0.0</v>
      </c>
      <c r="CO54" s="79" t="s">
        <v>493</v>
      </c>
      <c r="CP54" s="79">
        <v>0.0</v>
      </c>
      <c r="CQ54" s="79" t="s">
        <v>494</v>
      </c>
      <c r="CR54" s="79">
        <v>0.0</v>
      </c>
      <c r="CS54" s="79" t="s">
        <v>495</v>
      </c>
      <c r="CT54" s="79">
        <v>0.0</v>
      </c>
      <c r="CU54" s="79" t="s">
        <v>496</v>
      </c>
      <c r="CV54" s="79">
        <v>0.0</v>
      </c>
      <c r="CW54" s="79"/>
      <c r="CX54" s="79">
        <v>0.0</v>
      </c>
      <c r="CY54" s="79"/>
      <c r="CZ54" s="79">
        <v>0.0</v>
      </c>
      <c r="DA54" s="79"/>
      <c r="DB54" s="79">
        <v>0.0</v>
      </c>
      <c r="DC54" s="79"/>
      <c r="DD54" s="79">
        <v>0.0</v>
      </c>
      <c r="DE54" s="79">
        <v>16435.0</v>
      </c>
      <c r="DF54" s="79">
        <v>1550.0</v>
      </c>
      <c r="DG54" s="79">
        <v>0.0</v>
      </c>
      <c r="DH54" s="79">
        <v>0.0</v>
      </c>
      <c r="DI54" s="79">
        <v>650.0</v>
      </c>
      <c r="DJ54" s="79" t="s">
        <v>832</v>
      </c>
      <c r="DK54" s="79" t="s">
        <v>486</v>
      </c>
      <c r="DL54" s="79" t="s">
        <v>487</v>
      </c>
      <c r="DM54" s="79" t="s">
        <v>833</v>
      </c>
      <c r="DN54" s="79" t="s">
        <v>834</v>
      </c>
      <c r="DO54" s="79"/>
      <c r="DP54" s="79"/>
      <c r="DQ54" s="79"/>
      <c r="DR54" s="79"/>
      <c r="DS54" s="79"/>
      <c r="DT54" s="82"/>
      <c r="DU54" s="79"/>
      <c r="DV54" s="82"/>
      <c r="DW54" s="79"/>
      <c r="DX54" s="79"/>
      <c r="DY54" s="79"/>
      <c r="DZ54" s="79"/>
      <c r="EA54" s="79"/>
      <c r="EB54" s="79"/>
      <c r="EC54" s="79"/>
      <c r="ED54" s="79"/>
      <c r="EE54" s="79"/>
      <c r="EF54" s="82"/>
      <c r="EG54" s="79"/>
      <c r="EH54" s="82"/>
      <c r="EI54" s="79"/>
      <c r="EJ54" s="82"/>
      <c r="EK54" s="79"/>
      <c r="EL54" s="82"/>
      <c r="EM54" s="79"/>
      <c r="EN54" s="79" t="s">
        <v>79</v>
      </c>
      <c r="EO54" s="79"/>
      <c r="EP54" s="80"/>
      <c r="EQ54" s="83"/>
      <c r="ER54" s="83" t="str">
        <f t="shared" si="1"/>
        <v/>
      </c>
      <c r="ES54" s="79"/>
      <c r="ET54" s="82" t="str">
        <f t="shared" si="2"/>
        <v/>
      </c>
      <c r="EU54" s="82"/>
      <c r="EV54" s="79"/>
      <c r="EW54" s="82"/>
      <c r="EX54" s="82"/>
      <c r="EY54" s="82"/>
      <c r="EZ54" s="79"/>
      <c r="FA54" s="79"/>
      <c r="FB54" s="79"/>
    </row>
    <row r="55" ht="15.75" customHeight="1">
      <c r="A55" s="79" t="s">
        <v>835</v>
      </c>
      <c r="B55" s="79" t="s">
        <v>591</v>
      </c>
      <c r="C55" s="79" t="s">
        <v>476</v>
      </c>
      <c r="D55" s="80">
        <v>46102.0</v>
      </c>
      <c r="E55" s="79" t="s">
        <v>644</v>
      </c>
      <c r="F55" s="79"/>
      <c r="G55" s="79" t="s">
        <v>600</v>
      </c>
      <c r="H55" s="79" t="s">
        <v>611</v>
      </c>
      <c r="I55" s="79"/>
      <c r="J55" s="79" t="s">
        <v>645</v>
      </c>
      <c r="K55" s="79">
        <v>0.0</v>
      </c>
      <c r="L55" s="79"/>
      <c r="M55" s="79" t="s">
        <v>613</v>
      </c>
      <c r="N55" s="79" t="s">
        <v>646</v>
      </c>
      <c r="O55" s="79"/>
      <c r="P55" s="79"/>
      <c r="Q55" s="79" t="s">
        <v>647</v>
      </c>
      <c r="R55" s="80">
        <v>46108.0</v>
      </c>
      <c r="S55" s="79"/>
      <c r="T55" s="79">
        <v>12219.0</v>
      </c>
      <c r="U55" s="79"/>
      <c r="V55" s="79"/>
      <c r="W55" s="80">
        <v>46086.0</v>
      </c>
      <c r="X55" s="79"/>
      <c r="Y55" s="80">
        <v>46090.0</v>
      </c>
      <c r="Z55" s="79" t="s">
        <v>486</v>
      </c>
      <c r="AA55" s="79" t="s">
        <v>487</v>
      </c>
      <c r="AB55" s="79" t="s">
        <v>486</v>
      </c>
      <c r="AC55" s="79" t="s">
        <v>488</v>
      </c>
      <c r="AD55" s="79">
        <v>185400.0</v>
      </c>
      <c r="AE55" s="79">
        <v>12000.0</v>
      </c>
      <c r="AF55" s="79">
        <v>60950.0</v>
      </c>
      <c r="AG55" s="79">
        <v>19740.0</v>
      </c>
      <c r="AH55" s="81">
        <v>278090.0</v>
      </c>
      <c r="AI55" s="79"/>
      <c r="AJ55" s="79">
        <v>0.0</v>
      </c>
      <c r="AK55" s="79">
        <v>46365.0</v>
      </c>
      <c r="AL55" s="79">
        <v>800.0</v>
      </c>
      <c r="AM55" s="79">
        <v>60950.0</v>
      </c>
      <c r="AN55" s="79">
        <v>4717.0</v>
      </c>
      <c r="AO55" s="79">
        <v>112832.0</v>
      </c>
      <c r="AP55" s="79">
        <v>0.0</v>
      </c>
      <c r="AQ55" s="79">
        <v>150235.0</v>
      </c>
      <c r="AR55" s="79" t="s">
        <v>489</v>
      </c>
      <c r="AS55" s="79">
        <v>12000.0</v>
      </c>
      <c r="AT55" s="79" t="s">
        <v>836</v>
      </c>
      <c r="AU55" s="79" t="s">
        <v>491</v>
      </c>
      <c r="AV55" s="79">
        <v>0.0</v>
      </c>
      <c r="AW55" s="79"/>
      <c r="AX55" s="79">
        <v>0.0</v>
      </c>
      <c r="AY55" s="79"/>
      <c r="AZ55" s="79">
        <v>0.0</v>
      </c>
      <c r="BA55" s="79"/>
      <c r="BB55" s="79">
        <v>0.0</v>
      </c>
      <c r="BC55" s="79"/>
      <c r="BD55" s="79">
        <v>0.0</v>
      </c>
      <c r="BE55" s="79"/>
      <c r="BF55" s="79">
        <v>0.0</v>
      </c>
      <c r="BG55" s="79"/>
      <c r="BH55" s="79">
        <v>0.0</v>
      </c>
      <c r="BI55" s="79" t="s">
        <v>493</v>
      </c>
      <c r="BJ55" s="79">
        <v>17650.0</v>
      </c>
      <c r="BK55" s="79" t="s">
        <v>494</v>
      </c>
      <c r="BL55" s="79">
        <v>41000.0</v>
      </c>
      <c r="BM55" s="79" t="s">
        <v>495</v>
      </c>
      <c r="BN55" s="79">
        <v>2300.0</v>
      </c>
      <c r="BO55" s="79" t="s">
        <v>496</v>
      </c>
      <c r="BP55" s="79">
        <v>0.0</v>
      </c>
      <c r="BQ55" s="79"/>
      <c r="BR55" s="79">
        <v>0.0</v>
      </c>
      <c r="BS55" s="79"/>
      <c r="BT55" s="79">
        <v>0.0</v>
      </c>
      <c r="BU55" s="79"/>
      <c r="BV55" s="79">
        <v>0.0</v>
      </c>
      <c r="BW55" s="79"/>
      <c r="BX55" s="79">
        <v>0.0</v>
      </c>
      <c r="BY55" s="79">
        <v>0.0</v>
      </c>
      <c r="BZ55" s="79" t="s">
        <v>491</v>
      </c>
      <c r="CA55" s="79">
        <v>800.0</v>
      </c>
      <c r="CB55" s="79" t="s">
        <v>836</v>
      </c>
      <c r="CC55" s="79"/>
      <c r="CD55" s="79">
        <v>0.0</v>
      </c>
      <c r="CE55" s="79"/>
      <c r="CF55" s="79">
        <v>0.0</v>
      </c>
      <c r="CG55" s="79"/>
      <c r="CH55" s="79">
        <v>0.0</v>
      </c>
      <c r="CI55" s="79"/>
      <c r="CJ55" s="79">
        <v>0.0</v>
      </c>
      <c r="CK55" s="79"/>
      <c r="CL55" s="79">
        <v>0.0</v>
      </c>
      <c r="CM55" s="79"/>
      <c r="CN55" s="79">
        <v>0.0</v>
      </c>
      <c r="CO55" s="79" t="s">
        <v>493</v>
      </c>
      <c r="CP55" s="79">
        <v>17650.0</v>
      </c>
      <c r="CQ55" s="79" t="s">
        <v>494</v>
      </c>
      <c r="CR55" s="79">
        <v>41000.0</v>
      </c>
      <c r="CS55" s="79" t="s">
        <v>495</v>
      </c>
      <c r="CT55" s="79">
        <v>2300.0</v>
      </c>
      <c r="CU55" s="79" t="s">
        <v>496</v>
      </c>
      <c r="CV55" s="79">
        <v>0.0</v>
      </c>
      <c r="CW55" s="79"/>
      <c r="CX55" s="79">
        <v>0.0</v>
      </c>
      <c r="CY55" s="79"/>
      <c r="CZ55" s="79">
        <v>0.0</v>
      </c>
      <c r="DA55" s="79"/>
      <c r="DB55" s="79">
        <v>0.0</v>
      </c>
      <c r="DC55" s="79"/>
      <c r="DD55" s="79">
        <v>0.0</v>
      </c>
      <c r="DE55" s="79">
        <v>89300.0</v>
      </c>
      <c r="DF55" s="79">
        <v>96100.0</v>
      </c>
      <c r="DG55" s="79">
        <v>0.0</v>
      </c>
      <c r="DH55" s="79">
        <v>0.0</v>
      </c>
      <c r="DI55" s="79">
        <v>46365.0</v>
      </c>
      <c r="DJ55" s="79" t="s">
        <v>648</v>
      </c>
      <c r="DK55" s="79" t="s">
        <v>486</v>
      </c>
      <c r="DL55" s="79" t="s">
        <v>487</v>
      </c>
      <c r="DM55" s="79" t="s">
        <v>649</v>
      </c>
      <c r="DN55" s="79" t="s">
        <v>650</v>
      </c>
      <c r="DO55" s="79" t="s">
        <v>651</v>
      </c>
      <c r="DP55" s="79"/>
      <c r="DQ55" s="79"/>
      <c r="DR55" s="79"/>
      <c r="DS55" s="79"/>
      <c r="DT55" s="82"/>
      <c r="DU55" s="79"/>
      <c r="DV55" s="82"/>
      <c r="DW55" s="79"/>
      <c r="DX55" s="79"/>
      <c r="DY55" s="79"/>
      <c r="DZ55" s="79"/>
      <c r="EA55" s="79"/>
      <c r="EB55" s="79"/>
      <c r="EC55" s="79"/>
      <c r="ED55" s="79"/>
      <c r="EE55" s="79"/>
      <c r="EF55" s="82"/>
      <c r="EG55" s="79"/>
      <c r="EH55" s="82"/>
      <c r="EI55" s="79"/>
      <c r="EJ55" s="82"/>
      <c r="EK55" s="79"/>
      <c r="EL55" s="82"/>
      <c r="EM55" s="79"/>
      <c r="EN55" s="79" t="s">
        <v>79</v>
      </c>
      <c r="EO55" s="79"/>
      <c r="EP55" s="80"/>
      <c r="EQ55" s="83"/>
      <c r="ER55" s="83" t="str">
        <f t="shared" si="1"/>
        <v/>
      </c>
      <c r="ES55" s="82"/>
      <c r="ET55" s="82" t="str">
        <f t="shared" si="2"/>
        <v/>
      </c>
      <c r="EU55" s="82"/>
      <c r="EV55" s="79"/>
      <c r="EW55" s="82"/>
      <c r="EX55" s="82"/>
      <c r="EY55" s="82"/>
      <c r="EZ55" s="79"/>
      <c r="FA55" s="79"/>
      <c r="FB55" s="79"/>
    </row>
    <row r="56" ht="15.75" customHeight="1">
      <c r="A56" s="79" t="s">
        <v>837</v>
      </c>
      <c r="B56" s="79" t="s">
        <v>591</v>
      </c>
      <c r="C56" s="79" t="s">
        <v>476</v>
      </c>
      <c r="D56" s="80">
        <v>46102.0</v>
      </c>
      <c r="E56" s="79" t="s">
        <v>838</v>
      </c>
      <c r="F56" s="79"/>
      <c r="G56" s="79" t="s">
        <v>839</v>
      </c>
      <c r="H56" s="79" t="s">
        <v>840</v>
      </c>
      <c r="I56" s="79" t="s">
        <v>841</v>
      </c>
      <c r="J56" s="79" t="s">
        <v>842</v>
      </c>
      <c r="K56" s="79">
        <v>2000.0</v>
      </c>
      <c r="L56" s="79" t="s">
        <v>843</v>
      </c>
      <c r="M56" s="79" t="s">
        <v>844</v>
      </c>
      <c r="N56" s="79" t="s">
        <v>572</v>
      </c>
      <c r="O56" s="79" t="s">
        <v>484</v>
      </c>
      <c r="P56" s="79" t="s">
        <v>845</v>
      </c>
      <c r="Q56" s="79" t="s">
        <v>846</v>
      </c>
      <c r="R56" s="80">
        <v>46838.0</v>
      </c>
      <c r="S56" s="79"/>
      <c r="T56" s="79">
        <v>39170.0</v>
      </c>
      <c r="U56" s="79"/>
      <c r="V56" s="79"/>
      <c r="W56" s="80">
        <v>46088.0</v>
      </c>
      <c r="X56" s="79"/>
      <c r="Y56" s="79"/>
      <c r="Z56" s="79" t="s">
        <v>486</v>
      </c>
      <c r="AA56" s="79" t="s">
        <v>487</v>
      </c>
      <c r="AB56" s="79" t="s">
        <v>486</v>
      </c>
      <c r="AC56" s="79" t="s">
        <v>488</v>
      </c>
      <c r="AD56" s="79">
        <v>264940.0</v>
      </c>
      <c r="AE56" s="79">
        <v>12000.0</v>
      </c>
      <c r="AF56" s="79">
        <v>52750.0</v>
      </c>
      <c r="AG56" s="79">
        <v>27694.0</v>
      </c>
      <c r="AH56" s="81">
        <v>357384.0</v>
      </c>
      <c r="AI56" s="79"/>
      <c r="AJ56" s="79">
        <v>0.0</v>
      </c>
      <c r="AK56" s="79">
        <v>84931.0</v>
      </c>
      <c r="AL56" s="79">
        <v>800.0</v>
      </c>
      <c r="AM56" s="79">
        <v>52750.0</v>
      </c>
      <c r="AN56" s="79">
        <v>8575.0</v>
      </c>
      <c r="AO56" s="79">
        <v>147056.0</v>
      </c>
      <c r="AP56" s="79">
        <v>0.0</v>
      </c>
      <c r="AQ56" s="79">
        <v>191209.0</v>
      </c>
      <c r="AR56" s="79" t="s">
        <v>489</v>
      </c>
      <c r="AS56" s="79">
        <v>12000.0</v>
      </c>
      <c r="AT56" s="79" t="s">
        <v>836</v>
      </c>
      <c r="AU56" s="79" t="s">
        <v>491</v>
      </c>
      <c r="AV56" s="79">
        <v>0.0</v>
      </c>
      <c r="AW56" s="79"/>
      <c r="AX56" s="79">
        <v>0.0</v>
      </c>
      <c r="AY56" s="79"/>
      <c r="AZ56" s="79">
        <v>0.0</v>
      </c>
      <c r="BA56" s="79"/>
      <c r="BB56" s="79">
        <v>0.0</v>
      </c>
      <c r="BC56" s="79"/>
      <c r="BD56" s="79">
        <v>0.0</v>
      </c>
      <c r="BE56" s="79"/>
      <c r="BF56" s="79">
        <v>0.0</v>
      </c>
      <c r="BG56" s="79"/>
      <c r="BH56" s="79">
        <v>0.0</v>
      </c>
      <c r="BI56" s="79" t="s">
        <v>493</v>
      </c>
      <c r="BJ56" s="79">
        <v>17650.0</v>
      </c>
      <c r="BK56" s="79" t="s">
        <v>494</v>
      </c>
      <c r="BL56" s="79">
        <v>32800.0</v>
      </c>
      <c r="BM56" s="79" t="s">
        <v>495</v>
      </c>
      <c r="BN56" s="79">
        <v>2300.0</v>
      </c>
      <c r="BO56" s="79" t="s">
        <v>496</v>
      </c>
      <c r="BP56" s="79">
        <v>0.0</v>
      </c>
      <c r="BQ56" s="79"/>
      <c r="BR56" s="79">
        <v>0.0</v>
      </c>
      <c r="BS56" s="79"/>
      <c r="BT56" s="79">
        <v>0.0</v>
      </c>
      <c r="BU56" s="79"/>
      <c r="BV56" s="79">
        <v>0.0</v>
      </c>
      <c r="BW56" s="79"/>
      <c r="BX56" s="79">
        <v>0.0</v>
      </c>
      <c r="BY56" s="79">
        <v>0.0</v>
      </c>
      <c r="BZ56" s="79" t="s">
        <v>491</v>
      </c>
      <c r="CA56" s="79">
        <v>800.0</v>
      </c>
      <c r="CB56" s="79" t="s">
        <v>836</v>
      </c>
      <c r="CC56" s="79"/>
      <c r="CD56" s="79">
        <v>0.0</v>
      </c>
      <c r="CE56" s="79"/>
      <c r="CF56" s="79">
        <v>0.0</v>
      </c>
      <c r="CG56" s="79"/>
      <c r="CH56" s="79">
        <v>0.0</v>
      </c>
      <c r="CI56" s="79"/>
      <c r="CJ56" s="79">
        <v>0.0</v>
      </c>
      <c r="CK56" s="79"/>
      <c r="CL56" s="79">
        <v>0.0</v>
      </c>
      <c r="CM56" s="79"/>
      <c r="CN56" s="79">
        <v>0.0</v>
      </c>
      <c r="CO56" s="79" t="s">
        <v>493</v>
      </c>
      <c r="CP56" s="79">
        <v>17650.0</v>
      </c>
      <c r="CQ56" s="79" t="s">
        <v>494</v>
      </c>
      <c r="CR56" s="79">
        <v>32800.0</v>
      </c>
      <c r="CS56" s="79" t="s">
        <v>495</v>
      </c>
      <c r="CT56" s="79">
        <v>2300.0</v>
      </c>
      <c r="CU56" s="79" t="s">
        <v>496</v>
      </c>
      <c r="CV56" s="79">
        <v>0.0</v>
      </c>
      <c r="CW56" s="79"/>
      <c r="CX56" s="79">
        <v>0.0</v>
      </c>
      <c r="CY56" s="79"/>
      <c r="CZ56" s="79">
        <v>0.0</v>
      </c>
      <c r="DA56" s="79"/>
      <c r="DB56" s="79">
        <v>0.0</v>
      </c>
      <c r="DC56" s="79"/>
      <c r="DD56" s="79">
        <v>0.0</v>
      </c>
      <c r="DE56" s="79">
        <v>132700.0</v>
      </c>
      <c r="DF56" s="79">
        <v>132240.0</v>
      </c>
      <c r="DG56" s="79">
        <v>0.0</v>
      </c>
      <c r="DH56" s="79">
        <v>0.0</v>
      </c>
      <c r="DI56" s="79">
        <v>84931.0</v>
      </c>
      <c r="DJ56" s="79" t="s">
        <v>847</v>
      </c>
      <c r="DK56" s="79" t="s">
        <v>486</v>
      </c>
      <c r="DL56" s="79" t="s">
        <v>487</v>
      </c>
      <c r="DM56" s="79" t="s">
        <v>848</v>
      </c>
      <c r="DN56" s="79"/>
      <c r="DO56" s="79" t="s">
        <v>849</v>
      </c>
      <c r="DP56" s="79"/>
      <c r="DQ56" s="79"/>
      <c r="DR56" s="79"/>
      <c r="DS56" s="79"/>
      <c r="DT56" s="82"/>
      <c r="DU56" s="79"/>
      <c r="DV56" s="82"/>
      <c r="DW56" s="79"/>
      <c r="DX56" s="79"/>
      <c r="DY56" s="79"/>
      <c r="DZ56" s="79"/>
      <c r="EA56" s="79"/>
      <c r="EB56" s="79"/>
      <c r="EC56" s="79"/>
      <c r="ED56" s="79"/>
      <c r="EE56" s="79"/>
      <c r="EF56" s="82"/>
      <c r="EG56" s="79"/>
      <c r="EH56" s="82"/>
      <c r="EI56" s="79"/>
      <c r="EJ56" s="82"/>
      <c r="EK56" s="79"/>
      <c r="EL56" s="82"/>
      <c r="EM56" s="79"/>
      <c r="EN56" s="79" t="s">
        <v>79</v>
      </c>
      <c r="EO56" s="79"/>
      <c r="EP56" s="80"/>
      <c r="EQ56" s="83"/>
      <c r="ER56" s="83" t="str">
        <f t="shared" si="1"/>
        <v/>
      </c>
      <c r="ES56" s="82"/>
      <c r="ET56" s="79" t="str">
        <f t="shared" si="2"/>
        <v/>
      </c>
      <c r="EU56" s="79"/>
      <c r="EV56" s="79"/>
      <c r="EW56" s="82"/>
      <c r="EX56" s="82"/>
      <c r="EY56" s="82"/>
      <c r="EZ56" s="82"/>
      <c r="FA56" s="82"/>
      <c r="FB56" s="82"/>
    </row>
    <row r="57" ht="15.75" customHeight="1">
      <c r="A57" s="79" t="s">
        <v>850</v>
      </c>
      <c r="B57" s="79" t="s">
        <v>591</v>
      </c>
      <c r="C57" s="79" t="s">
        <v>476</v>
      </c>
      <c r="D57" s="80">
        <v>46102.0</v>
      </c>
      <c r="E57" s="79" t="s">
        <v>851</v>
      </c>
      <c r="F57" s="79"/>
      <c r="G57" s="79" t="s">
        <v>852</v>
      </c>
      <c r="H57" s="79" t="s">
        <v>853</v>
      </c>
      <c r="I57" s="79" t="s">
        <v>621</v>
      </c>
      <c r="J57" s="79" t="s">
        <v>854</v>
      </c>
      <c r="K57" s="79">
        <v>3000.0</v>
      </c>
      <c r="L57" s="79" t="s">
        <v>623</v>
      </c>
      <c r="M57" s="79" t="s">
        <v>855</v>
      </c>
      <c r="N57" s="79"/>
      <c r="O57" s="79" t="s">
        <v>856</v>
      </c>
      <c r="P57" s="79" t="s">
        <v>857</v>
      </c>
      <c r="Q57" s="79" t="s">
        <v>858</v>
      </c>
      <c r="R57" s="80">
        <v>46830.0</v>
      </c>
      <c r="S57" s="79"/>
      <c r="T57" s="79">
        <v>66542.0</v>
      </c>
      <c r="U57" s="79"/>
      <c r="V57" s="79"/>
      <c r="W57" s="79"/>
      <c r="X57" s="79"/>
      <c r="Y57" s="79"/>
      <c r="Z57" s="79" t="s">
        <v>554</v>
      </c>
      <c r="AA57" s="79" t="s">
        <v>487</v>
      </c>
      <c r="AB57" s="79" t="s">
        <v>554</v>
      </c>
      <c r="AC57" s="79" t="s">
        <v>488</v>
      </c>
      <c r="AD57" s="79">
        <v>157350.0</v>
      </c>
      <c r="AE57" s="79">
        <v>11227.0</v>
      </c>
      <c r="AF57" s="79">
        <v>57750.0</v>
      </c>
      <c r="AG57" s="79">
        <v>16858.0</v>
      </c>
      <c r="AH57" s="81">
        <v>243185.0</v>
      </c>
      <c r="AI57" s="79"/>
      <c r="AJ57" s="79">
        <v>0.0</v>
      </c>
      <c r="AK57" s="79">
        <v>39994.0</v>
      </c>
      <c r="AL57" s="79">
        <v>0.0</v>
      </c>
      <c r="AM57" s="79">
        <v>57750.0</v>
      </c>
      <c r="AN57" s="79">
        <v>4000.0</v>
      </c>
      <c r="AO57" s="79">
        <v>101744.0</v>
      </c>
      <c r="AP57" s="79">
        <v>0.0</v>
      </c>
      <c r="AQ57" s="79">
        <v>128583.0</v>
      </c>
      <c r="AR57" s="79" t="s">
        <v>556</v>
      </c>
      <c r="AS57" s="79">
        <v>10000.0</v>
      </c>
      <c r="AT57" s="79" t="s">
        <v>836</v>
      </c>
      <c r="AU57" s="79" t="s">
        <v>491</v>
      </c>
      <c r="AV57" s="79">
        <v>1227.0</v>
      </c>
      <c r="AW57" s="79"/>
      <c r="AX57" s="79">
        <v>0.0</v>
      </c>
      <c r="AY57" s="79"/>
      <c r="AZ57" s="79">
        <v>0.0</v>
      </c>
      <c r="BA57" s="79"/>
      <c r="BB57" s="79">
        <v>0.0</v>
      </c>
      <c r="BC57" s="79"/>
      <c r="BD57" s="79">
        <v>0.0</v>
      </c>
      <c r="BE57" s="79"/>
      <c r="BF57" s="79">
        <v>0.0</v>
      </c>
      <c r="BG57" s="79"/>
      <c r="BH57" s="79">
        <v>0.0</v>
      </c>
      <c r="BI57" s="79" t="s">
        <v>493</v>
      </c>
      <c r="BJ57" s="79">
        <v>17650.0</v>
      </c>
      <c r="BK57" s="79" t="s">
        <v>494</v>
      </c>
      <c r="BL57" s="79">
        <v>37800.0</v>
      </c>
      <c r="BM57" s="79" t="s">
        <v>495</v>
      </c>
      <c r="BN57" s="79">
        <v>2300.0</v>
      </c>
      <c r="BO57" s="79"/>
      <c r="BP57" s="79">
        <v>0.0</v>
      </c>
      <c r="BQ57" s="79"/>
      <c r="BR57" s="79">
        <v>0.0</v>
      </c>
      <c r="BS57" s="79"/>
      <c r="BT57" s="79">
        <v>0.0</v>
      </c>
      <c r="BU57" s="79"/>
      <c r="BV57" s="79">
        <v>0.0</v>
      </c>
      <c r="BW57" s="79"/>
      <c r="BX57" s="79">
        <v>0.0</v>
      </c>
      <c r="BY57" s="79">
        <v>0.0</v>
      </c>
      <c r="BZ57" s="79" t="s">
        <v>491</v>
      </c>
      <c r="CA57" s="79">
        <v>0.0</v>
      </c>
      <c r="CB57" s="79" t="s">
        <v>836</v>
      </c>
      <c r="CC57" s="79"/>
      <c r="CD57" s="79">
        <v>0.0</v>
      </c>
      <c r="CE57" s="79"/>
      <c r="CF57" s="79">
        <v>0.0</v>
      </c>
      <c r="CG57" s="79"/>
      <c r="CH57" s="79">
        <v>0.0</v>
      </c>
      <c r="CI57" s="79"/>
      <c r="CJ57" s="79">
        <v>0.0</v>
      </c>
      <c r="CK57" s="79"/>
      <c r="CL57" s="79">
        <v>0.0</v>
      </c>
      <c r="CM57" s="79"/>
      <c r="CN57" s="79">
        <v>0.0</v>
      </c>
      <c r="CO57" s="79" t="s">
        <v>493</v>
      </c>
      <c r="CP57" s="79">
        <v>17650.0</v>
      </c>
      <c r="CQ57" s="79" t="s">
        <v>494</v>
      </c>
      <c r="CR57" s="79">
        <v>37800.0</v>
      </c>
      <c r="CS57" s="79" t="s">
        <v>495</v>
      </c>
      <c r="CT57" s="79">
        <v>2300.0</v>
      </c>
      <c r="CU57" s="79"/>
      <c r="CV57" s="79">
        <v>0.0</v>
      </c>
      <c r="CW57" s="79"/>
      <c r="CX57" s="79">
        <v>0.0</v>
      </c>
      <c r="CY57" s="79"/>
      <c r="CZ57" s="79">
        <v>0.0</v>
      </c>
      <c r="DA57" s="79"/>
      <c r="DB57" s="79">
        <v>0.0</v>
      </c>
      <c r="DC57" s="79"/>
      <c r="DD57" s="79">
        <v>0.0</v>
      </c>
      <c r="DE57" s="79">
        <v>79000.0</v>
      </c>
      <c r="DF57" s="79">
        <v>78350.0</v>
      </c>
      <c r="DG57" s="79">
        <v>0.0</v>
      </c>
      <c r="DH57" s="79">
        <v>0.0</v>
      </c>
      <c r="DI57" s="79">
        <v>39994.0</v>
      </c>
      <c r="DJ57" s="79" t="s">
        <v>859</v>
      </c>
      <c r="DK57" s="79" t="s">
        <v>554</v>
      </c>
      <c r="DL57" s="79" t="s">
        <v>487</v>
      </c>
      <c r="DM57" s="79" t="s">
        <v>860</v>
      </c>
      <c r="DN57" s="79" t="s">
        <v>861</v>
      </c>
      <c r="DO57" s="79" t="s">
        <v>862</v>
      </c>
      <c r="DP57" s="79"/>
      <c r="DQ57" s="79"/>
      <c r="DR57" s="79"/>
      <c r="DS57" s="79"/>
      <c r="DT57" s="82"/>
      <c r="DU57" s="79"/>
      <c r="DV57" s="82"/>
      <c r="DW57" s="79"/>
      <c r="DX57" s="79"/>
      <c r="DY57" s="79"/>
      <c r="DZ57" s="79"/>
      <c r="EA57" s="79"/>
      <c r="EB57" s="79"/>
      <c r="EC57" s="79"/>
      <c r="ED57" s="79"/>
      <c r="EE57" s="79"/>
      <c r="EF57" s="82"/>
      <c r="EG57" s="79"/>
      <c r="EH57" s="82"/>
      <c r="EI57" s="79"/>
      <c r="EJ57" s="82"/>
      <c r="EK57" s="79"/>
      <c r="EL57" s="82"/>
      <c r="EM57" s="79"/>
      <c r="EN57" s="79" t="s">
        <v>79</v>
      </c>
      <c r="EO57" s="79"/>
      <c r="EP57" s="80"/>
      <c r="EQ57" s="83"/>
      <c r="ER57" s="83" t="str">
        <f t="shared" si="1"/>
        <v/>
      </c>
      <c r="ES57" s="79"/>
      <c r="ET57" s="79" t="str">
        <f t="shared" si="2"/>
        <v/>
      </c>
      <c r="EU57" s="79"/>
      <c r="EV57" s="79"/>
      <c r="EW57" s="82"/>
      <c r="EX57" s="82"/>
      <c r="EY57" s="82"/>
      <c r="EZ57" s="82"/>
      <c r="FA57" s="82"/>
      <c r="FB57" s="82"/>
    </row>
    <row r="58" ht="15.75" customHeight="1">
      <c r="A58" s="79" t="s">
        <v>863</v>
      </c>
      <c r="B58" s="79" t="s">
        <v>591</v>
      </c>
      <c r="C58" s="79" t="s">
        <v>476</v>
      </c>
      <c r="D58" s="80">
        <v>46102.0</v>
      </c>
      <c r="E58" s="79" t="s">
        <v>864</v>
      </c>
      <c r="F58" s="79"/>
      <c r="G58" s="79" t="s">
        <v>865</v>
      </c>
      <c r="H58" s="79" t="s">
        <v>866</v>
      </c>
      <c r="I58" s="79" t="s">
        <v>737</v>
      </c>
      <c r="J58" s="79" t="s">
        <v>867</v>
      </c>
      <c r="K58" s="79">
        <v>1190.0</v>
      </c>
      <c r="L58" s="79" t="s">
        <v>821</v>
      </c>
      <c r="M58" s="79" t="s">
        <v>868</v>
      </c>
      <c r="N58" s="79" t="s">
        <v>869</v>
      </c>
      <c r="O58" s="79" t="s">
        <v>484</v>
      </c>
      <c r="P58" s="79"/>
      <c r="Q58" s="79" t="s">
        <v>870</v>
      </c>
      <c r="R58" s="80">
        <v>46110.0</v>
      </c>
      <c r="S58" s="79"/>
      <c r="T58" s="79">
        <v>80121.0</v>
      </c>
      <c r="U58" s="79" t="s">
        <v>871</v>
      </c>
      <c r="V58" s="79"/>
      <c r="W58" s="80">
        <v>46090.0</v>
      </c>
      <c r="X58" s="79"/>
      <c r="Y58" s="79"/>
      <c r="Z58" s="79" t="s">
        <v>524</v>
      </c>
      <c r="AA58" s="79" t="s">
        <v>487</v>
      </c>
      <c r="AB58" s="79" t="s">
        <v>524</v>
      </c>
      <c r="AC58" s="79" t="s">
        <v>488</v>
      </c>
      <c r="AD58" s="79">
        <v>91230.0</v>
      </c>
      <c r="AE58" s="79">
        <v>11227.0</v>
      </c>
      <c r="AF58" s="79">
        <v>44450.0</v>
      </c>
      <c r="AG58" s="79">
        <v>10246.0</v>
      </c>
      <c r="AH58" s="81">
        <v>157153.0</v>
      </c>
      <c r="AI58" s="79"/>
      <c r="AJ58" s="79">
        <v>0.0</v>
      </c>
      <c r="AK58" s="79">
        <v>14112.0</v>
      </c>
      <c r="AL58" s="79">
        <v>800.0</v>
      </c>
      <c r="AM58" s="79">
        <v>44450.0</v>
      </c>
      <c r="AN58" s="79">
        <v>1492.0</v>
      </c>
      <c r="AO58" s="79">
        <v>60854.0</v>
      </c>
      <c r="AP58" s="79">
        <v>0.0</v>
      </c>
      <c r="AQ58" s="79">
        <v>87545.0</v>
      </c>
      <c r="AR58" s="79" t="s">
        <v>525</v>
      </c>
      <c r="AS58" s="79">
        <v>10000.0</v>
      </c>
      <c r="AT58" s="79" t="s">
        <v>836</v>
      </c>
      <c r="AU58" s="79" t="s">
        <v>491</v>
      </c>
      <c r="AV58" s="79">
        <v>1227.0</v>
      </c>
      <c r="AW58" s="79" t="s">
        <v>492</v>
      </c>
      <c r="AX58" s="79">
        <v>0.0</v>
      </c>
      <c r="AY58" s="79"/>
      <c r="AZ58" s="79">
        <v>0.0</v>
      </c>
      <c r="BA58" s="79"/>
      <c r="BB58" s="79">
        <v>0.0</v>
      </c>
      <c r="BC58" s="79"/>
      <c r="BD58" s="79">
        <v>0.0</v>
      </c>
      <c r="BE58" s="79"/>
      <c r="BF58" s="79">
        <v>0.0</v>
      </c>
      <c r="BG58" s="79"/>
      <c r="BH58" s="79">
        <v>0.0</v>
      </c>
      <c r="BI58" s="79" t="s">
        <v>493</v>
      </c>
      <c r="BJ58" s="79">
        <v>17650.0</v>
      </c>
      <c r="BK58" s="79" t="s">
        <v>494</v>
      </c>
      <c r="BL58" s="79">
        <v>24600.0</v>
      </c>
      <c r="BM58" s="79" t="s">
        <v>495</v>
      </c>
      <c r="BN58" s="79">
        <v>2200.0</v>
      </c>
      <c r="BO58" s="79" t="s">
        <v>496</v>
      </c>
      <c r="BP58" s="79">
        <v>0.0</v>
      </c>
      <c r="BQ58" s="79"/>
      <c r="BR58" s="79">
        <v>0.0</v>
      </c>
      <c r="BS58" s="79"/>
      <c r="BT58" s="79">
        <v>0.0</v>
      </c>
      <c r="BU58" s="79"/>
      <c r="BV58" s="79">
        <v>0.0</v>
      </c>
      <c r="BW58" s="79"/>
      <c r="BX58" s="79">
        <v>0.0</v>
      </c>
      <c r="BY58" s="79">
        <v>0.0</v>
      </c>
      <c r="BZ58" s="79" t="s">
        <v>491</v>
      </c>
      <c r="CA58" s="79">
        <v>800.0</v>
      </c>
      <c r="CB58" s="79" t="s">
        <v>836</v>
      </c>
      <c r="CC58" s="79" t="s">
        <v>492</v>
      </c>
      <c r="CD58" s="79">
        <v>0.0</v>
      </c>
      <c r="CE58" s="79"/>
      <c r="CF58" s="79">
        <v>0.0</v>
      </c>
      <c r="CG58" s="79"/>
      <c r="CH58" s="79">
        <v>0.0</v>
      </c>
      <c r="CI58" s="79"/>
      <c r="CJ58" s="79">
        <v>0.0</v>
      </c>
      <c r="CK58" s="79"/>
      <c r="CL58" s="79">
        <v>0.0</v>
      </c>
      <c r="CM58" s="79"/>
      <c r="CN58" s="79">
        <v>0.0</v>
      </c>
      <c r="CO58" s="79" t="s">
        <v>493</v>
      </c>
      <c r="CP58" s="79">
        <v>17650.0</v>
      </c>
      <c r="CQ58" s="79" t="s">
        <v>494</v>
      </c>
      <c r="CR58" s="79">
        <v>24600.0</v>
      </c>
      <c r="CS58" s="79" t="s">
        <v>495</v>
      </c>
      <c r="CT58" s="79">
        <v>2200.0</v>
      </c>
      <c r="CU58" s="79" t="s">
        <v>496</v>
      </c>
      <c r="CV58" s="79">
        <v>0.0</v>
      </c>
      <c r="CW58" s="79"/>
      <c r="CX58" s="79">
        <v>0.0</v>
      </c>
      <c r="CY58" s="79"/>
      <c r="CZ58" s="79">
        <v>0.0</v>
      </c>
      <c r="DA58" s="79"/>
      <c r="DB58" s="79">
        <v>0.0</v>
      </c>
      <c r="DC58" s="79"/>
      <c r="DD58" s="79">
        <v>0.0</v>
      </c>
      <c r="DE58" s="79">
        <v>46500.0</v>
      </c>
      <c r="DF58" s="79">
        <v>44730.0</v>
      </c>
      <c r="DG58" s="79">
        <v>0.0</v>
      </c>
      <c r="DH58" s="79">
        <v>0.0</v>
      </c>
      <c r="DI58" s="79">
        <v>14112.0</v>
      </c>
      <c r="DJ58" s="79" t="s">
        <v>872</v>
      </c>
      <c r="DK58" s="79" t="s">
        <v>524</v>
      </c>
      <c r="DL58" s="79" t="s">
        <v>487</v>
      </c>
      <c r="DM58" s="79" t="s">
        <v>873</v>
      </c>
      <c r="DN58" s="79" t="s">
        <v>874</v>
      </c>
      <c r="DO58" s="79" t="s">
        <v>875</v>
      </c>
      <c r="DP58" s="79"/>
      <c r="DQ58" s="79"/>
      <c r="DR58" s="79"/>
      <c r="DS58" s="79"/>
      <c r="DT58" s="82"/>
      <c r="DU58" s="79"/>
      <c r="DV58" s="82"/>
      <c r="DW58" s="79"/>
      <c r="DX58" s="79"/>
      <c r="DY58" s="79"/>
      <c r="DZ58" s="79"/>
      <c r="EA58" s="79"/>
      <c r="EB58" s="79"/>
      <c r="EC58" s="79"/>
      <c r="ED58" s="79"/>
      <c r="EE58" s="79"/>
      <c r="EF58" s="82"/>
      <c r="EG58" s="79"/>
      <c r="EH58" s="82"/>
      <c r="EI58" s="79"/>
      <c r="EJ58" s="82"/>
      <c r="EK58" s="79"/>
      <c r="EL58" s="82"/>
      <c r="EM58" s="79"/>
      <c r="EN58" s="79" t="s">
        <v>79</v>
      </c>
      <c r="EO58" s="79"/>
      <c r="EP58" s="80"/>
      <c r="EQ58" s="83"/>
      <c r="ER58" s="83" t="str">
        <f t="shared" si="1"/>
        <v/>
      </c>
      <c r="ES58" s="79"/>
      <c r="ET58" s="79" t="str">
        <f t="shared" si="2"/>
        <v/>
      </c>
      <c r="EU58" s="79"/>
      <c r="EV58" s="79"/>
      <c r="EW58" s="82"/>
      <c r="EX58" s="82"/>
      <c r="EY58" s="82"/>
      <c r="EZ58" s="82"/>
      <c r="FA58" s="82"/>
      <c r="FB58" s="82"/>
    </row>
    <row r="59" ht="15.75" customHeight="1">
      <c r="A59" s="79" t="s">
        <v>876</v>
      </c>
      <c r="B59" s="79" t="s">
        <v>475</v>
      </c>
      <c r="C59" s="79" t="s">
        <v>476</v>
      </c>
      <c r="D59" s="80">
        <v>46102.0</v>
      </c>
      <c r="E59" s="79" t="s">
        <v>669</v>
      </c>
      <c r="F59" s="79"/>
      <c r="G59" s="79" t="s">
        <v>569</v>
      </c>
      <c r="H59" s="79" t="s">
        <v>534</v>
      </c>
      <c r="I59" s="79"/>
      <c r="J59" s="79" t="s">
        <v>670</v>
      </c>
      <c r="K59" s="79">
        <v>0.0</v>
      </c>
      <c r="L59" s="79"/>
      <c r="M59" s="79" t="s">
        <v>671</v>
      </c>
      <c r="N59" s="79"/>
      <c r="O59" s="79"/>
      <c r="P59" s="79"/>
      <c r="Q59" s="79"/>
      <c r="R59" s="80">
        <v>46842.0</v>
      </c>
      <c r="S59" s="79"/>
      <c r="T59" s="79">
        <v>7240.0</v>
      </c>
      <c r="U59" s="79"/>
      <c r="V59" s="79"/>
      <c r="W59" s="80">
        <v>46090.0</v>
      </c>
      <c r="X59" s="79"/>
      <c r="Y59" s="80">
        <v>46097.0</v>
      </c>
      <c r="Z59" s="79" t="s">
        <v>486</v>
      </c>
      <c r="AA59" s="79" t="s">
        <v>555</v>
      </c>
      <c r="AB59" s="79" t="s">
        <v>486</v>
      </c>
      <c r="AC59" s="79" t="s">
        <v>488</v>
      </c>
      <c r="AD59" s="79">
        <v>140000.0</v>
      </c>
      <c r="AE59" s="79">
        <v>0.0</v>
      </c>
      <c r="AF59" s="79">
        <v>0.0</v>
      </c>
      <c r="AG59" s="79">
        <v>14000.0</v>
      </c>
      <c r="AH59" s="81">
        <v>154000.0</v>
      </c>
      <c r="AI59" s="79"/>
      <c r="AJ59" s="79">
        <v>0.0</v>
      </c>
      <c r="AK59" s="79">
        <v>70000.0</v>
      </c>
      <c r="AL59" s="79">
        <v>0.0</v>
      </c>
      <c r="AM59" s="79">
        <v>0.0</v>
      </c>
      <c r="AN59" s="79">
        <v>7000.0</v>
      </c>
      <c r="AO59" s="79">
        <v>77000.0</v>
      </c>
      <c r="AP59" s="79">
        <v>0.0</v>
      </c>
      <c r="AQ59" s="79">
        <v>70000.0</v>
      </c>
      <c r="AR59" s="79" t="s">
        <v>489</v>
      </c>
      <c r="AS59" s="79">
        <v>0.0</v>
      </c>
      <c r="AT59" s="79" t="s">
        <v>507</v>
      </c>
      <c r="AU59" s="79" t="s">
        <v>491</v>
      </c>
      <c r="AV59" s="79">
        <v>0.0</v>
      </c>
      <c r="AW59" s="79" t="s">
        <v>508</v>
      </c>
      <c r="AX59" s="79">
        <v>0.0</v>
      </c>
      <c r="AY59" s="79"/>
      <c r="AZ59" s="79">
        <v>0.0</v>
      </c>
      <c r="BA59" s="79"/>
      <c r="BB59" s="79">
        <v>0.0</v>
      </c>
      <c r="BC59" s="79"/>
      <c r="BD59" s="79">
        <v>0.0</v>
      </c>
      <c r="BE59" s="79"/>
      <c r="BF59" s="79">
        <v>0.0</v>
      </c>
      <c r="BG59" s="79"/>
      <c r="BH59" s="79">
        <v>0.0</v>
      </c>
      <c r="BI59" s="79" t="s">
        <v>493</v>
      </c>
      <c r="BJ59" s="79">
        <v>0.0</v>
      </c>
      <c r="BK59" s="79" t="s">
        <v>494</v>
      </c>
      <c r="BL59" s="79">
        <v>0.0</v>
      </c>
      <c r="BM59" s="79" t="s">
        <v>495</v>
      </c>
      <c r="BN59" s="79">
        <v>0.0</v>
      </c>
      <c r="BO59" s="79" t="s">
        <v>496</v>
      </c>
      <c r="BP59" s="79">
        <v>0.0</v>
      </c>
      <c r="BQ59" s="79"/>
      <c r="BR59" s="79">
        <v>0.0</v>
      </c>
      <c r="BS59" s="79"/>
      <c r="BT59" s="79">
        <v>0.0</v>
      </c>
      <c r="BU59" s="79"/>
      <c r="BV59" s="79">
        <v>0.0</v>
      </c>
      <c r="BW59" s="79"/>
      <c r="BX59" s="79">
        <v>0.0</v>
      </c>
      <c r="BY59" s="79">
        <v>0.0</v>
      </c>
      <c r="BZ59" s="79" t="s">
        <v>491</v>
      </c>
      <c r="CA59" s="79">
        <v>0.0</v>
      </c>
      <c r="CB59" s="79" t="s">
        <v>507</v>
      </c>
      <c r="CC59" s="79" t="s">
        <v>508</v>
      </c>
      <c r="CD59" s="79">
        <v>0.0</v>
      </c>
      <c r="CE59" s="79"/>
      <c r="CF59" s="79">
        <v>0.0</v>
      </c>
      <c r="CG59" s="79"/>
      <c r="CH59" s="79">
        <v>0.0</v>
      </c>
      <c r="CI59" s="79"/>
      <c r="CJ59" s="79">
        <v>0.0</v>
      </c>
      <c r="CK59" s="79"/>
      <c r="CL59" s="79">
        <v>0.0</v>
      </c>
      <c r="CM59" s="79"/>
      <c r="CN59" s="79">
        <v>0.0</v>
      </c>
      <c r="CO59" s="79" t="s">
        <v>493</v>
      </c>
      <c r="CP59" s="79">
        <v>0.0</v>
      </c>
      <c r="CQ59" s="79" t="s">
        <v>494</v>
      </c>
      <c r="CR59" s="79">
        <v>0.0</v>
      </c>
      <c r="CS59" s="79" t="s">
        <v>495</v>
      </c>
      <c r="CT59" s="79">
        <v>0.0</v>
      </c>
      <c r="CU59" s="79" t="s">
        <v>496</v>
      </c>
      <c r="CV59" s="79">
        <v>0.0</v>
      </c>
      <c r="CW59" s="79"/>
      <c r="CX59" s="79">
        <v>0.0</v>
      </c>
      <c r="CY59" s="79"/>
      <c r="CZ59" s="79">
        <v>0.0</v>
      </c>
      <c r="DA59" s="79"/>
      <c r="DB59" s="79">
        <v>0.0</v>
      </c>
      <c r="DC59" s="79"/>
      <c r="DD59" s="79">
        <v>0.0</v>
      </c>
      <c r="DE59" s="79">
        <v>140000.0</v>
      </c>
      <c r="DF59" s="79">
        <v>0.0</v>
      </c>
      <c r="DG59" s="79">
        <v>0.0</v>
      </c>
      <c r="DH59" s="79">
        <v>70000.0</v>
      </c>
      <c r="DI59" s="79">
        <v>0.0</v>
      </c>
      <c r="DJ59" s="79" t="s">
        <v>672</v>
      </c>
      <c r="DK59" s="79" t="s">
        <v>486</v>
      </c>
      <c r="DL59" s="79" t="s">
        <v>555</v>
      </c>
      <c r="DM59" s="79" t="s">
        <v>673</v>
      </c>
      <c r="DN59" s="79" t="s">
        <v>674</v>
      </c>
      <c r="DO59" s="79" t="s">
        <v>675</v>
      </c>
      <c r="DP59" s="79"/>
      <c r="DQ59" s="79"/>
      <c r="DR59" s="79"/>
      <c r="DS59" s="79"/>
      <c r="DT59" s="82"/>
      <c r="DU59" s="79"/>
      <c r="DV59" s="82"/>
      <c r="DW59" s="79"/>
      <c r="DX59" s="79"/>
      <c r="DY59" s="79"/>
      <c r="DZ59" s="79"/>
      <c r="EA59" s="79"/>
      <c r="EB59" s="79"/>
      <c r="EC59" s="79"/>
      <c r="ED59" s="79"/>
      <c r="EE59" s="79"/>
      <c r="EF59" s="82"/>
      <c r="EG59" s="79"/>
      <c r="EH59" s="82"/>
      <c r="EI59" s="79"/>
      <c r="EJ59" s="82"/>
      <c r="EK59" s="79"/>
      <c r="EL59" s="82"/>
      <c r="EM59" s="79"/>
      <c r="EN59" s="79" t="s">
        <v>79</v>
      </c>
      <c r="EO59" s="79"/>
      <c r="EP59" s="80"/>
      <c r="EQ59" s="83"/>
      <c r="ER59" s="83" t="str">
        <f t="shared" si="1"/>
        <v/>
      </c>
      <c r="ES59" s="82"/>
      <c r="ET59" s="79" t="str">
        <f t="shared" si="2"/>
        <v/>
      </c>
      <c r="EU59" s="79"/>
      <c r="EV59" s="79"/>
      <c r="EW59" s="82"/>
      <c r="EX59" s="82"/>
      <c r="EY59" s="82"/>
      <c r="EZ59" s="79"/>
      <c r="FA59" s="79"/>
      <c r="FB59" s="79"/>
    </row>
    <row r="60" ht="15.75" customHeight="1">
      <c r="A60" s="79" t="s">
        <v>877</v>
      </c>
      <c r="B60" s="79" t="s">
        <v>515</v>
      </c>
      <c r="C60" s="79" t="s">
        <v>476</v>
      </c>
      <c r="D60" s="80">
        <v>46102.0</v>
      </c>
      <c r="E60" s="79" t="s">
        <v>878</v>
      </c>
      <c r="F60" s="79" t="s">
        <v>568</v>
      </c>
      <c r="G60" s="79" t="s">
        <v>879</v>
      </c>
      <c r="H60" s="79" t="s">
        <v>880</v>
      </c>
      <c r="I60" s="79"/>
      <c r="J60" s="79" t="s">
        <v>881</v>
      </c>
      <c r="K60" s="79">
        <v>0.0</v>
      </c>
      <c r="L60" s="79"/>
      <c r="M60" s="79" t="s">
        <v>882</v>
      </c>
      <c r="N60" s="79"/>
      <c r="O60" s="79"/>
      <c r="P60" s="79"/>
      <c r="Q60" s="79"/>
      <c r="R60" s="80">
        <v>46494.0</v>
      </c>
      <c r="S60" s="79"/>
      <c r="T60" s="79">
        <v>3433.0</v>
      </c>
      <c r="U60" s="79"/>
      <c r="V60" s="79"/>
      <c r="W60" s="80">
        <v>46102.0</v>
      </c>
      <c r="X60" s="79"/>
      <c r="Y60" s="80">
        <v>46102.0</v>
      </c>
      <c r="Z60" s="79" t="s">
        <v>486</v>
      </c>
      <c r="AA60" s="79" t="s">
        <v>537</v>
      </c>
      <c r="AB60" s="79" t="s">
        <v>486</v>
      </c>
      <c r="AC60" s="79" t="s">
        <v>488</v>
      </c>
      <c r="AD60" s="79">
        <v>47065.0</v>
      </c>
      <c r="AE60" s="79">
        <v>0.0</v>
      </c>
      <c r="AF60" s="79">
        <v>0.0</v>
      </c>
      <c r="AG60" s="79">
        <v>4707.0</v>
      </c>
      <c r="AH60" s="81">
        <v>51772.0</v>
      </c>
      <c r="AI60" s="79"/>
      <c r="AJ60" s="79">
        <v>0.0</v>
      </c>
      <c r="AK60" s="79">
        <v>10045.0</v>
      </c>
      <c r="AL60" s="79">
        <v>0.0</v>
      </c>
      <c r="AM60" s="79">
        <v>0.0</v>
      </c>
      <c r="AN60" s="79">
        <v>1005.0</v>
      </c>
      <c r="AO60" s="79">
        <v>11050.0</v>
      </c>
      <c r="AP60" s="79">
        <v>0.0</v>
      </c>
      <c r="AQ60" s="79">
        <v>37020.0</v>
      </c>
      <c r="AR60" s="79" t="s">
        <v>489</v>
      </c>
      <c r="AS60" s="79">
        <v>0.0</v>
      </c>
      <c r="AT60" s="79" t="s">
        <v>507</v>
      </c>
      <c r="AU60" s="79" t="s">
        <v>491</v>
      </c>
      <c r="AV60" s="79">
        <v>0.0</v>
      </c>
      <c r="AW60" s="79" t="s">
        <v>508</v>
      </c>
      <c r="AX60" s="79">
        <v>0.0</v>
      </c>
      <c r="AY60" s="79"/>
      <c r="AZ60" s="79">
        <v>0.0</v>
      </c>
      <c r="BA60" s="79"/>
      <c r="BB60" s="79">
        <v>0.0</v>
      </c>
      <c r="BC60" s="79"/>
      <c r="BD60" s="79">
        <v>0.0</v>
      </c>
      <c r="BE60" s="79"/>
      <c r="BF60" s="79">
        <v>0.0</v>
      </c>
      <c r="BG60" s="79"/>
      <c r="BH60" s="79">
        <v>0.0</v>
      </c>
      <c r="BI60" s="79" t="s">
        <v>493</v>
      </c>
      <c r="BJ60" s="79">
        <v>0.0</v>
      </c>
      <c r="BK60" s="79" t="s">
        <v>494</v>
      </c>
      <c r="BL60" s="79">
        <v>0.0</v>
      </c>
      <c r="BM60" s="79" t="s">
        <v>495</v>
      </c>
      <c r="BN60" s="79">
        <v>0.0</v>
      </c>
      <c r="BO60" s="79" t="s">
        <v>496</v>
      </c>
      <c r="BP60" s="79">
        <v>0.0</v>
      </c>
      <c r="BQ60" s="79"/>
      <c r="BR60" s="79">
        <v>0.0</v>
      </c>
      <c r="BS60" s="79"/>
      <c r="BT60" s="79">
        <v>0.0</v>
      </c>
      <c r="BU60" s="79"/>
      <c r="BV60" s="79">
        <v>0.0</v>
      </c>
      <c r="BW60" s="79"/>
      <c r="BX60" s="79">
        <v>0.0</v>
      </c>
      <c r="BY60" s="79">
        <v>0.0</v>
      </c>
      <c r="BZ60" s="79" t="s">
        <v>491</v>
      </c>
      <c r="CA60" s="79">
        <v>0.0</v>
      </c>
      <c r="CB60" s="79" t="s">
        <v>507</v>
      </c>
      <c r="CC60" s="79" t="s">
        <v>508</v>
      </c>
      <c r="CD60" s="79">
        <v>0.0</v>
      </c>
      <c r="CE60" s="79"/>
      <c r="CF60" s="79">
        <v>0.0</v>
      </c>
      <c r="CG60" s="79"/>
      <c r="CH60" s="79">
        <v>0.0</v>
      </c>
      <c r="CI60" s="79"/>
      <c r="CJ60" s="79">
        <v>0.0</v>
      </c>
      <c r="CK60" s="79"/>
      <c r="CL60" s="79">
        <v>0.0</v>
      </c>
      <c r="CM60" s="79"/>
      <c r="CN60" s="79">
        <v>0.0</v>
      </c>
      <c r="CO60" s="79" t="s">
        <v>493</v>
      </c>
      <c r="CP60" s="79">
        <v>0.0</v>
      </c>
      <c r="CQ60" s="79" t="s">
        <v>494</v>
      </c>
      <c r="CR60" s="79">
        <v>0.0</v>
      </c>
      <c r="CS60" s="79" t="s">
        <v>495</v>
      </c>
      <c r="CT60" s="79">
        <v>0.0</v>
      </c>
      <c r="CU60" s="79" t="s">
        <v>496</v>
      </c>
      <c r="CV60" s="79">
        <v>0.0</v>
      </c>
      <c r="CW60" s="79"/>
      <c r="CX60" s="79">
        <v>0.0</v>
      </c>
      <c r="CY60" s="79"/>
      <c r="CZ60" s="79">
        <v>0.0</v>
      </c>
      <c r="DA60" s="79"/>
      <c r="DB60" s="79">
        <v>0.0</v>
      </c>
      <c r="DC60" s="79"/>
      <c r="DD60" s="79">
        <v>0.0</v>
      </c>
      <c r="DE60" s="79">
        <v>27265.0</v>
      </c>
      <c r="DF60" s="79">
        <v>19800.0</v>
      </c>
      <c r="DG60" s="79">
        <v>0.0</v>
      </c>
      <c r="DH60" s="79">
        <v>0.0</v>
      </c>
      <c r="DI60" s="79">
        <v>10045.0</v>
      </c>
      <c r="DJ60" s="79" t="s">
        <v>883</v>
      </c>
      <c r="DK60" s="79" t="s">
        <v>486</v>
      </c>
      <c r="DL60" s="79" t="s">
        <v>537</v>
      </c>
      <c r="DM60" s="79" t="s">
        <v>884</v>
      </c>
      <c r="DN60" s="79"/>
      <c r="DO60" s="79" t="s">
        <v>885</v>
      </c>
      <c r="DP60" s="79"/>
      <c r="DQ60" s="79"/>
      <c r="DR60" s="79"/>
      <c r="DS60" s="79"/>
      <c r="DT60" s="82"/>
      <c r="DU60" s="79"/>
      <c r="DV60" s="82"/>
      <c r="DW60" s="79"/>
      <c r="DX60" s="79"/>
      <c r="DY60" s="79"/>
      <c r="DZ60" s="79"/>
      <c r="EA60" s="79"/>
      <c r="EB60" s="79"/>
      <c r="EC60" s="79"/>
      <c r="ED60" s="79"/>
      <c r="EE60" s="79"/>
      <c r="EF60" s="82"/>
      <c r="EG60" s="79"/>
      <c r="EH60" s="82"/>
      <c r="EI60" s="79"/>
      <c r="EJ60" s="82"/>
      <c r="EK60" s="79"/>
      <c r="EL60" s="82"/>
      <c r="EM60" s="79"/>
      <c r="EN60" s="79" t="s">
        <v>79</v>
      </c>
      <c r="EO60" s="79"/>
      <c r="EP60" s="80"/>
      <c r="EQ60" s="83"/>
      <c r="ER60" s="83" t="str">
        <f t="shared" si="1"/>
        <v/>
      </c>
      <c r="ES60" s="82"/>
      <c r="ET60" s="79" t="str">
        <f t="shared" si="2"/>
        <v/>
      </c>
      <c r="EU60" s="79"/>
      <c r="EV60" s="79"/>
      <c r="EW60" s="82"/>
      <c r="EX60" s="82"/>
      <c r="EY60" s="82"/>
      <c r="EZ60" s="79"/>
      <c r="FA60" s="79"/>
      <c r="FB60" s="79"/>
    </row>
    <row r="61" ht="15.75" customHeight="1">
      <c r="A61" s="79" t="s">
        <v>886</v>
      </c>
      <c r="B61" s="79" t="s">
        <v>515</v>
      </c>
      <c r="C61" s="79" t="s">
        <v>476</v>
      </c>
      <c r="D61" s="80">
        <v>46102.0</v>
      </c>
      <c r="E61" s="79" t="s">
        <v>878</v>
      </c>
      <c r="F61" s="79" t="s">
        <v>568</v>
      </c>
      <c r="G61" s="79" t="s">
        <v>879</v>
      </c>
      <c r="H61" s="79" t="s">
        <v>880</v>
      </c>
      <c r="I61" s="79"/>
      <c r="J61" s="79" t="s">
        <v>881</v>
      </c>
      <c r="K61" s="79">
        <v>0.0</v>
      </c>
      <c r="L61" s="79"/>
      <c r="M61" s="79" t="s">
        <v>882</v>
      </c>
      <c r="N61" s="79"/>
      <c r="O61" s="79"/>
      <c r="P61" s="79"/>
      <c r="Q61" s="79"/>
      <c r="R61" s="80">
        <v>46494.0</v>
      </c>
      <c r="S61" s="79"/>
      <c r="T61" s="79">
        <v>3433.0</v>
      </c>
      <c r="U61" s="79"/>
      <c r="V61" s="79"/>
      <c r="W61" s="80">
        <v>46102.0</v>
      </c>
      <c r="X61" s="79"/>
      <c r="Y61" s="80">
        <v>46102.0</v>
      </c>
      <c r="Z61" s="79" t="s">
        <v>486</v>
      </c>
      <c r="AA61" s="79" t="s">
        <v>537</v>
      </c>
      <c r="AB61" s="79" t="s">
        <v>486</v>
      </c>
      <c r="AC61" s="79" t="s">
        <v>488</v>
      </c>
      <c r="AD61" s="79">
        <v>40000.0</v>
      </c>
      <c r="AE61" s="79">
        <v>0.0</v>
      </c>
      <c r="AF61" s="79">
        <v>0.0</v>
      </c>
      <c r="AG61" s="79">
        <v>4000.0</v>
      </c>
      <c r="AH61" s="81">
        <v>44000.0</v>
      </c>
      <c r="AI61" s="79"/>
      <c r="AJ61" s="79">
        <v>0.0</v>
      </c>
      <c r="AK61" s="79">
        <v>0.0</v>
      </c>
      <c r="AL61" s="79">
        <v>0.0</v>
      </c>
      <c r="AM61" s="79">
        <v>0.0</v>
      </c>
      <c r="AN61" s="79">
        <v>0.0</v>
      </c>
      <c r="AO61" s="79">
        <v>0.0</v>
      </c>
      <c r="AP61" s="79">
        <v>0.0</v>
      </c>
      <c r="AQ61" s="79">
        <v>40000.0</v>
      </c>
      <c r="AR61" s="79" t="s">
        <v>489</v>
      </c>
      <c r="AS61" s="79">
        <v>0.0</v>
      </c>
      <c r="AT61" s="79" t="s">
        <v>507</v>
      </c>
      <c r="AU61" s="79" t="s">
        <v>491</v>
      </c>
      <c r="AV61" s="79">
        <v>0.0</v>
      </c>
      <c r="AW61" s="79" t="s">
        <v>508</v>
      </c>
      <c r="AX61" s="79">
        <v>0.0</v>
      </c>
      <c r="AY61" s="79"/>
      <c r="AZ61" s="79">
        <v>0.0</v>
      </c>
      <c r="BA61" s="79"/>
      <c r="BB61" s="79">
        <v>0.0</v>
      </c>
      <c r="BC61" s="79"/>
      <c r="BD61" s="79">
        <v>0.0</v>
      </c>
      <c r="BE61" s="79"/>
      <c r="BF61" s="79">
        <v>0.0</v>
      </c>
      <c r="BG61" s="79"/>
      <c r="BH61" s="79">
        <v>0.0</v>
      </c>
      <c r="BI61" s="79" t="s">
        <v>493</v>
      </c>
      <c r="BJ61" s="79">
        <v>0.0</v>
      </c>
      <c r="BK61" s="79" t="s">
        <v>494</v>
      </c>
      <c r="BL61" s="79">
        <v>0.0</v>
      </c>
      <c r="BM61" s="79" t="s">
        <v>495</v>
      </c>
      <c r="BN61" s="79">
        <v>0.0</v>
      </c>
      <c r="BO61" s="79" t="s">
        <v>496</v>
      </c>
      <c r="BP61" s="79">
        <v>0.0</v>
      </c>
      <c r="BQ61" s="79"/>
      <c r="BR61" s="79">
        <v>0.0</v>
      </c>
      <c r="BS61" s="79"/>
      <c r="BT61" s="79">
        <v>0.0</v>
      </c>
      <c r="BU61" s="79"/>
      <c r="BV61" s="79">
        <v>0.0</v>
      </c>
      <c r="BW61" s="79"/>
      <c r="BX61" s="79">
        <v>0.0</v>
      </c>
      <c r="BY61" s="79">
        <v>0.0</v>
      </c>
      <c r="BZ61" s="79" t="s">
        <v>491</v>
      </c>
      <c r="CA61" s="79">
        <v>0.0</v>
      </c>
      <c r="CB61" s="79" t="s">
        <v>507</v>
      </c>
      <c r="CC61" s="79" t="s">
        <v>508</v>
      </c>
      <c r="CD61" s="79">
        <v>0.0</v>
      </c>
      <c r="CE61" s="79"/>
      <c r="CF61" s="79">
        <v>0.0</v>
      </c>
      <c r="CG61" s="79"/>
      <c r="CH61" s="79">
        <v>0.0</v>
      </c>
      <c r="CI61" s="79"/>
      <c r="CJ61" s="79">
        <v>0.0</v>
      </c>
      <c r="CK61" s="79"/>
      <c r="CL61" s="79">
        <v>0.0</v>
      </c>
      <c r="CM61" s="79"/>
      <c r="CN61" s="79">
        <v>0.0</v>
      </c>
      <c r="CO61" s="79" t="s">
        <v>493</v>
      </c>
      <c r="CP61" s="79">
        <v>0.0</v>
      </c>
      <c r="CQ61" s="79" t="s">
        <v>494</v>
      </c>
      <c r="CR61" s="79">
        <v>0.0</v>
      </c>
      <c r="CS61" s="79" t="s">
        <v>495</v>
      </c>
      <c r="CT61" s="79">
        <v>0.0</v>
      </c>
      <c r="CU61" s="79" t="s">
        <v>496</v>
      </c>
      <c r="CV61" s="79">
        <v>0.0</v>
      </c>
      <c r="CW61" s="79"/>
      <c r="CX61" s="79">
        <v>0.0</v>
      </c>
      <c r="CY61" s="79"/>
      <c r="CZ61" s="79">
        <v>0.0</v>
      </c>
      <c r="DA61" s="79"/>
      <c r="DB61" s="79">
        <v>0.0</v>
      </c>
      <c r="DC61" s="79"/>
      <c r="DD61" s="79">
        <v>0.0</v>
      </c>
      <c r="DE61" s="79">
        <v>40000.0</v>
      </c>
      <c r="DF61" s="79">
        <v>0.0</v>
      </c>
      <c r="DG61" s="79">
        <v>0.0</v>
      </c>
      <c r="DH61" s="79">
        <v>0.0</v>
      </c>
      <c r="DI61" s="79">
        <v>0.0</v>
      </c>
      <c r="DJ61" s="79" t="s">
        <v>883</v>
      </c>
      <c r="DK61" s="79" t="s">
        <v>486</v>
      </c>
      <c r="DL61" s="79" t="s">
        <v>537</v>
      </c>
      <c r="DM61" s="79" t="s">
        <v>884</v>
      </c>
      <c r="DN61" s="79"/>
      <c r="DO61" s="79" t="s">
        <v>885</v>
      </c>
      <c r="DP61" s="79"/>
      <c r="DQ61" s="79"/>
      <c r="DR61" s="79"/>
      <c r="DS61" s="79"/>
      <c r="DT61" s="82"/>
      <c r="DU61" s="79"/>
      <c r="DV61" s="82"/>
      <c r="DW61" s="79"/>
      <c r="DX61" s="79"/>
      <c r="DY61" s="79"/>
      <c r="DZ61" s="79"/>
      <c r="EA61" s="79"/>
      <c r="EB61" s="79"/>
      <c r="EC61" s="79"/>
      <c r="ED61" s="79"/>
      <c r="EE61" s="79"/>
      <c r="EF61" s="82"/>
      <c r="EG61" s="79"/>
      <c r="EH61" s="82"/>
      <c r="EI61" s="79"/>
      <c r="EJ61" s="82"/>
      <c r="EK61" s="79"/>
      <c r="EL61" s="82"/>
      <c r="EM61" s="79"/>
      <c r="EN61" s="79" t="s">
        <v>79</v>
      </c>
      <c r="EO61" s="79"/>
      <c r="EP61" s="80"/>
      <c r="EQ61" s="83"/>
      <c r="ER61" s="83" t="str">
        <f t="shared" si="1"/>
        <v/>
      </c>
      <c r="ES61" s="79"/>
      <c r="ET61" s="79" t="str">
        <f t="shared" si="2"/>
        <v/>
      </c>
      <c r="EU61" s="79"/>
      <c r="EV61" s="82"/>
      <c r="EW61" s="82"/>
      <c r="EX61" s="82"/>
      <c r="EY61" s="82"/>
      <c r="EZ61" s="79"/>
      <c r="FA61" s="79"/>
      <c r="FB61" s="79"/>
    </row>
    <row r="62" ht="15.75" customHeight="1">
      <c r="A62" s="4" t="s">
        <v>887</v>
      </c>
      <c r="B62" s="4" t="s">
        <v>475</v>
      </c>
      <c r="C62" s="4" t="s">
        <v>476</v>
      </c>
      <c r="D62" s="78">
        <v>46103.0</v>
      </c>
      <c r="E62" s="4" t="s">
        <v>888</v>
      </c>
      <c r="F62" s="19"/>
      <c r="G62" s="4" t="s">
        <v>889</v>
      </c>
      <c r="H62" s="4" t="s">
        <v>890</v>
      </c>
      <c r="R62" s="4" t="s">
        <v>891</v>
      </c>
      <c r="Z62" s="4" t="s">
        <v>597</v>
      </c>
      <c r="AB62" s="4" t="s">
        <v>597</v>
      </c>
      <c r="AH62" s="23">
        <v>394515.0</v>
      </c>
      <c r="AL62" s="19"/>
      <c r="AM62" s="19"/>
      <c r="AN62" s="19"/>
      <c r="AO62" s="19"/>
      <c r="AP62" s="19"/>
      <c r="AQ62" s="4">
        <v>223205.0</v>
      </c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19"/>
      <c r="CI62" s="19"/>
      <c r="CJ62" s="19"/>
      <c r="CK62" s="19"/>
      <c r="CL62" s="19"/>
      <c r="CM62" s="19"/>
      <c r="CN62" s="19"/>
      <c r="CO62" s="19"/>
      <c r="CP62" s="19"/>
      <c r="CQ62" s="19"/>
      <c r="CR62" s="19"/>
      <c r="CS62" s="19"/>
      <c r="CT62" s="19"/>
      <c r="CU62" s="19"/>
      <c r="CV62" s="19"/>
      <c r="CW62" s="19"/>
      <c r="CX62" s="19"/>
      <c r="CY62" s="19"/>
      <c r="CZ62" s="19"/>
      <c r="DA62" s="19"/>
      <c r="DB62" s="19"/>
      <c r="DC62" s="19"/>
      <c r="DD62" s="19"/>
      <c r="DE62" s="19"/>
      <c r="DF62" s="19"/>
      <c r="DG62" s="19"/>
      <c r="DH62" s="19"/>
      <c r="DI62" s="19"/>
      <c r="DJ62" s="19"/>
      <c r="DK62" s="19"/>
      <c r="DL62" s="19"/>
      <c r="DM62" s="19"/>
      <c r="DN62" s="19"/>
      <c r="DO62" s="19"/>
      <c r="DP62" s="19"/>
      <c r="DQ62" s="19"/>
      <c r="DR62" s="19"/>
      <c r="DS62" s="19"/>
      <c r="DT62" s="19"/>
      <c r="DU62" s="19"/>
      <c r="DV62" s="19"/>
      <c r="DW62" s="19"/>
      <c r="DX62" s="19"/>
      <c r="DY62" s="19"/>
      <c r="DZ62" s="19"/>
      <c r="EA62" s="19"/>
      <c r="EB62" s="19"/>
      <c r="EC62" s="19"/>
      <c r="ED62" s="19"/>
      <c r="EE62" s="19"/>
      <c r="EF62" s="19"/>
      <c r="EG62" s="19"/>
      <c r="EH62" s="19"/>
      <c r="EI62" s="19"/>
      <c r="EJ62" s="19"/>
      <c r="EK62" s="19"/>
      <c r="EL62" s="19"/>
      <c r="EM62" s="19"/>
      <c r="EN62" s="4" t="s">
        <v>79</v>
      </c>
      <c r="EO62" s="19"/>
      <c r="EP62" s="17"/>
      <c r="EQ62" s="23"/>
      <c r="ER62" s="23" t="str">
        <f t="shared" si="1"/>
        <v/>
      </c>
      <c r="ES62" s="19"/>
      <c r="ET62" s="19" t="str">
        <f t="shared" si="2"/>
        <v/>
      </c>
      <c r="EU62" s="19"/>
      <c r="EV62" s="19"/>
      <c r="EW62" s="19"/>
      <c r="EX62" s="19"/>
      <c r="EY62" s="19"/>
      <c r="EZ62" s="79"/>
      <c r="FA62" s="79"/>
      <c r="FB62" s="79"/>
    </row>
    <row r="63" ht="15.75" customHeight="1">
      <c r="A63" s="79" t="s">
        <v>892</v>
      </c>
      <c r="B63" s="79" t="s">
        <v>893</v>
      </c>
      <c r="C63" s="79" t="s">
        <v>476</v>
      </c>
      <c r="D63" s="80">
        <v>46104.0</v>
      </c>
      <c r="E63" s="79" t="s">
        <v>772</v>
      </c>
      <c r="F63" s="79" t="s">
        <v>894</v>
      </c>
      <c r="G63" s="79" t="s">
        <v>504</v>
      </c>
      <c r="H63" s="79" t="s">
        <v>895</v>
      </c>
      <c r="I63" s="79"/>
      <c r="J63" s="79" t="s">
        <v>896</v>
      </c>
      <c r="K63" s="79">
        <v>3000.0</v>
      </c>
      <c r="L63" s="79"/>
      <c r="M63" s="79" t="s">
        <v>897</v>
      </c>
      <c r="N63" s="79" t="s">
        <v>898</v>
      </c>
      <c r="O63" s="79" t="s">
        <v>484</v>
      </c>
      <c r="P63" s="79"/>
      <c r="Q63" s="79" t="s">
        <v>899</v>
      </c>
      <c r="R63" s="80">
        <v>46477.0</v>
      </c>
      <c r="S63" s="79"/>
      <c r="T63" s="79">
        <v>11201.0</v>
      </c>
      <c r="U63" s="79"/>
      <c r="V63" s="79"/>
      <c r="W63" s="79"/>
      <c r="X63" s="79"/>
      <c r="Y63" s="79"/>
      <c r="Z63" s="79" t="s">
        <v>524</v>
      </c>
      <c r="AA63" s="79" t="s">
        <v>487</v>
      </c>
      <c r="AB63" s="79" t="s">
        <v>486</v>
      </c>
      <c r="AC63" s="79" t="s">
        <v>488</v>
      </c>
      <c r="AD63" s="79">
        <v>303000.0</v>
      </c>
      <c r="AE63" s="79">
        <v>0.0</v>
      </c>
      <c r="AF63" s="79">
        <v>0.0</v>
      </c>
      <c r="AG63" s="79">
        <v>30300.0</v>
      </c>
      <c r="AH63" s="81">
        <v>333300.0</v>
      </c>
      <c r="AI63" s="79"/>
      <c r="AJ63" s="79">
        <v>0.0</v>
      </c>
      <c r="AK63" s="79">
        <v>122600.0</v>
      </c>
      <c r="AL63" s="83">
        <v>0.0</v>
      </c>
      <c r="AM63" s="79">
        <v>0.0</v>
      </c>
      <c r="AN63" s="79">
        <v>12260.0</v>
      </c>
      <c r="AO63" s="79">
        <v>134860.0</v>
      </c>
      <c r="AP63" s="79">
        <v>0.0</v>
      </c>
      <c r="AQ63" s="79">
        <v>180400.0</v>
      </c>
      <c r="AR63" s="79" t="s">
        <v>489</v>
      </c>
      <c r="AS63" s="79">
        <v>0.0</v>
      </c>
      <c r="AT63" s="79" t="s">
        <v>490</v>
      </c>
      <c r="AU63" s="79" t="s">
        <v>491</v>
      </c>
      <c r="AV63" s="79">
        <v>0.0</v>
      </c>
      <c r="AW63" s="79" t="s">
        <v>508</v>
      </c>
      <c r="AX63" s="79">
        <v>0.0</v>
      </c>
      <c r="AY63" s="79"/>
      <c r="AZ63" s="79">
        <v>0.0</v>
      </c>
      <c r="BA63" s="79"/>
      <c r="BB63" s="79">
        <v>0.0</v>
      </c>
      <c r="BC63" s="79"/>
      <c r="BD63" s="79">
        <v>0.0</v>
      </c>
      <c r="BE63" s="82"/>
      <c r="BF63" s="79">
        <v>0.0</v>
      </c>
      <c r="BG63" s="79"/>
      <c r="BH63" s="79">
        <v>0.0</v>
      </c>
      <c r="BI63" s="79" t="s">
        <v>493</v>
      </c>
      <c r="BJ63" s="79">
        <v>0.0</v>
      </c>
      <c r="BK63" s="79" t="s">
        <v>494</v>
      </c>
      <c r="BL63" s="79">
        <v>0.0</v>
      </c>
      <c r="BM63" s="79" t="s">
        <v>495</v>
      </c>
      <c r="BN63" s="79">
        <v>0.0</v>
      </c>
      <c r="BO63" s="79" t="s">
        <v>496</v>
      </c>
      <c r="BP63" s="79">
        <v>0.0</v>
      </c>
      <c r="BQ63" s="79"/>
      <c r="BR63" s="79">
        <v>0.0</v>
      </c>
      <c r="BS63" s="79"/>
      <c r="BT63" s="79">
        <v>0.0</v>
      </c>
      <c r="BU63" s="79"/>
      <c r="BV63" s="79">
        <v>0.0</v>
      </c>
      <c r="BW63" s="79"/>
      <c r="BX63" s="79">
        <v>0.0</v>
      </c>
      <c r="BY63" s="79">
        <v>0.0</v>
      </c>
      <c r="BZ63" s="79" t="s">
        <v>491</v>
      </c>
      <c r="CA63" s="79">
        <v>0.0</v>
      </c>
      <c r="CB63" s="79" t="s">
        <v>490</v>
      </c>
      <c r="CC63" s="79" t="s">
        <v>508</v>
      </c>
      <c r="CD63" s="79">
        <v>0.0</v>
      </c>
      <c r="CE63" s="79"/>
      <c r="CF63" s="79">
        <v>0.0</v>
      </c>
      <c r="CG63" s="79"/>
      <c r="CH63" s="79">
        <v>0.0</v>
      </c>
      <c r="CI63" s="79"/>
      <c r="CJ63" s="79">
        <v>0.0</v>
      </c>
      <c r="CK63" s="79"/>
      <c r="CL63" s="79">
        <v>0.0</v>
      </c>
      <c r="CM63" s="79"/>
      <c r="CN63" s="79">
        <v>0.0</v>
      </c>
      <c r="CO63" s="79" t="s">
        <v>493</v>
      </c>
      <c r="CP63" s="79">
        <v>0.0</v>
      </c>
      <c r="CQ63" s="79" t="s">
        <v>494</v>
      </c>
      <c r="CR63" s="79">
        <v>0.0</v>
      </c>
      <c r="CS63" s="79" t="s">
        <v>495</v>
      </c>
      <c r="CT63" s="79">
        <v>0.0</v>
      </c>
      <c r="CU63" s="79" t="s">
        <v>496</v>
      </c>
      <c r="CV63" s="79">
        <v>0.0</v>
      </c>
      <c r="CW63" s="79"/>
      <c r="CX63" s="79">
        <v>0.0</v>
      </c>
      <c r="CY63" s="79"/>
      <c r="CZ63" s="79">
        <v>0.0</v>
      </c>
      <c r="DA63" s="79"/>
      <c r="DB63" s="79">
        <v>0.0</v>
      </c>
      <c r="DC63" s="79"/>
      <c r="DD63" s="79">
        <v>0.0</v>
      </c>
      <c r="DE63" s="79">
        <v>231000.0</v>
      </c>
      <c r="DF63" s="79">
        <v>72000.0</v>
      </c>
      <c r="DG63" s="79">
        <v>0.0</v>
      </c>
      <c r="DH63" s="79">
        <v>75000.0</v>
      </c>
      <c r="DI63" s="79">
        <v>47600.0</v>
      </c>
      <c r="DJ63" s="79" t="s">
        <v>773</v>
      </c>
      <c r="DK63" s="79" t="s">
        <v>524</v>
      </c>
      <c r="DL63" s="79" t="s">
        <v>487</v>
      </c>
      <c r="DM63" s="79" t="s">
        <v>774</v>
      </c>
      <c r="DN63" s="79" t="s">
        <v>775</v>
      </c>
      <c r="DO63" s="79" t="s">
        <v>776</v>
      </c>
      <c r="DP63" s="82"/>
      <c r="DQ63" s="79"/>
      <c r="DR63" s="82"/>
      <c r="DS63" s="79"/>
      <c r="DT63" s="82"/>
      <c r="DU63" s="79"/>
      <c r="DV63" s="82"/>
      <c r="DW63" s="79"/>
      <c r="DX63" s="79"/>
      <c r="DY63" s="79"/>
      <c r="DZ63" s="79"/>
      <c r="EA63" s="79"/>
      <c r="EB63" s="79"/>
      <c r="EC63" s="79"/>
      <c r="ED63" s="79"/>
      <c r="EE63" s="79"/>
      <c r="EF63" s="82"/>
      <c r="EG63" s="79"/>
      <c r="EH63" s="82"/>
      <c r="EI63" s="79"/>
      <c r="EJ63" s="82"/>
      <c r="EK63" s="79"/>
      <c r="EL63" s="82"/>
      <c r="EM63" s="79"/>
      <c r="EN63" s="79" t="s">
        <v>79</v>
      </c>
      <c r="EO63" s="79"/>
      <c r="EP63" s="80"/>
      <c r="EQ63" s="83"/>
      <c r="ER63" s="83" t="str">
        <f t="shared" si="1"/>
        <v/>
      </c>
      <c r="ES63" s="82"/>
      <c r="ET63" s="79" t="str">
        <f t="shared" si="2"/>
        <v/>
      </c>
      <c r="EU63" s="79"/>
      <c r="EV63" s="79"/>
      <c r="EW63" s="82"/>
      <c r="EX63" s="82"/>
      <c r="EY63" s="82"/>
      <c r="EZ63" s="79"/>
      <c r="FA63" s="79"/>
      <c r="FB63" s="79"/>
    </row>
    <row r="64" ht="15.75" customHeight="1">
      <c r="A64" s="79" t="s">
        <v>900</v>
      </c>
      <c r="B64" s="79" t="s">
        <v>515</v>
      </c>
      <c r="C64" s="79" t="s">
        <v>476</v>
      </c>
      <c r="D64" s="80">
        <v>46104.0</v>
      </c>
      <c r="E64" s="79" t="s">
        <v>901</v>
      </c>
      <c r="F64" s="79" t="s">
        <v>568</v>
      </c>
      <c r="G64" s="79" t="s">
        <v>902</v>
      </c>
      <c r="H64" s="79" t="s">
        <v>792</v>
      </c>
      <c r="I64" s="79"/>
      <c r="J64" s="79" t="s">
        <v>903</v>
      </c>
      <c r="K64" s="79">
        <v>2000.0</v>
      </c>
      <c r="L64" s="79"/>
      <c r="M64" s="79" t="s">
        <v>904</v>
      </c>
      <c r="N64" s="79" t="s">
        <v>905</v>
      </c>
      <c r="O64" s="79" t="s">
        <v>484</v>
      </c>
      <c r="P64" s="79"/>
      <c r="Q64" s="79" t="s">
        <v>906</v>
      </c>
      <c r="R64" s="80">
        <v>46473.0</v>
      </c>
      <c r="S64" s="79"/>
      <c r="T64" s="79">
        <v>10103.0</v>
      </c>
      <c r="U64" s="79"/>
      <c r="V64" s="79"/>
      <c r="W64" s="80">
        <v>46104.0</v>
      </c>
      <c r="X64" s="79"/>
      <c r="Y64" s="80">
        <v>46104.0</v>
      </c>
      <c r="Z64" s="79" t="s">
        <v>486</v>
      </c>
      <c r="AA64" s="79" t="s">
        <v>487</v>
      </c>
      <c r="AB64" s="79" t="s">
        <v>486</v>
      </c>
      <c r="AC64" s="79" t="s">
        <v>488</v>
      </c>
      <c r="AD64" s="79">
        <v>47675.0</v>
      </c>
      <c r="AE64" s="79">
        <v>0.0</v>
      </c>
      <c r="AF64" s="79">
        <v>0.0</v>
      </c>
      <c r="AG64" s="79">
        <v>4768.0</v>
      </c>
      <c r="AH64" s="81">
        <v>52443.0</v>
      </c>
      <c r="AI64" s="79"/>
      <c r="AJ64" s="79">
        <v>0.0</v>
      </c>
      <c r="AK64" s="79">
        <v>8960.0</v>
      </c>
      <c r="AL64" s="79">
        <v>0.0</v>
      </c>
      <c r="AM64" s="79">
        <v>0.0</v>
      </c>
      <c r="AN64" s="79">
        <v>896.0</v>
      </c>
      <c r="AO64" s="79">
        <v>9856.0</v>
      </c>
      <c r="AP64" s="79">
        <v>0.0</v>
      </c>
      <c r="AQ64" s="79">
        <v>38715.0</v>
      </c>
      <c r="AR64" s="79" t="s">
        <v>489</v>
      </c>
      <c r="AS64" s="79">
        <v>0.0</v>
      </c>
      <c r="AT64" s="79" t="s">
        <v>507</v>
      </c>
      <c r="AU64" s="79" t="s">
        <v>491</v>
      </c>
      <c r="AV64" s="79">
        <v>0.0</v>
      </c>
      <c r="AW64" s="79" t="s">
        <v>508</v>
      </c>
      <c r="AX64" s="79">
        <v>0.0</v>
      </c>
      <c r="AY64" s="79"/>
      <c r="AZ64" s="79">
        <v>0.0</v>
      </c>
      <c r="BA64" s="79"/>
      <c r="BB64" s="79">
        <v>0.0</v>
      </c>
      <c r="BC64" s="79"/>
      <c r="BD64" s="79">
        <v>0.0</v>
      </c>
      <c r="BE64" s="79"/>
      <c r="BF64" s="79">
        <v>0.0</v>
      </c>
      <c r="BG64" s="79"/>
      <c r="BH64" s="79">
        <v>0.0</v>
      </c>
      <c r="BI64" s="79" t="s">
        <v>493</v>
      </c>
      <c r="BJ64" s="79">
        <v>0.0</v>
      </c>
      <c r="BK64" s="79" t="s">
        <v>494</v>
      </c>
      <c r="BL64" s="79">
        <v>0.0</v>
      </c>
      <c r="BM64" s="79" t="s">
        <v>495</v>
      </c>
      <c r="BN64" s="79">
        <v>0.0</v>
      </c>
      <c r="BO64" s="79" t="s">
        <v>496</v>
      </c>
      <c r="BP64" s="79">
        <v>0.0</v>
      </c>
      <c r="BQ64" s="79"/>
      <c r="BR64" s="79">
        <v>0.0</v>
      </c>
      <c r="BS64" s="79"/>
      <c r="BT64" s="79">
        <v>0.0</v>
      </c>
      <c r="BU64" s="79"/>
      <c r="BV64" s="79">
        <v>0.0</v>
      </c>
      <c r="BW64" s="79"/>
      <c r="BX64" s="79">
        <v>0.0</v>
      </c>
      <c r="BY64" s="79">
        <v>0.0</v>
      </c>
      <c r="BZ64" s="79" t="s">
        <v>491</v>
      </c>
      <c r="CA64" s="79">
        <v>0.0</v>
      </c>
      <c r="CB64" s="79" t="s">
        <v>507</v>
      </c>
      <c r="CC64" s="79" t="s">
        <v>508</v>
      </c>
      <c r="CD64" s="79">
        <v>0.0</v>
      </c>
      <c r="CE64" s="79"/>
      <c r="CF64" s="79">
        <v>0.0</v>
      </c>
      <c r="CG64" s="79"/>
      <c r="CH64" s="79">
        <v>0.0</v>
      </c>
      <c r="CI64" s="79"/>
      <c r="CJ64" s="79">
        <v>0.0</v>
      </c>
      <c r="CK64" s="79"/>
      <c r="CL64" s="79">
        <v>0.0</v>
      </c>
      <c r="CM64" s="79"/>
      <c r="CN64" s="79">
        <v>0.0</v>
      </c>
      <c r="CO64" s="79" t="s">
        <v>493</v>
      </c>
      <c r="CP64" s="79">
        <v>0.0</v>
      </c>
      <c r="CQ64" s="79" t="s">
        <v>494</v>
      </c>
      <c r="CR64" s="79">
        <v>0.0</v>
      </c>
      <c r="CS64" s="79" t="s">
        <v>495</v>
      </c>
      <c r="CT64" s="79">
        <v>0.0</v>
      </c>
      <c r="CU64" s="79" t="s">
        <v>496</v>
      </c>
      <c r="CV64" s="79">
        <v>0.0</v>
      </c>
      <c r="CW64" s="79"/>
      <c r="CX64" s="79">
        <v>0.0</v>
      </c>
      <c r="CY64" s="79"/>
      <c r="CZ64" s="79">
        <v>0.0</v>
      </c>
      <c r="DA64" s="79"/>
      <c r="DB64" s="79">
        <v>0.0</v>
      </c>
      <c r="DC64" s="79"/>
      <c r="DD64" s="79">
        <v>0.0</v>
      </c>
      <c r="DE64" s="79">
        <v>26125.0</v>
      </c>
      <c r="DF64" s="79">
        <v>21550.0</v>
      </c>
      <c r="DG64" s="79">
        <v>0.0</v>
      </c>
      <c r="DH64" s="79">
        <v>0.0</v>
      </c>
      <c r="DI64" s="79">
        <v>8960.0</v>
      </c>
      <c r="DJ64" s="79" t="s">
        <v>907</v>
      </c>
      <c r="DK64" s="79" t="s">
        <v>486</v>
      </c>
      <c r="DL64" s="79" t="s">
        <v>487</v>
      </c>
      <c r="DM64" s="79" t="s">
        <v>908</v>
      </c>
      <c r="DN64" s="79"/>
      <c r="DO64" s="79" t="s">
        <v>909</v>
      </c>
      <c r="DP64" s="79"/>
      <c r="DQ64" s="79"/>
      <c r="DR64" s="79"/>
      <c r="DS64" s="79"/>
      <c r="DT64" s="82"/>
      <c r="DU64" s="79"/>
      <c r="DV64" s="82"/>
      <c r="DW64" s="79"/>
      <c r="DX64" s="79"/>
      <c r="DY64" s="79"/>
      <c r="DZ64" s="79"/>
      <c r="EA64" s="79"/>
      <c r="EB64" s="79"/>
      <c r="EC64" s="79"/>
      <c r="ED64" s="79"/>
      <c r="EE64" s="79"/>
      <c r="EF64" s="82"/>
      <c r="EG64" s="79"/>
      <c r="EH64" s="82"/>
      <c r="EI64" s="79"/>
      <c r="EJ64" s="82"/>
      <c r="EK64" s="79"/>
      <c r="EL64" s="82"/>
      <c r="EM64" s="79"/>
      <c r="EN64" s="79" t="s">
        <v>79</v>
      </c>
      <c r="EO64" s="79"/>
      <c r="EP64" s="80"/>
      <c r="EQ64" s="83"/>
      <c r="ER64" s="83" t="str">
        <f t="shared" si="1"/>
        <v/>
      </c>
      <c r="ES64" s="79"/>
      <c r="ET64" s="79" t="str">
        <f t="shared" si="2"/>
        <v/>
      </c>
      <c r="EU64" s="79"/>
      <c r="EV64" s="79"/>
      <c r="EW64" s="82"/>
      <c r="EX64" s="82"/>
      <c r="EY64" s="82"/>
      <c r="EZ64" s="79"/>
      <c r="FA64" s="79"/>
      <c r="FB64" s="79"/>
    </row>
    <row r="65" ht="15.75" customHeight="1">
      <c r="A65" s="79" t="s">
        <v>910</v>
      </c>
      <c r="B65" s="79" t="s">
        <v>515</v>
      </c>
      <c r="C65" s="79" t="s">
        <v>476</v>
      </c>
      <c r="D65" s="80">
        <v>46104.0</v>
      </c>
      <c r="E65" s="79" t="s">
        <v>911</v>
      </c>
      <c r="F65" s="79"/>
      <c r="G65" s="79" t="s">
        <v>780</v>
      </c>
      <c r="H65" s="79" t="s">
        <v>479</v>
      </c>
      <c r="I65" s="79" t="s">
        <v>480</v>
      </c>
      <c r="J65" s="79" t="s">
        <v>912</v>
      </c>
      <c r="K65" s="79">
        <v>2000.0</v>
      </c>
      <c r="L65" s="79" t="s">
        <v>482</v>
      </c>
      <c r="M65" s="79" t="s">
        <v>913</v>
      </c>
      <c r="N65" s="79" t="s">
        <v>521</v>
      </c>
      <c r="O65" s="79" t="s">
        <v>484</v>
      </c>
      <c r="P65" s="79" t="s">
        <v>914</v>
      </c>
      <c r="Q65" s="79" t="s">
        <v>915</v>
      </c>
      <c r="R65" s="80">
        <v>46451.0</v>
      </c>
      <c r="S65" s="79"/>
      <c r="T65" s="79">
        <v>80511.0</v>
      </c>
      <c r="U65" s="79"/>
      <c r="V65" s="79"/>
      <c r="W65" s="80">
        <v>46102.0</v>
      </c>
      <c r="X65" s="79"/>
      <c r="Y65" s="80">
        <v>46104.0</v>
      </c>
      <c r="Z65" s="79" t="s">
        <v>486</v>
      </c>
      <c r="AA65" s="79" t="s">
        <v>487</v>
      </c>
      <c r="AB65" s="79" t="s">
        <v>486</v>
      </c>
      <c r="AC65" s="79" t="s">
        <v>488</v>
      </c>
      <c r="AD65" s="79">
        <v>89100.0</v>
      </c>
      <c r="AE65" s="79">
        <v>0.0</v>
      </c>
      <c r="AF65" s="79">
        <v>0.0</v>
      </c>
      <c r="AG65" s="79">
        <v>8910.0</v>
      </c>
      <c r="AH65" s="81">
        <v>98010.0</v>
      </c>
      <c r="AI65" s="79"/>
      <c r="AJ65" s="79">
        <v>0.0</v>
      </c>
      <c r="AK65" s="79">
        <v>7800.0</v>
      </c>
      <c r="AL65" s="79">
        <v>0.0</v>
      </c>
      <c r="AM65" s="79">
        <v>0.0</v>
      </c>
      <c r="AN65" s="79">
        <v>780.0</v>
      </c>
      <c r="AO65" s="79">
        <v>8580.0</v>
      </c>
      <c r="AP65" s="79">
        <v>0.0</v>
      </c>
      <c r="AQ65" s="79">
        <v>81300.0</v>
      </c>
      <c r="AR65" s="79" t="s">
        <v>489</v>
      </c>
      <c r="AS65" s="79">
        <v>0.0</v>
      </c>
      <c r="AT65" s="79" t="s">
        <v>507</v>
      </c>
      <c r="AU65" s="79" t="s">
        <v>491</v>
      </c>
      <c r="AV65" s="79">
        <v>0.0</v>
      </c>
      <c r="AW65" s="79" t="s">
        <v>508</v>
      </c>
      <c r="AX65" s="79">
        <v>0.0</v>
      </c>
      <c r="AY65" s="79"/>
      <c r="AZ65" s="79">
        <v>0.0</v>
      </c>
      <c r="BA65" s="79"/>
      <c r="BB65" s="79">
        <v>0.0</v>
      </c>
      <c r="BC65" s="79"/>
      <c r="BD65" s="79">
        <v>0.0</v>
      </c>
      <c r="BE65" s="79"/>
      <c r="BF65" s="79">
        <v>0.0</v>
      </c>
      <c r="BG65" s="79"/>
      <c r="BH65" s="79">
        <v>0.0</v>
      </c>
      <c r="BI65" s="79" t="s">
        <v>493</v>
      </c>
      <c r="BJ65" s="79">
        <v>0.0</v>
      </c>
      <c r="BK65" s="79" t="s">
        <v>494</v>
      </c>
      <c r="BL65" s="79">
        <v>0.0</v>
      </c>
      <c r="BM65" s="79" t="s">
        <v>495</v>
      </c>
      <c r="BN65" s="79">
        <v>0.0</v>
      </c>
      <c r="BO65" s="79" t="s">
        <v>496</v>
      </c>
      <c r="BP65" s="79">
        <v>0.0</v>
      </c>
      <c r="BQ65" s="79"/>
      <c r="BR65" s="79">
        <v>0.0</v>
      </c>
      <c r="BS65" s="79"/>
      <c r="BT65" s="79">
        <v>0.0</v>
      </c>
      <c r="BU65" s="79"/>
      <c r="BV65" s="79">
        <v>0.0</v>
      </c>
      <c r="BW65" s="79"/>
      <c r="BX65" s="79">
        <v>0.0</v>
      </c>
      <c r="BY65" s="79">
        <v>0.0</v>
      </c>
      <c r="BZ65" s="79" t="s">
        <v>491</v>
      </c>
      <c r="CA65" s="79">
        <v>0.0</v>
      </c>
      <c r="CB65" s="79" t="s">
        <v>507</v>
      </c>
      <c r="CC65" s="79" t="s">
        <v>508</v>
      </c>
      <c r="CD65" s="79">
        <v>0.0</v>
      </c>
      <c r="CE65" s="79"/>
      <c r="CF65" s="79">
        <v>0.0</v>
      </c>
      <c r="CG65" s="79"/>
      <c r="CH65" s="79">
        <v>0.0</v>
      </c>
      <c r="CI65" s="79"/>
      <c r="CJ65" s="79">
        <v>0.0</v>
      </c>
      <c r="CK65" s="79"/>
      <c r="CL65" s="79">
        <v>0.0</v>
      </c>
      <c r="CM65" s="79"/>
      <c r="CN65" s="79">
        <v>0.0</v>
      </c>
      <c r="CO65" s="79" t="s">
        <v>493</v>
      </c>
      <c r="CP65" s="79">
        <v>0.0</v>
      </c>
      <c r="CQ65" s="79" t="s">
        <v>494</v>
      </c>
      <c r="CR65" s="79">
        <v>0.0</v>
      </c>
      <c r="CS65" s="79" t="s">
        <v>495</v>
      </c>
      <c r="CT65" s="79">
        <v>0.0</v>
      </c>
      <c r="CU65" s="79" t="s">
        <v>496</v>
      </c>
      <c r="CV65" s="79">
        <v>0.0</v>
      </c>
      <c r="CW65" s="79"/>
      <c r="CX65" s="79">
        <v>0.0</v>
      </c>
      <c r="CY65" s="79"/>
      <c r="CZ65" s="79">
        <v>0.0</v>
      </c>
      <c r="DA65" s="79"/>
      <c r="DB65" s="79">
        <v>0.0</v>
      </c>
      <c r="DC65" s="79"/>
      <c r="DD65" s="79">
        <v>0.0</v>
      </c>
      <c r="DE65" s="79">
        <v>71100.0</v>
      </c>
      <c r="DF65" s="79">
        <v>18000.0</v>
      </c>
      <c r="DG65" s="79">
        <v>0.0</v>
      </c>
      <c r="DH65" s="79">
        <v>0.0</v>
      </c>
      <c r="DI65" s="79">
        <v>7800.0</v>
      </c>
      <c r="DJ65" s="79" t="s">
        <v>175</v>
      </c>
      <c r="DK65" s="79" t="s">
        <v>486</v>
      </c>
      <c r="DL65" s="79" t="s">
        <v>487</v>
      </c>
      <c r="DM65" s="79" t="s">
        <v>916</v>
      </c>
      <c r="DN65" s="79" t="s">
        <v>917</v>
      </c>
      <c r="DO65" s="79" t="s">
        <v>918</v>
      </c>
      <c r="DP65" s="79"/>
      <c r="DQ65" s="79"/>
      <c r="DR65" s="79"/>
      <c r="DS65" s="79"/>
      <c r="DT65" s="82"/>
      <c r="DU65" s="79"/>
      <c r="DV65" s="82"/>
      <c r="DW65" s="79"/>
      <c r="DX65" s="79"/>
      <c r="DY65" s="79"/>
      <c r="DZ65" s="79"/>
      <c r="EA65" s="79"/>
      <c r="EB65" s="79"/>
      <c r="EC65" s="79"/>
      <c r="ED65" s="79"/>
      <c r="EE65" s="79"/>
      <c r="EF65" s="82"/>
      <c r="EG65" s="79"/>
      <c r="EH65" s="82"/>
      <c r="EI65" s="79"/>
      <c r="EJ65" s="82"/>
      <c r="EK65" s="79"/>
      <c r="EL65" s="82"/>
      <c r="EM65" s="79"/>
      <c r="EN65" s="79" t="s">
        <v>57</v>
      </c>
      <c r="EO65" s="79"/>
      <c r="EP65" s="80"/>
      <c r="EQ65" s="83"/>
      <c r="ER65" s="83" t="str">
        <f t="shared" si="1"/>
        <v/>
      </c>
      <c r="ES65" s="79"/>
      <c r="ET65" s="79" t="str">
        <f t="shared" si="2"/>
        <v/>
      </c>
      <c r="EU65" s="79"/>
      <c r="EV65" s="79"/>
      <c r="EW65" s="82"/>
      <c r="EX65" s="82"/>
      <c r="EY65" s="82"/>
      <c r="EZ65" s="19"/>
      <c r="FA65" s="19"/>
      <c r="FB65" s="19"/>
    </row>
    <row r="66" ht="15.75" customHeight="1">
      <c r="A66" s="79" t="s">
        <v>919</v>
      </c>
      <c r="B66" s="79" t="s">
        <v>893</v>
      </c>
      <c r="C66" s="79" t="s">
        <v>476</v>
      </c>
      <c r="D66" s="80">
        <v>46104.0</v>
      </c>
      <c r="E66" s="79" t="s">
        <v>920</v>
      </c>
      <c r="F66" s="79" t="s">
        <v>894</v>
      </c>
      <c r="G66" s="79" t="s">
        <v>921</v>
      </c>
      <c r="H66" s="79" t="s">
        <v>479</v>
      </c>
      <c r="I66" s="79"/>
      <c r="J66" s="79" t="s">
        <v>922</v>
      </c>
      <c r="K66" s="79">
        <v>0.0</v>
      </c>
      <c r="L66" s="79"/>
      <c r="M66" s="79" t="s">
        <v>506</v>
      </c>
      <c r="N66" s="79"/>
      <c r="O66" s="79"/>
      <c r="P66" s="79"/>
      <c r="Q66" s="79"/>
      <c r="R66" s="80">
        <v>47194.0</v>
      </c>
      <c r="S66" s="79"/>
      <c r="T66" s="79"/>
      <c r="U66" s="79"/>
      <c r="V66" s="79"/>
      <c r="W66" s="79"/>
      <c r="X66" s="79"/>
      <c r="Y66" s="79"/>
      <c r="Z66" s="79" t="s">
        <v>486</v>
      </c>
      <c r="AA66" s="79" t="s">
        <v>537</v>
      </c>
      <c r="AB66" s="79" t="s">
        <v>486</v>
      </c>
      <c r="AC66" s="79" t="s">
        <v>488</v>
      </c>
      <c r="AD66" s="79">
        <v>125800.0</v>
      </c>
      <c r="AE66" s="79">
        <v>0.0</v>
      </c>
      <c r="AF66" s="79">
        <v>0.0</v>
      </c>
      <c r="AG66" s="79">
        <v>12580.0</v>
      </c>
      <c r="AH66" s="81">
        <v>138380.0</v>
      </c>
      <c r="AI66" s="79"/>
      <c r="AJ66" s="79">
        <v>0.0</v>
      </c>
      <c r="AK66" s="79">
        <v>65440.0</v>
      </c>
      <c r="AL66" s="79">
        <v>0.0</v>
      </c>
      <c r="AM66" s="79">
        <v>0.0</v>
      </c>
      <c r="AN66" s="79">
        <v>6544.0</v>
      </c>
      <c r="AO66" s="79">
        <v>71984.0</v>
      </c>
      <c r="AP66" s="79">
        <v>0.0</v>
      </c>
      <c r="AQ66" s="79">
        <v>60360.0</v>
      </c>
      <c r="AR66" s="79" t="s">
        <v>489</v>
      </c>
      <c r="AS66" s="79">
        <v>0.0</v>
      </c>
      <c r="AT66" s="79" t="s">
        <v>507</v>
      </c>
      <c r="AU66" s="79" t="s">
        <v>491</v>
      </c>
      <c r="AV66" s="79">
        <v>0.0</v>
      </c>
      <c r="AW66" s="79" t="s">
        <v>508</v>
      </c>
      <c r="AX66" s="79">
        <v>0.0</v>
      </c>
      <c r="AY66" s="79"/>
      <c r="AZ66" s="79">
        <v>0.0</v>
      </c>
      <c r="BA66" s="79"/>
      <c r="BB66" s="79">
        <v>0.0</v>
      </c>
      <c r="BC66" s="79"/>
      <c r="BD66" s="79">
        <v>0.0</v>
      </c>
      <c r="BE66" s="79"/>
      <c r="BF66" s="79">
        <v>0.0</v>
      </c>
      <c r="BG66" s="79"/>
      <c r="BH66" s="79">
        <v>0.0</v>
      </c>
      <c r="BI66" s="79" t="s">
        <v>493</v>
      </c>
      <c r="BJ66" s="79">
        <v>0.0</v>
      </c>
      <c r="BK66" s="79" t="s">
        <v>494</v>
      </c>
      <c r="BL66" s="79">
        <v>0.0</v>
      </c>
      <c r="BM66" s="79" t="s">
        <v>495</v>
      </c>
      <c r="BN66" s="79">
        <v>0.0</v>
      </c>
      <c r="BO66" s="79" t="s">
        <v>496</v>
      </c>
      <c r="BP66" s="79">
        <v>0.0</v>
      </c>
      <c r="BQ66" s="79"/>
      <c r="BR66" s="79">
        <v>0.0</v>
      </c>
      <c r="BS66" s="79"/>
      <c r="BT66" s="79">
        <v>0.0</v>
      </c>
      <c r="BU66" s="79"/>
      <c r="BV66" s="79">
        <v>0.0</v>
      </c>
      <c r="BW66" s="79"/>
      <c r="BX66" s="79">
        <v>0.0</v>
      </c>
      <c r="BY66" s="79">
        <v>0.0</v>
      </c>
      <c r="BZ66" s="79" t="s">
        <v>491</v>
      </c>
      <c r="CA66" s="79">
        <v>0.0</v>
      </c>
      <c r="CB66" s="79" t="s">
        <v>507</v>
      </c>
      <c r="CC66" s="79" t="s">
        <v>508</v>
      </c>
      <c r="CD66" s="79">
        <v>0.0</v>
      </c>
      <c r="CE66" s="79"/>
      <c r="CF66" s="79">
        <v>0.0</v>
      </c>
      <c r="CG66" s="79"/>
      <c r="CH66" s="79">
        <v>0.0</v>
      </c>
      <c r="CI66" s="79"/>
      <c r="CJ66" s="79">
        <v>0.0</v>
      </c>
      <c r="CK66" s="79"/>
      <c r="CL66" s="79">
        <v>0.0</v>
      </c>
      <c r="CM66" s="79"/>
      <c r="CN66" s="79">
        <v>0.0</v>
      </c>
      <c r="CO66" s="79" t="s">
        <v>493</v>
      </c>
      <c r="CP66" s="79">
        <v>0.0</v>
      </c>
      <c r="CQ66" s="79" t="s">
        <v>494</v>
      </c>
      <c r="CR66" s="79">
        <v>0.0</v>
      </c>
      <c r="CS66" s="79" t="s">
        <v>495</v>
      </c>
      <c r="CT66" s="79">
        <v>0.0</v>
      </c>
      <c r="CU66" s="79" t="s">
        <v>496</v>
      </c>
      <c r="CV66" s="79">
        <v>0.0</v>
      </c>
      <c r="CW66" s="79"/>
      <c r="CX66" s="79">
        <v>0.0</v>
      </c>
      <c r="CY66" s="79"/>
      <c r="CZ66" s="79">
        <v>0.0</v>
      </c>
      <c r="DA66" s="79"/>
      <c r="DB66" s="79">
        <v>0.0</v>
      </c>
      <c r="DC66" s="79"/>
      <c r="DD66" s="79">
        <v>0.0</v>
      </c>
      <c r="DE66" s="79">
        <v>44000.0</v>
      </c>
      <c r="DF66" s="79">
        <v>81800.0</v>
      </c>
      <c r="DG66" s="79">
        <v>0.0</v>
      </c>
      <c r="DH66" s="79">
        <v>0.0</v>
      </c>
      <c r="DI66" s="79">
        <v>65440.0</v>
      </c>
      <c r="DJ66" s="79" t="s">
        <v>923</v>
      </c>
      <c r="DK66" s="79" t="s">
        <v>486</v>
      </c>
      <c r="DL66" s="79" t="s">
        <v>537</v>
      </c>
      <c r="DM66" s="79" t="s">
        <v>924</v>
      </c>
      <c r="DN66" s="79" t="s">
        <v>925</v>
      </c>
      <c r="DO66" s="79" t="s">
        <v>926</v>
      </c>
      <c r="DP66" s="79"/>
      <c r="DQ66" s="79"/>
      <c r="DR66" s="79"/>
      <c r="DS66" s="79"/>
      <c r="DT66" s="82"/>
      <c r="DU66" s="79"/>
      <c r="DV66" s="82"/>
      <c r="DW66" s="79"/>
      <c r="DX66" s="79"/>
      <c r="DY66" s="79"/>
      <c r="DZ66" s="79"/>
      <c r="EA66" s="79"/>
      <c r="EB66" s="79"/>
      <c r="EC66" s="79"/>
      <c r="ED66" s="79"/>
      <c r="EE66" s="79"/>
      <c r="EF66" s="82"/>
      <c r="EG66" s="79"/>
      <c r="EH66" s="82"/>
      <c r="EI66" s="79"/>
      <c r="EJ66" s="82"/>
      <c r="EK66" s="79"/>
      <c r="EL66" s="82"/>
      <c r="EM66" s="79"/>
      <c r="EN66" s="79" t="s">
        <v>79</v>
      </c>
      <c r="EO66" s="79"/>
      <c r="EP66" s="80"/>
      <c r="EQ66" s="83"/>
      <c r="ER66" s="83" t="str">
        <f t="shared" si="1"/>
        <v/>
      </c>
      <c r="ES66" s="79"/>
      <c r="ET66" s="79" t="str">
        <f t="shared" si="2"/>
        <v/>
      </c>
      <c r="EU66" s="79"/>
      <c r="EV66" s="82"/>
      <c r="EW66" s="82"/>
      <c r="EX66" s="82"/>
      <c r="EY66" s="82"/>
      <c r="EZ66" s="19"/>
      <c r="FA66" s="19"/>
      <c r="FB66" s="19"/>
    </row>
    <row r="67" ht="15.75" customHeight="1">
      <c r="A67" s="79" t="s">
        <v>927</v>
      </c>
      <c r="B67" s="79" t="s">
        <v>928</v>
      </c>
      <c r="C67" s="79" t="s">
        <v>476</v>
      </c>
      <c r="D67" s="80">
        <v>46104.0</v>
      </c>
      <c r="E67" s="79"/>
      <c r="F67" s="82"/>
      <c r="G67" s="79" t="s">
        <v>504</v>
      </c>
      <c r="H67" s="79" t="s">
        <v>895</v>
      </c>
      <c r="I67" s="79"/>
      <c r="J67" s="79" t="s">
        <v>896</v>
      </c>
      <c r="K67" s="79">
        <v>3000.0</v>
      </c>
      <c r="L67" s="79"/>
      <c r="M67" s="79" t="s">
        <v>897</v>
      </c>
      <c r="N67" s="79" t="s">
        <v>898</v>
      </c>
      <c r="O67" s="79" t="s">
        <v>484</v>
      </c>
      <c r="P67" s="79"/>
      <c r="Q67" s="79" t="s">
        <v>899</v>
      </c>
      <c r="R67" s="80">
        <v>46477.0</v>
      </c>
      <c r="S67" s="79"/>
      <c r="T67" s="79">
        <v>11201.0</v>
      </c>
      <c r="U67" s="79"/>
      <c r="V67" s="79"/>
      <c r="W67" s="79"/>
      <c r="X67" s="79"/>
      <c r="Y67" s="79"/>
      <c r="Z67" s="79" t="s">
        <v>524</v>
      </c>
      <c r="AA67" s="79" t="s">
        <v>487</v>
      </c>
      <c r="AB67" s="79" t="s">
        <v>486</v>
      </c>
      <c r="AC67" s="79" t="s">
        <v>488</v>
      </c>
      <c r="AD67" s="79">
        <v>112973.0</v>
      </c>
      <c r="AE67" s="79">
        <v>0.0</v>
      </c>
      <c r="AF67" s="79">
        <v>0.0</v>
      </c>
      <c r="AG67" s="79">
        <v>11297.0</v>
      </c>
      <c r="AH67" s="83">
        <v>124270.0</v>
      </c>
      <c r="AI67" s="79"/>
      <c r="AJ67" s="79">
        <v>0.0</v>
      </c>
      <c r="AK67" s="79">
        <v>27784.0</v>
      </c>
      <c r="AL67" s="83">
        <v>0.0</v>
      </c>
      <c r="AM67" s="79">
        <v>0.0</v>
      </c>
      <c r="AN67" s="79">
        <v>2778.0</v>
      </c>
      <c r="AO67" s="79">
        <v>30562.0</v>
      </c>
      <c r="AP67" s="79">
        <v>0.0</v>
      </c>
      <c r="AQ67" s="79">
        <v>85189.0</v>
      </c>
      <c r="AR67" s="79" t="s">
        <v>489</v>
      </c>
      <c r="AS67" s="79">
        <v>0.0</v>
      </c>
      <c r="AT67" s="79" t="s">
        <v>490</v>
      </c>
      <c r="AU67" s="79" t="s">
        <v>491</v>
      </c>
      <c r="AV67" s="79">
        <v>0.0</v>
      </c>
      <c r="AW67" s="79" t="s">
        <v>508</v>
      </c>
      <c r="AX67" s="79">
        <v>0.0</v>
      </c>
      <c r="AY67" s="79"/>
      <c r="AZ67" s="79">
        <v>0.0</v>
      </c>
      <c r="BA67" s="79"/>
      <c r="BB67" s="79">
        <v>0.0</v>
      </c>
      <c r="BC67" s="82"/>
      <c r="BD67" s="79">
        <v>0.0</v>
      </c>
      <c r="BE67" s="82"/>
      <c r="BF67" s="79">
        <v>0.0</v>
      </c>
      <c r="BG67" s="79"/>
      <c r="BH67" s="79">
        <v>0.0</v>
      </c>
      <c r="BI67" s="79" t="s">
        <v>493</v>
      </c>
      <c r="BJ67" s="79">
        <v>0.0</v>
      </c>
      <c r="BK67" s="79" t="s">
        <v>494</v>
      </c>
      <c r="BL67" s="79">
        <v>0.0</v>
      </c>
      <c r="BM67" s="79" t="s">
        <v>495</v>
      </c>
      <c r="BN67" s="79">
        <v>0.0</v>
      </c>
      <c r="BO67" s="79" t="s">
        <v>496</v>
      </c>
      <c r="BP67" s="79">
        <v>0.0</v>
      </c>
      <c r="BQ67" s="79"/>
      <c r="BR67" s="79">
        <v>0.0</v>
      </c>
      <c r="BS67" s="79"/>
      <c r="BT67" s="79">
        <v>0.0</v>
      </c>
      <c r="BU67" s="79"/>
      <c r="BV67" s="79">
        <v>0.0</v>
      </c>
      <c r="BW67" s="79"/>
      <c r="BX67" s="79">
        <v>0.0</v>
      </c>
      <c r="BY67" s="79">
        <v>0.0</v>
      </c>
      <c r="BZ67" s="79" t="s">
        <v>491</v>
      </c>
      <c r="CA67" s="79">
        <v>0.0</v>
      </c>
      <c r="CB67" s="79" t="s">
        <v>490</v>
      </c>
      <c r="CC67" s="79" t="s">
        <v>508</v>
      </c>
      <c r="CD67" s="79">
        <v>0.0</v>
      </c>
      <c r="CE67" s="79"/>
      <c r="CF67" s="79">
        <v>0.0</v>
      </c>
      <c r="CG67" s="79"/>
      <c r="CH67" s="79">
        <v>0.0</v>
      </c>
      <c r="CI67" s="79"/>
      <c r="CJ67" s="79">
        <v>0.0</v>
      </c>
      <c r="CK67" s="79"/>
      <c r="CL67" s="79">
        <v>0.0</v>
      </c>
      <c r="CM67" s="79"/>
      <c r="CN67" s="79">
        <v>0.0</v>
      </c>
      <c r="CO67" s="79" t="s">
        <v>493</v>
      </c>
      <c r="CP67" s="79">
        <v>0.0</v>
      </c>
      <c r="CQ67" s="79" t="s">
        <v>494</v>
      </c>
      <c r="CR67" s="79">
        <v>0.0</v>
      </c>
      <c r="CS67" s="79" t="s">
        <v>495</v>
      </c>
      <c r="CT67" s="79">
        <v>0.0</v>
      </c>
      <c r="CU67" s="79" t="s">
        <v>496</v>
      </c>
      <c r="CV67" s="79">
        <v>0.0</v>
      </c>
      <c r="CW67" s="79"/>
      <c r="CX67" s="79">
        <v>0.0</v>
      </c>
      <c r="CY67" s="79"/>
      <c r="CZ67" s="79">
        <v>0.0</v>
      </c>
      <c r="DA67" s="79"/>
      <c r="DB67" s="79">
        <v>0.0</v>
      </c>
      <c r="DC67" s="79"/>
      <c r="DD67" s="79">
        <v>0.0</v>
      </c>
      <c r="DE67" s="79">
        <v>68000.0</v>
      </c>
      <c r="DF67" s="79">
        <v>44973.0</v>
      </c>
      <c r="DG67" s="79">
        <v>0.0</v>
      </c>
      <c r="DH67" s="79">
        <v>0.0</v>
      </c>
      <c r="DI67" s="79">
        <v>27784.0</v>
      </c>
      <c r="DJ67" s="79"/>
      <c r="DK67" s="79"/>
      <c r="DL67" s="79"/>
      <c r="DM67" s="79"/>
      <c r="DN67" s="82"/>
      <c r="DO67" s="79"/>
      <c r="DP67" s="82"/>
      <c r="DQ67" s="79"/>
      <c r="DR67" s="82"/>
      <c r="DS67" s="79"/>
      <c r="DT67" s="82"/>
      <c r="DU67" s="79"/>
      <c r="DV67" s="82"/>
      <c r="DW67" s="79"/>
      <c r="DX67" s="79"/>
      <c r="DY67" s="79"/>
      <c r="DZ67" s="79"/>
      <c r="EA67" s="79"/>
      <c r="EB67" s="79"/>
      <c r="EC67" s="79"/>
      <c r="ED67" s="79"/>
      <c r="EE67" s="79"/>
      <c r="EF67" s="82"/>
      <c r="EG67" s="79"/>
      <c r="EH67" s="82"/>
      <c r="EI67" s="79"/>
      <c r="EJ67" s="82"/>
      <c r="EK67" s="79"/>
      <c r="EL67" s="82"/>
      <c r="EM67" s="79"/>
      <c r="EN67" s="79" t="s">
        <v>79</v>
      </c>
      <c r="EO67" s="79"/>
      <c r="EP67" s="80"/>
      <c r="EQ67" s="83"/>
      <c r="ER67" s="83" t="str">
        <f t="shared" si="1"/>
        <v/>
      </c>
      <c r="ES67" s="79"/>
      <c r="ET67" s="79" t="str">
        <f t="shared" si="2"/>
        <v/>
      </c>
      <c r="EU67" s="79"/>
      <c r="EV67" s="82"/>
      <c r="EW67" s="82"/>
      <c r="EX67" s="82"/>
      <c r="EY67" s="82"/>
      <c r="EZ67" s="19"/>
      <c r="FA67" s="19"/>
      <c r="FB67" s="19"/>
    </row>
    <row r="68" ht="15.75" customHeight="1">
      <c r="A68" s="79" t="s">
        <v>929</v>
      </c>
      <c r="B68" s="79" t="s">
        <v>475</v>
      </c>
      <c r="C68" s="79" t="s">
        <v>476</v>
      </c>
      <c r="D68" s="80">
        <v>46107.0</v>
      </c>
      <c r="E68" s="79" t="s">
        <v>930</v>
      </c>
      <c r="F68" s="79" t="s">
        <v>568</v>
      </c>
      <c r="G68" s="79" t="s">
        <v>931</v>
      </c>
      <c r="H68" s="79" t="s">
        <v>479</v>
      </c>
      <c r="I68" s="79" t="s">
        <v>737</v>
      </c>
      <c r="J68" s="79" t="s">
        <v>932</v>
      </c>
      <c r="K68" s="79">
        <v>2000.0</v>
      </c>
      <c r="L68" s="79"/>
      <c r="M68" s="79" t="s">
        <v>933</v>
      </c>
      <c r="N68" s="79" t="s">
        <v>934</v>
      </c>
      <c r="O68" s="79"/>
      <c r="P68" s="79"/>
      <c r="Q68" s="79" t="s">
        <v>935</v>
      </c>
      <c r="R68" s="80">
        <v>46565.0</v>
      </c>
      <c r="S68" s="79"/>
      <c r="T68" s="79">
        <v>30976.0</v>
      </c>
      <c r="U68" s="79"/>
      <c r="V68" s="79"/>
      <c r="W68" s="80">
        <v>46107.0</v>
      </c>
      <c r="X68" s="79"/>
      <c r="Y68" s="80">
        <v>46107.0</v>
      </c>
      <c r="Z68" s="79" t="s">
        <v>486</v>
      </c>
      <c r="AA68" s="79" t="s">
        <v>555</v>
      </c>
      <c r="AB68" s="79" t="s">
        <v>486</v>
      </c>
      <c r="AC68" s="79" t="s">
        <v>488</v>
      </c>
      <c r="AD68" s="79">
        <v>3320.0</v>
      </c>
      <c r="AE68" s="79">
        <v>0.0</v>
      </c>
      <c r="AF68" s="79">
        <v>0.0</v>
      </c>
      <c r="AG68" s="79">
        <v>332.0</v>
      </c>
      <c r="AH68" s="81">
        <v>3652.0</v>
      </c>
      <c r="AI68" s="79"/>
      <c r="AJ68" s="79">
        <v>0.0</v>
      </c>
      <c r="AK68" s="79">
        <v>2387.0</v>
      </c>
      <c r="AL68" s="79">
        <v>0.0</v>
      </c>
      <c r="AM68" s="79">
        <v>0.0</v>
      </c>
      <c r="AN68" s="79">
        <v>239.0</v>
      </c>
      <c r="AO68" s="79">
        <v>2626.0</v>
      </c>
      <c r="AP68" s="79">
        <v>0.0</v>
      </c>
      <c r="AQ68" s="79">
        <v>933.0</v>
      </c>
      <c r="AR68" s="79" t="s">
        <v>489</v>
      </c>
      <c r="AS68" s="79">
        <v>0.0</v>
      </c>
      <c r="AT68" s="79" t="s">
        <v>490</v>
      </c>
      <c r="AU68" s="79" t="s">
        <v>491</v>
      </c>
      <c r="AV68" s="79">
        <v>0.0</v>
      </c>
      <c r="AW68" s="79"/>
      <c r="AX68" s="79">
        <v>0.0</v>
      </c>
      <c r="AY68" s="79" t="s">
        <v>492</v>
      </c>
      <c r="AZ68" s="79">
        <v>0.0</v>
      </c>
      <c r="BA68" s="79"/>
      <c r="BB68" s="79">
        <v>0.0</v>
      </c>
      <c r="BC68" s="79"/>
      <c r="BD68" s="79">
        <v>0.0</v>
      </c>
      <c r="BE68" s="79"/>
      <c r="BF68" s="79">
        <v>0.0</v>
      </c>
      <c r="BG68" s="79"/>
      <c r="BH68" s="79">
        <v>0.0</v>
      </c>
      <c r="BI68" s="79" t="s">
        <v>493</v>
      </c>
      <c r="BJ68" s="79">
        <v>0.0</v>
      </c>
      <c r="BK68" s="79" t="s">
        <v>494</v>
      </c>
      <c r="BL68" s="79">
        <v>0.0</v>
      </c>
      <c r="BM68" s="79" t="s">
        <v>495</v>
      </c>
      <c r="BN68" s="79">
        <v>0.0</v>
      </c>
      <c r="BO68" s="79" t="s">
        <v>496</v>
      </c>
      <c r="BP68" s="79">
        <v>0.0</v>
      </c>
      <c r="BQ68" s="79"/>
      <c r="BR68" s="79">
        <v>0.0</v>
      </c>
      <c r="BS68" s="79"/>
      <c r="BT68" s="79">
        <v>0.0</v>
      </c>
      <c r="BU68" s="79"/>
      <c r="BV68" s="79">
        <v>0.0</v>
      </c>
      <c r="BW68" s="79"/>
      <c r="BX68" s="79">
        <v>0.0</v>
      </c>
      <c r="BY68" s="79">
        <v>0.0</v>
      </c>
      <c r="BZ68" s="79" t="s">
        <v>491</v>
      </c>
      <c r="CA68" s="79">
        <v>0.0</v>
      </c>
      <c r="CB68" s="79" t="s">
        <v>490</v>
      </c>
      <c r="CC68" s="79"/>
      <c r="CD68" s="79">
        <v>0.0</v>
      </c>
      <c r="CE68" s="79" t="s">
        <v>492</v>
      </c>
      <c r="CF68" s="79">
        <v>0.0</v>
      </c>
      <c r="CG68" s="79"/>
      <c r="CH68" s="79">
        <v>0.0</v>
      </c>
      <c r="CI68" s="79"/>
      <c r="CJ68" s="79">
        <v>0.0</v>
      </c>
      <c r="CK68" s="79"/>
      <c r="CL68" s="79">
        <v>0.0</v>
      </c>
      <c r="CM68" s="79"/>
      <c r="CN68" s="79">
        <v>0.0</v>
      </c>
      <c r="CO68" s="79" t="s">
        <v>493</v>
      </c>
      <c r="CP68" s="79">
        <v>0.0</v>
      </c>
      <c r="CQ68" s="79" t="s">
        <v>494</v>
      </c>
      <c r="CR68" s="79">
        <v>0.0</v>
      </c>
      <c r="CS68" s="79" t="s">
        <v>495</v>
      </c>
      <c r="CT68" s="79">
        <v>0.0</v>
      </c>
      <c r="CU68" s="79" t="s">
        <v>496</v>
      </c>
      <c r="CV68" s="79">
        <v>0.0</v>
      </c>
      <c r="CW68" s="79"/>
      <c r="CX68" s="79">
        <v>0.0</v>
      </c>
      <c r="CY68" s="79"/>
      <c r="CZ68" s="79">
        <v>0.0</v>
      </c>
      <c r="DA68" s="79"/>
      <c r="DB68" s="79">
        <v>0.0</v>
      </c>
      <c r="DC68" s="79"/>
      <c r="DD68" s="79">
        <v>0.0</v>
      </c>
      <c r="DE68" s="79">
        <v>570.0</v>
      </c>
      <c r="DF68" s="79">
        <v>2750.0</v>
      </c>
      <c r="DG68" s="79">
        <v>0.0</v>
      </c>
      <c r="DH68" s="79">
        <v>0.0</v>
      </c>
      <c r="DI68" s="79">
        <v>2387.0</v>
      </c>
      <c r="DJ68" s="79" t="s">
        <v>936</v>
      </c>
      <c r="DK68" s="79" t="s">
        <v>486</v>
      </c>
      <c r="DL68" s="79" t="s">
        <v>555</v>
      </c>
      <c r="DM68" s="79" t="s">
        <v>937</v>
      </c>
      <c r="DN68" s="79"/>
      <c r="DO68" s="79" t="s">
        <v>938</v>
      </c>
      <c r="DP68" s="79"/>
      <c r="DQ68" s="79"/>
      <c r="DR68" s="79"/>
      <c r="DS68" s="79"/>
      <c r="DT68" s="82"/>
      <c r="DU68" s="79"/>
      <c r="DV68" s="82"/>
      <c r="DW68" s="79"/>
      <c r="DX68" s="79"/>
      <c r="DY68" s="79"/>
      <c r="DZ68" s="79"/>
      <c r="EA68" s="79"/>
      <c r="EB68" s="79"/>
      <c r="EC68" s="79"/>
      <c r="ED68" s="79"/>
      <c r="EE68" s="79"/>
      <c r="EF68" s="82"/>
      <c r="EG68" s="79"/>
      <c r="EH68" s="82"/>
      <c r="EI68" s="79"/>
      <c r="EJ68" s="82"/>
      <c r="EK68" s="79"/>
      <c r="EL68" s="82"/>
      <c r="EM68" s="79"/>
      <c r="EN68" s="79" t="s">
        <v>79</v>
      </c>
      <c r="EO68" s="79"/>
      <c r="EP68" s="80"/>
      <c r="EQ68" s="83"/>
      <c r="ER68" s="83" t="str">
        <f t="shared" si="1"/>
        <v/>
      </c>
      <c r="ES68" s="82"/>
      <c r="ET68" s="79" t="str">
        <f t="shared" si="2"/>
        <v/>
      </c>
      <c r="EU68" s="79"/>
      <c r="EV68" s="79"/>
      <c r="EW68" s="82"/>
      <c r="EX68" s="82"/>
      <c r="EY68" s="82"/>
      <c r="EZ68" s="19"/>
      <c r="FA68" s="19"/>
      <c r="FB68" s="19"/>
    </row>
    <row r="69" ht="15.75" customHeight="1">
      <c r="A69" s="79" t="s">
        <v>939</v>
      </c>
      <c r="B69" s="79" t="s">
        <v>654</v>
      </c>
      <c r="C69" s="79" t="s">
        <v>476</v>
      </c>
      <c r="D69" s="80">
        <v>46107.0</v>
      </c>
      <c r="E69" s="79"/>
      <c r="F69" s="82"/>
      <c r="G69" s="79" t="s">
        <v>940</v>
      </c>
      <c r="H69" s="79" t="s">
        <v>479</v>
      </c>
      <c r="I69" s="79" t="s">
        <v>480</v>
      </c>
      <c r="J69" s="79" t="s">
        <v>941</v>
      </c>
      <c r="K69" s="79">
        <v>2000.0</v>
      </c>
      <c r="L69" s="79" t="s">
        <v>482</v>
      </c>
      <c r="M69" s="79" t="s">
        <v>483</v>
      </c>
      <c r="N69" s="79" t="s">
        <v>942</v>
      </c>
      <c r="O69" s="79" t="s">
        <v>484</v>
      </c>
      <c r="P69" s="79" t="s">
        <v>485</v>
      </c>
      <c r="Q69" s="79" t="s">
        <v>943</v>
      </c>
      <c r="R69" s="80">
        <v>46201.0</v>
      </c>
      <c r="S69" s="79"/>
      <c r="T69" s="79">
        <v>70661.0</v>
      </c>
      <c r="U69" s="79"/>
      <c r="V69" s="79"/>
      <c r="W69" s="79"/>
      <c r="X69" s="79"/>
      <c r="Y69" s="79"/>
      <c r="Z69" s="79"/>
      <c r="AA69" s="79" t="s">
        <v>627</v>
      </c>
      <c r="AB69" s="79" t="s">
        <v>486</v>
      </c>
      <c r="AC69" s="79" t="s">
        <v>488</v>
      </c>
      <c r="AD69" s="79">
        <v>16000.0</v>
      </c>
      <c r="AE69" s="79">
        <v>0.0</v>
      </c>
      <c r="AF69" s="79">
        <v>0.0</v>
      </c>
      <c r="AG69" s="79">
        <v>1600.0</v>
      </c>
      <c r="AH69" s="83">
        <v>17600.0</v>
      </c>
      <c r="AI69" s="79"/>
      <c r="AJ69" s="79">
        <v>0.0</v>
      </c>
      <c r="AK69" s="79">
        <v>0.0</v>
      </c>
      <c r="AL69" s="83">
        <v>0.0</v>
      </c>
      <c r="AM69" s="79">
        <v>0.0</v>
      </c>
      <c r="AN69" s="79">
        <v>0.0</v>
      </c>
      <c r="AO69" s="79">
        <v>0.0</v>
      </c>
      <c r="AP69" s="79">
        <v>0.0</v>
      </c>
      <c r="AQ69" s="79">
        <v>16000.0</v>
      </c>
      <c r="AR69" s="79" t="s">
        <v>489</v>
      </c>
      <c r="AS69" s="79">
        <v>0.0</v>
      </c>
      <c r="AT69" s="79" t="s">
        <v>507</v>
      </c>
      <c r="AU69" s="79" t="s">
        <v>491</v>
      </c>
      <c r="AV69" s="79">
        <v>0.0</v>
      </c>
      <c r="AW69" s="79" t="s">
        <v>508</v>
      </c>
      <c r="AX69" s="79">
        <v>0.0</v>
      </c>
      <c r="AY69" s="82"/>
      <c r="AZ69" s="79">
        <v>0.0</v>
      </c>
      <c r="BA69" s="79"/>
      <c r="BB69" s="79">
        <v>0.0</v>
      </c>
      <c r="BC69" s="79"/>
      <c r="BD69" s="79">
        <v>0.0</v>
      </c>
      <c r="BE69" s="82"/>
      <c r="BF69" s="79">
        <v>0.0</v>
      </c>
      <c r="BG69" s="79"/>
      <c r="BH69" s="79">
        <v>0.0</v>
      </c>
      <c r="BI69" s="79" t="s">
        <v>493</v>
      </c>
      <c r="BJ69" s="79">
        <v>0.0</v>
      </c>
      <c r="BK69" s="79" t="s">
        <v>494</v>
      </c>
      <c r="BL69" s="79">
        <v>0.0</v>
      </c>
      <c r="BM69" s="79" t="s">
        <v>495</v>
      </c>
      <c r="BN69" s="79">
        <v>0.0</v>
      </c>
      <c r="BO69" s="79" t="s">
        <v>496</v>
      </c>
      <c r="BP69" s="79">
        <v>0.0</v>
      </c>
      <c r="BQ69" s="79"/>
      <c r="BR69" s="79">
        <v>0.0</v>
      </c>
      <c r="BS69" s="79"/>
      <c r="BT69" s="79">
        <v>0.0</v>
      </c>
      <c r="BU69" s="79"/>
      <c r="BV69" s="79">
        <v>0.0</v>
      </c>
      <c r="BW69" s="79"/>
      <c r="BX69" s="79">
        <v>0.0</v>
      </c>
      <c r="BY69" s="79">
        <v>0.0</v>
      </c>
      <c r="BZ69" s="79" t="s">
        <v>491</v>
      </c>
      <c r="CA69" s="79">
        <v>0.0</v>
      </c>
      <c r="CB69" s="79" t="s">
        <v>507</v>
      </c>
      <c r="CC69" s="79" t="s">
        <v>508</v>
      </c>
      <c r="CD69" s="79">
        <v>0.0</v>
      </c>
      <c r="CE69" s="79"/>
      <c r="CF69" s="79">
        <v>0.0</v>
      </c>
      <c r="CG69" s="79"/>
      <c r="CH69" s="79">
        <v>0.0</v>
      </c>
      <c r="CI69" s="79"/>
      <c r="CJ69" s="79">
        <v>0.0</v>
      </c>
      <c r="CK69" s="79"/>
      <c r="CL69" s="79">
        <v>0.0</v>
      </c>
      <c r="CM69" s="79"/>
      <c r="CN69" s="79">
        <v>0.0</v>
      </c>
      <c r="CO69" s="79" t="s">
        <v>493</v>
      </c>
      <c r="CP69" s="79">
        <v>0.0</v>
      </c>
      <c r="CQ69" s="79" t="s">
        <v>494</v>
      </c>
      <c r="CR69" s="79">
        <v>0.0</v>
      </c>
      <c r="CS69" s="79" t="s">
        <v>495</v>
      </c>
      <c r="CT69" s="79">
        <v>0.0</v>
      </c>
      <c r="CU69" s="79" t="s">
        <v>496</v>
      </c>
      <c r="CV69" s="79">
        <v>0.0</v>
      </c>
      <c r="CW69" s="79"/>
      <c r="CX69" s="79">
        <v>0.0</v>
      </c>
      <c r="CY69" s="79"/>
      <c r="CZ69" s="79">
        <v>0.0</v>
      </c>
      <c r="DA69" s="79"/>
      <c r="DB69" s="79">
        <v>0.0</v>
      </c>
      <c r="DC69" s="79"/>
      <c r="DD69" s="79">
        <v>0.0</v>
      </c>
      <c r="DE69" s="79">
        <v>16000.0</v>
      </c>
      <c r="DF69" s="79">
        <v>0.0</v>
      </c>
      <c r="DG69" s="79">
        <v>0.0</v>
      </c>
      <c r="DH69" s="79">
        <v>0.0</v>
      </c>
      <c r="DI69" s="79">
        <v>0.0</v>
      </c>
      <c r="DJ69" s="79"/>
      <c r="DK69" s="79"/>
      <c r="DL69" s="82"/>
      <c r="DM69" s="79"/>
      <c r="DN69" s="79"/>
      <c r="DO69" s="79"/>
      <c r="DP69" s="82"/>
      <c r="DQ69" s="79"/>
      <c r="DR69" s="82"/>
      <c r="DS69" s="79"/>
      <c r="DT69" s="82"/>
      <c r="DU69" s="79"/>
      <c r="DV69" s="82"/>
      <c r="DW69" s="79"/>
      <c r="DX69" s="79"/>
      <c r="DY69" s="79"/>
      <c r="DZ69" s="79"/>
      <c r="EA69" s="79"/>
      <c r="EB69" s="79"/>
      <c r="EC69" s="79"/>
      <c r="ED69" s="79"/>
      <c r="EE69" s="79"/>
      <c r="EF69" s="82"/>
      <c r="EG69" s="79"/>
      <c r="EH69" s="82"/>
      <c r="EI69" s="79"/>
      <c r="EJ69" s="82"/>
      <c r="EK69" s="79"/>
      <c r="EL69" s="82"/>
      <c r="EM69" s="79"/>
      <c r="EN69" s="79" t="s">
        <v>79</v>
      </c>
      <c r="EO69" s="79"/>
      <c r="EP69" s="80"/>
      <c r="EQ69" s="83"/>
      <c r="ER69" s="83" t="str">
        <f t="shared" si="1"/>
        <v/>
      </c>
      <c r="ES69" s="82"/>
      <c r="ET69" s="79" t="str">
        <f t="shared" si="2"/>
        <v/>
      </c>
      <c r="EU69" s="79"/>
      <c r="EV69" s="79"/>
      <c r="EW69" s="82"/>
      <c r="EX69" s="82"/>
      <c r="EY69" s="82"/>
      <c r="EZ69" s="19"/>
      <c r="FA69" s="19"/>
      <c r="FB69" s="19"/>
    </row>
    <row r="70" ht="15.75" customHeight="1">
      <c r="A70" s="79" t="s">
        <v>944</v>
      </c>
      <c r="B70" s="79" t="s">
        <v>475</v>
      </c>
      <c r="C70" s="79" t="s">
        <v>476</v>
      </c>
      <c r="D70" s="80">
        <v>46109.0</v>
      </c>
      <c r="E70" s="79" t="s">
        <v>945</v>
      </c>
      <c r="F70" s="79"/>
      <c r="G70" s="79" t="s">
        <v>931</v>
      </c>
      <c r="H70" s="79" t="s">
        <v>946</v>
      </c>
      <c r="I70" s="79"/>
      <c r="J70" s="79" t="s">
        <v>947</v>
      </c>
      <c r="K70" s="79">
        <v>3000.0</v>
      </c>
      <c r="L70" s="79"/>
      <c r="M70" s="79" t="s">
        <v>948</v>
      </c>
      <c r="N70" s="79" t="s">
        <v>572</v>
      </c>
      <c r="O70" s="79"/>
      <c r="P70" s="79"/>
      <c r="Q70" s="79" t="s">
        <v>949</v>
      </c>
      <c r="R70" s="80">
        <v>46555.0</v>
      </c>
      <c r="S70" s="79"/>
      <c r="T70" s="79">
        <v>15270.0</v>
      </c>
      <c r="U70" s="79"/>
      <c r="V70" s="79"/>
      <c r="W70" s="79"/>
      <c r="X70" s="79"/>
      <c r="Y70" s="79"/>
      <c r="Z70" s="79" t="s">
        <v>486</v>
      </c>
      <c r="AA70" s="79" t="s">
        <v>487</v>
      </c>
      <c r="AB70" s="79" t="s">
        <v>486</v>
      </c>
      <c r="AC70" s="79" t="s">
        <v>488</v>
      </c>
      <c r="AD70" s="79">
        <v>6400.0</v>
      </c>
      <c r="AE70" s="79">
        <v>0.0</v>
      </c>
      <c r="AF70" s="79">
        <v>0.0</v>
      </c>
      <c r="AG70" s="79">
        <v>640.0</v>
      </c>
      <c r="AH70" s="81">
        <v>7040.0</v>
      </c>
      <c r="AI70" s="79"/>
      <c r="AJ70" s="79">
        <v>0.0</v>
      </c>
      <c r="AK70" s="79">
        <v>0.0</v>
      </c>
      <c r="AL70" s="79">
        <v>0.0</v>
      </c>
      <c r="AM70" s="79">
        <v>0.0</v>
      </c>
      <c r="AN70" s="79">
        <v>0.0</v>
      </c>
      <c r="AO70" s="79">
        <v>0.0</v>
      </c>
      <c r="AP70" s="79">
        <v>0.0</v>
      </c>
      <c r="AQ70" s="79">
        <v>6400.0</v>
      </c>
      <c r="AR70" s="79" t="s">
        <v>489</v>
      </c>
      <c r="AS70" s="79">
        <v>0.0</v>
      </c>
      <c r="AT70" s="79" t="s">
        <v>490</v>
      </c>
      <c r="AU70" s="79" t="s">
        <v>491</v>
      </c>
      <c r="AV70" s="79">
        <v>0.0</v>
      </c>
      <c r="AW70" s="79"/>
      <c r="AX70" s="79">
        <v>0.0</v>
      </c>
      <c r="AY70" s="79" t="s">
        <v>492</v>
      </c>
      <c r="AZ70" s="79">
        <v>0.0</v>
      </c>
      <c r="BA70" s="79"/>
      <c r="BB70" s="79">
        <v>0.0</v>
      </c>
      <c r="BC70" s="79"/>
      <c r="BD70" s="79">
        <v>0.0</v>
      </c>
      <c r="BE70" s="79"/>
      <c r="BF70" s="79">
        <v>0.0</v>
      </c>
      <c r="BG70" s="79"/>
      <c r="BH70" s="79">
        <v>0.0</v>
      </c>
      <c r="BI70" s="79" t="s">
        <v>493</v>
      </c>
      <c r="BJ70" s="79">
        <v>0.0</v>
      </c>
      <c r="BK70" s="79" t="s">
        <v>494</v>
      </c>
      <c r="BL70" s="79">
        <v>0.0</v>
      </c>
      <c r="BM70" s="79" t="s">
        <v>495</v>
      </c>
      <c r="BN70" s="79">
        <v>0.0</v>
      </c>
      <c r="BO70" s="79" t="s">
        <v>496</v>
      </c>
      <c r="BP70" s="79">
        <v>0.0</v>
      </c>
      <c r="BQ70" s="79"/>
      <c r="BR70" s="79">
        <v>0.0</v>
      </c>
      <c r="BS70" s="79"/>
      <c r="BT70" s="79">
        <v>0.0</v>
      </c>
      <c r="BU70" s="79"/>
      <c r="BV70" s="79">
        <v>0.0</v>
      </c>
      <c r="BW70" s="79"/>
      <c r="BX70" s="79">
        <v>0.0</v>
      </c>
      <c r="BY70" s="79">
        <v>0.0</v>
      </c>
      <c r="BZ70" s="79" t="s">
        <v>491</v>
      </c>
      <c r="CA70" s="79">
        <v>0.0</v>
      </c>
      <c r="CB70" s="79" t="s">
        <v>490</v>
      </c>
      <c r="CC70" s="79"/>
      <c r="CD70" s="79">
        <v>0.0</v>
      </c>
      <c r="CE70" s="79" t="s">
        <v>492</v>
      </c>
      <c r="CF70" s="79">
        <v>0.0</v>
      </c>
      <c r="CG70" s="79"/>
      <c r="CH70" s="79">
        <v>0.0</v>
      </c>
      <c r="CI70" s="79"/>
      <c r="CJ70" s="79">
        <v>0.0</v>
      </c>
      <c r="CK70" s="79"/>
      <c r="CL70" s="79">
        <v>0.0</v>
      </c>
      <c r="CM70" s="79"/>
      <c r="CN70" s="79">
        <v>0.0</v>
      </c>
      <c r="CO70" s="79" t="s">
        <v>493</v>
      </c>
      <c r="CP70" s="79">
        <v>0.0</v>
      </c>
      <c r="CQ70" s="79" t="s">
        <v>494</v>
      </c>
      <c r="CR70" s="79">
        <v>0.0</v>
      </c>
      <c r="CS70" s="79" t="s">
        <v>495</v>
      </c>
      <c r="CT70" s="79">
        <v>0.0</v>
      </c>
      <c r="CU70" s="79" t="s">
        <v>496</v>
      </c>
      <c r="CV70" s="79">
        <v>0.0</v>
      </c>
      <c r="CW70" s="79"/>
      <c r="CX70" s="79">
        <v>0.0</v>
      </c>
      <c r="CY70" s="79"/>
      <c r="CZ70" s="79">
        <v>0.0</v>
      </c>
      <c r="DA70" s="79"/>
      <c r="DB70" s="79">
        <v>0.0</v>
      </c>
      <c r="DC70" s="79"/>
      <c r="DD70" s="79">
        <v>0.0</v>
      </c>
      <c r="DE70" s="79">
        <v>6400.0</v>
      </c>
      <c r="DF70" s="79">
        <v>0.0</v>
      </c>
      <c r="DG70" s="79">
        <v>0.0</v>
      </c>
      <c r="DH70" s="79">
        <v>0.0</v>
      </c>
      <c r="DI70" s="79">
        <v>0.0</v>
      </c>
      <c r="DJ70" s="79" t="s">
        <v>950</v>
      </c>
      <c r="DK70" s="79" t="s">
        <v>486</v>
      </c>
      <c r="DL70" s="79" t="s">
        <v>487</v>
      </c>
      <c r="DM70" s="79" t="s">
        <v>951</v>
      </c>
      <c r="DN70" s="79"/>
      <c r="DO70" s="79" t="s">
        <v>952</v>
      </c>
      <c r="DP70" s="79"/>
      <c r="DQ70" s="79"/>
      <c r="DR70" s="79"/>
      <c r="DS70" s="79"/>
      <c r="DT70" s="82"/>
      <c r="DU70" s="79"/>
      <c r="DV70" s="82"/>
      <c r="DW70" s="79"/>
      <c r="DX70" s="79"/>
      <c r="DY70" s="79"/>
      <c r="DZ70" s="79"/>
      <c r="EA70" s="79"/>
      <c r="EB70" s="79"/>
      <c r="EC70" s="79"/>
      <c r="ED70" s="79"/>
      <c r="EE70" s="79"/>
      <c r="EF70" s="82"/>
      <c r="EG70" s="79"/>
      <c r="EH70" s="82"/>
      <c r="EI70" s="79"/>
      <c r="EJ70" s="82"/>
      <c r="EK70" s="79"/>
      <c r="EL70" s="82"/>
      <c r="EM70" s="79"/>
      <c r="EN70" s="79" t="s">
        <v>79</v>
      </c>
      <c r="EO70" s="79"/>
      <c r="EP70" s="80"/>
      <c r="EQ70" s="83"/>
      <c r="ER70" s="83" t="str">
        <f t="shared" si="1"/>
        <v/>
      </c>
      <c r="ES70" s="79"/>
      <c r="ET70" s="79" t="str">
        <f t="shared" si="2"/>
        <v/>
      </c>
      <c r="EU70" s="79"/>
      <c r="EV70" s="82"/>
      <c r="EW70" s="82"/>
      <c r="EX70" s="82"/>
      <c r="EY70" s="82"/>
      <c r="EZ70" s="19"/>
      <c r="FA70" s="19"/>
      <c r="FB70" s="19"/>
    </row>
    <row r="71" ht="15.75" customHeight="1">
      <c r="A71" s="79" t="s">
        <v>953</v>
      </c>
      <c r="B71" s="79" t="s">
        <v>475</v>
      </c>
      <c r="C71" s="79" t="s">
        <v>476</v>
      </c>
      <c r="D71" s="80">
        <v>46109.0</v>
      </c>
      <c r="E71" s="79" t="s">
        <v>954</v>
      </c>
      <c r="F71" s="79"/>
      <c r="G71" s="79" t="s">
        <v>955</v>
      </c>
      <c r="H71" s="79" t="s">
        <v>956</v>
      </c>
      <c r="I71" s="79"/>
      <c r="J71" s="79" t="s">
        <v>957</v>
      </c>
      <c r="K71" s="79">
        <v>0.0</v>
      </c>
      <c r="L71" s="79"/>
      <c r="M71" s="79" t="s">
        <v>958</v>
      </c>
      <c r="N71" s="79"/>
      <c r="O71" s="79"/>
      <c r="P71" s="79"/>
      <c r="Q71" s="79"/>
      <c r="R71" s="80">
        <v>46567.0</v>
      </c>
      <c r="S71" s="79"/>
      <c r="T71" s="79">
        <v>43921.0</v>
      </c>
      <c r="U71" s="79"/>
      <c r="V71" s="79"/>
      <c r="W71" s="79"/>
      <c r="X71" s="79"/>
      <c r="Y71" s="79"/>
      <c r="Z71" s="79" t="s">
        <v>486</v>
      </c>
      <c r="AA71" s="79" t="s">
        <v>487</v>
      </c>
      <c r="AB71" s="79" t="s">
        <v>486</v>
      </c>
      <c r="AC71" s="79" t="s">
        <v>488</v>
      </c>
      <c r="AD71" s="79">
        <v>27700.0</v>
      </c>
      <c r="AE71" s="79">
        <v>0.0</v>
      </c>
      <c r="AF71" s="79">
        <v>0.0</v>
      </c>
      <c r="AG71" s="79">
        <v>2770.0</v>
      </c>
      <c r="AH71" s="81">
        <v>30470.0</v>
      </c>
      <c r="AI71" s="79"/>
      <c r="AJ71" s="79">
        <v>0.0</v>
      </c>
      <c r="AK71" s="79">
        <v>10930.0</v>
      </c>
      <c r="AL71" s="79">
        <v>0.0</v>
      </c>
      <c r="AM71" s="79">
        <v>0.0</v>
      </c>
      <c r="AN71" s="79">
        <v>1093.0</v>
      </c>
      <c r="AO71" s="79">
        <v>12023.0</v>
      </c>
      <c r="AP71" s="79">
        <v>0.0</v>
      </c>
      <c r="AQ71" s="79">
        <v>16770.0</v>
      </c>
      <c r="AR71" s="79" t="s">
        <v>489</v>
      </c>
      <c r="AS71" s="79">
        <v>0.0</v>
      </c>
      <c r="AT71" s="79" t="s">
        <v>507</v>
      </c>
      <c r="AU71" s="79" t="s">
        <v>491</v>
      </c>
      <c r="AV71" s="79">
        <v>0.0</v>
      </c>
      <c r="AW71" s="79" t="s">
        <v>508</v>
      </c>
      <c r="AX71" s="79">
        <v>0.0</v>
      </c>
      <c r="AY71" s="79"/>
      <c r="AZ71" s="79">
        <v>0.0</v>
      </c>
      <c r="BA71" s="79"/>
      <c r="BB71" s="79">
        <v>0.0</v>
      </c>
      <c r="BC71" s="79"/>
      <c r="BD71" s="79">
        <v>0.0</v>
      </c>
      <c r="BE71" s="79"/>
      <c r="BF71" s="79">
        <v>0.0</v>
      </c>
      <c r="BG71" s="79"/>
      <c r="BH71" s="79">
        <v>0.0</v>
      </c>
      <c r="BI71" s="79" t="s">
        <v>493</v>
      </c>
      <c r="BJ71" s="79">
        <v>0.0</v>
      </c>
      <c r="BK71" s="79" t="s">
        <v>494</v>
      </c>
      <c r="BL71" s="79">
        <v>0.0</v>
      </c>
      <c r="BM71" s="79" t="s">
        <v>495</v>
      </c>
      <c r="BN71" s="79">
        <v>0.0</v>
      </c>
      <c r="BO71" s="79" t="s">
        <v>496</v>
      </c>
      <c r="BP71" s="79">
        <v>0.0</v>
      </c>
      <c r="BQ71" s="79"/>
      <c r="BR71" s="79">
        <v>0.0</v>
      </c>
      <c r="BS71" s="79"/>
      <c r="BT71" s="79">
        <v>0.0</v>
      </c>
      <c r="BU71" s="79"/>
      <c r="BV71" s="79">
        <v>0.0</v>
      </c>
      <c r="BW71" s="79"/>
      <c r="BX71" s="79">
        <v>0.0</v>
      </c>
      <c r="BY71" s="79">
        <v>0.0</v>
      </c>
      <c r="BZ71" s="79" t="s">
        <v>491</v>
      </c>
      <c r="CA71" s="79">
        <v>0.0</v>
      </c>
      <c r="CB71" s="79" t="s">
        <v>507</v>
      </c>
      <c r="CC71" s="79" t="s">
        <v>508</v>
      </c>
      <c r="CD71" s="79">
        <v>0.0</v>
      </c>
      <c r="CE71" s="79"/>
      <c r="CF71" s="79">
        <v>0.0</v>
      </c>
      <c r="CG71" s="79"/>
      <c r="CH71" s="79">
        <v>0.0</v>
      </c>
      <c r="CI71" s="79"/>
      <c r="CJ71" s="79">
        <v>0.0</v>
      </c>
      <c r="CK71" s="79"/>
      <c r="CL71" s="79">
        <v>0.0</v>
      </c>
      <c r="CM71" s="79"/>
      <c r="CN71" s="79">
        <v>0.0</v>
      </c>
      <c r="CO71" s="79" t="s">
        <v>493</v>
      </c>
      <c r="CP71" s="79">
        <v>0.0</v>
      </c>
      <c r="CQ71" s="79" t="s">
        <v>494</v>
      </c>
      <c r="CR71" s="79">
        <v>0.0</v>
      </c>
      <c r="CS71" s="79" t="s">
        <v>495</v>
      </c>
      <c r="CT71" s="79">
        <v>0.0</v>
      </c>
      <c r="CU71" s="79" t="s">
        <v>496</v>
      </c>
      <c r="CV71" s="79">
        <v>0.0</v>
      </c>
      <c r="CW71" s="79"/>
      <c r="CX71" s="79">
        <v>0.0</v>
      </c>
      <c r="CY71" s="79"/>
      <c r="CZ71" s="79">
        <v>0.0</v>
      </c>
      <c r="DA71" s="79"/>
      <c r="DB71" s="79">
        <v>0.0</v>
      </c>
      <c r="DC71" s="79"/>
      <c r="DD71" s="79">
        <v>0.0</v>
      </c>
      <c r="DE71" s="79">
        <v>5100.0</v>
      </c>
      <c r="DF71" s="79">
        <v>22600.0</v>
      </c>
      <c r="DG71" s="79">
        <v>0.0</v>
      </c>
      <c r="DH71" s="79">
        <v>0.0</v>
      </c>
      <c r="DI71" s="79">
        <v>10930.0</v>
      </c>
      <c r="DJ71" s="79" t="s">
        <v>959</v>
      </c>
      <c r="DK71" s="79" t="s">
        <v>486</v>
      </c>
      <c r="DL71" s="79" t="s">
        <v>487</v>
      </c>
      <c r="DM71" s="79" t="s">
        <v>960</v>
      </c>
      <c r="DN71" s="79"/>
      <c r="DO71" s="79" t="s">
        <v>961</v>
      </c>
      <c r="DP71" s="79"/>
      <c r="DQ71" s="79"/>
      <c r="DR71" s="79"/>
      <c r="DS71" s="79"/>
      <c r="DT71" s="82"/>
      <c r="DU71" s="79"/>
      <c r="DV71" s="82"/>
      <c r="DW71" s="79"/>
      <c r="DX71" s="79"/>
      <c r="DY71" s="79"/>
      <c r="DZ71" s="79"/>
      <c r="EA71" s="79"/>
      <c r="EB71" s="79"/>
      <c r="EC71" s="79"/>
      <c r="ED71" s="79"/>
      <c r="EE71" s="79"/>
      <c r="EF71" s="82"/>
      <c r="EG71" s="79"/>
      <c r="EH71" s="82"/>
      <c r="EI71" s="79"/>
      <c r="EJ71" s="82"/>
      <c r="EK71" s="79"/>
      <c r="EL71" s="82"/>
      <c r="EM71" s="79"/>
      <c r="EN71" s="79" t="s">
        <v>79</v>
      </c>
      <c r="EO71" s="79"/>
      <c r="EP71" s="80"/>
      <c r="EQ71" s="83"/>
      <c r="ER71" s="83" t="str">
        <f t="shared" si="1"/>
        <v/>
      </c>
      <c r="ES71" s="79"/>
      <c r="ET71" s="79" t="str">
        <f t="shared" si="2"/>
        <v/>
      </c>
      <c r="EU71" s="79"/>
      <c r="EV71" s="82"/>
      <c r="EW71" s="82"/>
      <c r="EX71" s="82"/>
      <c r="EY71" s="82"/>
      <c r="EZ71" s="79"/>
      <c r="FA71" s="79"/>
      <c r="FB71" s="79"/>
    </row>
    <row r="72" ht="15.75" customHeight="1">
      <c r="A72" s="4" t="s">
        <v>962</v>
      </c>
      <c r="B72" s="4" t="s">
        <v>778</v>
      </c>
      <c r="C72" s="4" t="s">
        <v>476</v>
      </c>
      <c r="D72" s="78">
        <v>46109.0</v>
      </c>
      <c r="E72" s="4" t="s">
        <v>963</v>
      </c>
      <c r="F72" s="19"/>
      <c r="G72" s="4" t="s">
        <v>964</v>
      </c>
      <c r="H72" s="4" t="s">
        <v>965</v>
      </c>
      <c r="R72" s="4" t="s">
        <v>966</v>
      </c>
      <c r="V72" s="4" t="s">
        <v>967</v>
      </c>
      <c r="Y72" s="4" t="s">
        <v>968</v>
      </c>
      <c r="Z72" s="4" t="s">
        <v>597</v>
      </c>
      <c r="AB72" s="4" t="s">
        <v>597</v>
      </c>
      <c r="AH72" s="23">
        <v>107195.0</v>
      </c>
      <c r="AL72" s="19"/>
      <c r="AM72" s="19"/>
      <c r="AN72" s="19"/>
      <c r="AO72" s="19"/>
      <c r="AP72" s="19"/>
      <c r="AQ72" s="4">
        <v>71691.0</v>
      </c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19"/>
      <c r="CP72" s="19"/>
      <c r="CQ72" s="19"/>
      <c r="CR72" s="19"/>
      <c r="CS72" s="19"/>
      <c r="CT72" s="19"/>
      <c r="CU72" s="19"/>
      <c r="CV72" s="19"/>
      <c r="CW72" s="19"/>
      <c r="CX72" s="19"/>
      <c r="CY72" s="19"/>
      <c r="CZ72" s="19"/>
      <c r="DA72" s="19"/>
      <c r="DB72" s="19"/>
      <c r="DC72" s="19"/>
      <c r="DD72" s="19"/>
      <c r="DE72" s="19"/>
      <c r="DF72" s="19"/>
      <c r="DG72" s="19"/>
      <c r="DH72" s="19"/>
      <c r="DI72" s="19"/>
      <c r="DJ72" s="19"/>
      <c r="DK72" s="19"/>
      <c r="DL72" s="19"/>
      <c r="DM72" s="19"/>
      <c r="DN72" s="19"/>
      <c r="DO72" s="19"/>
      <c r="DP72" s="19"/>
      <c r="DQ72" s="19"/>
      <c r="DR72" s="19"/>
      <c r="DS72" s="19"/>
      <c r="DT72" s="19"/>
      <c r="DU72" s="19"/>
      <c r="DV72" s="19"/>
      <c r="DW72" s="19"/>
      <c r="DX72" s="19"/>
      <c r="DY72" s="19"/>
      <c r="DZ72" s="19"/>
      <c r="EA72" s="19"/>
      <c r="EB72" s="19"/>
      <c r="EC72" s="19"/>
      <c r="ED72" s="19"/>
      <c r="EE72" s="19"/>
      <c r="EF72" s="19"/>
      <c r="EG72" s="19"/>
      <c r="EH72" s="19"/>
      <c r="EI72" s="19"/>
      <c r="EJ72" s="19"/>
      <c r="EK72" s="19"/>
      <c r="EL72" s="19"/>
      <c r="EM72" s="19"/>
      <c r="EN72" s="4" t="s">
        <v>79</v>
      </c>
      <c r="EO72" s="19"/>
      <c r="EP72" s="17"/>
      <c r="EQ72" s="23"/>
      <c r="ER72" s="23" t="str">
        <f t="shared" si="1"/>
        <v/>
      </c>
      <c r="ES72" s="19"/>
      <c r="ET72" s="19" t="str">
        <f t="shared" si="2"/>
        <v/>
      </c>
      <c r="EU72" s="19"/>
      <c r="EV72" s="19"/>
      <c r="EW72" s="19"/>
      <c r="EX72" s="19"/>
      <c r="EY72" s="19"/>
      <c r="EZ72" s="79"/>
      <c r="FA72" s="79"/>
      <c r="FB72" s="79"/>
    </row>
    <row r="73" ht="15.75" customHeight="1">
      <c r="A73" s="4" t="s">
        <v>969</v>
      </c>
      <c r="B73" s="4" t="s">
        <v>591</v>
      </c>
      <c r="C73" s="4" t="s">
        <v>476</v>
      </c>
      <c r="D73" s="78">
        <v>46109.0</v>
      </c>
      <c r="E73" s="4" t="s">
        <v>970</v>
      </c>
      <c r="F73" s="19"/>
      <c r="G73" s="4" t="s">
        <v>600</v>
      </c>
      <c r="H73" s="4" t="s">
        <v>971</v>
      </c>
      <c r="R73" s="4" t="s">
        <v>972</v>
      </c>
      <c r="Y73" s="4" t="s">
        <v>967</v>
      </c>
      <c r="Z73" s="4" t="s">
        <v>597</v>
      </c>
      <c r="AB73" s="4" t="s">
        <v>597</v>
      </c>
      <c r="AH73" s="23">
        <v>236310.0</v>
      </c>
      <c r="AL73" s="19"/>
      <c r="AM73" s="19"/>
      <c r="AN73" s="19"/>
      <c r="AO73" s="19"/>
      <c r="AP73" s="19"/>
      <c r="AQ73" s="4">
        <v>157875.0</v>
      </c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19"/>
      <c r="CP73" s="19"/>
      <c r="CQ73" s="19"/>
      <c r="CR73" s="19"/>
      <c r="CS73" s="19"/>
      <c r="CT73" s="19"/>
      <c r="CU73" s="19"/>
      <c r="CV73" s="19"/>
      <c r="CW73" s="19"/>
      <c r="CX73" s="19"/>
      <c r="CY73" s="19"/>
      <c r="CZ73" s="19"/>
      <c r="DA73" s="19"/>
      <c r="DB73" s="19"/>
      <c r="DC73" s="19"/>
      <c r="DD73" s="19"/>
      <c r="DE73" s="19"/>
      <c r="DF73" s="19"/>
      <c r="DG73" s="19"/>
      <c r="DH73" s="19"/>
      <c r="DI73" s="19"/>
      <c r="DJ73" s="19"/>
      <c r="DK73" s="19"/>
      <c r="DL73" s="19"/>
      <c r="DM73" s="19"/>
      <c r="DN73" s="19"/>
      <c r="DO73" s="19"/>
      <c r="DP73" s="19"/>
      <c r="DQ73" s="19"/>
      <c r="DR73" s="19"/>
      <c r="DS73" s="19"/>
      <c r="DT73" s="19"/>
      <c r="DU73" s="19"/>
      <c r="DV73" s="19"/>
      <c r="DW73" s="19"/>
      <c r="DX73" s="19"/>
      <c r="DY73" s="19"/>
      <c r="DZ73" s="19"/>
      <c r="EA73" s="19"/>
      <c r="EB73" s="19"/>
      <c r="EC73" s="19"/>
      <c r="ED73" s="19"/>
      <c r="EE73" s="19"/>
      <c r="EF73" s="19"/>
      <c r="EG73" s="19"/>
      <c r="EH73" s="19"/>
      <c r="EI73" s="19"/>
      <c r="EJ73" s="19"/>
      <c r="EK73" s="19"/>
      <c r="EL73" s="19"/>
      <c r="EM73" s="19"/>
      <c r="EN73" s="4" t="s">
        <v>79</v>
      </c>
      <c r="EO73" s="19"/>
      <c r="EP73" s="17"/>
      <c r="EQ73" s="23"/>
      <c r="ER73" s="23" t="str">
        <f t="shared" si="1"/>
        <v/>
      </c>
      <c r="ES73" s="19"/>
      <c r="ET73" s="19" t="str">
        <f t="shared" si="2"/>
        <v/>
      </c>
      <c r="EU73" s="19"/>
      <c r="EV73" s="19"/>
      <c r="EW73" s="19"/>
      <c r="EX73" s="19"/>
      <c r="EY73" s="19"/>
      <c r="EZ73" s="79"/>
      <c r="FA73" s="79"/>
      <c r="FB73" s="79"/>
    </row>
    <row r="74" ht="15.75" customHeight="1">
      <c r="A74" s="4" t="s">
        <v>973</v>
      </c>
      <c r="B74" s="4" t="s">
        <v>475</v>
      </c>
      <c r="C74" s="4" t="s">
        <v>476</v>
      </c>
      <c r="D74" s="78">
        <v>46110.0</v>
      </c>
      <c r="E74" s="4" t="s">
        <v>974</v>
      </c>
      <c r="F74" s="19"/>
      <c r="G74" s="4" t="s">
        <v>975</v>
      </c>
      <c r="H74" s="4" t="s">
        <v>976</v>
      </c>
      <c r="R74" s="4" t="s">
        <v>977</v>
      </c>
      <c r="V74" s="4" t="s">
        <v>682</v>
      </c>
      <c r="Y74" s="4" t="s">
        <v>978</v>
      </c>
      <c r="Z74" s="4" t="s">
        <v>597</v>
      </c>
      <c r="AB74" s="4" t="s">
        <v>597</v>
      </c>
      <c r="AH74" s="23">
        <v>80000.0</v>
      </c>
      <c r="AL74" s="19"/>
      <c r="AM74" s="19"/>
      <c r="AN74" s="19"/>
      <c r="AO74" s="19"/>
      <c r="AP74" s="19"/>
      <c r="AQ74" s="4">
        <v>32743.0</v>
      </c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19"/>
      <c r="CP74" s="19"/>
      <c r="CQ74" s="19"/>
      <c r="CR74" s="19"/>
      <c r="CS74" s="19"/>
      <c r="CT74" s="19"/>
      <c r="CU74" s="19"/>
      <c r="CV74" s="19"/>
      <c r="CW74" s="19"/>
      <c r="CX74" s="19"/>
      <c r="CY74" s="19"/>
      <c r="CZ74" s="19"/>
      <c r="DA74" s="19"/>
      <c r="DB74" s="19"/>
      <c r="DC74" s="19"/>
      <c r="DD74" s="19"/>
      <c r="DE74" s="19"/>
      <c r="DF74" s="19"/>
      <c r="DG74" s="19"/>
      <c r="DH74" s="19"/>
      <c r="DI74" s="19"/>
      <c r="DJ74" s="19"/>
      <c r="DK74" s="19"/>
      <c r="DL74" s="19"/>
      <c r="DM74" s="19"/>
      <c r="DN74" s="19"/>
      <c r="DO74" s="19"/>
      <c r="DP74" s="19"/>
      <c r="DQ74" s="19"/>
      <c r="DR74" s="19"/>
      <c r="DS74" s="19"/>
      <c r="DT74" s="19"/>
      <c r="DU74" s="19"/>
      <c r="DV74" s="19"/>
      <c r="DW74" s="19"/>
      <c r="DX74" s="19"/>
      <c r="DY74" s="19"/>
      <c r="DZ74" s="19"/>
      <c r="EA74" s="19"/>
      <c r="EB74" s="19"/>
      <c r="EC74" s="19"/>
      <c r="ED74" s="19"/>
      <c r="EE74" s="19"/>
      <c r="EF74" s="19"/>
      <c r="EG74" s="19"/>
      <c r="EH74" s="19"/>
      <c r="EI74" s="19"/>
      <c r="EJ74" s="19"/>
      <c r="EK74" s="19"/>
      <c r="EL74" s="19"/>
      <c r="EM74" s="19"/>
      <c r="EN74" s="4" t="s">
        <v>79</v>
      </c>
      <c r="EO74" s="19"/>
      <c r="EP74" s="17"/>
      <c r="EQ74" s="23"/>
      <c r="ER74" s="23" t="str">
        <f t="shared" si="1"/>
        <v/>
      </c>
      <c r="ES74" s="19"/>
      <c r="ET74" s="19" t="str">
        <f t="shared" si="2"/>
        <v/>
      </c>
      <c r="EU74" s="19"/>
      <c r="EV74" s="19"/>
      <c r="EW74" s="19"/>
      <c r="EX74" s="19"/>
      <c r="EY74" s="19"/>
      <c r="EZ74" s="79"/>
      <c r="FA74" s="79"/>
      <c r="FB74" s="79"/>
    </row>
    <row r="75" ht="15.75" customHeight="1">
      <c r="A75" s="79" t="s">
        <v>979</v>
      </c>
      <c r="B75" s="79" t="s">
        <v>893</v>
      </c>
      <c r="C75" s="79" t="s">
        <v>476</v>
      </c>
      <c r="D75" s="80">
        <v>46111.0</v>
      </c>
      <c r="E75" s="79" t="s">
        <v>980</v>
      </c>
      <c r="F75" s="79" t="s">
        <v>894</v>
      </c>
      <c r="G75" s="79" t="s">
        <v>981</v>
      </c>
      <c r="H75" s="79" t="s">
        <v>746</v>
      </c>
      <c r="I75" s="79"/>
      <c r="J75" s="79" t="s">
        <v>982</v>
      </c>
      <c r="K75" s="79">
        <v>2000.0</v>
      </c>
      <c r="L75" s="79"/>
      <c r="M75" s="79" t="s">
        <v>983</v>
      </c>
      <c r="N75" s="79" t="s">
        <v>984</v>
      </c>
      <c r="O75" s="79" t="s">
        <v>484</v>
      </c>
      <c r="P75" s="79"/>
      <c r="Q75" s="79" t="s">
        <v>985</v>
      </c>
      <c r="R75" s="80">
        <v>46816.0</v>
      </c>
      <c r="S75" s="79"/>
      <c r="T75" s="79">
        <v>34461.0</v>
      </c>
      <c r="U75" s="79"/>
      <c r="V75" s="79"/>
      <c r="W75" s="79"/>
      <c r="X75" s="79"/>
      <c r="Y75" s="79"/>
      <c r="Z75" s="79" t="s">
        <v>486</v>
      </c>
      <c r="AA75" s="79" t="s">
        <v>537</v>
      </c>
      <c r="AB75" s="79" t="s">
        <v>486</v>
      </c>
      <c r="AC75" s="79" t="s">
        <v>488</v>
      </c>
      <c r="AD75" s="79">
        <v>4000.0</v>
      </c>
      <c r="AE75" s="79">
        <v>12000.0</v>
      </c>
      <c r="AF75" s="79">
        <v>53260.0</v>
      </c>
      <c r="AG75" s="79">
        <v>1600.0</v>
      </c>
      <c r="AH75" s="81">
        <v>70860.0</v>
      </c>
      <c r="AI75" s="79"/>
      <c r="AJ75" s="79">
        <v>0.0</v>
      </c>
      <c r="AK75" s="79">
        <v>0.0</v>
      </c>
      <c r="AL75" s="79">
        <v>0.0</v>
      </c>
      <c r="AM75" s="79">
        <v>53260.0</v>
      </c>
      <c r="AN75" s="79">
        <v>0.0</v>
      </c>
      <c r="AO75" s="79">
        <v>53260.0</v>
      </c>
      <c r="AP75" s="79">
        <v>0.0</v>
      </c>
      <c r="AQ75" s="79">
        <v>16000.0</v>
      </c>
      <c r="AR75" s="79" t="s">
        <v>489</v>
      </c>
      <c r="AS75" s="79">
        <v>12000.0</v>
      </c>
      <c r="AT75" s="79" t="s">
        <v>507</v>
      </c>
      <c r="AU75" s="79" t="s">
        <v>491</v>
      </c>
      <c r="AV75" s="79">
        <v>0.0</v>
      </c>
      <c r="AW75" s="79" t="s">
        <v>508</v>
      </c>
      <c r="AX75" s="79">
        <v>0.0</v>
      </c>
      <c r="AY75" s="79"/>
      <c r="AZ75" s="79">
        <v>0.0</v>
      </c>
      <c r="BA75" s="79"/>
      <c r="BB75" s="79">
        <v>0.0</v>
      </c>
      <c r="BC75" s="79"/>
      <c r="BD75" s="79">
        <v>0.0</v>
      </c>
      <c r="BE75" s="79"/>
      <c r="BF75" s="79">
        <v>0.0</v>
      </c>
      <c r="BG75" s="79"/>
      <c r="BH75" s="79">
        <v>0.0</v>
      </c>
      <c r="BI75" s="79" t="s">
        <v>493</v>
      </c>
      <c r="BJ75" s="79">
        <v>18160.0</v>
      </c>
      <c r="BK75" s="79" t="s">
        <v>494</v>
      </c>
      <c r="BL75" s="79">
        <v>32800.0</v>
      </c>
      <c r="BM75" s="79" t="s">
        <v>495</v>
      </c>
      <c r="BN75" s="79">
        <v>2300.0</v>
      </c>
      <c r="BO75" s="79" t="s">
        <v>496</v>
      </c>
      <c r="BP75" s="79">
        <v>0.0</v>
      </c>
      <c r="BQ75" s="79"/>
      <c r="BR75" s="79">
        <v>0.0</v>
      </c>
      <c r="BS75" s="79"/>
      <c r="BT75" s="79">
        <v>0.0</v>
      </c>
      <c r="BU75" s="79"/>
      <c r="BV75" s="79">
        <v>0.0</v>
      </c>
      <c r="BW75" s="79"/>
      <c r="BX75" s="79">
        <v>0.0</v>
      </c>
      <c r="BY75" s="79">
        <v>0.0</v>
      </c>
      <c r="BZ75" s="79" t="s">
        <v>491</v>
      </c>
      <c r="CA75" s="79">
        <v>0.0</v>
      </c>
      <c r="CB75" s="79" t="s">
        <v>507</v>
      </c>
      <c r="CC75" s="79" t="s">
        <v>508</v>
      </c>
      <c r="CD75" s="79">
        <v>0.0</v>
      </c>
      <c r="CE75" s="79"/>
      <c r="CF75" s="79">
        <v>0.0</v>
      </c>
      <c r="CG75" s="79"/>
      <c r="CH75" s="79">
        <v>0.0</v>
      </c>
      <c r="CI75" s="79"/>
      <c r="CJ75" s="79">
        <v>0.0</v>
      </c>
      <c r="CK75" s="79"/>
      <c r="CL75" s="79">
        <v>0.0</v>
      </c>
      <c r="CM75" s="79"/>
      <c r="CN75" s="79">
        <v>0.0</v>
      </c>
      <c r="CO75" s="79" t="s">
        <v>493</v>
      </c>
      <c r="CP75" s="79">
        <v>18160.0</v>
      </c>
      <c r="CQ75" s="79" t="s">
        <v>494</v>
      </c>
      <c r="CR75" s="79">
        <v>32800.0</v>
      </c>
      <c r="CS75" s="79" t="s">
        <v>495</v>
      </c>
      <c r="CT75" s="79">
        <v>2300.0</v>
      </c>
      <c r="CU75" s="79" t="s">
        <v>496</v>
      </c>
      <c r="CV75" s="79">
        <v>0.0</v>
      </c>
      <c r="CW75" s="79"/>
      <c r="CX75" s="79">
        <v>0.0</v>
      </c>
      <c r="CY75" s="79"/>
      <c r="CZ75" s="79">
        <v>0.0</v>
      </c>
      <c r="DA75" s="79"/>
      <c r="DB75" s="79">
        <v>0.0</v>
      </c>
      <c r="DC75" s="79"/>
      <c r="DD75" s="79">
        <v>0.0</v>
      </c>
      <c r="DE75" s="79">
        <v>4000.0</v>
      </c>
      <c r="DF75" s="79">
        <v>0.0</v>
      </c>
      <c r="DG75" s="79">
        <v>0.0</v>
      </c>
      <c r="DH75" s="79">
        <v>0.0</v>
      </c>
      <c r="DI75" s="79">
        <v>0.0</v>
      </c>
      <c r="DJ75" s="79" t="s">
        <v>986</v>
      </c>
      <c r="DK75" s="79" t="s">
        <v>486</v>
      </c>
      <c r="DL75" s="79" t="s">
        <v>537</v>
      </c>
      <c r="DM75" s="79" t="s">
        <v>987</v>
      </c>
      <c r="DN75" s="79"/>
      <c r="DO75" s="79" t="s">
        <v>988</v>
      </c>
      <c r="DP75" s="79"/>
      <c r="DQ75" s="79"/>
      <c r="DR75" s="79"/>
      <c r="DS75" s="79"/>
      <c r="DT75" s="82"/>
      <c r="DU75" s="79"/>
      <c r="DV75" s="82"/>
      <c r="DW75" s="79"/>
      <c r="DX75" s="79"/>
      <c r="DY75" s="79"/>
      <c r="DZ75" s="79"/>
      <c r="EA75" s="79"/>
      <c r="EB75" s="79"/>
      <c r="EC75" s="79"/>
      <c r="ED75" s="79"/>
      <c r="EE75" s="79"/>
      <c r="EF75" s="82"/>
      <c r="EG75" s="79"/>
      <c r="EH75" s="82"/>
      <c r="EI75" s="79"/>
      <c r="EJ75" s="82"/>
      <c r="EK75" s="79"/>
      <c r="EL75" s="82"/>
      <c r="EM75" s="79"/>
      <c r="EN75" s="79" t="s">
        <v>79</v>
      </c>
      <c r="EO75" s="79"/>
      <c r="EP75" s="80"/>
      <c r="EQ75" s="83"/>
      <c r="ER75" s="83" t="str">
        <f t="shared" si="1"/>
        <v/>
      </c>
      <c r="ES75" s="79"/>
      <c r="ET75" s="79" t="str">
        <f t="shared" si="2"/>
        <v/>
      </c>
      <c r="EU75" s="79"/>
      <c r="EV75" s="79"/>
      <c r="EW75" s="82"/>
      <c r="EX75" s="82"/>
      <c r="EY75" s="82"/>
      <c r="EZ75" s="79"/>
      <c r="FA75" s="79"/>
      <c r="FB75" s="79"/>
    </row>
    <row r="76" ht="15.75" customHeight="1">
      <c r="A76" s="79" t="s">
        <v>989</v>
      </c>
      <c r="B76" s="79" t="s">
        <v>543</v>
      </c>
      <c r="C76" s="79" t="s">
        <v>476</v>
      </c>
      <c r="D76" s="80">
        <v>46111.0</v>
      </c>
      <c r="E76" s="79" t="s">
        <v>990</v>
      </c>
      <c r="F76" s="79" t="s">
        <v>634</v>
      </c>
      <c r="G76" s="79" t="s">
        <v>991</v>
      </c>
      <c r="H76" s="79" t="s">
        <v>992</v>
      </c>
      <c r="I76" s="79"/>
      <c r="J76" s="79" t="s">
        <v>993</v>
      </c>
      <c r="K76" s="79">
        <v>2000.0</v>
      </c>
      <c r="L76" s="79"/>
      <c r="M76" s="79" t="s">
        <v>994</v>
      </c>
      <c r="N76" s="79" t="s">
        <v>572</v>
      </c>
      <c r="O76" s="79"/>
      <c r="P76" s="79"/>
      <c r="Q76" s="79" t="s">
        <v>995</v>
      </c>
      <c r="R76" s="80">
        <v>46655.0</v>
      </c>
      <c r="S76" s="79"/>
      <c r="T76" s="79">
        <v>64950.0</v>
      </c>
      <c r="U76" s="79"/>
      <c r="V76" s="79"/>
      <c r="W76" s="79"/>
      <c r="X76" s="79"/>
      <c r="Y76" s="79"/>
      <c r="Z76" s="79" t="s">
        <v>486</v>
      </c>
      <c r="AA76" s="79" t="s">
        <v>555</v>
      </c>
      <c r="AB76" s="79" t="s">
        <v>486</v>
      </c>
      <c r="AC76" s="79" t="s">
        <v>488</v>
      </c>
      <c r="AD76" s="79">
        <v>589000.0</v>
      </c>
      <c r="AE76" s="79">
        <v>0.0</v>
      </c>
      <c r="AF76" s="79">
        <v>0.0</v>
      </c>
      <c r="AG76" s="79">
        <v>58900.0</v>
      </c>
      <c r="AH76" s="81">
        <v>647900.0</v>
      </c>
      <c r="AI76" s="79"/>
      <c r="AJ76" s="79">
        <v>0.0</v>
      </c>
      <c r="AK76" s="79">
        <v>0.0</v>
      </c>
      <c r="AL76" s="79">
        <v>0.0</v>
      </c>
      <c r="AM76" s="79">
        <v>0.0</v>
      </c>
      <c r="AN76" s="79">
        <v>0.0</v>
      </c>
      <c r="AO76" s="79">
        <v>0.0</v>
      </c>
      <c r="AP76" s="79">
        <v>0.0</v>
      </c>
      <c r="AQ76" s="79">
        <v>589000.0</v>
      </c>
      <c r="AR76" s="79" t="s">
        <v>489</v>
      </c>
      <c r="AS76" s="79">
        <v>0.0</v>
      </c>
      <c r="AT76" s="79" t="s">
        <v>507</v>
      </c>
      <c r="AU76" s="79" t="s">
        <v>491</v>
      </c>
      <c r="AV76" s="79">
        <v>0.0</v>
      </c>
      <c r="AW76" s="79" t="s">
        <v>508</v>
      </c>
      <c r="AX76" s="79">
        <v>0.0</v>
      </c>
      <c r="AY76" s="79"/>
      <c r="AZ76" s="79">
        <v>0.0</v>
      </c>
      <c r="BA76" s="79"/>
      <c r="BB76" s="79">
        <v>0.0</v>
      </c>
      <c r="BC76" s="79"/>
      <c r="BD76" s="79">
        <v>0.0</v>
      </c>
      <c r="BE76" s="79"/>
      <c r="BF76" s="79">
        <v>0.0</v>
      </c>
      <c r="BG76" s="79"/>
      <c r="BH76" s="79">
        <v>0.0</v>
      </c>
      <c r="BI76" s="79" t="s">
        <v>493</v>
      </c>
      <c r="BJ76" s="79">
        <v>0.0</v>
      </c>
      <c r="BK76" s="79" t="s">
        <v>494</v>
      </c>
      <c r="BL76" s="79">
        <v>0.0</v>
      </c>
      <c r="BM76" s="79" t="s">
        <v>495</v>
      </c>
      <c r="BN76" s="79">
        <v>0.0</v>
      </c>
      <c r="BO76" s="79" t="s">
        <v>496</v>
      </c>
      <c r="BP76" s="79">
        <v>0.0</v>
      </c>
      <c r="BQ76" s="79"/>
      <c r="BR76" s="79">
        <v>0.0</v>
      </c>
      <c r="BS76" s="79"/>
      <c r="BT76" s="79">
        <v>0.0</v>
      </c>
      <c r="BU76" s="79"/>
      <c r="BV76" s="79">
        <v>0.0</v>
      </c>
      <c r="BW76" s="79"/>
      <c r="BX76" s="79">
        <v>0.0</v>
      </c>
      <c r="BY76" s="79">
        <v>0.0</v>
      </c>
      <c r="BZ76" s="79" t="s">
        <v>491</v>
      </c>
      <c r="CA76" s="79">
        <v>0.0</v>
      </c>
      <c r="CB76" s="79" t="s">
        <v>507</v>
      </c>
      <c r="CC76" s="79" t="s">
        <v>508</v>
      </c>
      <c r="CD76" s="79">
        <v>0.0</v>
      </c>
      <c r="CE76" s="79"/>
      <c r="CF76" s="79">
        <v>0.0</v>
      </c>
      <c r="CG76" s="79"/>
      <c r="CH76" s="79">
        <v>0.0</v>
      </c>
      <c r="CI76" s="79"/>
      <c r="CJ76" s="79">
        <v>0.0</v>
      </c>
      <c r="CK76" s="79"/>
      <c r="CL76" s="79">
        <v>0.0</v>
      </c>
      <c r="CM76" s="79"/>
      <c r="CN76" s="79">
        <v>0.0</v>
      </c>
      <c r="CO76" s="79" t="s">
        <v>493</v>
      </c>
      <c r="CP76" s="79">
        <v>0.0</v>
      </c>
      <c r="CQ76" s="79" t="s">
        <v>494</v>
      </c>
      <c r="CR76" s="79">
        <v>0.0</v>
      </c>
      <c r="CS76" s="79" t="s">
        <v>495</v>
      </c>
      <c r="CT76" s="79">
        <v>0.0</v>
      </c>
      <c r="CU76" s="79" t="s">
        <v>496</v>
      </c>
      <c r="CV76" s="79">
        <v>0.0</v>
      </c>
      <c r="CW76" s="79"/>
      <c r="CX76" s="79">
        <v>0.0</v>
      </c>
      <c r="CY76" s="79"/>
      <c r="CZ76" s="79">
        <v>0.0</v>
      </c>
      <c r="DA76" s="79"/>
      <c r="DB76" s="79">
        <v>0.0</v>
      </c>
      <c r="DC76" s="79"/>
      <c r="DD76" s="79">
        <v>0.0</v>
      </c>
      <c r="DE76" s="79">
        <v>0.0</v>
      </c>
      <c r="DF76" s="79">
        <v>589000.0</v>
      </c>
      <c r="DG76" s="79">
        <v>0.0</v>
      </c>
      <c r="DH76" s="79">
        <v>0.0</v>
      </c>
      <c r="DI76" s="79">
        <v>0.0</v>
      </c>
      <c r="DJ76" s="79" t="s">
        <v>996</v>
      </c>
      <c r="DK76" s="79" t="s">
        <v>486</v>
      </c>
      <c r="DL76" s="79" t="s">
        <v>487</v>
      </c>
      <c r="DM76" s="79" t="s">
        <v>997</v>
      </c>
      <c r="DN76" s="79" t="s">
        <v>998</v>
      </c>
      <c r="DO76" s="79" t="s">
        <v>999</v>
      </c>
      <c r="DP76" s="79"/>
      <c r="DQ76" s="79"/>
      <c r="DR76" s="79"/>
      <c r="DS76" s="79"/>
      <c r="DT76" s="82"/>
      <c r="DU76" s="79"/>
      <c r="DV76" s="82"/>
      <c r="DW76" s="79"/>
      <c r="DX76" s="79"/>
      <c r="DY76" s="79"/>
      <c r="DZ76" s="79"/>
      <c r="EA76" s="79"/>
      <c r="EB76" s="79"/>
      <c r="EC76" s="79"/>
      <c r="ED76" s="79"/>
      <c r="EE76" s="79"/>
      <c r="EF76" s="82"/>
      <c r="EG76" s="79"/>
      <c r="EH76" s="82"/>
      <c r="EI76" s="79"/>
      <c r="EJ76" s="82"/>
      <c r="EK76" s="79"/>
      <c r="EL76" s="82"/>
      <c r="EM76" s="79"/>
      <c r="EN76" s="79" t="s">
        <v>79</v>
      </c>
      <c r="EO76" s="79"/>
      <c r="EP76" s="80"/>
      <c r="EQ76" s="83"/>
      <c r="ER76" s="83" t="str">
        <f t="shared" si="1"/>
        <v/>
      </c>
      <c r="ES76" s="82"/>
      <c r="ET76" s="79" t="str">
        <f t="shared" si="2"/>
        <v/>
      </c>
      <c r="EU76" s="79"/>
      <c r="EV76" s="79"/>
      <c r="EW76" s="82"/>
      <c r="EX76" s="82"/>
      <c r="EY76" s="82"/>
      <c r="EZ76" s="79"/>
      <c r="FA76" s="79"/>
      <c r="FB76" s="79"/>
    </row>
    <row r="77" ht="15.75" customHeight="1">
      <c r="A77" s="79" t="s">
        <v>1000</v>
      </c>
      <c r="B77" s="79" t="s">
        <v>928</v>
      </c>
      <c r="C77" s="79" t="s">
        <v>476</v>
      </c>
      <c r="D77" s="80">
        <v>46111.0</v>
      </c>
      <c r="E77" s="79"/>
      <c r="F77" s="82"/>
      <c r="G77" s="79" t="s">
        <v>981</v>
      </c>
      <c r="H77" s="79" t="s">
        <v>746</v>
      </c>
      <c r="I77" s="79"/>
      <c r="J77" s="79" t="s">
        <v>982</v>
      </c>
      <c r="K77" s="79">
        <v>2000.0</v>
      </c>
      <c r="L77" s="79"/>
      <c r="M77" s="79" t="s">
        <v>983</v>
      </c>
      <c r="N77" s="79" t="s">
        <v>984</v>
      </c>
      <c r="O77" s="79" t="s">
        <v>484</v>
      </c>
      <c r="P77" s="79"/>
      <c r="Q77" s="79" t="s">
        <v>985</v>
      </c>
      <c r="R77" s="80">
        <v>46816.0</v>
      </c>
      <c r="S77" s="79"/>
      <c r="T77" s="79">
        <v>34461.0</v>
      </c>
      <c r="U77" s="79"/>
      <c r="V77" s="79"/>
      <c r="W77" s="79"/>
      <c r="X77" s="79"/>
      <c r="Y77" s="79"/>
      <c r="Z77" s="79" t="s">
        <v>486</v>
      </c>
      <c r="AA77" s="79" t="s">
        <v>488</v>
      </c>
      <c r="AB77" s="79" t="s">
        <v>486</v>
      </c>
      <c r="AC77" s="79" t="s">
        <v>488</v>
      </c>
      <c r="AD77" s="79">
        <v>228840.0</v>
      </c>
      <c r="AE77" s="79">
        <v>0.0</v>
      </c>
      <c r="AF77" s="79">
        <v>0.0</v>
      </c>
      <c r="AG77" s="79">
        <v>22884.0</v>
      </c>
      <c r="AH77" s="83">
        <v>251724.0</v>
      </c>
      <c r="AI77" s="79"/>
      <c r="AJ77" s="79">
        <v>0.0</v>
      </c>
      <c r="AK77" s="79">
        <v>85175.0</v>
      </c>
      <c r="AL77" s="83">
        <v>0.0</v>
      </c>
      <c r="AM77" s="79">
        <v>0.0</v>
      </c>
      <c r="AN77" s="79">
        <v>8518.0</v>
      </c>
      <c r="AO77" s="79">
        <v>93693.0</v>
      </c>
      <c r="AP77" s="79">
        <v>0.0</v>
      </c>
      <c r="AQ77" s="79">
        <v>143665.0</v>
      </c>
      <c r="AR77" s="79" t="s">
        <v>489</v>
      </c>
      <c r="AS77" s="79">
        <v>0.0</v>
      </c>
      <c r="AT77" s="79" t="s">
        <v>490</v>
      </c>
      <c r="AU77" s="79" t="s">
        <v>491</v>
      </c>
      <c r="AV77" s="79">
        <v>0.0</v>
      </c>
      <c r="AW77" s="79" t="s">
        <v>508</v>
      </c>
      <c r="AX77" s="79">
        <v>0.0</v>
      </c>
      <c r="AY77" s="79"/>
      <c r="AZ77" s="79">
        <v>0.0</v>
      </c>
      <c r="BA77" s="79"/>
      <c r="BB77" s="79">
        <v>0.0</v>
      </c>
      <c r="BC77" s="82"/>
      <c r="BD77" s="79">
        <v>0.0</v>
      </c>
      <c r="BE77" s="82"/>
      <c r="BF77" s="79">
        <v>0.0</v>
      </c>
      <c r="BG77" s="79"/>
      <c r="BH77" s="79">
        <v>0.0</v>
      </c>
      <c r="BI77" s="79" t="s">
        <v>493</v>
      </c>
      <c r="BJ77" s="79">
        <v>0.0</v>
      </c>
      <c r="BK77" s="79" t="s">
        <v>494</v>
      </c>
      <c r="BL77" s="79">
        <v>0.0</v>
      </c>
      <c r="BM77" s="79" t="s">
        <v>495</v>
      </c>
      <c r="BN77" s="79">
        <v>0.0</v>
      </c>
      <c r="BO77" s="79" t="s">
        <v>496</v>
      </c>
      <c r="BP77" s="79">
        <v>0.0</v>
      </c>
      <c r="BQ77" s="79"/>
      <c r="BR77" s="79">
        <v>0.0</v>
      </c>
      <c r="BS77" s="79"/>
      <c r="BT77" s="79">
        <v>0.0</v>
      </c>
      <c r="BU77" s="79"/>
      <c r="BV77" s="79">
        <v>0.0</v>
      </c>
      <c r="BW77" s="79"/>
      <c r="BX77" s="79">
        <v>0.0</v>
      </c>
      <c r="BY77" s="79">
        <v>0.0</v>
      </c>
      <c r="BZ77" s="79" t="s">
        <v>491</v>
      </c>
      <c r="CA77" s="79">
        <v>0.0</v>
      </c>
      <c r="CB77" s="79" t="s">
        <v>490</v>
      </c>
      <c r="CC77" s="79" t="s">
        <v>508</v>
      </c>
      <c r="CD77" s="79">
        <v>0.0</v>
      </c>
      <c r="CE77" s="79"/>
      <c r="CF77" s="79">
        <v>0.0</v>
      </c>
      <c r="CG77" s="79"/>
      <c r="CH77" s="79">
        <v>0.0</v>
      </c>
      <c r="CI77" s="79"/>
      <c r="CJ77" s="79">
        <v>0.0</v>
      </c>
      <c r="CK77" s="79"/>
      <c r="CL77" s="79">
        <v>0.0</v>
      </c>
      <c r="CM77" s="79"/>
      <c r="CN77" s="79">
        <v>0.0</v>
      </c>
      <c r="CO77" s="79" t="s">
        <v>493</v>
      </c>
      <c r="CP77" s="79">
        <v>0.0</v>
      </c>
      <c r="CQ77" s="79" t="s">
        <v>494</v>
      </c>
      <c r="CR77" s="79">
        <v>0.0</v>
      </c>
      <c r="CS77" s="79" t="s">
        <v>495</v>
      </c>
      <c r="CT77" s="79">
        <v>0.0</v>
      </c>
      <c r="CU77" s="79" t="s">
        <v>496</v>
      </c>
      <c r="CV77" s="79">
        <v>0.0</v>
      </c>
      <c r="CW77" s="79"/>
      <c r="CX77" s="79">
        <v>0.0</v>
      </c>
      <c r="CY77" s="79"/>
      <c r="CZ77" s="79">
        <v>0.0</v>
      </c>
      <c r="DA77" s="79"/>
      <c r="DB77" s="79">
        <v>0.0</v>
      </c>
      <c r="DC77" s="79"/>
      <c r="DD77" s="79">
        <v>0.0</v>
      </c>
      <c r="DE77" s="79">
        <v>124880.0</v>
      </c>
      <c r="DF77" s="79">
        <v>103960.0</v>
      </c>
      <c r="DG77" s="79">
        <v>0.0</v>
      </c>
      <c r="DH77" s="79">
        <v>17000.0</v>
      </c>
      <c r="DI77" s="79">
        <v>68175.0</v>
      </c>
      <c r="DJ77" s="79"/>
      <c r="DK77" s="79"/>
      <c r="DL77" s="79"/>
      <c r="DM77" s="79"/>
      <c r="DN77" s="82"/>
      <c r="DO77" s="79"/>
      <c r="DP77" s="82"/>
      <c r="DQ77" s="79"/>
      <c r="DR77" s="82"/>
      <c r="DS77" s="79"/>
      <c r="DT77" s="82"/>
      <c r="DU77" s="79"/>
      <c r="DV77" s="82"/>
      <c r="DW77" s="79"/>
      <c r="DX77" s="79"/>
      <c r="DY77" s="79"/>
      <c r="DZ77" s="79"/>
      <c r="EA77" s="79"/>
      <c r="EB77" s="79"/>
      <c r="EC77" s="79"/>
      <c r="ED77" s="79"/>
      <c r="EE77" s="79"/>
      <c r="EF77" s="82"/>
      <c r="EG77" s="79"/>
      <c r="EH77" s="82"/>
      <c r="EI77" s="79"/>
      <c r="EJ77" s="82"/>
      <c r="EK77" s="79"/>
      <c r="EL77" s="82"/>
      <c r="EM77" s="79"/>
      <c r="EN77" s="79" t="s">
        <v>79</v>
      </c>
      <c r="EO77" s="79"/>
      <c r="EP77" s="80"/>
      <c r="EQ77" s="83"/>
      <c r="ER77" s="83" t="str">
        <f t="shared" si="1"/>
        <v/>
      </c>
      <c r="ES77" s="82"/>
      <c r="ET77" s="79" t="str">
        <f t="shared" si="2"/>
        <v/>
      </c>
      <c r="EU77" s="79"/>
      <c r="EV77" s="82"/>
      <c r="EW77" s="82"/>
      <c r="EX77" s="82"/>
      <c r="EY77" s="82"/>
      <c r="EZ77" s="79"/>
      <c r="FA77" s="79"/>
      <c r="FB77" s="79"/>
    </row>
    <row r="78" ht="15.75" customHeight="1">
      <c r="A78" s="4" t="s">
        <v>1001</v>
      </c>
      <c r="B78" s="4" t="s">
        <v>1002</v>
      </c>
      <c r="C78" s="4" t="s">
        <v>476</v>
      </c>
      <c r="D78" s="78">
        <v>46111.0</v>
      </c>
      <c r="E78" s="4" t="s">
        <v>1003</v>
      </c>
      <c r="F78" s="4" t="s">
        <v>1004</v>
      </c>
      <c r="G78" s="4" t="s">
        <v>1005</v>
      </c>
      <c r="H78" s="4" t="s">
        <v>971</v>
      </c>
      <c r="R78" s="4" t="s">
        <v>1006</v>
      </c>
      <c r="V78" s="4" t="s">
        <v>1007</v>
      </c>
      <c r="Y78" s="4" t="s">
        <v>1008</v>
      </c>
      <c r="Z78" s="4" t="s">
        <v>597</v>
      </c>
      <c r="AB78" s="4" t="s">
        <v>597</v>
      </c>
      <c r="AH78" s="23">
        <v>1352120.0</v>
      </c>
      <c r="AL78" s="19"/>
      <c r="AM78" s="19"/>
      <c r="AN78" s="19"/>
      <c r="AO78" s="19"/>
      <c r="AP78" s="19"/>
      <c r="AQ78" s="4">
        <v>381555.0</v>
      </c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19"/>
      <c r="CP78" s="19"/>
      <c r="CQ78" s="19"/>
      <c r="CR78" s="19"/>
      <c r="CS78" s="19"/>
      <c r="CT78" s="19"/>
      <c r="CU78" s="19"/>
      <c r="CV78" s="19"/>
      <c r="CW78" s="19"/>
      <c r="CX78" s="19"/>
      <c r="CY78" s="19"/>
      <c r="CZ78" s="19"/>
      <c r="DA78" s="19"/>
      <c r="DB78" s="19"/>
      <c r="DC78" s="19"/>
      <c r="DD78" s="19"/>
      <c r="DE78" s="19"/>
      <c r="DF78" s="19"/>
      <c r="DG78" s="19"/>
      <c r="DH78" s="19"/>
      <c r="DI78" s="19"/>
      <c r="DJ78" s="19"/>
      <c r="DK78" s="19"/>
      <c r="DL78" s="19"/>
      <c r="DM78" s="19"/>
      <c r="DN78" s="19"/>
      <c r="DO78" s="19"/>
      <c r="DP78" s="19"/>
      <c r="DQ78" s="19"/>
      <c r="DR78" s="19"/>
      <c r="DS78" s="19"/>
      <c r="DT78" s="19"/>
      <c r="DU78" s="19"/>
      <c r="DV78" s="19"/>
      <c r="DW78" s="19"/>
      <c r="DX78" s="19"/>
      <c r="DY78" s="19"/>
      <c r="DZ78" s="19"/>
      <c r="EA78" s="19"/>
      <c r="EB78" s="19"/>
      <c r="EC78" s="19"/>
      <c r="ED78" s="19"/>
      <c r="EE78" s="19"/>
      <c r="EF78" s="19"/>
      <c r="EG78" s="19"/>
      <c r="EH78" s="19"/>
      <c r="EI78" s="19"/>
      <c r="EJ78" s="19"/>
      <c r="EK78" s="19"/>
      <c r="EL78" s="19"/>
      <c r="EM78" s="19"/>
      <c r="EN78" s="4" t="s">
        <v>79</v>
      </c>
      <c r="EO78" s="19"/>
      <c r="EP78" s="17"/>
      <c r="EQ78" s="23"/>
      <c r="ER78" s="23" t="str">
        <f t="shared" si="1"/>
        <v/>
      </c>
      <c r="ES78" s="19"/>
      <c r="ET78" s="19" t="str">
        <f t="shared" si="2"/>
        <v/>
      </c>
      <c r="EU78" s="19"/>
      <c r="EV78" s="19"/>
      <c r="EW78" s="19"/>
      <c r="EX78" s="19"/>
      <c r="EY78" s="19"/>
      <c r="EZ78" s="19"/>
      <c r="FA78" s="19"/>
      <c r="FB78" s="19"/>
    </row>
    <row r="79" ht="15.75" customHeight="1">
      <c r="A79" s="4" t="s">
        <v>1009</v>
      </c>
      <c r="B79" s="4" t="s">
        <v>475</v>
      </c>
      <c r="C79" s="4" t="s">
        <v>476</v>
      </c>
      <c r="D79" s="78">
        <v>46111.0</v>
      </c>
      <c r="E79" s="4" t="s">
        <v>677</v>
      </c>
      <c r="F79" s="4" t="s">
        <v>634</v>
      </c>
      <c r="G79" s="4" t="s">
        <v>678</v>
      </c>
      <c r="H79" s="4" t="s">
        <v>679</v>
      </c>
      <c r="R79" s="4" t="s">
        <v>680</v>
      </c>
      <c r="V79" s="4" t="s">
        <v>681</v>
      </c>
      <c r="Y79" s="4" t="s">
        <v>682</v>
      </c>
      <c r="Z79" s="4" t="s">
        <v>597</v>
      </c>
      <c r="AB79" s="4" t="s">
        <v>597</v>
      </c>
      <c r="AH79" s="23">
        <v>240890.0</v>
      </c>
      <c r="AL79" s="19"/>
      <c r="AM79" s="19"/>
      <c r="AN79" s="19"/>
      <c r="AO79" s="19"/>
      <c r="AP79" s="19"/>
      <c r="AQ79" s="4">
        <v>21696.0</v>
      </c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19"/>
      <c r="CP79" s="19"/>
      <c r="CQ79" s="19"/>
      <c r="CR79" s="19"/>
      <c r="CS79" s="19"/>
      <c r="CT79" s="19"/>
      <c r="CU79" s="19"/>
      <c r="CV79" s="19"/>
      <c r="CW79" s="19"/>
      <c r="CX79" s="19"/>
      <c r="CY79" s="19"/>
      <c r="CZ79" s="19"/>
      <c r="DA79" s="19"/>
      <c r="DB79" s="19"/>
      <c r="DC79" s="19"/>
      <c r="DD79" s="19"/>
      <c r="DE79" s="19"/>
      <c r="DF79" s="19"/>
      <c r="DG79" s="19"/>
      <c r="DH79" s="19"/>
      <c r="DI79" s="19"/>
      <c r="DJ79" s="19"/>
      <c r="DK79" s="19"/>
      <c r="DL79" s="19"/>
      <c r="DM79" s="19"/>
      <c r="DN79" s="19"/>
      <c r="DO79" s="19"/>
      <c r="DP79" s="19"/>
      <c r="DQ79" s="19"/>
      <c r="DR79" s="19"/>
      <c r="DS79" s="19"/>
      <c r="DT79" s="19"/>
      <c r="DU79" s="19"/>
      <c r="DV79" s="19"/>
      <c r="DW79" s="19"/>
      <c r="DX79" s="19"/>
      <c r="DY79" s="19"/>
      <c r="DZ79" s="19"/>
      <c r="EA79" s="19"/>
      <c r="EB79" s="19"/>
      <c r="EC79" s="19"/>
      <c r="ED79" s="19"/>
      <c r="EE79" s="19"/>
      <c r="EF79" s="19"/>
      <c r="EG79" s="19"/>
      <c r="EH79" s="19"/>
      <c r="EI79" s="19"/>
      <c r="EJ79" s="19"/>
      <c r="EK79" s="19"/>
      <c r="EL79" s="19"/>
      <c r="EM79" s="19"/>
      <c r="EN79" s="4" t="s">
        <v>79</v>
      </c>
      <c r="EO79" s="19"/>
      <c r="EP79" s="17"/>
      <c r="EQ79" s="23"/>
      <c r="ER79" s="23" t="str">
        <f t="shared" si="1"/>
        <v/>
      </c>
      <c r="ES79" s="19"/>
      <c r="ET79" s="19" t="str">
        <f t="shared" si="2"/>
        <v/>
      </c>
      <c r="EU79" s="19"/>
      <c r="EV79" s="19"/>
      <c r="EW79" s="19"/>
      <c r="EX79" s="19"/>
      <c r="EY79" s="19"/>
      <c r="EZ79" s="19"/>
      <c r="FA79" s="19"/>
      <c r="FB79" s="19"/>
    </row>
    <row r="80" ht="15.75" customHeight="1">
      <c r="A80" s="4" t="s">
        <v>1010</v>
      </c>
      <c r="B80" s="4" t="s">
        <v>591</v>
      </c>
      <c r="C80" s="4" t="s">
        <v>476</v>
      </c>
      <c r="D80" s="78">
        <v>46111.0</v>
      </c>
      <c r="E80" s="4" t="s">
        <v>1011</v>
      </c>
      <c r="F80" s="19"/>
      <c r="G80" s="4" t="s">
        <v>1012</v>
      </c>
      <c r="H80" s="4" t="s">
        <v>1013</v>
      </c>
      <c r="R80" s="4" t="s">
        <v>1014</v>
      </c>
      <c r="Y80" s="4" t="s">
        <v>968</v>
      </c>
      <c r="Z80" s="4" t="s">
        <v>597</v>
      </c>
      <c r="AB80" s="4" t="s">
        <v>597</v>
      </c>
      <c r="AH80" s="23">
        <v>195500.0</v>
      </c>
      <c r="AL80" s="19"/>
      <c r="AM80" s="19"/>
      <c r="AN80" s="19"/>
      <c r="AO80" s="19"/>
      <c r="AP80" s="19"/>
      <c r="AQ80" s="4">
        <v>120775.0</v>
      </c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19"/>
      <c r="CP80" s="19"/>
      <c r="CQ80" s="19"/>
      <c r="CR80" s="19"/>
      <c r="CS80" s="19"/>
      <c r="CT80" s="19"/>
      <c r="CU80" s="19"/>
      <c r="CV80" s="19"/>
      <c r="CW80" s="19"/>
      <c r="CX80" s="19"/>
      <c r="CY80" s="19"/>
      <c r="CZ80" s="19"/>
      <c r="DA80" s="19"/>
      <c r="DB80" s="19"/>
      <c r="DC80" s="19"/>
      <c r="DD80" s="19"/>
      <c r="DE80" s="19"/>
      <c r="DF80" s="19"/>
      <c r="DG80" s="19"/>
      <c r="DH80" s="19"/>
      <c r="DI80" s="19"/>
      <c r="DJ80" s="19"/>
      <c r="DK80" s="19"/>
      <c r="DL80" s="19"/>
      <c r="DM80" s="19"/>
      <c r="DN80" s="19"/>
      <c r="DO80" s="19"/>
      <c r="DP80" s="19"/>
      <c r="DQ80" s="19"/>
      <c r="DR80" s="19"/>
      <c r="DS80" s="19"/>
      <c r="DT80" s="19"/>
      <c r="DU80" s="19"/>
      <c r="DV80" s="19"/>
      <c r="DW80" s="19"/>
      <c r="DX80" s="19"/>
      <c r="DY80" s="19"/>
      <c r="DZ80" s="19"/>
      <c r="EA80" s="19"/>
      <c r="EB80" s="19"/>
      <c r="EC80" s="19"/>
      <c r="ED80" s="19"/>
      <c r="EE80" s="19"/>
      <c r="EF80" s="19"/>
      <c r="EG80" s="19"/>
      <c r="EH80" s="19"/>
      <c r="EI80" s="19"/>
      <c r="EJ80" s="19"/>
      <c r="EK80" s="19"/>
      <c r="EL80" s="19"/>
      <c r="EM80" s="19"/>
      <c r="EN80" s="4" t="s">
        <v>79</v>
      </c>
      <c r="EO80" s="19"/>
      <c r="EP80" s="17"/>
      <c r="EQ80" s="23"/>
      <c r="ER80" s="23" t="str">
        <f t="shared" si="1"/>
        <v/>
      </c>
      <c r="ES80" s="19"/>
      <c r="ET80" s="19" t="str">
        <f t="shared" si="2"/>
        <v/>
      </c>
      <c r="EU80" s="19"/>
      <c r="EV80" s="19"/>
      <c r="EW80" s="19"/>
      <c r="EX80" s="19"/>
      <c r="EY80" s="19"/>
      <c r="EZ80" s="19"/>
      <c r="FA80" s="19"/>
      <c r="FB80" s="19"/>
    </row>
    <row r="81" ht="15.75" customHeight="1">
      <c r="A81" s="4" t="s">
        <v>1015</v>
      </c>
      <c r="B81" s="4" t="s">
        <v>778</v>
      </c>
      <c r="C81" s="4" t="s">
        <v>476</v>
      </c>
      <c r="D81" s="78">
        <v>46111.0</v>
      </c>
      <c r="E81" s="4" t="s">
        <v>1016</v>
      </c>
      <c r="F81" s="19"/>
      <c r="G81" s="4" t="s">
        <v>865</v>
      </c>
      <c r="H81" s="4" t="s">
        <v>1017</v>
      </c>
      <c r="R81" s="4" t="s">
        <v>1018</v>
      </c>
      <c r="V81" s="4" t="s">
        <v>1019</v>
      </c>
      <c r="Y81" s="4" t="s">
        <v>968</v>
      </c>
      <c r="Z81" s="4" t="s">
        <v>597</v>
      </c>
      <c r="AB81" s="4" t="s">
        <v>597</v>
      </c>
      <c r="AH81" s="23">
        <v>311487.0</v>
      </c>
      <c r="AL81" s="19"/>
      <c r="AM81" s="19"/>
      <c r="AN81" s="19"/>
      <c r="AO81" s="19"/>
      <c r="AP81" s="19"/>
      <c r="AQ81" s="4">
        <v>143932.0</v>
      </c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19"/>
      <c r="CP81" s="19"/>
      <c r="CQ81" s="19"/>
      <c r="CR81" s="19"/>
      <c r="CS81" s="19"/>
      <c r="CT81" s="19"/>
      <c r="CU81" s="19"/>
      <c r="CV81" s="19"/>
      <c r="CW81" s="19"/>
      <c r="CX81" s="19"/>
      <c r="CY81" s="19"/>
      <c r="CZ81" s="19"/>
      <c r="DA81" s="19"/>
      <c r="DB81" s="19"/>
      <c r="DC81" s="19"/>
      <c r="DD81" s="19"/>
      <c r="DE81" s="19"/>
      <c r="DF81" s="19"/>
      <c r="DG81" s="19"/>
      <c r="DH81" s="19"/>
      <c r="DI81" s="19"/>
      <c r="DJ81" s="19"/>
      <c r="DK81" s="19"/>
      <c r="DL81" s="19"/>
      <c r="DM81" s="19"/>
      <c r="DN81" s="19"/>
      <c r="DO81" s="19"/>
      <c r="DP81" s="19"/>
      <c r="DQ81" s="19"/>
      <c r="DR81" s="19"/>
      <c r="DS81" s="19"/>
      <c r="DT81" s="19"/>
      <c r="DU81" s="19"/>
      <c r="DV81" s="19"/>
      <c r="DW81" s="19"/>
      <c r="DX81" s="19"/>
      <c r="DY81" s="19"/>
      <c r="DZ81" s="19"/>
      <c r="EA81" s="19"/>
      <c r="EB81" s="19"/>
      <c r="EC81" s="19"/>
      <c r="ED81" s="19"/>
      <c r="EE81" s="19"/>
      <c r="EF81" s="19"/>
      <c r="EG81" s="19"/>
      <c r="EH81" s="19"/>
      <c r="EI81" s="19"/>
      <c r="EJ81" s="19"/>
      <c r="EK81" s="19"/>
      <c r="EL81" s="19"/>
      <c r="EM81" s="19"/>
      <c r="EN81" s="4" t="s">
        <v>79</v>
      </c>
      <c r="EO81" s="19"/>
      <c r="EP81" s="17"/>
      <c r="EQ81" s="23"/>
      <c r="ER81" s="23" t="str">
        <f t="shared" si="1"/>
        <v/>
      </c>
      <c r="ES81" s="19"/>
      <c r="ET81" s="19" t="str">
        <f t="shared" si="2"/>
        <v/>
      </c>
      <c r="EU81" s="19"/>
      <c r="EV81" s="19"/>
      <c r="EW81" s="19"/>
      <c r="EX81" s="19"/>
      <c r="EY81" s="19"/>
      <c r="EZ81" s="19"/>
      <c r="FA81" s="19"/>
      <c r="FB81" s="19"/>
    </row>
    <row r="82" ht="15.75" customHeight="1">
      <c r="A82" s="19"/>
      <c r="B82" s="4" t="s">
        <v>468</v>
      </c>
      <c r="C82" s="4" t="s">
        <v>469</v>
      </c>
      <c r="D82" s="78">
        <v>46112.0</v>
      </c>
      <c r="E82" s="4" t="s">
        <v>1020</v>
      </c>
      <c r="F82" s="19"/>
      <c r="AH82" s="23">
        <v>9060570.0</v>
      </c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19"/>
      <c r="CP82" s="19"/>
      <c r="CQ82" s="19"/>
      <c r="CR82" s="19"/>
      <c r="CS82" s="19"/>
      <c r="CT82" s="19"/>
      <c r="CU82" s="19"/>
      <c r="CV82" s="19"/>
      <c r="CW82" s="19"/>
      <c r="CX82" s="19"/>
      <c r="CY82" s="19"/>
      <c r="CZ82" s="19"/>
      <c r="DA82" s="19"/>
      <c r="DB82" s="19"/>
      <c r="DC82" s="19"/>
      <c r="DD82" s="19"/>
      <c r="DE82" s="19"/>
      <c r="DF82" s="19"/>
      <c r="DG82" s="19"/>
      <c r="DH82" s="19"/>
      <c r="DI82" s="19"/>
      <c r="DJ82" s="19"/>
      <c r="DK82" s="19"/>
      <c r="DL82" s="19"/>
      <c r="DM82" s="19"/>
      <c r="DN82" s="19"/>
      <c r="DO82" s="19"/>
      <c r="DP82" s="19"/>
      <c r="DQ82" s="19"/>
      <c r="DR82" s="19"/>
      <c r="DS82" s="19"/>
      <c r="DT82" s="19"/>
      <c r="DU82" s="19"/>
      <c r="DV82" s="19"/>
      <c r="DW82" s="19"/>
      <c r="DX82" s="19"/>
      <c r="DY82" s="19"/>
      <c r="DZ82" s="19"/>
      <c r="EA82" s="19"/>
      <c r="EB82" s="19"/>
      <c r="EC82" s="19"/>
      <c r="ED82" s="19"/>
      <c r="EE82" s="19"/>
      <c r="EF82" s="19"/>
      <c r="EG82" s="19"/>
      <c r="EH82" s="19"/>
      <c r="EI82" s="19"/>
      <c r="EJ82" s="19"/>
      <c r="EK82" s="19"/>
      <c r="EL82" s="19"/>
      <c r="EM82" s="19"/>
      <c r="EN82" s="4" t="s">
        <v>79</v>
      </c>
      <c r="EO82" s="19"/>
      <c r="EP82" s="17"/>
      <c r="EQ82" s="23"/>
      <c r="ER82" s="23" t="str">
        <f t="shared" si="1"/>
        <v/>
      </c>
      <c r="ES82" s="19"/>
      <c r="ET82" s="19" t="str">
        <f t="shared" si="2"/>
        <v/>
      </c>
      <c r="EU82" s="19"/>
      <c r="EV82" s="19"/>
      <c r="EW82" s="19"/>
      <c r="EX82" s="19"/>
      <c r="EY82" s="19"/>
      <c r="EZ82" s="19"/>
      <c r="FA82" s="19"/>
      <c r="FB82" s="19"/>
    </row>
    <row r="83" ht="15.75" customHeight="1">
      <c r="A83" s="4" t="s">
        <v>1021</v>
      </c>
      <c r="B83" s="4" t="s">
        <v>475</v>
      </c>
      <c r="C83" s="4" t="s">
        <v>1022</v>
      </c>
      <c r="D83" s="78">
        <v>46113.0</v>
      </c>
      <c r="E83" s="4" t="s">
        <v>1023</v>
      </c>
      <c r="F83" s="4" t="s">
        <v>1024</v>
      </c>
      <c r="G83" s="4" t="s">
        <v>1025</v>
      </c>
      <c r="H83" s="4" t="s">
        <v>890</v>
      </c>
      <c r="V83" s="4" t="s">
        <v>1026</v>
      </c>
      <c r="Y83" s="4" t="s">
        <v>1027</v>
      </c>
      <c r="Z83" s="4" t="s">
        <v>597</v>
      </c>
      <c r="AB83" s="4" t="s">
        <v>597</v>
      </c>
      <c r="AH83" s="23">
        <v>1220000.0</v>
      </c>
      <c r="AL83" s="19"/>
      <c r="AM83" s="19"/>
      <c r="AN83" s="19"/>
      <c r="AO83" s="19"/>
      <c r="AP83" s="19"/>
      <c r="AQ83" s="4">
        <v>582238.0</v>
      </c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19"/>
      <c r="CP83" s="19"/>
      <c r="CQ83" s="19"/>
      <c r="CR83" s="19"/>
      <c r="CS83" s="19"/>
      <c r="CT83" s="19"/>
      <c r="CU83" s="19"/>
      <c r="CV83" s="19"/>
      <c r="CW83" s="19"/>
      <c r="CX83" s="19"/>
      <c r="CY83" s="19"/>
      <c r="CZ83" s="19"/>
      <c r="DA83" s="19"/>
      <c r="DB83" s="19"/>
      <c r="DC83" s="19"/>
      <c r="DD83" s="19"/>
      <c r="DE83" s="19"/>
      <c r="DF83" s="19"/>
      <c r="DG83" s="19"/>
      <c r="DH83" s="19"/>
      <c r="DI83" s="19"/>
      <c r="DJ83" s="19"/>
      <c r="DK83" s="19"/>
      <c r="DL83" s="19"/>
      <c r="DM83" s="19"/>
      <c r="DN83" s="19"/>
      <c r="DO83" s="19"/>
      <c r="DP83" s="19"/>
      <c r="DQ83" s="19"/>
      <c r="DR83" s="19"/>
      <c r="DS83" s="19"/>
      <c r="DT83" s="19"/>
      <c r="DU83" s="19"/>
      <c r="DV83" s="19"/>
      <c r="DW83" s="19"/>
      <c r="DX83" s="19"/>
      <c r="DY83" s="19"/>
      <c r="DZ83" s="19"/>
      <c r="EA83" s="19"/>
      <c r="EB83" s="19"/>
      <c r="EC83" s="19"/>
      <c r="ED83" s="19"/>
      <c r="EE83" s="19"/>
      <c r="EF83" s="19"/>
      <c r="EG83" s="19"/>
      <c r="EH83" s="19"/>
      <c r="EI83" s="19"/>
      <c r="EJ83" s="19"/>
      <c r="EK83" s="19"/>
      <c r="EL83" s="19"/>
      <c r="EM83" s="19"/>
      <c r="EN83" s="4" t="s">
        <v>79</v>
      </c>
      <c r="EO83" s="19"/>
      <c r="EP83" s="17"/>
      <c r="EQ83" s="23"/>
      <c r="ER83" s="23" t="str">
        <f t="shared" si="1"/>
        <v/>
      </c>
      <c r="ES83" s="19"/>
      <c r="ET83" s="19" t="str">
        <f t="shared" si="2"/>
        <v/>
      </c>
      <c r="EU83" s="19"/>
      <c r="EV83" s="19"/>
      <c r="EW83" s="19"/>
      <c r="EX83" s="19"/>
      <c r="EY83" s="19"/>
      <c r="EZ83" s="19"/>
      <c r="FA83" s="19"/>
      <c r="FB83" s="19"/>
    </row>
    <row r="84" ht="15.75" customHeight="1">
      <c r="A84" s="4" t="s">
        <v>1028</v>
      </c>
      <c r="B84" s="4" t="s">
        <v>778</v>
      </c>
      <c r="C84" s="4" t="s">
        <v>1022</v>
      </c>
      <c r="D84" s="78">
        <v>46113.0</v>
      </c>
      <c r="E84" s="4" t="s">
        <v>1029</v>
      </c>
      <c r="F84" s="4" t="s">
        <v>1030</v>
      </c>
      <c r="G84" s="4" t="s">
        <v>1031</v>
      </c>
      <c r="H84" s="4" t="s">
        <v>890</v>
      </c>
      <c r="Z84" s="4" t="s">
        <v>597</v>
      </c>
      <c r="AB84" s="4" t="s">
        <v>597</v>
      </c>
      <c r="AH84" s="23">
        <v>67375.0</v>
      </c>
      <c r="AL84" s="19"/>
      <c r="AM84" s="19"/>
      <c r="AN84" s="19"/>
      <c r="AO84" s="19"/>
      <c r="AP84" s="19"/>
      <c r="AQ84" s="4">
        <v>61250.0</v>
      </c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19"/>
      <c r="CP84" s="19"/>
      <c r="CQ84" s="19"/>
      <c r="CR84" s="19"/>
      <c r="CS84" s="19"/>
      <c r="CT84" s="19"/>
      <c r="CU84" s="19"/>
      <c r="CV84" s="19"/>
      <c r="CW84" s="19"/>
      <c r="CX84" s="19"/>
      <c r="CY84" s="19"/>
      <c r="CZ84" s="19"/>
      <c r="DA84" s="19"/>
      <c r="DB84" s="19"/>
      <c r="DC84" s="19"/>
      <c r="DD84" s="19"/>
      <c r="DE84" s="19"/>
      <c r="DF84" s="19"/>
      <c r="DG84" s="19"/>
      <c r="DH84" s="19"/>
      <c r="DI84" s="19"/>
      <c r="DJ84" s="19"/>
      <c r="DK84" s="19"/>
      <c r="DL84" s="19"/>
      <c r="DM84" s="19"/>
      <c r="DN84" s="19"/>
      <c r="DO84" s="19"/>
      <c r="DP84" s="19"/>
      <c r="DQ84" s="19"/>
      <c r="DR84" s="19"/>
      <c r="DS84" s="19"/>
      <c r="DT84" s="19"/>
      <c r="DU84" s="19"/>
      <c r="DV84" s="19"/>
      <c r="DW84" s="19"/>
      <c r="DX84" s="19"/>
      <c r="DY84" s="19"/>
      <c r="DZ84" s="19"/>
      <c r="EA84" s="19"/>
      <c r="EB84" s="19"/>
      <c r="EC84" s="19"/>
      <c r="ED84" s="19"/>
      <c r="EE84" s="19"/>
      <c r="EF84" s="19"/>
      <c r="EG84" s="19"/>
      <c r="EH84" s="19"/>
      <c r="EI84" s="19"/>
      <c r="EJ84" s="19"/>
      <c r="EK84" s="19"/>
      <c r="EL84" s="19"/>
      <c r="EM84" s="19"/>
      <c r="EN84" s="4" t="s">
        <v>79</v>
      </c>
      <c r="EO84" s="19"/>
      <c r="EP84" s="17"/>
      <c r="EQ84" s="23"/>
      <c r="ER84" s="23" t="str">
        <f t="shared" si="1"/>
        <v/>
      </c>
      <c r="ES84" s="19"/>
      <c r="ET84" s="19" t="str">
        <f t="shared" si="2"/>
        <v/>
      </c>
      <c r="EU84" s="19"/>
      <c r="EV84" s="19"/>
      <c r="EW84" s="19"/>
      <c r="EX84" s="19"/>
      <c r="EY84" s="19"/>
      <c r="EZ84" s="19"/>
      <c r="FA84" s="19"/>
      <c r="FB84" s="19"/>
    </row>
    <row r="85" ht="15.75" customHeight="1">
      <c r="A85" s="4" t="s">
        <v>1032</v>
      </c>
      <c r="B85" s="4" t="s">
        <v>605</v>
      </c>
      <c r="C85" s="4" t="s">
        <v>476</v>
      </c>
      <c r="D85" s="78">
        <v>46113.0</v>
      </c>
      <c r="E85" s="4" t="s">
        <v>970</v>
      </c>
      <c r="F85" s="4" t="s">
        <v>1033</v>
      </c>
      <c r="G85" s="4" t="s">
        <v>600</v>
      </c>
      <c r="H85" s="4" t="s">
        <v>971</v>
      </c>
      <c r="V85" s="4" t="s">
        <v>1034</v>
      </c>
      <c r="Y85" s="4" t="s">
        <v>967</v>
      </c>
      <c r="Z85" s="4" t="s">
        <v>597</v>
      </c>
      <c r="AB85" s="4" t="s">
        <v>597</v>
      </c>
      <c r="AH85" s="23">
        <v>77682.0</v>
      </c>
      <c r="AL85" s="19"/>
      <c r="AM85" s="19"/>
      <c r="AN85" s="19"/>
      <c r="AO85" s="19"/>
      <c r="AP85" s="19"/>
      <c r="AQ85" s="4">
        <v>39490.0</v>
      </c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19"/>
      <c r="CP85" s="19"/>
      <c r="CQ85" s="19"/>
      <c r="CR85" s="19"/>
      <c r="CS85" s="19"/>
      <c r="CT85" s="19"/>
      <c r="CU85" s="19"/>
      <c r="CV85" s="19"/>
      <c r="CW85" s="19"/>
      <c r="CX85" s="19"/>
      <c r="CY85" s="19"/>
      <c r="CZ85" s="19"/>
      <c r="DA85" s="19"/>
      <c r="DB85" s="19"/>
      <c r="DC85" s="19"/>
      <c r="DD85" s="19"/>
      <c r="DE85" s="19"/>
      <c r="DF85" s="19"/>
      <c r="DG85" s="19"/>
      <c r="DH85" s="19"/>
      <c r="DI85" s="19"/>
      <c r="DJ85" s="19"/>
      <c r="DK85" s="19"/>
      <c r="DL85" s="19"/>
      <c r="DM85" s="19"/>
      <c r="DN85" s="19"/>
      <c r="DO85" s="19"/>
      <c r="DP85" s="19"/>
      <c r="DQ85" s="19"/>
      <c r="DR85" s="19"/>
      <c r="DS85" s="19"/>
      <c r="DT85" s="19"/>
      <c r="DU85" s="19"/>
      <c r="DV85" s="19"/>
      <c r="DW85" s="19"/>
      <c r="DX85" s="19"/>
      <c r="DY85" s="19"/>
      <c r="DZ85" s="19"/>
      <c r="EA85" s="19"/>
      <c r="EB85" s="19"/>
      <c r="EC85" s="19"/>
      <c r="ED85" s="19"/>
      <c r="EE85" s="19"/>
      <c r="EF85" s="19"/>
      <c r="EG85" s="19"/>
      <c r="EH85" s="19"/>
      <c r="EI85" s="19"/>
      <c r="EJ85" s="19"/>
      <c r="EK85" s="19"/>
      <c r="EL85" s="19"/>
      <c r="EM85" s="19"/>
      <c r="EN85" s="4" t="s">
        <v>79</v>
      </c>
      <c r="EO85" s="19"/>
      <c r="EP85" s="17"/>
      <c r="EQ85" s="23"/>
      <c r="ER85" s="23" t="str">
        <f t="shared" si="1"/>
        <v/>
      </c>
      <c r="ES85" s="19"/>
      <c r="ET85" s="19" t="str">
        <f t="shared" si="2"/>
        <v/>
      </c>
      <c r="EU85" s="19"/>
      <c r="EV85" s="19"/>
      <c r="EW85" s="19"/>
      <c r="EX85" s="19"/>
      <c r="EY85" s="19"/>
      <c r="EZ85" s="19"/>
      <c r="FA85" s="19"/>
      <c r="FB85" s="19"/>
    </row>
    <row r="86" ht="15.75" customHeight="1">
      <c r="A86" s="19"/>
      <c r="B86" s="4" t="s">
        <v>468</v>
      </c>
      <c r="C86" s="4" t="s">
        <v>469</v>
      </c>
      <c r="D86" s="78">
        <v>46114.0</v>
      </c>
      <c r="E86" s="4" t="s">
        <v>1035</v>
      </c>
      <c r="F86" s="19"/>
      <c r="AH86" s="23">
        <v>9508470.0</v>
      </c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19"/>
      <c r="CP86" s="19"/>
      <c r="CQ86" s="19"/>
      <c r="CR86" s="19"/>
      <c r="CS86" s="19"/>
      <c r="CT86" s="19"/>
      <c r="CU86" s="19"/>
      <c r="CV86" s="19"/>
      <c r="CW86" s="19"/>
      <c r="CX86" s="19"/>
      <c r="CY86" s="19"/>
      <c r="CZ86" s="19"/>
      <c r="DA86" s="19"/>
      <c r="DB86" s="19"/>
      <c r="DC86" s="19"/>
      <c r="DD86" s="19"/>
      <c r="DE86" s="19"/>
      <c r="DF86" s="19"/>
      <c r="DG86" s="19"/>
      <c r="DH86" s="19"/>
      <c r="DI86" s="19"/>
      <c r="DJ86" s="19"/>
      <c r="DK86" s="19"/>
      <c r="DL86" s="19"/>
      <c r="DM86" s="19"/>
      <c r="DN86" s="19"/>
      <c r="DO86" s="19"/>
      <c r="DP86" s="19"/>
      <c r="DQ86" s="19"/>
      <c r="DR86" s="19"/>
      <c r="DS86" s="19"/>
      <c r="DT86" s="19"/>
      <c r="DU86" s="19"/>
      <c r="DV86" s="19"/>
      <c r="DW86" s="19"/>
      <c r="DX86" s="19"/>
      <c r="DY86" s="19"/>
      <c r="DZ86" s="19"/>
      <c r="EA86" s="19"/>
      <c r="EB86" s="19"/>
      <c r="EC86" s="19"/>
      <c r="ED86" s="19"/>
      <c r="EE86" s="19"/>
      <c r="EF86" s="19"/>
      <c r="EG86" s="19"/>
      <c r="EH86" s="19"/>
      <c r="EI86" s="19"/>
      <c r="EJ86" s="19"/>
      <c r="EK86" s="19"/>
      <c r="EL86" s="19"/>
      <c r="EM86" s="19"/>
      <c r="EN86" s="4" t="s">
        <v>79</v>
      </c>
      <c r="EO86" s="19"/>
      <c r="EP86" s="17"/>
      <c r="EQ86" s="23"/>
      <c r="ER86" s="23" t="str">
        <f t="shared" si="1"/>
        <v/>
      </c>
      <c r="ES86" s="19"/>
      <c r="ET86" s="19" t="str">
        <f t="shared" si="2"/>
        <v/>
      </c>
      <c r="EU86" s="19"/>
      <c r="EV86" s="19"/>
      <c r="EW86" s="19"/>
      <c r="EX86" s="19"/>
      <c r="EY86" s="19"/>
      <c r="EZ86" s="19"/>
      <c r="FA86" s="19"/>
      <c r="FB86" s="19"/>
    </row>
    <row r="87" ht="15.75" customHeight="1">
      <c r="A87" s="19"/>
      <c r="B87" s="4" t="s">
        <v>468</v>
      </c>
      <c r="C87" s="4" t="s">
        <v>469</v>
      </c>
      <c r="D87" s="78">
        <v>46114.0</v>
      </c>
      <c r="E87" s="4" t="s">
        <v>1036</v>
      </c>
      <c r="F87" s="19"/>
      <c r="AH87" s="23">
        <v>1.1137272E7</v>
      </c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19"/>
      <c r="CP87" s="19"/>
      <c r="CQ87" s="19"/>
      <c r="CR87" s="19"/>
      <c r="CS87" s="19"/>
      <c r="CT87" s="19"/>
      <c r="CU87" s="19"/>
      <c r="CV87" s="19"/>
      <c r="CW87" s="19"/>
      <c r="CX87" s="19"/>
      <c r="CY87" s="19"/>
      <c r="CZ87" s="19"/>
      <c r="DA87" s="19"/>
      <c r="DB87" s="19"/>
      <c r="DC87" s="19"/>
      <c r="DD87" s="19"/>
      <c r="DE87" s="19"/>
      <c r="DF87" s="19"/>
      <c r="DG87" s="19"/>
      <c r="DH87" s="19"/>
      <c r="DI87" s="19"/>
      <c r="DJ87" s="19"/>
      <c r="DK87" s="19"/>
      <c r="DL87" s="19"/>
      <c r="DM87" s="19"/>
      <c r="DN87" s="19"/>
      <c r="DO87" s="19"/>
      <c r="DP87" s="19"/>
      <c r="DQ87" s="19"/>
      <c r="DR87" s="19"/>
      <c r="DS87" s="19"/>
      <c r="DT87" s="19"/>
      <c r="DU87" s="19"/>
      <c r="DV87" s="19"/>
      <c r="DW87" s="19"/>
      <c r="DX87" s="19"/>
      <c r="DY87" s="19"/>
      <c r="DZ87" s="19"/>
      <c r="EA87" s="19"/>
      <c r="EB87" s="19"/>
      <c r="EC87" s="19"/>
      <c r="ED87" s="19"/>
      <c r="EE87" s="19"/>
      <c r="EF87" s="19"/>
      <c r="EG87" s="19"/>
      <c r="EH87" s="19"/>
      <c r="EI87" s="19"/>
      <c r="EJ87" s="19"/>
      <c r="EK87" s="19"/>
      <c r="EL87" s="19"/>
      <c r="EM87" s="19"/>
      <c r="EN87" s="4" t="s">
        <v>79</v>
      </c>
      <c r="EO87" s="19"/>
      <c r="EP87" s="17"/>
      <c r="EQ87" s="23"/>
      <c r="ER87" s="23" t="str">
        <f t="shared" si="1"/>
        <v/>
      </c>
      <c r="ES87" s="19"/>
      <c r="ET87" s="19" t="str">
        <f t="shared" si="2"/>
        <v/>
      </c>
      <c r="EU87" s="19"/>
      <c r="EV87" s="19"/>
      <c r="EW87" s="19"/>
      <c r="EX87" s="19"/>
      <c r="EY87" s="19"/>
      <c r="EZ87" s="19"/>
      <c r="FA87" s="19"/>
      <c r="FB87" s="19"/>
    </row>
    <row r="88" ht="15.75" customHeight="1">
      <c r="A88" s="19"/>
      <c r="B88" s="4" t="s">
        <v>468</v>
      </c>
      <c r="C88" s="4" t="s">
        <v>469</v>
      </c>
      <c r="D88" s="78">
        <v>46114.0</v>
      </c>
      <c r="E88" s="4" t="s">
        <v>1037</v>
      </c>
      <c r="F88" s="19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23">
        <v>1.09527E7</v>
      </c>
      <c r="AI88" s="4"/>
      <c r="AJ88" s="4"/>
      <c r="AK88" s="4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19"/>
      <c r="CP88" s="19"/>
      <c r="CQ88" s="19"/>
      <c r="CR88" s="19"/>
      <c r="CS88" s="19"/>
      <c r="CT88" s="19"/>
      <c r="CU88" s="19"/>
      <c r="CV88" s="19"/>
      <c r="CW88" s="19"/>
      <c r="CX88" s="19"/>
      <c r="CY88" s="19"/>
      <c r="CZ88" s="19"/>
      <c r="DA88" s="19"/>
      <c r="DB88" s="19"/>
      <c r="DC88" s="19"/>
      <c r="DD88" s="19"/>
      <c r="DE88" s="19"/>
      <c r="DF88" s="19"/>
      <c r="DG88" s="19"/>
      <c r="DH88" s="19"/>
      <c r="DI88" s="19"/>
      <c r="DJ88" s="19"/>
      <c r="DK88" s="19"/>
      <c r="DL88" s="19"/>
      <c r="DM88" s="19"/>
      <c r="DN88" s="19"/>
      <c r="DO88" s="19"/>
      <c r="DP88" s="19"/>
      <c r="DQ88" s="19"/>
      <c r="DR88" s="19"/>
      <c r="DS88" s="19"/>
      <c r="DT88" s="19"/>
      <c r="DU88" s="19"/>
      <c r="DV88" s="19"/>
      <c r="DW88" s="19"/>
      <c r="DX88" s="19"/>
      <c r="DY88" s="19"/>
      <c r="DZ88" s="19"/>
      <c r="EA88" s="19"/>
      <c r="EB88" s="19"/>
      <c r="EC88" s="19"/>
      <c r="ED88" s="19"/>
      <c r="EE88" s="19"/>
      <c r="EF88" s="19"/>
      <c r="EG88" s="19"/>
      <c r="EH88" s="19"/>
      <c r="EI88" s="19"/>
      <c r="EJ88" s="19"/>
      <c r="EK88" s="19"/>
      <c r="EL88" s="19"/>
      <c r="EM88" s="19"/>
      <c r="EN88" s="4" t="s">
        <v>57</v>
      </c>
      <c r="EO88" s="4" t="s">
        <v>48</v>
      </c>
      <c r="EP88" s="17"/>
      <c r="EQ88" s="23"/>
      <c r="ER88" s="23" t="str">
        <f t="shared" si="1"/>
        <v/>
      </c>
      <c r="ES88" s="19"/>
      <c r="ET88" s="19" t="str">
        <f t="shared" si="2"/>
        <v/>
      </c>
      <c r="EU88" s="19"/>
      <c r="EV88" s="19"/>
      <c r="EW88" s="19"/>
      <c r="EX88" s="19"/>
      <c r="EY88" s="19"/>
      <c r="EZ88" s="19"/>
      <c r="FA88" s="19"/>
      <c r="FB88" s="19"/>
    </row>
    <row r="89" ht="15.75" customHeight="1">
      <c r="A89" s="19"/>
      <c r="B89" s="4" t="s">
        <v>468</v>
      </c>
      <c r="C89" s="4" t="s">
        <v>469</v>
      </c>
      <c r="D89" s="78">
        <v>46114.0</v>
      </c>
      <c r="E89" s="4" t="s">
        <v>1038</v>
      </c>
      <c r="F89" s="19"/>
      <c r="AG89" s="4">
        <v>1100000.0</v>
      </c>
      <c r="AH89" s="23">
        <v>1100000.0</v>
      </c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19"/>
      <c r="CP89" s="19"/>
      <c r="CQ89" s="19"/>
      <c r="CR89" s="19"/>
      <c r="CS89" s="19"/>
      <c r="CT89" s="19"/>
      <c r="CU89" s="19"/>
      <c r="CV89" s="19"/>
      <c r="CW89" s="19"/>
      <c r="CX89" s="19"/>
      <c r="CY89" s="19"/>
      <c r="CZ89" s="19"/>
      <c r="DA89" s="19"/>
      <c r="DB89" s="19"/>
      <c r="DC89" s="19"/>
      <c r="DD89" s="19"/>
      <c r="DE89" s="19"/>
      <c r="DF89" s="19"/>
      <c r="DG89" s="19"/>
      <c r="DH89" s="19"/>
      <c r="DI89" s="19"/>
      <c r="DJ89" s="19"/>
      <c r="DK89" s="19"/>
      <c r="DL89" s="19"/>
      <c r="DM89" s="19"/>
      <c r="DN89" s="19"/>
      <c r="DO89" s="19"/>
      <c r="DP89" s="19"/>
      <c r="DQ89" s="19"/>
      <c r="DR89" s="19"/>
      <c r="DS89" s="19"/>
      <c r="DT89" s="19"/>
      <c r="DU89" s="19"/>
      <c r="DV89" s="19"/>
      <c r="DW89" s="19"/>
      <c r="DX89" s="19"/>
      <c r="DY89" s="19"/>
      <c r="DZ89" s="19"/>
      <c r="EA89" s="19"/>
      <c r="EB89" s="19"/>
      <c r="EC89" s="19"/>
      <c r="ED89" s="19"/>
      <c r="EE89" s="19"/>
      <c r="EF89" s="19"/>
      <c r="EG89" s="19"/>
      <c r="EH89" s="19"/>
      <c r="EI89" s="19"/>
      <c r="EJ89" s="19"/>
      <c r="EK89" s="19"/>
      <c r="EL89" s="19"/>
      <c r="EM89" s="4" t="s">
        <v>79</v>
      </c>
      <c r="EN89" s="4" t="s">
        <v>79</v>
      </c>
      <c r="EO89" s="4"/>
      <c r="EP89" s="17"/>
      <c r="EQ89" s="23"/>
      <c r="ER89" s="23" t="str">
        <f t="shared" si="1"/>
        <v/>
      </c>
      <c r="ES89" s="19"/>
      <c r="ET89" s="19" t="str">
        <f t="shared" si="2"/>
        <v/>
      </c>
      <c r="EU89" s="19"/>
      <c r="EV89" s="19"/>
      <c r="EW89" s="19"/>
      <c r="EX89" s="19"/>
      <c r="EY89" s="19"/>
      <c r="EZ89" s="19"/>
      <c r="FA89" s="19"/>
      <c r="FB89" s="19"/>
    </row>
    <row r="90" ht="15.75" customHeight="1">
      <c r="A90" s="19"/>
      <c r="B90" s="4" t="s">
        <v>468</v>
      </c>
      <c r="C90" s="4" t="s">
        <v>469</v>
      </c>
      <c r="D90" s="78">
        <v>46115.0</v>
      </c>
      <c r="E90" s="4" t="s">
        <v>1039</v>
      </c>
      <c r="F90" s="19"/>
      <c r="AH90" s="23">
        <v>1550000.0</v>
      </c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19"/>
      <c r="CP90" s="19"/>
      <c r="CQ90" s="19"/>
      <c r="CR90" s="19"/>
      <c r="CS90" s="19"/>
      <c r="CT90" s="19"/>
      <c r="CU90" s="19"/>
      <c r="CV90" s="19"/>
      <c r="CW90" s="19"/>
      <c r="CX90" s="19"/>
      <c r="CY90" s="19"/>
      <c r="CZ90" s="19"/>
      <c r="DA90" s="19"/>
      <c r="DB90" s="19"/>
      <c r="DC90" s="19"/>
      <c r="DD90" s="19"/>
      <c r="DE90" s="19"/>
      <c r="DF90" s="19"/>
      <c r="DG90" s="19"/>
      <c r="DH90" s="19"/>
      <c r="DI90" s="19"/>
      <c r="DJ90" s="19"/>
      <c r="DK90" s="19"/>
      <c r="DL90" s="19"/>
      <c r="DM90" s="19"/>
      <c r="DN90" s="19"/>
      <c r="DO90" s="19"/>
      <c r="DP90" s="19"/>
      <c r="DQ90" s="19"/>
      <c r="DR90" s="19"/>
      <c r="DS90" s="19"/>
      <c r="DT90" s="19"/>
      <c r="DU90" s="19"/>
      <c r="DV90" s="19"/>
      <c r="DW90" s="19"/>
      <c r="DX90" s="19"/>
      <c r="DY90" s="19"/>
      <c r="DZ90" s="19"/>
      <c r="EA90" s="19"/>
      <c r="EB90" s="19"/>
      <c r="EC90" s="19"/>
      <c r="ED90" s="19"/>
      <c r="EE90" s="19"/>
      <c r="EF90" s="19"/>
      <c r="EG90" s="19"/>
      <c r="EH90" s="19"/>
      <c r="EI90" s="19"/>
      <c r="EJ90" s="19"/>
      <c r="EK90" s="19"/>
      <c r="EL90" s="19"/>
      <c r="EM90" s="19"/>
      <c r="EN90" s="4" t="s">
        <v>79</v>
      </c>
      <c r="EO90" s="4"/>
      <c r="EP90" s="17"/>
      <c r="EQ90" s="23"/>
      <c r="ER90" s="23" t="str">
        <f t="shared" si="1"/>
        <v/>
      </c>
      <c r="ES90" s="19"/>
      <c r="ET90" s="19" t="str">
        <f t="shared" si="2"/>
        <v/>
      </c>
      <c r="EU90" s="19"/>
      <c r="EV90" s="19"/>
      <c r="EW90" s="19"/>
      <c r="EX90" s="19"/>
      <c r="EY90" s="19"/>
      <c r="EZ90" s="19"/>
      <c r="FA90" s="19"/>
      <c r="FB90" s="19"/>
    </row>
    <row r="91" ht="15.75" customHeight="1">
      <c r="A91" s="79" t="s">
        <v>1040</v>
      </c>
      <c r="B91" s="79" t="s">
        <v>475</v>
      </c>
      <c r="C91" s="79" t="s">
        <v>476</v>
      </c>
      <c r="D91" s="80">
        <v>46115.0</v>
      </c>
      <c r="E91" s="79" t="s">
        <v>1041</v>
      </c>
      <c r="F91" s="82"/>
      <c r="G91" s="79" t="s">
        <v>1042</v>
      </c>
      <c r="H91" s="79" t="s">
        <v>1043</v>
      </c>
      <c r="I91" s="79"/>
      <c r="J91" s="79" t="s">
        <v>1044</v>
      </c>
      <c r="K91" s="79">
        <v>2680.0</v>
      </c>
      <c r="L91" s="79"/>
      <c r="M91" s="79" t="s">
        <v>1045</v>
      </c>
      <c r="N91" s="79"/>
      <c r="O91" s="79"/>
      <c r="P91" s="79"/>
      <c r="Q91" s="79"/>
      <c r="R91" s="80">
        <v>46742.0</v>
      </c>
      <c r="S91" s="79"/>
      <c r="T91" s="79">
        <v>39081.0</v>
      </c>
      <c r="U91" s="79"/>
      <c r="V91" s="79"/>
      <c r="W91" s="80">
        <v>46115.0</v>
      </c>
      <c r="X91" s="79"/>
      <c r="Y91" s="80">
        <v>46115.0</v>
      </c>
      <c r="Z91" s="79" t="s">
        <v>524</v>
      </c>
      <c r="AA91" s="79" t="s">
        <v>487</v>
      </c>
      <c r="AB91" s="79" t="s">
        <v>524</v>
      </c>
      <c r="AC91" s="79" t="s">
        <v>488</v>
      </c>
      <c r="AD91" s="79">
        <v>7000.0</v>
      </c>
      <c r="AE91" s="79">
        <v>0.0</v>
      </c>
      <c r="AF91" s="79">
        <v>0.0</v>
      </c>
      <c r="AG91" s="79">
        <v>700.0</v>
      </c>
      <c r="AH91" s="83">
        <v>7700.0</v>
      </c>
      <c r="AI91" s="79"/>
      <c r="AJ91" s="79">
        <v>0.0</v>
      </c>
      <c r="AK91" s="79">
        <v>903.0</v>
      </c>
      <c r="AL91" s="83">
        <v>0.0</v>
      </c>
      <c r="AM91" s="79">
        <v>0.0</v>
      </c>
      <c r="AN91" s="79">
        <v>91.0</v>
      </c>
      <c r="AO91" s="79">
        <v>994.0</v>
      </c>
      <c r="AP91" s="79">
        <v>0.0</v>
      </c>
      <c r="AQ91" s="79">
        <v>6097.0</v>
      </c>
      <c r="AR91" s="79" t="s">
        <v>525</v>
      </c>
      <c r="AS91" s="79">
        <v>0.0</v>
      </c>
      <c r="AT91" s="79" t="s">
        <v>490</v>
      </c>
      <c r="AU91" s="79" t="s">
        <v>491</v>
      </c>
      <c r="AV91" s="79">
        <v>0.0</v>
      </c>
      <c r="AW91" s="79"/>
      <c r="AX91" s="79">
        <v>0.0</v>
      </c>
      <c r="AY91" s="79" t="s">
        <v>492</v>
      </c>
      <c r="AZ91" s="79">
        <v>0.0</v>
      </c>
      <c r="BA91" s="79"/>
      <c r="BB91" s="79">
        <v>0.0</v>
      </c>
      <c r="BC91" s="79"/>
      <c r="BD91" s="79">
        <v>0.0</v>
      </c>
      <c r="BE91" s="82"/>
      <c r="BF91" s="79">
        <v>0.0</v>
      </c>
      <c r="BG91" s="79"/>
      <c r="BH91" s="79">
        <v>0.0</v>
      </c>
      <c r="BI91" s="79" t="s">
        <v>493</v>
      </c>
      <c r="BJ91" s="79">
        <v>0.0</v>
      </c>
      <c r="BK91" s="79" t="s">
        <v>494</v>
      </c>
      <c r="BL91" s="79">
        <v>0.0</v>
      </c>
      <c r="BM91" s="79" t="s">
        <v>495</v>
      </c>
      <c r="BN91" s="79">
        <v>0.0</v>
      </c>
      <c r="BO91" s="79" t="s">
        <v>496</v>
      </c>
      <c r="BP91" s="79">
        <v>0.0</v>
      </c>
      <c r="BQ91" s="79"/>
      <c r="BR91" s="79">
        <v>0.0</v>
      </c>
      <c r="BS91" s="79"/>
      <c r="BT91" s="79">
        <v>0.0</v>
      </c>
      <c r="BU91" s="79"/>
      <c r="BV91" s="79">
        <v>0.0</v>
      </c>
      <c r="BW91" s="79"/>
      <c r="BX91" s="79">
        <v>0.0</v>
      </c>
      <c r="BY91" s="79">
        <v>0.0</v>
      </c>
      <c r="BZ91" s="79" t="s">
        <v>491</v>
      </c>
      <c r="CA91" s="79">
        <v>0.0</v>
      </c>
      <c r="CB91" s="79" t="s">
        <v>490</v>
      </c>
      <c r="CC91" s="79"/>
      <c r="CD91" s="79">
        <v>0.0</v>
      </c>
      <c r="CE91" s="79" t="s">
        <v>492</v>
      </c>
      <c r="CF91" s="79">
        <v>0.0</v>
      </c>
      <c r="CG91" s="79"/>
      <c r="CH91" s="79">
        <v>0.0</v>
      </c>
      <c r="CI91" s="79"/>
      <c r="CJ91" s="79">
        <v>0.0</v>
      </c>
      <c r="CK91" s="79"/>
      <c r="CL91" s="79">
        <v>0.0</v>
      </c>
      <c r="CM91" s="79"/>
      <c r="CN91" s="79">
        <v>0.0</v>
      </c>
      <c r="CO91" s="79" t="s">
        <v>493</v>
      </c>
      <c r="CP91" s="79">
        <v>0.0</v>
      </c>
      <c r="CQ91" s="79" t="s">
        <v>494</v>
      </c>
      <c r="CR91" s="79">
        <v>0.0</v>
      </c>
      <c r="CS91" s="79" t="s">
        <v>495</v>
      </c>
      <c r="CT91" s="79">
        <v>0.0</v>
      </c>
      <c r="CU91" s="79" t="s">
        <v>496</v>
      </c>
      <c r="CV91" s="79">
        <v>0.0</v>
      </c>
      <c r="CW91" s="79"/>
      <c r="CX91" s="79">
        <v>0.0</v>
      </c>
      <c r="CY91" s="79"/>
      <c r="CZ91" s="79">
        <v>0.0</v>
      </c>
      <c r="DA91" s="79"/>
      <c r="DB91" s="79">
        <v>0.0</v>
      </c>
      <c r="DC91" s="79"/>
      <c r="DD91" s="79">
        <v>0.0</v>
      </c>
      <c r="DE91" s="79">
        <v>4000.0</v>
      </c>
      <c r="DF91" s="79">
        <v>3000.0</v>
      </c>
      <c r="DG91" s="79">
        <v>0.0</v>
      </c>
      <c r="DH91" s="79">
        <v>0.0</v>
      </c>
      <c r="DI91" s="79">
        <v>903.0</v>
      </c>
      <c r="DJ91" s="79" t="s">
        <v>320</v>
      </c>
      <c r="DK91" s="79" t="s">
        <v>524</v>
      </c>
      <c r="DL91" s="79" t="s">
        <v>487</v>
      </c>
      <c r="DM91" s="79" t="s">
        <v>1046</v>
      </c>
      <c r="DN91" s="79" t="s">
        <v>1047</v>
      </c>
      <c r="DO91" s="79" t="s">
        <v>1048</v>
      </c>
      <c r="DP91" s="82"/>
      <c r="DQ91" s="79"/>
      <c r="DR91" s="82"/>
      <c r="DS91" s="79"/>
      <c r="DT91" s="82"/>
      <c r="DU91" s="79"/>
      <c r="DV91" s="82"/>
      <c r="DW91" s="79"/>
      <c r="DX91" s="79"/>
      <c r="DY91" s="79"/>
      <c r="DZ91" s="79"/>
      <c r="EA91" s="79"/>
      <c r="EB91" s="79"/>
      <c r="EC91" s="79"/>
      <c r="ED91" s="79"/>
      <c r="EE91" s="79"/>
      <c r="EF91" s="82"/>
      <c r="EG91" s="79"/>
      <c r="EH91" s="82"/>
      <c r="EI91" s="79"/>
      <c r="EJ91" s="82"/>
      <c r="EK91" s="79"/>
      <c r="EL91" s="82"/>
      <c r="EM91" s="79"/>
      <c r="EN91" s="79" t="s">
        <v>57</v>
      </c>
      <c r="EO91" s="79"/>
      <c r="EP91" s="80"/>
      <c r="EQ91" s="83"/>
      <c r="ER91" s="83" t="str">
        <f t="shared" si="1"/>
        <v/>
      </c>
      <c r="ES91" s="82"/>
      <c r="ET91" s="79" t="str">
        <f t="shared" si="2"/>
        <v/>
      </c>
      <c r="EU91" s="79"/>
      <c r="EV91" s="82"/>
      <c r="EW91" s="82"/>
      <c r="EX91" s="82"/>
      <c r="EY91" s="82"/>
      <c r="EZ91" s="19"/>
      <c r="FA91" s="19"/>
      <c r="FB91" s="19"/>
    </row>
    <row r="92" ht="15.75" customHeight="1">
      <c r="A92" s="4" t="s">
        <v>1050</v>
      </c>
      <c r="B92" s="4" t="s">
        <v>475</v>
      </c>
      <c r="C92" s="4" t="s">
        <v>476</v>
      </c>
      <c r="D92" s="78">
        <v>46116.0</v>
      </c>
      <c r="E92" s="4" t="s">
        <v>1051</v>
      </c>
      <c r="F92" s="4" t="s">
        <v>1033</v>
      </c>
      <c r="G92" s="4" t="s">
        <v>1052</v>
      </c>
      <c r="H92" s="4" t="s">
        <v>601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 t="s">
        <v>1053</v>
      </c>
      <c r="W92" s="4"/>
      <c r="X92" s="4"/>
      <c r="Y92" s="4" t="s">
        <v>1054</v>
      </c>
      <c r="Z92" s="4" t="s">
        <v>597</v>
      </c>
      <c r="AA92" s="4"/>
      <c r="AB92" s="4" t="s">
        <v>597</v>
      </c>
      <c r="AC92" s="4"/>
      <c r="AD92" s="4"/>
      <c r="AE92" s="4"/>
      <c r="AF92" s="4"/>
      <c r="AG92" s="4"/>
      <c r="AH92" s="23">
        <v>271480.0</v>
      </c>
      <c r="AI92" s="4"/>
      <c r="AJ92" s="4"/>
      <c r="AK92" s="4"/>
      <c r="AL92" s="19"/>
      <c r="AM92" s="19"/>
      <c r="AN92" s="19"/>
      <c r="AO92" s="19"/>
      <c r="AP92" s="19"/>
      <c r="AQ92" s="4">
        <v>110510.0</v>
      </c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19"/>
      <c r="CI92" s="19"/>
      <c r="CJ92" s="19"/>
      <c r="CK92" s="19"/>
      <c r="CL92" s="19"/>
      <c r="CM92" s="19"/>
      <c r="CN92" s="19"/>
      <c r="CO92" s="19"/>
      <c r="CP92" s="19"/>
      <c r="CQ92" s="19"/>
      <c r="CR92" s="19"/>
      <c r="CS92" s="19"/>
      <c r="CT92" s="19"/>
      <c r="CU92" s="19"/>
      <c r="CV92" s="19"/>
      <c r="CW92" s="19"/>
      <c r="CX92" s="19"/>
      <c r="CY92" s="19"/>
      <c r="CZ92" s="19"/>
      <c r="DA92" s="19"/>
      <c r="DB92" s="19"/>
      <c r="DC92" s="19"/>
      <c r="DD92" s="19"/>
      <c r="DE92" s="19"/>
      <c r="DF92" s="19"/>
      <c r="DG92" s="19"/>
      <c r="DH92" s="19"/>
      <c r="DI92" s="19"/>
      <c r="DJ92" s="19"/>
      <c r="DK92" s="19"/>
      <c r="DL92" s="19"/>
      <c r="DM92" s="19"/>
      <c r="DN92" s="19"/>
      <c r="DO92" s="19"/>
      <c r="DP92" s="19"/>
      <c r="DQ92" s="19"/>
      <c r="DR92" s="19"/>
      <c r="DS92" s="19"/>
      <c r="DT92" s="19"/>
      <c r="DU92" s="19"/>
      <c r="DV92" s="19"/>
      <c r="DW92" s="19"/>
      <c r="DX92" s="19"/>
      <c r="DY92" s="19"/>
      <c r="DZ92" s="19"/>
      <c r="EA92" s="19"/>
      <c r="EB92" s="19"/>
      <c r="EC92" s="19"/>
      <c r="ED92" s="19"/>
      <c r="EE92" s="19"/>
      <c r="EF92" s="19"/>
      <c r="EG92" s="19"/>
      <c r="EH92" s="19"/>
      <c r="EI92" s="19"/>
      <c r="EJ92" s="19"/>
      <c r="EK92" s="19"/>
      <c r="EL92" s="19"/>
      <c r="EM92" s="19"/>
      <c r="EN92" s="4" t="s">
        <v>57</v>
      </c>
      <c r="EO92" s="19"/>
      <c r="EP92" s="17"/>
      <c r="EQ92" s="23"/>
      <c r="ER92" s="23" t="str">
        <f t="shared" si="1"/>
        <v/>
      </c>
      <c r="ES92" s="19"/>
      <c r="ET92" s="19" t="str">
        <f t="shared" si="2"/>
        <v/>
      </c>
      <c r="EU92" s="19"/>
      <c r="EV92" s="19"/>
      <c r="EW92" s="19"/>
      <c r="EX92" s="19"/>
      <c r="EY92" s="19"/>
      <c r="EZ92" s="19"/>
      <c r="FA92" s="19"/>
      <c r="FB92" s="19"/>
    </row>
    <row r="93" ht="15.75" customHeight="1">
      <c r="A93" s="79" t="s">
        <v>1055</v>
      </c>
      <c r="B93" s="79" t="s">
        <v>475</v>
      </c>
      <c r="C93" s="79" t="s">
        <v>476</v>
      </c>
      <c r="D93" s="80">
        <v>46118.0</v>
      </c>
      <c r="E93" s="79" t="s">
        <v>1056</v>
      </c>
      <c r="F93" s="79" t="s">
        <v>568</v>
      </c>
      <c r="G93" s="79" t="s">
        <v>1057</v>
      </c>
      <c r="H93" s="79" t="s">
        <v>895</v>
      </c>
      <c r="I93" s="79"/>
      <c r="J93" s="79" t="s">
        <v>1058</v>
      </c>
      <c r="K93" s="79">
        <v>0.0</v>
      </c>
      <c r="L93" s="79"/>
      <c r="M93" s="79" t="s">
        <v>1059</v>
      </c>
      <c r="N93" s="79"/>
      <c r="O93" s="79"/>
      <c r="P93" s="79"/>
      <c r="Q93" s="79"/>
      <c r="R93" s="80"/>
      <c r="S93" s="79"/>
      <c r="T93" s="79">
        <v>21915.0</v>
      </c>
      <c r="U93" s="79"/>
      <c r="V93" s="79"/>
      <c r="W93" s="80">
        <v>46118.0</v>
      </c>
      <c r="X93" s="79"/>
      <c r="Y93" s="80">
        <v>46118.0</v>
      </c>
      <c r="Z93" s="79" t="s">
        <v>486</v>
      </c>
      <c r="AA93" s="79" t="s">
        <v>627</v>
      </c>
      <c r="AB93" s="79" t="s">
        <v>486</v>
      </c>
      <c r="AC93" s="79" t="s">
        <v>488</v>
      </c>
      <c r="AD93" s="79">
        <v>6250.0</v>
      </c>
      <c r="AE93" s="79">
        <v>0.0</v>
      </c>
      <c r="AF93" s="79">
        <v>0.0</v>
      </c>
      <c r="AG93" s="79">
        <v>625.0</v>
      </c>
      <c r="AH93" s="83">
        <v>6875.0</v>
      </c>
      <c r="AI93" s="79"/>
      <c r="AJ93" s="79">
        <v>0.0</v>
      </c>
      <c r="AK93" s="79">
        <v>3250.0</v>
      </c>
      <c r="AL93" s="83">
        <v>0.0</v>
      </c>
      <c r="AM93" s="79">
        <v>0.0</v>
      </c>
      <c r="AN93" s="79">
        <v>325.0</v>
      </c>
      <c r="AO93" s="79">
        <v>3575.0</v>
      </c>
      <c r="AP93" s="79">
        <v>0.0</v>
      </c>
      <c r="AQ93" s="79">
        <v>3000.0</v>
      </c>
      <c r="AR93" s="79" t="s">
        <v>489</v>
      </c>
      <c r="AS93" s="79">
        <v>0.0</v>
      </c>
      <c r="AT93" s="79" t="s">
        <v>507</v>
      </c>
      <c r="AU93" s="79" t="s">
        <v>491</v>
      </c>
      <c r="AV93" s="79">
        <v>0.0</v>
      </c>
      <c r="AW93" s="79" t="s">
        <v>508</v>
      </c>
      <c r="AX93" s="79">
        <v>0.0</v>
      </c>
      <c r="AY93" s="79"/>
      <c r="AZ93" s="79">
        <v>0.0</v>
      </c>
      <c r="BA93" s="79"/>
      <c r="BB93" s="79">
        <v>0.0</v>
      </c>
      <c r="BC93" s="79"/>
      <c r="BD93" s="79">
        <v>0.0</v>
      </c>
      <c r="BE93" s="82"/>
      <c r="BF93" s="79">
        <v>0.0</v>
      </c>
      <c r="BG93" s="79"/>
      <c r="BH93" s="79">
        <v>0.0</v>
      </c>
      <c r="BI93" s="79" t="s">
        <v>493</v>
      </c>
      <c r="BJ93" s="79">
        <v>0.0</v>
      </c>
      <c r="BK93" s="79" t="s">
        <v>494</v>
      </c>
      <c r="BL93" s="79">
        <v>0.0</v>
      </c>
      <c r="BM93" s="79" t="s">
        <v>495</v>
      </c>
      <c r="BN93" s="79">
        <v>0.0</v>
      </c>
      <c r="BO93" s="79" t="s">
        <v>496</v>
      </c>
      <c r="BP93" s="79">
        <v>0.0</v>
      </c>
      <c r="BQ93" s="79"/>
      <c r="BR93" s="79">
        <v>0.0</v>
      </c>
      <c r="BS93" s="79"/>
      <c r="BT93" s="79">
        <v>0.0</v>
      </c>
      <c r="BU93" s="79"/>
      <c r="BV93" s="79">
        <v>0.0</v>
      </c>
      <c r="BW93" s="79"/>
      <c r="BX93" s="79">
        <v>0.0</v>
      </c>
      <c r="BY93" s="79">
        <v>0.0</v>
      </c>
      <c r="BZ93" s="79" t="s">
        <v>491</v>
      </c>
      <c r="CA93" s="79">
        <v>0.0</v>
      </c>
      <c r="CB93" s="79" t="s">
        <v>507</v>
      </c>
      <c r="CC93" s="79" t="s">
        <v>508</v>
      </c>
      <c r="CD93" s="79">
        <v>0.0</v>
      </c>
      <c r="CE93" s="79"/>
      <c r="CF93" s="79">
        <v>0.0</v>
      </c>
      <c r="CG93" s="79"/>
      <c r="CH93" s="79">
        <v>0.0</v>
      </c>
      <c r="CI93" s="79"/>
      <c r="CJ93" s="79">
        <v>0.0</v>
      </c>
      <c r="CK93" s="79"/>
      <c r="CL93" s="79">
        <v>0.0</v>
      </c>
      <c r="CM93" s="79"/>
      <c r="CN93" s="79">
        <v>0.0</v>
      </c>
      <c r="CO93" s="79" t="s">
        <v>493</v>
      </c>
      <c r="CP93" s="79">
        <v>0.0</v>
      </c>
      <c r="CQ93" s="79" t="s">
        <v>494</v>
      </c>
      <c r="CR93" s="79">
        <v>0.0</v>
      </c>
      <c r="CS93" s="79" t="s">
        <v>495</v>
      </c>
      <c r="CT93" s="79">
        <v>0.0</v>
      </c>
      <c r="CU93" s="79" t="s">
        <v>496</v>
      </c>
      <c r="CV93" s="79">
        <v>0.0</v>
      </c>
      <c r="CW93" s="79"/>
      <c r="CX93" s="79">
        <v>0.0</v>
      </c>
      <c r="CY93" s="79"/>
      <c r="CZ93" s="79">
        <v>0.0</v>
      </c>
      <c r="DA93" s="79"/>
      <c r="DB93" s="79">
        <v>0.0</v>
      </c>
      <c r="DC93" s="79"/>
      <c r="DD93" s="79">
        <v>0.0</v>
      </c>
      <c r="DE93" s="79">
        <v>0.0</v>
      </c>
      <c r="DF93" s="79">
        <v>6250.0</v>
      </c>
      <c r="DG93" s="79">
        <v>0.0</v>
      </c>
      <c r="DH93" s="79">
        <v>0.0</v>
      </c>
      <c r="DI93" s="79">
        <v>3250.0</v>
      </c>
      <c r="DJ93" s="79" t="s">
        <v>1060</v>
      </c>
      <c r="DK93" s="79" t="s">
        <v>486</v>
      </c>
      <c r="DL93" s="79" t="s">
        <v>627</v>
      </c>
      <c r="DM93" s="79" t="s">
        <v>1061</v>
      </c>
      <c r="DN93" s="82"/>
      <c r="DO93" s="79"/>
      <c r="DP93" s="82"/>
      <c r="DQ93" s="79"/>
      <c r="DR93" s="82"/>
      <c r="DS93" s="79"/>
      <c r="DT93" s="82"/>
      <c r="DU93" s="79"/>
      <c r="DV93" s="82"/>
      <c r="DW93" s="79"/>
      <c r="DX93" s="79"/>
      <c r="DY93" s="79"/>
      <c r="DZ93" s="79"/>
      <c r="EA93" s="79"/>
      <c r="EB93" s="79"/>
      <c r="EC93" s="79"/>
      <c r="ED93" s="79"/>
      <c r="EE93" s="79"/>
      <c r="EF93" s="82"/>
      <c r="EG93" s="79"/>
      <c r="EH93" s="82"/>
      <c r="EI93" s="79"/>
      <c r="EJ93" s="82"/>
      <c r="EK93" s="79"/>
      <c r="EL93" s="82"/>
      <c r="EM93" s="79"/>
      <c r="EN93" s="79" t="s">
        <v>79</v>
      </c>
      <c r="EO93" s="79"/>
      <c r="EP93" s="80"/>
      <c r="EQ93" s="83"/>
      <c r="ER93" s="83" t="str">
        <f t="shared" si="1"/>
        <v/>
      </c>
      <c r="ES93" s="79"/>
      <c r="ET93" s="79" t="str">
        <f t="shared" si="2"/>
        <v/>
      </c>
      <c r="EU93" s="79"/>
      <c r="EV93" s="82"/>
      <c r="EW93" s="82"/>
      <c r="EX93" s="82"/>
      <c r="EY93" s="82"/>
      <c r="EZ93" s="19"/>
      <c r="FA93" s="19"/>
      <c r="FB93" s="19"/>
    </row>
    <row r="94" ht="15.75" customHeight="1">
      <c r="A94" s="4" t="s">
        <v>1062</v>
      </c>
      <c r="B94" s="4" t="s">
        <v>778</v>
      </c>
      <c r="C94" s="4" t="s">
        <v>476</v>
      </c>
      <c r="D94" s="78">
        <v>46118.0</v>
      </c>
      <c r="E94" s="4" t="s">
        <v>1063</v>
      </c>
      <c r="F94" s="4" t="s">
        <v>1030</v>
      </c>
      <c r="G94" s="4" t="s">
        <v>902</v>
      </c>
      <c r="H94" s="4" t="s">
        <v>1064</v>
      </c>
      <c r="V94" s="4" t="s">
        <v>968</v>
      </c>
      <c r="Y94" s="4" t="s">
        <v>1065</v>
      </c>
      <c r="Z94" s="4" t="s">
        <v>597</v>
      </c>
      <c r="AB94" s="4" t="s">
        <v>597</v>
      </c>
      <c r="AH94" s="23">
        <v>10340.0</v>
      </c>
      <c r="AL94" s="19"/>
      <c r="AM94" s="19"/>
      <c r="AN94" s="19"/>
      <c r="AO94" s="19"/>
      <c r="AP94" s="19"/>
      <c r="AQ94" s="4">
        <v>3866.0</v>
      </c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  <c r="CL94" s="19"/>
      <c r="CM94" s="19"/>
      <c r="CN94" s="19"/>
      <c r="CO94" s="19"/>
      <c r="CP94" s="19"/>
      <c r="CQ94" s="19"/>
      <c r="CR94" s="19"/>
      <c r="CS94" s="19"/>
      <c r="CT94" s="19"/>
      <c r="CU94" s="19"/>
      <c r="CV94" s="19"/>
      <c r="CW94" s="19"/>
      <c r="CX94" s="19"/>
      <c r="CY94" s="19"/>
      <c r="CZ94" s="19"/>
      <c r="DA94" s="19"/>
      <c r="DB94" s="19"/>
      <c r="DC94" s="19"/>
      <c r="DD94" s="19"/>
      <c r="DE94" s="19"/>
      <c r="DF94" s="19"/>
      <c r="DG94" s="19"/>
      <c r="DH94" s="19"/>
      <c r="DI94" s="19"/>
      <c r="DJ94" s="19"/>
      <c r="DK94" s="19"/>
      <c r="DL94" s="19"/>
      <c r="DM94" s="19"/>
      <c r="DN94" s="19"/>
      <c r="DO94" s="19"/>
      <c r="DP94" s="19"/>
      <c r="DQ94" s="19"/>
      <c r="DR94" s="19"/>
      <c r="DS94" s="19"/>
      <c r="DT94" s="19"/>
      <c r="DU94" s="19"/>
      <c r="DV94" s="19"/>
      <c r="DW94" s="19"/>
      <c r="DX94" s="19"/>
      <c r="DY94" s="19"/>
      <c r="DZ94" s="19"/>
      <c r="EA94" s="19"/>
      <c r="EB94" s="19"/>
      <c r="EC94" s="19"/>
      <c r="ED94" s="19"/>
      <c r="EE94" s="19"/>
      <c r="EF94" s="19"/>
      <c r="EG94" s="19"/>
      <c r="EH94" s="19"/>
      <c r="EI94" s="19"/>
      <c r="EJ94" s="19"/>
      <c r="EK94" s="19"/>
      <c r="EL94" s="19"/>
      <c r="EM94" s="19"/>
      <c r="EN94" s="4" t="s">
        <v>79</v>
      </c>
      <c r="EO94" s="19"/>
      <c r="EP94" s="17"/>
      <c r="EQ94" s="23"/>
      <c r="ER94" s="23" t="str">
        <f t="shared" si="1"/>
        <v/>
      </c>
      <c r="ES94" s="19"/>
      <c r="ET94" s="19" t="str">
        <f t="shared" si="2"/>
        <v/>
      </c>
      <c r="EU94" s="19"/>
      <c r="EV94" s="19"/>
      <c r="EW94" s="19"/>
      <c r="EX94" s="19"/>
      <c r="EY94" s="19"/>
      <c r="EZ94" s="19"/>
      <c r="FA94" s="19"/>
      <c r="FB94" s="19"/>
    </row>
    <row r="95" ht="15.75" customHeight="1">
      <c r="A95" s="4" t="s">
        <v>1066</v>
      </c>
      <c r="B95" s="4" t="s">
        <v>605</v>
      </c>
      <c r="C95" s="4" t="s">
        <v>476</v>
      </c>
      <c r="D95" s="78">
        <v>46118.0</v>
      </c>
      <c r="E95" s="4" t="s">
        <v>1063</v>
      </c>
      <c r="F95" s="4" t="s">
        <v>1030</v>
      </c>
      <c r="G95" s="4" t="s">
        <v>902</v>
      </c>
      <c r="H95" s="4" t="s">
        <v>1064</v>
      </c>
      <c r="V95" s="4" t="s">
        <v>968</v>
      </c>
      <c r="Y95" s="4" t="s">
        <v>1065</v>
      </c>
      <c r="Z95" s="4" t="s">
        <v>597</v>
      </c>
      <c r="AB95" s="4" t="s">
        <v>597</v>
      </c>
      <c r="AH95" s="23">
        <v>122386.0</v>
      </c>
      <c r="AL95" s="19"/>
      <c r="AM95" s="19"/>
      <c r="AN95" s="19"/>
      <c r="AO95" s="19"/>
      <c r="AP95" s="19"/>
      <c r="AQ95" s="4">
        <v>81224.0</v>
      </c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  <c r="CL95" s="19"/>
      <c r="CM95" s="19"/>
      <c r="CN95" s="19"/>
      <c r="CO95" s="19"/>
      <c r="CP95" s="19"/>
      <c r="CQ95" s="19"/>
      <c r="CR95" s="19"/>
      <c r="CS95" s="19"/>
      <c r="CT95" s="19"/>
      <c r="CU95" s="19"/>
      <c r="CV95" s="19"/>
      <c r="CW95" s="19"/>
      <c r="CX95" s="19"/>
      <c r="CY95" s="19"/>
      <c r="CZ95" s="19"/>
      <c r="DA95" s="19"/>
      <c r="DB95" s="19"/>
      <c r="DC95" s="19"/>
      <c r="DD95" s="19"/>
      <c r="DE95" s="19"/>
      <c r="DF95" s="19"/>
      <c r="DG95" s="19"/>
      <c r="DH95" s="19"/>
      <c r="DI95" s="19"/>
      <c r="DJ95" s="19"/>
      <c r="DK95" s="19"/>
      <c r="DL95" s="19"/>
      <c r="DM95" s="19"/>
      <c r="DN95" s="19"/>
      <c r="DO95" s="19"/>
      <c r="DP95" s="19"/>
      <c r="DQ95" s="19"/>
      <c r="DR95" s="19"/>
      <c r="DS95" s="19"/>
      <c r="DT95" s="19"/>
      <c r="DU95" s="19"/>
      <c r="DV95" s="19"/>
      <c r="DW95" s="19"/>
      <c r="DX95" s="19"/>
      <c r="DY95" s="19"/>
      <c r="DZ95" s="19"/>
      <c r="EA95" s="19"/>
      <c r="EB95" s="19"/>
      <c r="EC95" s="19"/>
      <c r="ED95" s="19"/>
      <c r="EE95" s="19"/>
      <c r="EF95" s="19"/>
      <c r="EG95" s="19"/>
      <c r="EH95" s="19"/>
      <c r="EI95" s="19"/>
      <c r="EJ95" s="19"/>
      <c r="EK95" s="19"/>
      <c r="EL95" s="19"/>
      <c r="EM95" s="19"/>
      <c r="EN95" s="4" t="s">
        <v>79</v>
      </c>
      <c r="EO95" s="19"/>
      <c r="EP95" s="17"/>
      <c r="EQ95" s="23"/>
      <c r="ER95" s="23" t="str">
        <f t="shared" si="1"/>
        <v/>
      </c>
      <c r="ES95" s="19"/>
      <c r="ET95" s="19" t="str">
        <f t="shared" si="2"/>
        <v/>
      </c>
      <c r="EU95" s="19"/>
      <c r="EV95" s="19"/>
      <c r="EW95" s="19"/>
      <c r="EX95" s="19"/>
      <c r="EY95" s="19"/>
      <c r="EZ95" s="19"/>
      <c r="FA95" s="19"/>
      <c r="FB95" s="19"/>
    </row>
    <row r="96" ht="15.75" customHeight="1">
      <c r="A96" s="4" t="s">
        <v>1067</v>
      </c>
      <c r="B96" s="4" t="s">
        <v>605</v>
      </c>
      <c r="C96" s="4" t="s">
        <v>476</v>
      </c>
      <c r="D96" s="78">
        <v>46118.0</v>
      </c>
      <c r="E96" s="4" t="s">
        <v>1063</v>
      </c>
      <c r="F96" s="4" t="s">
        <v>1030</v>
      </c>
      <c r="G96" s="4" t="s">
        <v>902</v>
      </c>
      <c r="H96" s="4" t="s">
        <v>1064</v>
      </c>
      <c r="V96" s="4" t="s">
        <v>968</v>
      </c>
      <c r="Y96" s="4" t="s">
        <v>1065</v>
      </c>
      <c r="Z96" s="4" t="s">
        <v>597</v>
      </c>
      <c r="AB96" s="4" t="s">
        <v>597</v>
      </c>
      <c r="AH96" s="23">
        <v>616.0</v>
      </c>
      <c r="AL96" s="19"/>
      <c r="AM96" s="19"/>
      <c r="AN96" s="19"/>
      <c r="AO96" s="19"/>
      <c r="AP96" s="19"/>
      <c r="AQ96" s="4">
        <v>560.0</v>
      </c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  <c r="CL96" s="19"/>
      <c r="CM96" s="19"/>
      <c r="CN96" s="19"/>
      <c r="CO96" s="19"/>
      <c r="CP96" s="19"/>
      <c r="CQ96" s="19"/>
      <c r="CR96" s="19"/>
      <c r="CS96" s="19"/>
      <c r="CT96" s="19"/>
      <c r="CU96" s="19"/>
      <c r="CV96" s="19"/>
      <c r="CW96" s="19"/>
      <c r="CX96" s="19"/>
      <c r="CY96" s="19"/>
      <c r="CZ96" s="19"/>
      <c r="DA96" s="19"/>
      <c r="DB96" s="19"/>
      <c r="DC96" s="19"/>
      <c r="DD96" s="19"/>
      <c r="DE96" s="19"/>
      <c r="DF96" s="19"/>
      <c r="DG96" s="19"/>
      <c r="DH96" s="19"/>
      <c r="DI96" s="19"/>
      <c r="DJ96" s="19"/>
      <c r="DK96" s="19"/>
      <c r="DL96" s="19"/>
      <c r="DM96" s="19"/>
      <c r="DN96" s="19"/>
      <c r="DO96" s="19"/>
      <c r="DP96" s="19"/>
      <c r="DQ96" s="19"/>
      <c r="DR96" s="19"/>
      <c r="DS96" s="19"/>
      <c r="DT96" s="19"/>
      <c r="DU96" s="19"/>
      <c r="DV96" s="19"/>
      <c r="DW96" s="19"/>
      <c r="DX96" s="19"/>
      <c r="DY96" s="19"/>
      <c r="DZ96" s="19"/>
      <c r="EA96" s="19"/>
      <c r="EB96" s="19"/>
      <c r="EC96" s="19"/>
      <c r="ED96" s="19"/>
      <c r="EE96" s="19"/>
      <c r="EF96" s="19"/>
      <c r="EG96" s="19"/>
      <c r="EH96" s="19"/>
      <c r="EI96" s="19"/>
      <c r="EJ96" s="19"/>
      <c r="EK96" s="19"/>
      <c r="EL96" s="19"/>
      <c r="EM96" s="19"/>
      <c r="EN96" s="4" t="s">
        <v>79</v>
      </c>
      <c r="EO96" s="19"/>
      <c r="EP96" s="17"/>
      <c r="EQ96" s="23"/>
      <c r="ER96" s="23" t="str">
        <f t="shared" si="1"/>
        <v/>
      </c>
      <c r="ES96" s="19"/>
      <c r="ET96" s="19" t="str">
        <f t="shared" si="2"/>
        <v/>
      </c>
      <c r="EU96" s="19"/>
      <c r="EV96" s="19"/>
      <c r="EW96" s="19"/>
      <c r="EX96" s="19"/>
      <c r="EY96" s="19"/>
      <c r="EZ96" s="19"/>
      <c r="FA96" s="19"/>
      <c r="FB96" s="19"/>
    </row>
    <row r="97" ht="15.75" customHeight="1">
      <c r="A97" s="4" t="s">
        <v>1068</v>
      </c>
      <c r="B97" s="4" t="s">
        <v>778</v>
      </c>
      <c r="C97" s="4" t="s">
        <v>476</v>
      </c>
      <c r="D97" s="78">
        <v>46118.0</v>
      </c>
      <c r="E97" s="4" t="s">
        <v>1069</v>
      </c>
      <c r="F97" s="4" t="s">
        <v>1030</v>
      </c>
      <c r="G97" s="4" t="s">
        <v>879</v>
      </c>
      <c r="H97" s="4" t="s">
        <v>1064</v>
      </c>
      <c r="V97" s="4" t="s">
        <v>1070</v>
      </c>
      <c r="Y97" s="4" t="s">
        <v>1070</v>
      </c>
      <c r="Z97" s="4" t="s">
        <v>597</v>
      </c>
      <c r="AB97" s="4" t="s">
        <v>597</v>
      </c>
      <c r="AH97" s="23">
        <v>0.0</v>
      </c>
      <c r="AL97" s="19"/>
      <c r="AM97" s="19"/>
      <c r="AN97" s="19"/>
      <c r="AO97" s="19"/>
      <c r="AP97" s="19"/>
      <c r="AQ97" s="4">
        <v>0.0</v>
      </c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  <c r="CL97" s="19"/>
      <c r="CM97" s="19"/>
      <c r="CN97" s="19"/>
      <c r="CO97" s="19"/>
      <c r="CP97" s="19"/>
      <c r="CQ97" s="19"/>
      <c r="CR97" s="19"/>
      <c r="CS97" s="19"/>
      <c r="CT97" s="19"/>
      <c r="CU97" s="19"/>
      <c r="CV97" s="19"/>
      <c r="CW97" s="19"/>
      <c r="CX97" s="19"/>
      <c r="CY97" s="19"/>
      <c r="CZ97" s="19"/>
      <c r="DA97" s="19"/>
      <c r="DB97" s="19"/>
      <c r="DC97" s="19"/>
      <c r="DD97" s="19"/>
      <c r="DE97" s="19"/>
      <c r="DF97" s="19"/>
      <c r="DG97" s="19"/>
      <c r="DH97" s="19"/>
      <c r="DI97" s="19"/>
      <c r="DJ97" s="19"/>
      <c r="DK97" s="19"/>
      <c r="DL97" s="19"/>
      <c r="DM97" s="19"/>
      <c r="DN97" s="19"/>
      <c r="DO97" s="19"/>
      <c r="DP97" s="19"/>
      <c r="DQ97" s="19"/>
      <c r="DR97" s="19"/>
      <c r="DS97" s="19"/>
      <c r="DT97" s="19"/>
      <c r="DU97" s="19"/>
      <c r="DV97" s="19"/>
      <c r="DW97" s="19"/>
      <c r="DX97" s="19"/>
      <c r="DY97" s="19"/>
      <c r="DZ97" s="19"/>
      <c r="EA97" s="19"/>
      <c r="EB97" s="19"/>
      <c r="EC97" s="19"/>
      <c r="ED97" s="19"/>
      <c r="EE97" s="19"/>
      <c r="EF97" s="19"/>
      <c r="EG97" s="19"/>
      <c r="EH97" s="19"/>
      <c r="EI97" s="19"/>
      <c r="EJ97" s="19"/>
      <c r="EK97" s="19"/>
      <c r="EL97" s="19"/>
      <c r="EM97" s="19"/>
      <c r="EN97" s="4" t="s">
        <v>79</v>
      </c>
      <c r="EO97" s="19"/>
      <c r="EP97" s="17"/>
      <c r="EQ97" s="23"/>
      <c r="ER97" s="23" t="str">
        <f t="shared" si="1"/>
        <v/>
      </c>
      <c r="ES97" s="19"/>
      <c r="ET97" s="19" t="str">
        <f t="shared" si="2"/>
        <v/>
      </c>
      <c r="EU97" s="19"/>
      <c r="EV97" s="19"/>
      <c r="EW97" s="19"/>
      <c r="EX97" s="19"/>
      <c r="EY97" s="19"/>
      <c r="EZ97" s="19"/>
      <c r="FA97" s="19"/>
      <c r="FB97" s="19"/>
    </row>
    <row r="98" ht="15.75" customHeight="1">
      <c r="A98" s="79" t="s">
        <v>1071</v>
      </c>
      <c r="B98" s="79" t="s">
        <v>591</v>
      </c>
      <c r="C98" s="79" t="s">
        <v>476</v>
      </c>
      <c r="D98" s="80">
        <v>46121.0</v>
      </c>
      <c r="E98" s="79" t="s">
        <v>1072</v>
      </c>
      <c r="F98" s="82"/>
      <c r="G98" s="79" t="s">
        <v>1073</v>
      </c>
      <c r="H98" s="79" t="s">
        <v>1074</v>
      </c>
      <c r="I98" s="79" t="s">
        <v>1075</v>
      </c>
      <c r="J98" s="79" t="s">
        <v>1076</v>
      </c>
      <c r="K98" s="79">
        <v>1200.0</v>
      </c>
      <c r="L98" s="79" t="s">
        <v>821</v>
      </c>
      <c r="M98" s="79" t="s">
        <v>1077</v>
      </c>
      <c r="N98" s="79" t="s">
        <v>572</v>
      </c>
      <c r="O98" s="79" t="s">
        <v>1078</v>
      </c>
      <c r="P98" s="79"/>
      <c r="Q98" s="79" t="s">
        <v>1079</v>
      </c>
      <c r="R98" s="80">
        <v>46853.0</v>
      </c>
      <c r="S98" s="79"/>
      <c r="T98" s="79">
        <v>20171.0</v>
      </c>
      <c r="U98" s="79"/>
      <c r="V98" s="79"/>
      <c r="W98" s="80">
        <v>46115.0</v>
      </c>
      <c r="X98" s="79"/>
      <c r="Y98" s="80">
        <v>46121.0</v>
      </c>
      <c r="Z98" s="79" t="s">
        <v>524</v>
      </c>
      <c r="AA98" s="79" t="s">
        <v>487</v>
      </c>
      <c r="AB98" s="79" t="s">
        <v>557</v>
      </c>
      <c r="AC98" s="79" t="s">
        <v>488</v>
      </c>
      <c r="AD98" s="79">
        <v>90464.0</v>
      </c>
      <c r="AE98" s="79">
        <v>1227.0</v>
      </c>
      <c r="AF98" s="79">
        <v>36550.0</v>
      </c>
      <c r="AG98" s="79">
        <v>9169.0</v>
      </c>
      <c r="AH98" s="83">
        <v>137410.0</v>
      </c>
      <c r="AI98" s="79"/>
      <c r="AJ98" s="79">
        <v>0.0</v>
      </c>
      <c r="AK98" s="79">
        <v>77807.0</v>
      </c>
      <c r="AL98" s="83">
        <v>800.0</v>
      </c>
      <c r="AM98" s="79">
        <v>36550.0</v>
      </c>
      <c r="AN98" s="79">
        <v>7861.0</v>
      </c>
      <c r="AO98" s="79">
        <v>123018.0</v>
      </c>
      <c r="AP98" s="79">
        <v>0.0</v>
      </c>
      <c r="AQ98" s="79">
        <v>13084.0</v>
      </c>
      <c r="AR98" s="79" t="s">
        <v>525</v>
      </c>
      <c r="AS98" s="79">
        <v>0.0</v>
      </c>
      <c r="AT98" s="79" t="s">
        <v>836</v>
      </c>
      <c r="AU98" s="79" t="s">
        <v>491</v>
      </c>
      <c r="AV98" s="79">
        <v>1227.0</v>
      </c>
      <c r="AW98" s="79" t="s">
        <v>492</v>
      </c>
      <c r="AX98" s="79">
        <v>0.0</v>
      </c>
      <c r="AY98" s="82"/>
      <c r="AZ98" s="79">
        <v>0.0</v>
      </c>
      <c r="BA98" s="82"/>
      <c r="BB98" s="79">
        <v>0.0</v>
      </c>
      <c r="BC98" s="82"/>
      <c r="BD98" s="79">
        <v>0.0</v>
      </c>
      <c r="BE98" s="82"/>
      <c r="BF98" s="79">
        <v>0.0</v>
      </c>
      <c r="BG98" s="79"/>
      <c r="BH98" s="79">
        <v>0.0</v>
      </c>
      <c r="BI98" s="79" t="s">
        <v>493</v>
      </c>
      <c r="BJ98" s="79">
        <v>17650.0</v>
      </c>
      <c r="BK98" s="79" t="s">
        <v>494</v>
      </c>
      <c r="BL98" s="79">
        <v>16400.0</v>
      </c>
      <c r="BM98" s="79" t="s">
        <v>495</v>
      </c>
      <c r="BN98" s="79">
        <v>2500.0</v>
      </c>
      <c r="BO98" s="79" t="s">
        <v>496</v>
      </c>
      <c r="BP98" s="79">
        <v>0.0</v>
      </c>
      <c r="BQ98" s="79"/>
      <c r="BR98" s="79">
        <v>0.0</v>
      </c>
      <c r="BS98" s="79"/>
      <c r="BT98" s="79">
        <v>0.0</v>
      </c>
      <c r="BU98" s="79"/>
      <c r="BV98" s="79">
        <v>0.0</v>
      </c>
      <c r="BW98" s="79"/>
      <c r="BX98" s="79">
        <v>0.0</v>
      </c>
      <c r="BY98" s="79">
        <v>0.0</v>
      </c>
      <c r="BZ98" s="79" t="s">
        <v>491</v>
      </c>
      <c r="CA98" s="79">
        <v>800.0</v>
      </c>
      <c r="CB98" s="79" t="s">
        <v>836</v>
      </c>
      <c r="CC98" s="79" t="s">
        <v>492</v>
      </c>
      <c r="CD98" s="79">
        <v>0.0</v>
      </c>
      <c r="CE98" s="79"/>
      <c r="CF98" s="79">
        <v>0.0</v>
      </c>
      <c r="CG98" s="79"/>
      <c r="CH98" s="79">
        <v>0.0</v>
      </c>
      <c r="CI98" s="79"/>
      <c r="CJ98" s="79">
        <v>0.0</v>
      </c>
      <c r="CK98" s="79"/>
      <c r="CL98" s="79">
        <v>0.0</v>
      </c>
      <c r="CM98" s="79"/>
      <c r="CN98" s="79">
        <v>0.0</v>
      </c>
      <c r="CO98" s="79" t="s">
        <v>493</v>
      </c>
      <c r="CP98" s="79">
        <v>17650.0</v>
      </c>
      <c r="CQ98" s="79" t="s">
        <v>494</v>
      </c>
      <c r="CR98" s="79">
        <v>16400.0</v>
      </c>
      <c r="CS98" s="79" t="s">
        <v>495</v>
      </c>
      <c r="CT98" s="79">
        <v>2500.0</v>
      </c>
      <c r="CU98" s="79" t="s">
        <v>496</v>
      </c>
      <c r="CV98" s="79">
        <v>0.0</v>
      </c>
      <c r="CW98" s="79"/>
      <c r="CX98" s="79">
        <v>0.0</v>
      </c>
      <c r="CY98" s="79"/>
      <c r="CZ98" s="79">
        <v>0.0</v>
      </c>
      <c r="DA98" s="79"/>
      <c r="DB98" s="79">
        <v>0.0</v>
      </c>
      <c r="DC98" s="79"/>
      <c r="DD98" s="79">
        <v>0.0</v>
      </c>
      <c r="DE98" s="79">
        <v>-67136.0</v>
      </c>
      <c r="DF98" s="79">
        <v>157600.0</v>
      </c>
      <c r="DG98" s="79">
        <v>0.0</v>
      </c>
      <c r="DH98" s="79">
        <v>0.0</v>
      </c>
      <c r="DI98" s="79">
        <v>77807.0</v>
      </c>
      <c r="DJ98" s="79" t="s">
        <v>1080</v>
      </c>
      <c r="DK98" s="79" t="s">
        <v>524</v>
      </c>
      <c r="DL98" s="79" t="s">
        <v>487</v>
      </c>
      <c r="DM98" s="79" t="s">
        <v>1081</v>
      </c>
      <c r="DN98" s="79"/>
      <c r="DO98" s="79" t="s">
        <v>1082</v>
      </c>
      <c r="DP98" s="82"/>
      <c r="DQ98" s="79"/>
      <c r="DR98" s="82"/>
      <c r="DS98" s="79"/>
      <c r="DT98" s="82"/>
      <c r="DU98" s="79"/>
      <c r="DV98" s="82"/>
      <c r="DW98" s="79"/>
      <c r="DX98" s="79"/>
      <c r="DY98" s="79"/>
      <c r="DZ98" s="79"/>
      <c r="EA98" s="79"/>
      <c r="EB98" s="79"/>
      <c r="EC98" s="79"/>
      <c r="ED98" s="79"/>
      <c r="EE98" s="79"/>
      <c r="EF98" s="82"/>
      <c r="EG98" s="79"/>
      <c r="EH98" s="82"/>
      <c r="EI98" s="79"/>
      <c r="EJ98" s="82"/>
      <c r="EK98" s="79"/>
      <c r="EL98" s="82"/>
      <c r="EM98" s="79"/>
      <c r="EN98" s="79" t="s">
        <v>79</v>
      </c>
      <c r="EO98" s="79"/>
      <c r="EP98" s="80"/>
      <c r="EQ98" s="83"/>
      <c r="ER98" s="83" t="str">
        <f t="shared" si="1"/>
        <v/>
      </c>
      <c r="ES98" s="82"/>
      <c r="ET98" s="79" t="str">
        <f t="shared" si="2"/>
        <v/>
      </c>
      <c r="EU98" s="79"/>
      <c r="EV98" s="82"/>
      <c r="EW98" s="82"/>
      <c r="EX98" s="82"/>
      <c r="EY98" s="82"/>
      <c r="EZ98" s="19"/>
      <c r="FA98" s="19"/>
      <c r="FB98" s="19"/>
    </row>
    <row r="99" ht="15.75" customHeight="1">
      <c r="A99" s="79" t="s">
        <v>1084</v>
      </c>
      <c r="B99" s="79" t="s">
        <v>515</v>
      </c>
      <c r="C99" s="79" t="s">
        <v>476</v>
      </c>
      <c r="D99" s="80">
        <v>46121.0</v>
      </c>
      <c r="E99" s="79" t="s">
        <v>1085</v>
      </c>
      <c r="F99" s="79" t="s">
        <v>568</v>
      </c>
      <c r="G99" s="79" t="s">
        <v>1086</v>
      </c>
      <c r="H99" s="79" t="s">
        <v>611</v>
      </c>
      <c r="I99" s="79"/>
      <c r="J99" s="79" t="s">
        <v>1087</v>
      </c>
      <c r="K99" s="79">
        <v>2990.0</v>
      </c>
      <c r="L99" s="79"/>
      <c r="M99" s="79" t="s">
        <v>613</v>
      </c>
      <c r="N99" s="79"/>
      <c r="O99" s="79"/>
      <c r="P99" s="79"/>
      <c r="Q99" s="79"/>
      <c r="R99" s="80">
        <v>46870.0</v>
      </c>
      <c r="S99" s="79"/>
      <c r="T99" s="79">
        <v>8165.0</v>
      </c>
      <c r="U99" s="79"/>
      <c r="V99" s="79"/>
      <c r="W99" s="80">
        <v>46121.0</v>
      </c>
      <c r="X99" s="79"/>
      <c r="Y99" s="80">
        <v>46121.0</v>
      </c>
      <c r="Z99" s="79" t="s">
        <v>486</v>
      </c>
      <c r="AA99" s="79" t="s">
        <v>537</v>
      </c>
      <c r="AB99" s="79" t="s">
        <v>486</v>
      </c>
      <c r="AC99" s="79" t="s">
        <v>488</v>
      </c>
      <c r="AD99" s="79">
        <v>19875.0</v>
      </c>
      <c r="AE99" s="79">
        <v>0.0</v>
      </c>
      <c r="AF99" s="79">
        <v>0.0</v>
      </c>
      <c r="AG99" s="79">
        <v>1988.0</v>
      </c>
      <c r="AH99" s="83">
        <v>21863.0</v>
      </c>
      <c r="AI99" s="79"/>
      <c r="AJ99" s="79">
        <v>0.0</v>
      </c>
      <c r="AK99" s="79">
        <v>0.0</v>
      </c>
      <c r="AL99" s="83">
        <v>0.0</v>
      </c>
      <c r="AM99" s="79">
        <v>0.0</v>
      </c>
      <c r="AN99" s="79">
        <v>0.0</v>
      </c>
      <c r="AO99" s="79">
        <v>0.0</v>
      </c>
      <c r="AP99" s="79">
        <v>0.0</v>
      </c>
      <c r="AQ99" s="79">
        <v>19875.0</v>
      </c>
      <c r="AR99" s="79" t="s">
        <v>489</v>
      </c>
      <c r="AS99" s="79">
        <v>0.0</v>
      </c>
      <c r="AT99" s="79" t="s">
        <v>507</v>
      </c>
      <c r="AU99" s="79" t="s">
        <v>491</v>
      </c>
      <c r="AV99" s="79">
        <v>0.0</v>
      </c>
      <c r="AW99" s="79" t="s">
        <v>508</v>
      </c>
      <c r="AX99" s="79">
        <v>0.0</v>
      </c>
      <c r="AY99" s="79"/>
      <c r="AZ99" s="79">
        <v>0.0</v>
      </c>
      <c r="BA99" s="79"/>
      <c r="BB99" s="79">
        <v>0.0</v>
      </c>
      <c r="BC99" s="79"/>
      <c r="BD99" s="79">
        <v>0.0</v>
      </c>
      <c r="BE99" s="79"/>
      <c r="BF99" s="79">
        <v>0.0</v>
      </c>
      <c r="BG99" s="79"/>
      <c r="BH99" s="79">
        <v>0.0</v>
      </c>
      <c r="BI99" s="79" t="s">
        <v>493</v>
      </c>
      <c r="BJ99" s="79">
        <v>0.0</v>
      </c>
      <c r="BK99" s="79" t="s">
        <v>494</v>
      </c>
      <c r="BL99" s="79">
        <v>0.0</v>
      </c>
      <c r="BM99" s="79" t="s">
        <v>495</v>
      </c>
      <c r="BN99" s="79">
        <v>0.0</v>
      </c>
      <c r="BO99" s="79" t="s">
        <v>496</v>
      </c>
      <c r="BP99" s="79">
        <v>0.0</v>
      </c>
      <c r="BQ99" s="79"/>
      <c r="BR99" s="79">
        <v>0.0</v>
      </c>
      <c r="BS99" s="79"/>
      <c r="BT99" s="79">
        <v>0.0</v>
      </c>
      <c r="BU99" s="79"/>
      <c r="BV99" s="79">
        <v>0.0</v>
      </c>
      <c r="BW99" s="79"/>
      <c r="BX99" s="79">
        <v>0.0</v>
      </c>
      <c r="BY99" s="79">
        <v>0.0</v>
      </c>
      <c r="BZ99" s="79" t="s">
        <v>491</v>
      </c>
      <c r="CA99" s="79">
        <v>0.0</v>
      </c>
      <c r="CB99" s="79" t="s">
        <v>507</v>
      </c>
      <c r="CC99" s="79" t="s">
        <v>508</v>
      </c>
      <c r="CD99" s="79">
        <v>0.0</v>
      </c>
      <c r="CE99" s="79"/>
      <c r="CF99" s="79">
        <v>0.0</v>
      </c>
      <c r="CG99" s="79"/>
      <c r="CH99" s="79">
        <v>0.0</v>
      </c>
      <c r="CI99" s="79"/>
      <c r="CJ99" s="79">
        <v>0.0</v>
      </c>
      <c r="CK99" s="79"/>
      <c r="CL99" s="79">
        <v>0.0</v>
      </c>
      <c r="CM99" s="79"/>
      <c r="CN99" s="79">
        <v>0.0</v>
      </c>
      <c r="CO99" s="79" t="s">
        <v>493</v>
      </c>
      <c r="CP99" s="79">
        <v>0.0</v>
      </c>
      <c r="CQ99" s="79" t="s">
        <v>494</v>
      </c>
      <c r="CR99" s="79">
        <v>0.0</v>
      </c>
      <c r="CS99" s="79" t="s">
        <v>495</v>
      </c>
      <c r="CT99" s="79">
        <v>0.0</v>
      </c>
      <c r="CU99" s="79" t="s">
        <v>496</v>
      </c>
      <c r="CV99" s="79">
        <v>0.0</v>
      </c>
      <c r="CW99" s="79"/>
      <c r="CX99" s="79">
        <v>0.0</v>
      </c>
      <c r="CY99" s="79"/>
      <c r="CZ99" s="79">
        <v>0.0</v>
      </c>
      <c r="DA99" s="79"/>
      <c r="DB99" s="79">
        <v>0.0</v>
      </c>
      <c r="DC99" s="79"/>
      <c r="DD99" s="79">
        <v>0.0</v>
      </c>
      <c r="DE99" s="79">
        <v>17575.0</v>
      </c>
      <c r="DF99" s="79">
        <v>2300.0</v>
      </c>
      <c r="DG99" s="79">
        <v>0.0</v>
      </c>
      <c r="DH99" s="79">
        <v>0.0</v>
      </c>
      <c r="DI99" s="79">
        <v>0.0</v>
      </c>
      <c r="DJ99" s="79" t="s">
        <v>1088</v>
      </c>
      <c r="DK99" s="79" t="s">
        <v>486</v>
      </c>
      <c r="DL99" s="79" t="s">
        <v>537</v>
      </c>
      <c r="DM99" s="79" t="s">
        <v>1089</v>
      </c>
      <c r="DN99" s="79" t="s">
        <v>1090</v>
      </c>
      <c r="DO99" s="79" t="s">
        <v>1091</v>
      </c>
      <c r="DP99" s="82"/>
      <c r="DQ99" s="79"/>
      <c r="DR99" s="82"/>
      <c r="DS99" s="79"/>
      <c r="DT99" s="82"/>
      <c r="DU99" s="79"/>
      <c r="DV99" s="82"/>
      <c r="DW99" s="79"/>
      <c r="DX99" s="79"/>
      <c r="DY99" s="79"/>
      <c r="DZ99" s="79"/>
      <c r="EA99" s="79"/>
      <c r="EB99" s="79"/>
      <c r="EC99" s="79"/>
      <c r="ED99" s="79"/>
      <c r="EE99" s="79"/>
      <c r="EF99" s="82"/>
      <c r="EG99" s="79"/>
      <c r="EH99" s="82"/>
      <c r="EI99" s="79"/>
      <c r="EJ99" s="82"/>
      <c r="EK99" s="79"/>
      <c r="EL99" s="82"/>
      <c r="EM99" s="79"/>
      <c r="EN99" s="79" t="s">
        <v>79</v>
      </c>
      <c r="EO99" s="79"/>
      <c r="EP99" s="80"/>
      <c r="EQ99" s="83"/>
      <c r="ER99" s="83" t="str">
        <f t="shared" si="1"/>
        <v/>
      </c>
      <c r="ES99" s="82"/>
      <c r="ET99" s="82" t="str">
        <f t="shared" si="2"/>
        <v/>
      </c>
      <c r="EU99" s="79"/>
      <c r="EV99" s="79"/>
      <c r="EW99" s="82"/>
      <c r="EX99" s="82"/>
      <c r="EY99" s="82"/>
      <c r="EZ99" s="19"/>
      <c r="FA99" s="19"/>
      <c r="FB99" s="19"/>
    </row>
    <row r="100" ht="15.75" customHeight="1">
      <c r="A100" s="79" t="s">
        <v>1092</v>
      </c>
      <c r="B100" s="79" t="s">
        <v>475</v>
      </c>
      <c r="C100" s="79" t="s">
        <v>476</v>
      </c>
      <c r="D100" s="80">
        <v>46121.0</v>
      </c>
      <c r="E100" s="79" t="s">
        <v>1093</v>
      </c>
      <c r="F100" s="79" t="s">
        <v>568</v>
      </c>
      <c r="G100" s="79" t="s">
        <v>1094</v>
      </c>
      <c r="H100" s="79" t="s">
        <v>479</v>
      </c>
      <c r="I100" s="79"/>
      <c r="J100" s="79" t="s">
        <v>1095</v>
      </c>
      <c r="K100" s="79">
        <v>0.0</v>
      </c>
      <c r="L100" s="79"/>
      <c r="M100" s="79" t="s">
        <v>1096</v>
      </c>
      <c r="N100" s="79"/>
      <c r="O100" s="79"/>
      <c r="P100" s="79"/>
      <c r="Q100" s="79"/>
      <c r="R100" s="80">
        <v>46739.0</v>
      </c>
      <c r="S100" s="79"/>
      <c r="T100" s="79">
        <v>12427.0</v>
      </c>
      <c r="U100" s="79"/>
      <c r="V100" s="79"/>
      <c r="W100" s="80">
        <v>46121.0</v>
      </c>
      <c r="X100" s="79"/>
      <c r="Y100" s="80">
        <v>46121.0</v>
      </c>
      <c r="Z100" s="79" t="s">
        <v>486</v>
      </c>
      <c r="AA100" s="79" t="s">
        <v>555</v>
      </c>
      <c r="AB100" s="79" t="s">
        <v>486</v>
      </c>
      <c r="AC100" s="79" t="s">
        <v>488</v>
      </c>
      <c r="AD100" s="79">
        <v>11000.0</v>
      </c>
      <c r="AE100" s="79">
        <v>0.0</v>
      </c>
      <c r="AF100" s="79">
        <v>0.0</v>
      </c>
      <c r="AG100" s="79">
        <v>1100.0</v>
      </c>
      <c r="AH100" s="83">
        <v>12100.0</v>
      </c>
      <c r="AI100" s="79"/>
      <c r="AJ100" s="79">
        <v>0.0</v>
      </c>
      <c r="AK100" s="79">
        <v>0.0</v>
      </c>
      <c r="AL100" s="83">
        <v>0.0</v>
      </c>
      <c r="AM100" s="79">
        <v>0.0</v>
      </c>
      <c r="AN100" s="79">
        <v>0.0</v>
      </c>
      <c r="AO100" s="79">
        <v>0.0</v>
      </c>
      <c r="AP100" s="79">
        <v>0.0</v>
      </c>
      <c r="AQ100" s="79">
        <v>11000.0</v>
      </c>
      <c r="AR100" s="79" t="s">
        <v>489</v>
      </c>
      <c r="AS100" s="79">
        <v>0.0</v>
      </c>
      <c r="AT100" s="79" t="s">
        <v>507</v>
      </c>
      <c r="AU100" s="79" t="s">
        <v>491</v>
      </c>
      <c r="AV100" s="79">
        <v>0.0</v>
      </c>
      <c r="AW100" s="79" t="s">
        <v>508</v>
      </c>
      <c r="AX100" s="79">
        <v>0.0</v>
      </c>
      <c r="AY100" s="82"/>
      <c r="AZ100" s="79">
        <v>0.0</v>
      </c>
      <c r="BA100" s="82"/>
      <c r="BB100" s="79">
        <v>0.0</v>
      </c>
      <c r="BC100" s="79"/>
      <c r="BD100" s="79">
        <v>0.0</v>
      </c>
      <c r="BE100" s="82"/>
      <c r="BF100" s="79">
        <v>0.0</v>
      </c>
      <c r="BG100" s="79"/>
      <c r="BH100" s="79">
        <v>0.0</v>
      </c>
      <c r="BI100" s="79" t="s">
        <v>493</v>
      </c>
      <c r="BJ100" s="79">
        <v>0.0</v>
      </c>
      <c r="BK100" s="79" t="s">
        <v>494</v>
      </c>
      <c r="BL100" s="79">
        <v>0.0</v>
      </c>
      <c r="BM100" s="79" t="s">
        <v>495</v>
      </c>
      <c r="BN100" s="79">
        <v>0.0</v>
      </c>
      <c r="BO100" s="79" t="s">
        <v>496</v>
      </c>
      <c r="BP100" s="79">
        <v>0.0</v>
      </c>
      <c r="BQ100" s="79"/>
      <c r="BR100" s="79">
        <v>0.0</v>
      </c>
      <c r="BS100" s="79"/>
      <c r="BT100" s="79">
        <v>0.0</v>
      </c>
      <c r="BU100" s="79"/>
      <c r="BV100" s="79">
        <v>0.0</v>
      </c>
      <c r="BW100" s="79"/>
      <c r="BX100" s="79">
        <v>0.0</v>
      </c>
      <c r="BY100" s="79">
        <v>0.0</v>
      </c>
      <c r="BZ100" s="79" t="s">
        <v>491</v>
      </c>
      <c r="CA100" s="79">
        <v>0.0</v>
      </c>
      <c r="CB100" s="79" t="s">
        <v>507</v>
      </c>
      <c r="CC100" s="79" t="s">
        <v>508</v>
      </c>
      <c r="CD100" s="79">
        <v>0.0</v>
      </c>
      <c r="CE100" s="79"/>
      <c r="CF100" s="79">
        <v>0.0</v>
      </c>
      <c r="CG100" s="79"/>
      <c r="CH100" s="79">
        <v>0.0</v>
      </c>
      <c r="CI100" s="79"/>
      <c r="CJ100" s="79">
        <v>0.0</v>
      </c>
      <c r="CK100" s="79"/>
      <c r="CL100" s="79">
        <v>0.0</v>
      </c>
      <c r="CM100" s="79"/>
      <c r="CN100" s="79">
        <v>0.0</v>
      </c>
      <c r="CO100" s="79" t="s">
        <v>493</v>
      </c>
      <c r="CP100" s="79">
        <v>0.0</v>
      </c>
      <c r="CQ100" s="79" t="s">
        <v>494</v>
      </c>
      <c r="CR100" s="79">
        <v>0.0</v>
      </c>
      <c r="CS100" s="79" t="s">
        <v>495</v>
      </c>
      <c r="CT100" s="79">
        <v>0.0</v>
      </c>
      <c r="CU100" s="79" t="s">
        <v>496</v>
      </c>
      <c r="CV100" s="79">
        <v>0.0</v>
      </c>
      <c r="CW100" s="79"/>
      <c r="CX100" s="79">
        <v>0.0</v>
      </c>
      <c r="CY100" s="79"/>
      <c r="CZ100" s="79">
        <v>0.0</v>
      </c>
      <c r="DA100" s="79"/>
      <c r="DB100" s="79">
        <v>0.0</v>
      </c>
      <c r="DC100" s="79"/>
      <c r="DD100" s="79">
        <v>0.0</v>
      </c>
      <c r="DE100" s="79">
        <v>11000.0</v>
      </c>
      <c r="DF100" s="79">
        <v>0.0</v>
      </c>
      <c r="DG100" s="79">
        <v>0.0</v>
      </c>
      <c r="DH100" s="79">
        <v>0.0</v>
      </c>
      <c r="DI100" s="79">
        <v>0.0</v>
      </c>
      <c r="DJ100" s="79" t="s">
        <v>1097</v>
      </c>
      <c r="DK100" s="79" t="s">
        <v>486</v>
      </c>
      <c r="DL100" s="79" t="s">
        <v>555</v>
      </c>
      <c r="DM100" s="79" t="s">
        <v>1098</v>
      </c>
      <c r="DN100" s="79" t="s">
        <v>1099</v>
      </c>
      <c r="DO100" s="79" t="s">
        <v>1100</v>
      </c>
      <c r="DP100" s="82"/>
      <c r="DQ100" s="79"/>
      <c r="DR100" s="82"/>
      <c r="DS100" s="79"/>
      <c r="DT100" s="82"/>
      <c r="DU100" s="79"/>
      <c r="DV100" s="82"/>
      <c r="DW100" s="79"/>
      <c r="DX100" s="79"/>
      <c r="DY100" s="79"/>
      <c r="DZ100" s="79"/>
      <c r="EA100" s="79"/>
      <c r="EB100" s="79"/>
      <c r="EC100" s="79"/>
      <c r="ED100" s="79"/>
      <c r="EE100" s="79"/>
      <c r="EF100" s="82"/>
      <c r="EG100" s="79"/>
      <c r="EH100" s="82"/>
      <c r="EI100" s="79"/>
      <c r="EJ100" s="82"/>
      <c r="EK100" s="79"/>
      <c r="EL100" s="82"/>
      <c r="EM100" s="79"/>
      <c r="EN100" s="79" t="s">
        <v>79</v>
      </c>
      <c r="EO100" s="79"/>
      <c r="EP100" s="80"/>
      <c r="EQ100" s="83"/>
      <c r="ER100" s="83" t="str">
        <f t="shared" si="1"/>
        <v/>
      </c>
      <c r="ES100" s="82"/>
      <c r="ET100" s="79" t="str">
        <f t="shared" si="2"/>
        <v/>
      </c>
      <c r="EU100" s="79"/>
      <c r="EV100" s="82"/>
      <c r="EW100" s="82"/>
      <c r="EX100" s="82"/>
      <c r="EY100" s="82"/>
      <c r="EZ100" s="19"/>
      <c r="FA100" s="19"/>
      <c r="FB100" s="19"/>
    </row>
    <row r="101" ht="15.75" customHeight="1">
      <c r="A101" s="79" t="s">
        <v>1101</v>
      </c>
      <c r="B101" s="79" t="s">
        <v>530</v>
      </c>
      <c r="C101" s="79" t="s">
        <v>1022</v>
      </c>
      <c r="D101" s="80">
        <v>46121.0</v>
      </c>
      <c r="E101" s="79" t="s">
        <v>1102</v>
      </c>
      <c r="F101" s="79" t="s">
        <v>634</v>
      </c>
      <c r="G101" s="79" t="s">
        <v>1103</v>
      </c>
      <c r="H101" s="79" t="s">
        <v>1104</v>
      </c>
      <c r="I101" s="79"/>
      <c r="J101" s="79" t="s">
        <v>1105</v>
      </c>
      <c r="K101" s="79">
        <v>2500.0</v>
      </c>
      <c r="L101" s="79"/>
      <c r="M101" s="79" t="s">
        <v>1106</v>
      </c>
      <c r="N101" s="79" t="s">
        <v>898</v>
      </c>
      <c r="O101" s="79" t="s">
        <v>823</v>
      </c>
      <c r="P101" s="79"/>
      <c r="Q101" s="79" t="s">
        <v>1107</v>
      </c>
      <c r="R101" s="79">
        <v>46586.0</v>
      </c>
      <c r="S101" s="79" t="s">
        <v>1108</v>
      </c>
      <c r="T101" s="79"/>
      <c r="U101" s="79"/>
      <c r="V101" s="79"/>
      <c r="W101" s="80"/>
      <c r="X101" s="79"/>
      <c r="Y101" s="80"/>
      <c r="Z101" s="79" t="s">
        <v>486</v>
      </c>
      <c r="AA101" s="79" t="s">
        <v>487</v>
      </c>
      <c r="AB101" s="79" t="s">
        <v>486</v>
      </c>
      <c r="AC101" s="79" t="s">
        <v>488</v>
      </c>
      <c r="AD101" s="79">
        <v>1029946.0</v>
      </c>
      <c r="AE101" s="79">
        <v>0.0</v>
      </c>
      <c r="AF101" s="79">
        <v>0.0</v>
      </c>
      <c r="AG101" s="79">
        <v>102995.0</v>
      </c>
      <c r="AH101" s="83">
        <v>1132941.0</v>
      </c>
      <c r="AI101" s="79"/>
      <c r="AJ101" s="79">
        <v>0.0</v>
      </c>
      <c r="AK101" s="79"/>
      <c r="AL101" s="83"/>
      <c r="AM101" s="79"/>
      <c r="AN101" s="79"/>
      <c r="AO101" s="79"/>
      <c r="AP101" s="79">
        <v>0.0</v>
      </c>
      <c r="AQ101" s="79">
        <v>208758.0</v>
      </c>
      <c r="AR101" s="79" t="s">
        <v>556</v>
      </c>
      <c r="AS101" s="79">
        <v>0.0</v>
      </c>
      <c r="AT101" s="79" t="s">
        <v>507</v>
      </c>
      <c r="AU101" s="79" t="s">
        <v>491</v>
      </c>
      <c r="AV101" s="79">
        <v>0.0</v>
      </c>
      <c r="AW101" s="79" t="s">
        <v>508</v>
      </c>
      <c r="AX101" s="79">
        <v>0.0</v>
      </c>
      <c r="AY101" s="82"/>
      <c r="AZ101" s="79">
        <v>0.0</v>
      </c>
      <c r="BA101" s="82"/>
      <c r="BB101" s="79">
        <v>0.0</v>
      </c>
      <c r="BC101" s="79"/>
      <c r="BD101" s="79">
        <v>0.0</v>
      </c>
      <c r="BE101" s="82"/>
      <c r="BF101" s="79">
        <v>0.0</v>
      </c>
      <c r="BG101" s="79"/>
      <c r="BH101" s="79">
        <v>0.0</v>
      </c>
      <c r="BI101" s="79" t="s">
        <v>493</v>
      </c>
      <c r="BJ101" s="79">
        <v>0.0</v>
      </c>
      <c r="BK101" s="79" t="s">
        <v>494</v>
      </c>
      <c r="BL101" s="79">
        <v>0.0</v>
      </c>
      <c r="BM101" s="79" t="s">
        <v>495</v>
      </c>
      <c r="BN101" s="79">
        <v>0.0</v>
      </c>
      <c r="BO101" s="79" t="s">
        <v>496</v>
      </c>
      <c r="BP101" s="79">
        <v>0.0</v>
      </c>
      <c r="BQ101" s="79"/>
      <c r="BR101" s="79">
        <v>0.0</v>
      </c>
      <c r="BS101" s="79"/>
      <c r="BT101" s="79">
        <v>0.0</v>
      </c>
      <c r="BU101" s="79"/>
      <c r="BV101" s="79">
        <v>0.0</v>
      </c>
      <c r="BW101" s="79"/>
      <c r="BX101" s="79">
        <v>0.0</v>
      </c>
      <c r="BY101" s="79"/>
      <c r="BZ101" s="79"/>
      <c r="CA101" s="79"/>
      <c r="CB101" s="79"/>
      <c r="CC101" s="79"/>
      <c r="CD101" s="79"/>
      <c r="CE101" s="79"/>
      <c r="CF101" s="79"/>
      <c r="CG101" s="79"/>
      <c r="CH101" s="79"/>
      <c r="CI101" s="79"/>
      <c r="CJ101" s="79"/>
      <c r="CK101" s="79"/>
      <c r="CL101" s="79"/>
      <c r="CM101" s="79"/>
      <c r="CN101" s="79"/>
      <c r="CO101" s="79"/>
      <c r="CP101" s="79"/>
      <c r="CQ101" s="79"/>
      <c r="CR101" s="79"/>
      <c r="CS101" s="79"/>
      <c r="CT101" s="79"/>
      <c r="CU101" s="79"/>
      <c r="CV101" s="79"/>
      <c r="CW101" s="79"/>
      <c r="CX101" s="79"/>
      <c r="CY101" s="79"/>
      <c r="CZ101" s="79"/>
      <c r="DA101" s="79"/>
      <c r="DB101" s="79"/>
      <c r="DC101" s="79"/>
      <c r="DD101" s="79"/>
      <c r="DE101" s="79"/>
      <c r="DF101" s="79"/>
      <c r="DG101" s="79"/>
      <c r="DH101" s="79"/>
      <c r="DI101" s="79"/>
      <c r="DJ101" s="79" t="s">
        <v>185</v>
      </c>
      <c r="DK101" s="79" t="s">
        <v>486</v>
      </c>
      <c r="DL101" s="79" t="s">
        <v>487</v>
      </c>
      <c r="DM101" s="79" t="s">
        <v>1109</v>
      </c>
      <c r="DN101" s="79"/>
      <c r="DO101" s="79" t="s">
        <v>1110</v>
      </c>
      <c r="DP101" s="82"/>
      <c r="DQ101" s="79"/>
      <c r="DR101" s="82"/>
      <c r="DS101" s="79"/>
      <c r="DT101" s="82"/>
      <c r="DU101" s="79"/>
      <c r="DV101" s="82"/>
      <c r="DW101" s="79"/>
      <c r="DX101" s="79"/>
      <c r="DY101" s="79"/>
      <c r="DZ101" s="79"/>
      <c r="EA101" s="79"/>
      <c r="EB101" s="79"/>
      <c r="EC101" s="79"/>
      <c r="ED101" s="79"/>
      <c r="EE101" s="79"/>
      <c r="EF101" s="82"/>
      <c r="EG101" s="79"/>
      <c r="EH101" s="82"/>
      <c r="EI101" s="79"/>
      <c r="EJ101" s="82"/>
      <c r="EK101" s="79"/>
      <c r="EL101" s="82"/>
      <c r="EM101" s="79">
        <v>0.0</v>
      </c>
      <c r="EN101" s="79" t="s">
        <v>156</v>
      </c>
      <c r="EO101" s="79" t="s">
        <v>48</v>
      </c>
      <c r="EP101" s="80"/>
      <c r="EQ101" s="83"/>
      <c r="ER101" s="83" t="str">
        <f t="shared" si="1"/>
        <v/>
      </c>
      <c r="ES101" s="82"/>
      <c r="ET101" s="79" t="str">
        <f t="shared" si="2"/>
        <v/>
      </c>
      <c r="EU101" s="79"/>
      <c r="EV101" s="82"/>
      <c r="EW101" s="82"/>
      <c r="EX101" s="82"/>
      <c r="EY101" s="82"/>
      <c r="EZ101" s="19"/>
      <c r="FA101" s="19"/>
      <c r="FB101" s="19"/>
    </row>
    <row r="102" ht="15.75" customHeight="1">
      <c r="A102" s="79" t="s">
        <v>1111</v>
      </c>
      <c r="B102" s="79" t="s">
        <v>1112</v>
      </c>
      <c r="C102" s="79" t="s">
        <v>476</v>
      </c>
      <c r="D102" s="80">
        <v>46121.0</v>
      </c>
      <c r="E102" s="79"/>
      <c r="F102" s="79"/>
      <c r="G102" s="79" t="s">
        <v>1073</v>
      </c>
      <c r="H102" s="79" t="s">
        <v>1074</v>
      </c>
      <c r="I102" s="79" t="s">
        <v>1075</v>
      </c>
      <c r="J102" s="79" t="s">
        <v>1076</v>
      </c>
      <c r="K102" s="79">
        <v>1200.0</v>
      </c>
      <c r="L102" s="79" t="s">
        <v>821</v>
      </c>
      <c r="M102" s="79" t="s">
        <v>1077</v>
      </c>
      <c r="N102" s="79" t="s">
        <v>572</v>
      </c>
      <c r="O102" s="79" t="s">
        <v>1078</v>
      </c>
      <c r="P102" s="79"/>
      <c r="Q102" s="79" t="s">
        <v>1079</v>
      </c>
      <c r="R102" s="79">
        <v>46853.0</v>
      </c>
      <c r="S102" s="79" t="s">
        <v>1113</v>
      </c>
      <c r="T102" s="79">
        <v>20171.0</v>
      </c>
      <c r="U102" s="79"/>
      <c r="V102" s="79"/>
      <c r="W102" s="79">
        <v>46115.0</v>
      </c>
      <c r="X102" s="79"/>
      <c r="Y102" s="79">
        <v>46121.0</v>
      </c>
      <c r="Z102" s="79" t="s">
        <v>524</v>
      </c>
      <c r="AA102" s="79" t="s">
        <v>487</v>
      </c>
      <c r="AB102" s="79" t="s">
        <v>557</v>
      </c>
      <c r="AC102" s="79" t="s">
        <v>488</v>
      </c>
      <c r="AD102" s="79">
        <v>131136.0</v>
      </c>
      <c r="AE102" s="79">
        <v>0.0</v>
      </c>
      <c r="AF102" s="79">
        <v>0.0</v>
      </c>
      <c r="AG102" s="79">
        <v>13114.0</v>
      </c>
      <c r="AH102" s="83">
        <v>144250.0</v>
      </c>
      <c r="AI102" s="79"/>
      <c r="AJ102" s="79">
        <v>0.0</v>
      </c>
      <c r="AK102" s="79"/>
      <c r="AL102" s="83"/>
      <c r="AM102" s="79"/>
      <c r="AN102" s="79"/>
      <c r="AO102" s="79"/>
      <c r="AP102" s="79">
        <v>0.0</v>
      </c>
      <c r="AQ102" s="79">
        <v>131136.0</v>
      </c>
      <c r="AR102" s="79" t="s">
        <v>525</v>
      </c>
      <c r="AS102" s="79">
        <v>0.0</v>
      </c>
      <c r="AT102" s="79" t="s">
        <v>836</v>
      </c>
      <c r="AU102" s="79" t="s">
        <v>491</v>
      </c>
      <c r="AV102" s="79">
        <v>0.0</v>
      </c>
      <c r="AW102" s="79" t="s">
        <v>492</v>
      </c>
      <c r="AX102" s="79">
        <v>0.0</v>
      </c>
      <c r="AY102" s="82"/>
      <c r="AZ102" s="79">
        <v>0.0</v>
      </c>
      <c r="BA102" s="82"/>
      <c r="BB102" s="79">
        <v>0.0</v>
      </c>
      <c r="BC102" s="79"/>
      <c r="BD102" s="79">
        <v>0.0</v>
      </c>
      <c r="BE102" s="82"/>
      <c r="BF102" s="79">
        <v>0.0</v>
      </c>
      <c r="BG102" s="79"/>
      <c r="BH102" s="79">
        <v>0.0</v>
      </c>
      <c r="BI102" s="79" t="s">
        <v>493</v>
      </c>
      <c r="BJ102" s="79">
        <v>0.0</v>
      </c>
      <c r="BK102" s="79" t="s">
        <v>494</v>
      </c>
      <c r="BL102" s="79">
        <v>0.0</v>
      </c>
      <c r="BM102" s="79" t="s">
        <v>495</v>
      </c>
      <c r="BN102" s="79">
        <v>0.0</v>
      </c>
      <c r="BO102" s="79" t="s">
        <v>496</v>
      </c>
      <c r="BP102" s="79">
        <v>0.0</v>
      </c>
      <c r="BQ102" s="79"/>
      <c r="BR102" s="79">
        <v>0.0</v>
      </c>
      <c r="BS102" s="79"/>
      <c r="BT102" s="79">
        <v>0.0</v>
      </c>
      <c r="BU102" s="79"/>
      <c r="BV102" s="79">
        <v>0.0</v>
      </c>
      <c r="BW102" s="79"/>
      <c r="BX102" s="79">
        <v>0.0</v>
      </c>
      <c r="BY102" s="79"/>
      <c r="BZ102" s="79"/>
      <c r="CA102" s="79"/>
      <c r="CB102" s="79"/>
      <c r="CC102" s="79"/>
      <c r="CD102" s="79"/>
      <c r="CE102" s="79"/>
      <c r="CF102" s="79"/>
      <c r="CG102" s="79"/>
      <c r="CH102" s="79"/>
      <c r="CI102" s="79"/>
      <c r="CJ102" s="79"/>
      <c r="CK102" s="79"/>
      <c r="CL102" s="79"/>
      <c r="CM102" s="79"/>
      <c r="CN102" s="79"/>
      <c r="CO102" s="79"/>
      <c r="CP102" s="79"/>
      <c r="CQ102" s="79"/>
      <c r="CR102" s="79"/>
      <c r="CS102" s="79"/>
      <c r="CT102" s="79"/>
      <c r="CU102" s="79"/>
      <c r="CV102" s="79"/>
      <c r="CW102" s="79"/>
      <c r="CX102" s="79"/>
      <c r="CY102" s="79"/>
      <c r="CZ102" s="79"/>
      <c r="DA102" s="79"/>
      <c r="DB102" s="79"/>
      <c r="DC102" s="79"/>
      <c r="DD102" s="79"/>
      <c r="DE102" s="79"/>
      <c r="DF102" s="79"/>
      <c r="DG102" s="79"/>
      <c r="DH102" s="79"/>
      <c r="DI102" s="79"/>
      <c r="DJ102" s="79"/>
      <c r="DK102" s="79"/>
      <c r="DL102" s="79"/>
      <c r="DM102" s="79"/>
      <c r="DN102" s="79"/>
      <c r="DO102" s="79"/>
      <c r="DP102" s="82"/>
      <c r="DQ102" s="79"/>
      <c r="DR102" s="82"/>
      <c r="DS102" s="79"/>
      <c r="DT102" s="82"/>
      <c r="DU102" s="79"/>
      <c r="DV102" s="82"/>
      <c r="DW102" s="79"/>
      <c r="DX102" s="79"/>
      <c r="DY102" s="79"/>
      <c r="DZ102" s="79"/>
      <c r="EA102" s="79"/>
      <c r="EB102" s="79"/>
      <c r="EC102" s="79"/>
      <c r="ED102" s="79"/>
      <c r="EE102" s="79"/>
      <c r="EF102" s="82"/>
      <c r="EG102" s="79"/>
      <c r="EH102" s="82"/>
      <c r="EI102" s="79"/>
      <c r="EJ102" s="82"/>
      <c r="EK102" s="79"/>
      <c r="EL102" s="82"/>
      <c r="EM102" s="79">
        <v>0.0</v>
      </c>
      <c r="EN102" s="79" t="s">
        <v>79</v>
      </c>
      <c r="EO102" s="79"/>
      <c r="EP102" s="80"/>
      <c r="EQ102" s="83"/>
      <c r="ER102" s="83" t="str">
        <f t="shared" si="1"/>
        <v/>
      </c>
      <c r="ES102" s="82"/>
      <c r="ET102" s="79" t="str">
        <f t="shared" si="2"/>
        <v/>
      </c>
      <c r="EU102" s="79"/>
      <c r="EV102" s="82"/>
      <c r="EW102" s="82"/>
      <c r="EX102" s="82"/>
      <c r="EY102" s="82"/>
      <c r="EZ102" s="19"/>
      <c r="FA102" s="19"/>
      <c r="FB102" s="19"/>
    </row>
    <row r="103" ht="15.75" customHeight="1">
      <c r="A103" s="4" t="s">
        <v>1114</v>
      </c>
      <c r="B103" s="4" t="s">
        <v>475</v>
      </c>
      <c r="C103" s="4" t="s">
        <v>476</v>
      </c>
      <c r="D103" s="78">
        <v>46121.0</v>
      </c>
      <c r="E103" s="4" t="s">
        <v>1115</v>
      </c>
      <c r="F103" s="4" t="s">
        <v>1033</v>
      </c>
      <c r="G103" s="4" t="s">
        <v>1116</v>
      </c>
      <c r="H103" s="4" t="s">
        <v>1117</v>
      </c>
      <c r="Z103" s="4" t="s">
        <v>597</v>
      </c>
      <c r="AB103" s="4" t="s">
        <v>597</v>
      </c>
      <c r="AH103" s="23">
        <v>660.0</v>
      </c>
      <c r="AL103" s="19"/>
      <c r="AM103" s="19"/>
      <c r="AN103" s="19"/>
      <c r="AO103" s="19"/>
      <c r="AP103" s="19"/>
      <c r="AQ103" s="4">
        <v>300.0</v>
      </c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  <c r="CL103" s="19"/>
      <c r="CM103" s="19"/>
      <c r="CN103" s="19"/>
      <c r="CO103" s="19"/>
      <c r="CP103" s="19"/>
      <c r="CQ103" s="19"/>
      <c r="CR103" s="19"/>
      <c r="CS103" s="19"/>
      <c r="CT103" s="19"/>
      <c r="CU103" s="19"/>
      <c r="CV103" s="19"/>
      <c r="CW103" s="19"/>
      <c r="CX103" s="19"/>
      <c r="CY103" s="19"/>
      <c r="CZ103" s="19"/>
      <c r="DA103" s="19"/>
      <c r="DB103" s="19"/>
      <c r="DC103" s="19"/>
      <c r="DD103" s="19"/>
      <c r="DE103" s="19"/>
      <c r="DF103" s="19"/>
      <c r="DG103" s="19"/>
      <c r="DH103" s="19"/>
      <c r="DI103" s="19"/>
      <c r="DJ103" s="19"/>
      <c r="DK103" s="19"/>
      <c r="DL103" s="19"/>
      <c r="DM103" s="19"/>
      <c r="DN103" s="19"/>
      <c r="DO103" s="19"/>
      <c r="DP103" s="19"/>
      <c r="DQ103" s="19"/>
      <c r="DR103" s="19"/>
      <c r="DS103" s="19"/>
      <c r="DT103" s="19"/>
      <c r="DU103" s="19"/>
      <c r="DV103" s="19"/>
      <c r="DW103" s="19"/>
      <c r="DX103" s="19"/>
      <c r="DY103" s="19"/>
      <c r="DZ103" s="19"/>
      <c r="EA103" s="19"/>
      <c r="EB103" s="19"/>
      <c r="EC103" s="19"/>
      <c r="ED103" s="19"/>
      <c r="EE103" s="19"/>
      <c r="EF103" s="19"/>
      <c r="EG103" s="19"/>
      <c r="EH103" s="19"/>
      <c r="EI103" s="19"/>
      <c r="EJ103" s="19"/>
      <c r="EK103" s="19"/>
      <c r="EL103" s="19"/>
      <c r="EM103" s="19"/>
      <c r="EN103" s="4" t="s">
        <v>79</v>
      </c>
      <c r="EO103" s="19"/>
      <c r="EP103" s="17"/>
      <c r="EQ103" s="23"/>
      <c r="ER103" s="23" t="str">
        <f t="shared" si="1"/>
        <v/>
      </c>
      <c r="ES103" s="19"/>
      <c r="ET103" s="19" t="str">
        <f t="shared" si="2"/>
        <v/>
      </c>
      <c r="EU103" s="19"/>
      <c r="EV103" s="19"/>
      <c r="EW103" s="19"/>
      <c r="EX103" s="19"/>
      <c r="EY103" s="19"/>
      <c r="EZ103" s="19"/>
      <c r="FA103" s="19"/>
      <c r="FB103" s="19"/>
    </row>
    <row r="104" ht="15.75" customHeight="1">
      <c r="A104" s="4" t="s">
        <v>1118</v>
      </c>
      <c r="B104" s="4" t="s">
        <v>475</v>
      </c>
      <c r="C104" s="4" t="s">
        <v>476</v>
      </c>
      <c r="D104" s="78">
        <v>46121.0</v>
      </c>
      <c r="E104" s="4" t="s">
        <v>1119</v>
      </c>
      <c r="F104" s="4" t="s">
        <v>1033</v>
      </c>
      <c r="G104" s="4" t="s">
        <v>1120</v>
      </c>
      <c r="H104" s="4" t="s">
        <v>971</v>
      </c>
      <c r="Z104" s="4" t="s">
        <v>597</v>
      </c>
      <c r="AB104" s="4" t="s">
        <v>597</v>
      </c>
      <c r="AH104" s="23">
        <v>660.0</v>
      </c>
      <c r="AL104" s="19"/>
      <c r="AM104" s="19"/>
      <c r="AN104" s="19"/>
      <c r="AO104" s="19"/>
      <c r="AP104" s="19"/>
      <c r="AQ104" s="4">
        <v>300.0</v>
      </c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  <c r="CL104" s="19"/>
      <c r="CM104" s="19"/>
      <c r="CN104" s="19"/>
      <c r="CO104" s="19"/>
      <c r="CP104" s="19"/>
      <c r="CQ104" s="19"/>
      <c r="CR104" s="19"/>
      <c r="CS104" s="19"/>
      <c r="CT104" s="19"/>
      <c r="CU104" s="19"/>
      <c r="CV104" s="19"/>
      <c r="CW104" s="19"/>
      <c r="CX104" s="19"/>
      <c r="CY104" s="19"/>
      <c r="CZ104" s="19"/>
      <c r="DA104" s="19"/>
      <c r="DB104" s="19"/>
      <c r="DC104" s="19"/>
      <c r="DD104" s="19"/>
      <c r="DE104" s="19"/>
      <c r="DF104" s="19"/>
      <c r="DG104" s="19"/>
      <c r="DH104" s="19"/>
      <c r="DI104" s="19"/>
      <c r="DJ104" s="19"/>
      <c r="DK104" s="19"/>
      <c r="DL104" s="19"/>
      <c r="DM104" s="19"/>
      <c r="DN104" s="19"/>
      <c r="DO104" s="19"/>
      <c r="DP104" s="19"/>
      <c r="DQ104" s="19"/>
      <c r="DR104" s="19"/>
      <c r="DS104" s="19"/>
      <c r="DT104" s="19"/>
      <c r="DU104" s="19"/>
      <c r="DV104" s="19"/>
      <c r="DW104" s="19"/>
      <c r="DX104" s="19"/>
      <c r="DY104" s="19"/>
      <c r="DZ104" s="19"/>
      <c r="EA104" s="19"/>
      <c r="EB104" s="19"/>
      <c r="EC104" s="19"/>
      <c r="ED104" s="19"/>
      <c r="EE104" s="19"/>
      <c r="EF104" s="19"/>
      <c r="EG104" s="19"/>
      <c r="EH104" s="19"/>
      <c r="EI104" s="19"/>
      <c r="EJ104" s="19"/>
      <c r="EK104" s="19"/>
      <c r="EL104" s="19"/>
      <c r="EM104" s="19"/>
      <c r="EN104" s="4" t="s">
        <v>79</v>
      </c>
      <c r="EO104" s="19"/>
      <c r="EP104" s="17"/>
      <c r="EQ104" s="23"/>
      <c r="ER104" s="23" t="str">
        <f t="shared" si="1"/>
        <v/>
      </c>
      <c r="ES104" s="19"/>
      <c r="ET104" s="19" t="str">
        <f t="shared" si="2"/>
        <v/>
      </c>
      <c r="EU104" s="19"/>
      <c r="EV104" s="19"/>
      <c r="EW104" s="19"/>
      <c r="EX104" s="19"/>
      <c r="EY104" s="19"/>
      <c r="EZ104" s="19"/>
      <c r="FA104" s="19"/>
      <c r="FB104" s="19"/>
    </row>
    <row r="105" ht="15.75" customHeight="1">
      <c r="A105" s="4" t="s">
        <v>1121</v>
      </c>
      <c r="B105" s="4" t="s">
        <v>475</v>
      </c>
      <c r="C105" s="4" t="s">
        <v>476</v>
      </c>
      <c r="D105" s="78">
        <v>46123.0</v>
      </c>
      <c r="E105" s="4" t="s">
        <v>1122</v>
      </c>
      <c r="F105" s="4" t="s">
        <v>1030</v>
      </c>
      <c r="G105" s="4" t="s">
        <v>1123</v>
      </c>
      <c r="H105" s="4" t="s">
        <v>890</v>
      </c>
      <c r="V105" s="4" t="s">
        <v>1124</v>
      </c>
      <c r="Y105" s="4" t="s">
        <v>1124</v>
      </c>
      <c r="Z105" s="4" t="s">
        <v>597</v>
      </c>
      <c r="AB105" s="4" t="s">
        <v>597</v>
      </c>
      <c r="AH105" s="23">
        <v>91080.0</v>
      </c>
      <c r="AL105" s="19"/>
      <c r="AM105" s="19"/>
      <c r="AN105" s="19"/>
      <c r="AO105" s="19"/>
      <c r="AP105" s="19"/>
      <c r="AQ105" s="4">
        <v>48464.0</v>
      </c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/>
      <c r="CK105" s="19"/>
      <c r="CL105" s="19"/>
      <c r="CM105" s="19"/>
      <c r="CN105" s="19"/>
      <c r="CO105" s="19"/>
      <c r="CP105" s="19"/>
      <c r="CQ105" s="19"/>
      <c r="CR105" s="19"/>
      <c r="CS105" s="19"/>
      <c r="CT105" s="19"/>
      <c r="CU105" s="19"/>
      <c r="CV105" s="19"/>
      <c r="CW105" s="19"/>
      <c r="CX105" s="19"/>
      <c r="CY105" s="19"/>
      <c r="CZ105" s="19"/>
      <c r="DA105" s="19"/>
      <c r="DB105" s="19"/>
      <c r="DC105" s="19"/>
      <c r="DD105" s="19"/>
      <c r="DE105" s="19"/>
      <c r="DF105" s="19"/>
      <c r="DG105" s="19"/>
      <c r="DH105" s="19"/>
      <c r="DI105" s="19"/>
      <c r="DJ105" s="19"/>
      <c r="DK105" s="19"/>
      <c r="DL105" s="19"/>
      <c r="DM105" s="19"/>
      <c r="DN105" s="19"/>
      <c r="DO105" s="19"/>
      <c r="DP105" s="19"/>
      <c r="DQ105" s="19"/>
      <c r="DR105" s="19"/>
      <c r="DS105" s="19"/>
      <c r="DT105" s="19"/>
      <c r="DU105" s="19"/>
      <c r="DV105" s="19"/>
      <c r="DW105" s="19"/>
      <c r="DX105" s="19"/>
      <c r="DY105" s="19"/>
      <c r="DZ105" s="19"/>
      <c r="EA105" s="19"/>
      <c r="EB105" s="19"/>
      <c r="EC105" s="19"/>
      <c r="ED105" s="19"/>
      <c r="EE105" s="19"/>
      <c r="EF105" s="19"/>
      <c r="EG105" s="19"/>
      <c r="EH105" s="19"/>
      <c r="EI105" s="19"/>
      <c r="EJ105" s="19"/>
      <c r="EK105" s="19"/>
      <c r="EL105" s="19"/>
      <c r="EM105" s="19"/>
      <c r="EN105" s="4" t="s">
        <v>79</v>
      </c>
      <c r="EO105" s="19"/>
      <c r="EP105" s="17"/>
      <c r="EQ105" s="23"/>
      <c r="ER105" s="23" t="str">
        <f t="shared" si="1"/>
        <v/>
      </c>
      <c r="ES105" s="19"/>
      <c r="ET105" s="19" t="str">
        <f t="shared" si="2"/>
        <v/>
      </c>
      <c r="EU105" s="19"/>
      <c r="EV105" s="19"/>
      <c r="EW105" s="19"/>
      <c r="EX105" s="19"/>
      <c r="EY105" s="19"/>
      <c r="EZ105" s="19"/>
      <c r="FA105" s="19"/>
      <c r="FB105" s="19"/>
    </row>
    <row r="106" ht="15.75" customHeight="1">
      <c r="A106" s="4" t="s">
        <v>1125</v>
      </c>
      <c r="B106" s="4" t="s">
        <v>591</v>
      </c>
      <c r="C106" s="4" t="s">
        <v>1022</v>
      </c>
      <c r="D106" s="78">
        <v>46123.0</v>
      </c>
      <c r="E106" s="4" t="s">
        <v>1126</v>
      </c>
      <c r="F106" s="4" t="s">
        <v>1126</v>
      </c>
      <c r="G106" s="4" t="s">
        <v>1127</v>
      </c>
      <c r="H106" s="4" t="s">
        <v>1013</v>
      </c>
      <c r="Y106" s="4" t="s">
        <v>1128</v>
      </c>
      <c r="Z106" s="4" t="s">
        <v>597</v>
      </c>
      <c r="AB106" s="4" t="s">
        <v>597</v>
      </c>
      <c r="AH106" s="23">
        <v>271920.0</v>
      </c>
      <c r="AL106" s="19"/>
      <c r="AM106" s="19"/>
      <c r="AN106" s="19"/>
      <c r="AO106" s="19"/>
      <c r="AP106" s="19"/>
      <c r="AQ106" s="4">
        <v>169510.0</v>
      </c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/>
      <c r="CJ106" s="19"/>
      <c r="CK106" s="19"/>
      <c r="CL106" s="19"/>
      <c r="CM106" s="19"/>
      <c r="CN106" s="19"/>
      <c r="CO106" s="19"/>
      <c r="CP106" s="19"/>
      <c r="CQ106" s="19"/>
      <c r="CR106" s="19"/>
      <c r="CS106" s="19"/>
      <c r="CT106" s="19"/>
      <c r="CU106" s="19"/>
      <c r="CV106" s="19"/>
      <c r="CW106" s="19"/>
      <c r="CX106" s="19"/>
      <c r="CY106" s="19"/>
      <c r="CZ106" s="19"/>
      <c r="DA106" s="19"/>
      <c r="DB106" s="19"/>
      <c r="DC106" s="19"/>
      <c r="DD106" s="19"/>
      <c r="DE106" s="19"/>
      <c r="DF106" s="19"/>
      <c r="DG106" s="19"/>
      <c r="DH106" s="19"/>
      <c r="DI106" s="19"/>
      <c r="DJ106" s="19"/>
      <c r="DK106" s="19"/>
      <c r="DL106" s="19"/>
      <c r="DM106" s="19"/>
      <c r="DN106" s="19"/>
      <c r="DO106" s="19"/>
      <c r="DP106" s="19"/>
      <c r="DQ106" s="19"/>
      <c r="DR106" s="19"/>
      <c r="DS106" s="19"/>
      <c r="DT106" s="19"/>
      <c r="DU106" s="19"/>
      <c r="DV106" s="19"/>
      <c r="DW106" s="19"/>
      <c r="DX106" s="19"/>
      <c r="DY106" s="19"/>
      <c r="DZ106" s="19"/>
      <c r="EA106" s="19"/>
      <c r="EB106" s="19"/>
      <c r="EC106" s="19"/>
      <c r="ED106" s="19"/>
      <c r="EE106" s="19"/>
      <c r="EF106" s="19"/>
      <c r="EG106" s="19"/>
      <c r="EH106" s="19"/>
      <c r="EI106" s="19"/>
      <c r="EJ106" s="19"/>
      <c r="EK106" s="19"/>
      <c r="EL106" s="19"/>
      <c r="EM106" s="19"/>
      <c r="EN106" s="4" t="s">
        <v>79</v>
      </c>
      <c r="EO106" s="19"/>
      <c r="EP106" s="17"/>
      <c r="EQ106" s="23"/>
      <c r="ER106" s="23" t="str">
        <f t="shared" si="1"/>
        <v/>
      </c>
      <c r="ES106" s="19"/>
      <c r="ET106" s="19" t="str">
        <f t="shared" si="2"/>
        <v/>
      </c>
      <c r="EU106" s="19"/>
      <c r="EV106" s="19"/>
      <c r="EW106" s="19"/>
      <c r="EX106" s="19"/>
      <c r="EY106" s="19"/>
      <c r="EZ106" s="19"/>
      <c r="FA106" s="19"/>
      <c r="FB106" s="19"/>
    </row>
    <row r="107" ht="15.75" customHeight="1">
      <c r="A107" s="79" t="s">
        <v>163</v>
      </c>
      <c r="B107" s="79" t="s">
        <v>591</v>
      </c>
      <c r="C107" s="79" t="s">
        <v>476</v>
      </c>
      <c r="D107" s="80">
        <v>46124.0</v>
      </c>
      <c r="E107" s="79" t="s">
        <v>1129</v>
      </c>
      <c r="F107" s="79"/>
      <c r="G107" s="79" t="s">
        <v>533</v>
      </c>
      <c r="H107" s="79" t="s">
        <v>534</v>
      </c>
      <c r="I107" s="79"/>
      <c r="J107" s="79" t="s">
        <v>1130</v>
      </c>
      <c r="K107" s="79">
        <v>3000.0</v>
      </c>
      <c r="L107" s="79"/>
      <c r="M107" s="79" t="s">
        <v>536</v>
      </c>
      <c r="N107" s="79" t="s">
        <v>1131</v>
      </c>
      <c r="O107" s="79"/>
      <c r="P107" s="79"/>
      <c r="Q107" s="79" t="s">
        <v>1132</v>
      </c>
      <c r="R107" s="80">
        <v>46902.0</v>
      </c>
      <c r="S107" s="79"/>
      <c r="T107" s="79">
        <v>10070.0</v>
      </c>
      <c r="U107" s="79"/>
      <c r="V107" s="79"/>
      <c r="W107" s="80">
        <v>46115.0</v>
      </c>
      <c r="X107" s="79"/>
      <c r="Y107" s="80">
        <v>46118.0</v>
      </c>
      <c r="Z107" s="79" t="s">
        <v>486</v>
      </c>
      <c r="AA107" s="79" t="s">
        <v>487</v>
      </c>
      <c r="AB107" s="79" t="s">
        <v>486</v>
      </c>
      <c r="AC107" s="79" t="s">
        <v>488</v>
      </c>
      <c r="AD107" s="79">
        <v>176850.0</v>
      </c>
      <c r="AE107" s="79">
        <v>12000.0</v>
      </c>
      <c r="AF107" s="79">
        <v>61250.0</v>
      </c>
      <c r="AG107" s="79">
        <v>18885.0</v>
      </c>
      <c r="AH107" s="81">
        <v>268985.0</v>
      </c>
      <c r="AI107" s="79"/>
      <c r="AJ107" s="79">
        <v>0.0</v>
      </c>
      <c r="AK107" s="79">
        <v>47085.0</v>
      </c>
      <c r="AL107" s="79">
        <v>800.0</v>
      </c>
      <c r="AM107" s="79">
        <v>61250.0</v>
      </c>
      <c r="AN107" s="79">
        <v>4789.0</v>
      </c>
      <c r="AO107" s="79">
        <v>113924.0</v>
      </c>
      <c r="AP107" s="79">
        <v>0.0</v>
      </c>
      <c r="AQ107" s="79">
        <v>140965.0</v>
      </c>
      <c r="AR107" s="79" t="s">
        <v>489</v>
      </c>
      <c r="AS107" s="79">
        <v>12000.0</v>
      </c>
      <c r="AT107" s="79" t="s">
        <v>836</v>
      </c>
      <c r="AU107" s="79" t="s">
        <v>491</v>
      </c>
      <c r="AV107" s="79">
        <v>0.0</v>
      </c>
      <c r="AW107" s="79"/>
      <c r="AX107" s="79">
        <v>0.0</v>
      </c>
      <c r="AY107" s="79"/>
      <c r="AZ107" s="79">
        <v>0.0</v>
      </c>
      <c r="BA107" s="79"/>
      <c r="BB107" s="79">
        <v>0.0</v>
      </c>
      <c r="BC107" s="79"/>
      <c r="BD107" s="79">
        <v>0.0</v>
      </c>
      <c r="BE107" s="79"/>
      <c r="BF107" s="79">
        <v>0.0</v>
      </c>
      <c r="BG107" s="79"/>
      <c r="BH107" s="79">
        <v>0.0</v>
      </c>
      <c r="BI107" s="79" t="s">
        <v>493</v>
      </c>
      <c r="BJ107" s="79">
        <v>17650.0</v>
      </c>
      <c r="BK107" s="79" t="s">
        <v>494</v>
      </c>
      <c r="BL107" s="79">
        <v>41000.0</v>
      </c>
      <c r="BM107" s="79" t="s">
        <v>495</v>
      </c>
      <c r="BN107" s="79">
        <v>2600.0</v>
      </c>
      <c r="BO107" s="79" t="s">
        <v>496</v>
      </c>
      <c r="BP107" s="79">
        <v>0.0</v>
      </c>
      <c r="BQ107" s="79"/>
      <c r="BR107" s="79">
        <v>0.0</v>
      </c>
      <c r="BS107" s="79"/>
      <c r="BT107" s="79">
        <v>0.0</v>
      </c>
      <c r="BU107" s="79"/>
      <c r="BV107" s="79">
        <v>0.0</v>
      </c>
      <c r="BW107" s="79"/>
      <c r="BX107" s="79">
        <v>0.0</v>
      </c>
      <c r="BY107" s="79">
        <v>0.0</v>
      </c>
      <c r="BZ107" s="79" t="s">
        <v>491</v>
      </c>
      <c r="CA107" s="79">
        <v>800.0</v>
      </c>
      <c r="CB107" s="79" t="s">
        <v>836</v>
      </c>
      <c r="CC107" s="79"/>
      <c r="CD107" s="79">
        <v>0.0</v>
      </c>
      <c r="CE107" s="79"/>
      <c r="CF107" s="79">
        <v>0.0</v>
      </c>
      <c r="CG107" s="79"/>
      <c r="CH107" s="79">
        <v>0.0</v>
      </c>
      <c r="CI107" s="79"/>
      <c r="CJ107" s="79">
        <v>0.0</v>
      </c>
      <c r="CK107" s="79"/>
      <c r="CL107" s="79">
        <v>0.0</v>
      </c>
      <c r="CM107" s="79"/>
      <c r="CN107" s="79">
        <v>0.0</v>
      </c>
      <c r="CO107" s="79" t="s">
        <v>493</v>
      </c>
      <c r="CP107" s="79">
        <v>17650.0</v>
      </c>
      <c r="CQ107" s="79" t="s">
        <v>494</v>
      </c>
      <c r="CR107" s="79">
        <v>41000.0</v>
      </c>
      <c r="CS107" s="79" t="s">
        <v>495</v>
      </c>
      <c r="CT107" s="79">
        <v>2600.0</v>
      </c>
      <c r="CU107" s="79" t="s">
        <v>496</v>
      </c>
      <c r="CV107" s="79">
        <v>0.0</v>
      </c>
      <c r="CW107" s="79"/>
      <c r="CX107" s="79">
        <v>0.0</v>
      </c>
      <c r="CY107" s="79"/>
      <c r="CZ107" s="79">
        <v>0.0</v>
      </c>
      <c r="DA107" s="79"/>
      <c r="DB107" s="79">
        <v>0.0</v>
      </c>
      <c r="DC107" s="79"/>
      <c r="DD107" s="79">
        <v>0.0</v>
      </c>
      <c r="DE107" s="79">
        <v>89300.0</v>
      </c>
      <c r="DF107" s="79">
        <v>87550.0</v>
      </c>
      <c r="DG107" s="79">
        <v>0.0</v>
      </c>
      <c r="DH107" s="79">
        <v>0.0</v>
      </c>
      <c r="DI107" s="79">
        <v>47085.0</v>
      </c>
      <c r="DJ107" s="79" t="s">
        <v>164</v>
      </c>
      <c r="DK107" s="79" t="s">
        <v>486</v>
      </c>
      <c r="DL107" s="79" t="s">
        <v>487</v>
      </c>
      <c r="DM107" s="79" t="s">
        <v>1133</v>
      </c>
      <c r="DN107" s="79"/>
      <c r="DO107" s="79" t="s">
        <v>1134</v>
      </c>
      <c r="DP107" s="79"/>
      <c r="DQ107" s="79"/>
      <c r="DR107" s="79"/>
      <c r="DS107" s="79"/>
      <c r="DT107" s="82"/>
      <c r="DU107" s="79"/>
      <c r="DV107" s="82"/>
      <c r="DW107" s="79"/>
      <c r="DX107" s="79"/>
      <c r="DY107" s="79"/>
      <c r="DZ107" s="79"/>
      <c r="EA107" s="79"/>
      <c r="EB107" s="79"/>
      <c r="EC107" s="79"/>
      <c r="ED107" s="79"/>
      <c r="EE107" s="79"/>
      <c r="EF107" s="82"/>
      <c r="EG107" s="79"/>
      <c r="EH107" s="82"/>
      <c r="EI107" s="79"/>
      <c r="EJ107" s="82"/>
      <c r="EK107" s="79"/>
      <c r="EL107" s="82"/>
      <c r="EM107" s="79"/>
      <c r="EN107" s="79" t="s">
        <v>156</v>
      </c>
      <c r="EO107" s="79" t="s">
        <v>162</v>
      </c>
      <c r="EP107" s="17"/>
      <c r="EQ107" s="23"/>
      <c r="ER107" s="23" t="str">
        <f t="shared" si="1"/>
        <v/>
      </c>
      <c r="ES107" s="19"/>
      <c r="ET107" s="19" t="str">
        <f t="shared" si="2"/>
        <v/>
      </c>
      <c r="EU107" s="19"/>
      <c r="EV107" s="19"/>
      <c r="EW107" s="19"/>
      <c r="EX107" s="19"/>
      <c r="EY107" s="19"/>
      <c r="EZ107" s="19"/>
      <c r="FA107" s="19"/>
      <c r="FB107" s="19"/>
    </row>
    <row r="108" ht="15.75" customHeight="1">
      <c r="A108" s="79" t="s">
        <v>1135</v>
      </c>
      <c r="B108" s="79" t="s">
        <v>543</v>
      </c>
      <c r="C108" s="79" t="s">
        <v>476</v>
      </c>
      <c r="D108" s="80">
        <v>46124.0</v>
      </c>
      <c r="E108" s="79" t="s">
        <v>1041</v>
      </c>
      <c r="F108" s="79" t="s">
        <v>1136</v>
      </c>
      <c r="G108" s="79" t="s">
        <v>1042</v>
      </c>
      <c r="H108" s="79" t="s">
        <v>1043</v>
      </c>
      <c r="I108" s="79"/>
      <c r="J108" s="79" t="s">
        <v>1044</v>
      </c>
      <c r="K108" s="79">
        <v>2680.0</v>
      </c>
      <c r="L108" s="79"/>
      <c r="M108" s="79" t="s">
        <v>1045</v>
      </c>
      <c r="N108" s="79"/>
      <c r="O108" s="79"/>
      <c r="P108" s="79"/>
      <c r="Q108" s="79"/>
      <c r="R108" s="84">
        <v>46742.0</v>
      </c>
      <c r="S108" s="79"/>
      <c r="T108" s="79">
        <v>39081.0</v>
      </c>
      <c r="U108" s="79"/>
      <c r="V108" s="79"/>
      <c r="W108" s="79"/>
      <c r="X108" s="79"/>
      <c r="Y108" s="79"/>
      <c r="Z108" s="79" t="s">
        <v>524</v>
      </c>
      <c r="AA108" s="79" t="s">
        <v>487</v>
      </c>
      <c r="AB108" s="79" t="s">
        <v>524</v>
      </c>
      <c r="AC108" s="79" t="s">
        <v>488</v>
      </c>
      <c r="AD108" s="79">
        <v>190909.0</v>
      </c>
      <c r="AE108" s="79">
        <v>0.0</v>
      </c>
      <c r="AF108" s="79">
        <v>0.0</v>
      </c>
      <c r="AG108" s="79">
        <v>19091.0</v>
      </c>
      <c r="AH108" s="83">
        <v>210000.0</v>
      </c>
      <c r="AI108" s="79"/>
      <c r="AJ108" s="79">
        <v>0.0</v>
      </c>
      <c r="AK108" s="79">
        <v>0.0</v>
      </c>
      <c r="AL108" s="83">
        <v>0.0</v>
      </c>
      <c r="AM108" s="79">
        <v>0.0</v>
      </c>
      <c r="AN108" s="79">
        <v>0.0</v>
      </c>
      <c r="AO108" s="79">
        <v>0.0</v>
      </c>
      <c r="AP108" s="79">
        <v>0.0</v>
      </c>
      <c r="AQ108" s="79">
        <v>190909.0</v>
      </c>
      <c r="AR108" s="79" t="s">
        <v>525</v>
      </c>
      <c r="AS108" s="79">
        <v>0.0</v>
      </c>
      <c r="AT108" s="79" t="s">
        <v>507</v>
      </c>
      <c r="AU108" s="79" t="s">
        <v>491</v>
      </c>
      <c r="AV108" s="79">
        <v>0.0</v>
      </c>
      <c r="AW108" s="79" t="s">
        <v>508</v>
      </c>
      <c r="AX108" s="79">
        <v>0.0</v>
      </c>
      <c r="AY108" s="79"/>
      <c r="AZ108" s="79">
        <v>0.0</v>
      </c>
      <c r="BA108" s="82"/>
      <c r="BB108" s="79">
        <v>0.0</v>
      </c>
      <c r="BC108" s="79"/>
      <c r="BD108" s="79">
        <v>0.0</v>
      </c>
      <c r="BE108" s="82"/>
      <c r="BF108" s="79">
        <v>0.0</v>
      </c>
      <c r="BG108" s="79"/>
      <c r="BH108" s="79">
        <v>0.0</v>
      </c>
      <c r="BI108" s="79" t="s">
        <v>493</v>
      </c>
      <c r="BJ108" s="79">
        <v>0.0</v>
      </c>
      <c r="BK108" s="79" t="s">
        <v>494</v>
      </c>
      <c r="BL108" s="79">
        <v>0.0</v>
      </c>
      <c r="BM108" s="79" t="s">
        <v>495</v>
      </c>
      <c r="BN108" s="79">
        <v>0.0</v>
      </c>
      <c r="BO108" s="79" t="s">
        <v>496</v>
      </c>
      <c r="BP108" s="79">
        <v>0.0</v>
      </c>
      <c r="BQ108" s="79"/>
      <c r="BR108" s="79">
        <v>0.0</v>
      </c>
      <c r="BS108" s="79"/>
      <c r="BT108" s="79">
        <v>0.0</v>
      </c>
      <c r="BU108" s="79"/>
      <c r="BV108" s="79">
        <v>0.0</v>
      </c>
      <c r="BW108" s="79"/>
      <c r="BX108" s="79">
        <v>0.0</v>
      </c>
      <c r="BY108" s="79">
        <v>0.0</v>
      </c>
      <c r="BZ108" s="79" t="s">
        <v>491</v>
      </c>
      <c r="CA108" s="79">
        <v>0.0</v>
      </c>
      <c r="CB108" s="79" t="s">
        <v>507</v>
      </c>
      <c r="CC108" s="79" t="s">
        <v>508</v>
      </c>
      <c r="CD108" s="79">
        <v>0.0</v>
      </c>
      <c r="CE108" s="79"/>
      <c r="CF108" s="79">
        <v>0.0</v>
      </c>
      <c r="CG108" s="79"/>
      <c r="CH108" s="79">
        <v>0.0</v>
      </c>
      <c r="CI108" s="79"/>
      <c r="CJ108" s="79">
        <v>0.0</v>
      </c>
      <c r="CK108" s="79"/>
      <c r="CL108" s="79">
        <v>0.0</v>
      </c>
      <c r="CM108" s="79"/>
      <c r="CN108" s="79">
        <v>0.0</v>
      </c>
      <c r="CO108" s="79" t="s">
        <v>493</v>
      </c>
      <c r="CP108" s="79">
        <v>0.0</v>
      </c>
      <c r="CQ108" s="79" t="s">
        <v>494</v>
      </c>
      <c r="CR108" s="79">
        <v>0.0</v>
      </c>
      <c r="CS108" s="79" t="s">
        <v>495</v>
      </c>
      <c r="CT108" s="79">
        <v>0.0</v>
      </c>
      <c r="CU108" s="79" t="s">
        <v>496</v>
      </c>
      <c r="CV108" s="79">
        <v>0.0</v>
      </c>
      <c r="CW108" s="79"/>
      <c r="CX108" s="79">
        <v>0.0</v>
      </c>
      <c r="CY108" s="79"/>
      <c r="CZ108" s="79">
        <v>0.0</v>
      </c>
      <c r="DA108" s="79"/>
      <c r="DB108" s="79">
        <v>0.0</v>
      </c>
      <c r="DC108" s="79"/>
      <c r="DD108" s="79">
        <v>0.0</v>
      </c>
      <c r="DE108" s="79">
        <v>0.0</v>
      </c>
      <c r="DF108" s="79">
        <v>190909.0</v>
      </c>
      <c r="DG108" s="79">
        <v>0.0</v>
      </c>
      <c r="DH108" s="79">
        <v>0.0</v>
      </c>
      <c r="DI108" s="79">
        <v>0.0</v>
      </c>
      <c r="DJ108" s="79" t="s">
        <v>320</v>
      </c>
      <c r="DK108" s="79" t="s">
        <v>524</v>
      </c>
      <c r="DL108" s="79" t="s">
        <v>487</v>
      </c>
      <c r="DM108" s="79" t="s">
        <v>1046</v>
      </c>
      <c r="DN108" s="79" t="s">
        <v>1047</v>
      </c>
      <c r="DO108" s="79" t="s">
        <v>1048</v>
      </c>
      <c r="DP108" s="82"/>
      <c r="DQ108" s="79"/>
      <c r="DR108" s="82"/>
      <c r="DS108" s="79"/>
      <c r="DT108" s="82"/>
      <c r="DU108" s="79"/>
      <c r="DV108" s="82"/>
      <c r="DW108" s="79"/>
      <c r="DX108" s="79"/>
      <c r="DY108" s="79"/>
      <c r="DZ108" s="79"/>
      <c r="EA108" s="79"/>
      <c r="EB108" s="79"/>
      <c r="EC108" s="79"/>
      <c r="ED108" s="79"/>
      <c r="EE108" s="79"/>
      <c r="EF108" s="82"/>
      <c r="EG108" s="79"/>
      <c r="EH108" s="82"/>
      <c r="EI108" s="79"/>
      <c r="EJ108" s="82"/>
      <c r="EK108" s="79"/>
      <c r="EL108" s="82"/>
      <c r="EM108" s="79"/>
      <c r="EN108" s="79" t="s">
        <v>156</v>
      </c>
      <c r="EO108" s="79" t="s">
        <v>48</v>
      </c>
      <c r="EP108" s="17"/>
      <c r="EQ108" s="23"/>
      <c r="ER108" s="23" t="str">
        <f t="shared" si="1"/>
        <v/>
      </c>
      <c r="ES108" s="19"/>
      <c r="ET108" s="19" t="str">
        <f t="shared" si="2"/>
        <v/>
      </c>
      <c r="EU108" s="19"/>
      <c r="EV108" s="19"/>
      <c r="EW108" s="19"/>
      <c r="EX108" s="19"/>
      <c r="EY108" s="19"/>
      <c r="EZ108" s="19"/>
      <c r="FA108" s="19"/>
      <c r="FB108" s="19"/>
    </row>
    <row r="109" ht="15.75" customHeight="1">
      <c r="A109" s="79" t="s">
        <v>1137</v>
      </c>
      <c r="B109" s="79" t="s">
        <v>475</v>
      </c>
      <c r="C109" s="79" t="s">
        <v>476</v>
      </c>
      <c r="D109" s="80">
        <v>46124.0</v>
      </c>
      <c r="E109" s="79" t="s">
        <v>1138</v>
      </c>
      <c r="F109" s="79" t="s">
        <v>568</v>
      </c>
      <c r="G109" s="79" t="s">
        <v>1139</v>
      </c>
      <c r="H109" s="79" t="s">
        <v>534</v>
      </c>
      <c r="I109" s="79"/>
      <c r="J109" s="79" t="s">
        <v>1140</v>
      </c>
      <c r="K109" s="79">
        <v>0.0</v>
      </c>
      <c r="L109" s="79"/>
      <c r="M109" s="79" t="s">
        <v>1141</v>
      </c>
      <c r="N109" s="79"/>
      <c r="O109" s="79"/>
      <c r="P109" s="79"/>
      <c r="Q109" s="79"/>
      <c r="R109" s="84">
        <v>47102.0</v>
      </c>
      <c r="S109" s="79"/>
      <c r="T109" s="79">
        <v>1650.0</v>
      </c>
      <c r="U109" s="79"/>
      <c r="V109" s="79"/>
      <c r="W109" s="80">
        <v>46122.0</v>
      </c>
      <c r="X109" s="79"/>
      <c r="Y109" s="80">
        <v>46125.0</v>
      </c>
      <c r="Z109" s="79" t="s">
        <v>486</v>
      </c>
      <c r="AA109" s="79" t="s">
        <v>537</v>
      </c>
      <c r="AB109" s="79" t="s">
        <v>486</v>
      </c>
      <c r="AC109" s="79" t="s">
        <v>488</v>
      </c>
      <c r="AD109" s="79">
        <v>9000.0</v>
      </c>
      <c r="AE109" s="79">
        <v>0.0</v>
      </c>
      <c r="AF109" s="79">
        <v>0.0</v>
      </c>
      <c r="AG109" s="79">
        <v>900.0</v>
      </c>
      <c r="AH109" s="83">
        <v>9900.0</v>
      </c>
      <c r="AI109" s="79"/>
      <c r="AJ109" s="79">
        <v>0.0</v>
      </c>
      <c r="AK109" s="79">
        <v>0.0</v>
      </c>
      <c r="AL109" s="83">
        <v>0.0</v>
      </c>
      <c r="AM109" s="79">
        <v>0.0</v>
      </c>
      <c r="AN109" s="79">
        <v>0.0</v>
      </c>
      <c r="AO109" s="79">
        <v>0.0</v>
      </c>
      <c r="AP109" s="79">
        <v>0.0</v>
      </c>
      <c r="AQ109" s="79">
        <v>9000.0</v>
      </c>
      <c r="AR109" s="79" t="s">
        <v>489</v>
      </c>
      <c r="AS109" s="79">
        <v>0.0</v>
      </c>
      <c r="AT109" s="79" t="s">
        <v>507</v>
      </c>
      <c r="AU109" s="79" t="s">
        <v>491</v>
      </c>
      <c r="AV109" s="79">
        <v>0.0</v>
      </c>
      <c r="AW109" s="79" t="s">
        <v>508</v>
      </c>
      <c r="AX109" s="79">
        <v>0.0</v>
      </c>
      <c r="AY109" s="82"/>
      <c r="AZ109" s="79">
        <v>0.0</v>
      </c>
      <c r="BA109" s="82"/>
      <c r="BB109" s="79">
        <v>0.0</v>
      </c>
      <c r="BC109" s="79"/>
      <c r="BD109" s="79">
        <v>0.0</v>
      </c>
      <c r="BE109" s="82"/>
      <c r="BF109" s="79">
        <v>0.0</v>
      </c>
      <c r="BG109" s="79"/>
      <c r="BH109" s="79">
        <v>0.0</v>
      </c>
      <c r="BI109" s="79" t="s">
        <v>493</v>
      </c>
      <c r="BJ109" s="79">
        <v>0.0</v>
      </c>
      <c r="BK109" s="79" t="s">
        <v>494</v>
      </c>
      <c r="BL109" s="79">
        <v>0.0</v>
      </c>
      <c r="BM109" s="79" t="s">
        <v>495</v>
      </c>
      <c r="BN109" s="79">
        <v>0.0</v>
      </c>
      <c r="BO109" s="79" t="s">
        <v>496</v>
      </c>
      <c r="BP109" s="79">
        <v>0.0</v>
      </c>
      <c r="BQ109" s="79"/>
      <c r="BR109" s="79">
        <v>0.0</v>
      </c>
      <c r="BS109" s="79"/>
      <c r="BT109" s="79">
        <v>0.0</v>
      </c>
      <c r="BU109" s="79"/>
      <c r="BV109" s="79">
        <v>0.0</v>
      </c>
      <c r="BW109" s="79"/>
      <c r="BX109" s="79">
        <v>0.0</v>
      </c>
      <c r="BY109" s="79">
        <v>0.0</v>
      </c>
      <c r="BZ109" s="79" t="s">
        <v>491</v>
      </c>
      <c r="CA109" s="79">
        <v>0.0</v>
      </c>
      <c r="CB109" s="79" t="s">
        <v>507</v>
      </c>
      <c r="CC109" s="79" t="s">
        <v>508</v>
      </c>
      <c r="CD109" s="79">
        <v>0.0</v>
      </c>
      <c r="CE109" s="79"/>
      <c r="CF109" s="79">
        <v>0.0</v>
      </c>
      <c r="CG109" s="79"/>
      <c r="CH109" s="79">
        <v>0.0</v>
      </c>
      <c r="CI109" s="79"/>
      <c r="CJ109" s="79">
        <v>0.0</v>
      </c>
      <c r="CK109" s="79"/>
      <c r="CL109" s="79">
        <v>0.0</v>
      </c>
      <c r="CM109" s="79"/>
      <c r="CN109" s="79">
        <v>0.0</v>
      </c>
      <c r="CO109" s="79" t="s">
        <v>493</v>
      </c>
      <c r="CP109" s="79">
        <v>0.0</v>
      </c>
      <c r="CQ109" s="79" t="s">
        <v>494</v>
      </c>
      <c r="CR109" s="79">
        <v>0.0</v>
      </c>
      <c r="CS109" s="79" t="s">
        <v>495</v>
      </c>
      <c r="CT109" s="79">
        <v>0.0</v>
      </c>
      <c r="CU109" s="79" t="s">
        <v>496</v>
      </c>
      <c r="CV109" s="79">
        <v>0.0</v>
      </c>
      <c r="CW109" s="79"/>
      <c r="CX109" s="79">
        <v>0.0</v>
      </c>
      <c r="CY109" s="79"/>
      <c r="CZ109" s="79">
        <v>0.0</v>
      </c>
      <c r="DA109" s="79"/>
      <c r="DB109" s="79">
        <v>0.0</v>
      </c>
      <c r="DC109" s="79"/>
      <c r="DD109" s="79">
        <v>0.0</v>
      </c>
      <c r="DE109" s="79">
        <v>9000.0</v>
      </c>
      <c r="DF109" s="79">
        <v>0.0</v>
      </c>
      <c r="DG109" s="79">
        <v>0.0</v>
      </c>
      <c r="DH109" s="79">
        <v>0.0</v>
      </c>
      <c r="DI109" s="79">
        <v>0.0</v>
      </c>
      <c r="DJ109" s="79" t="s">
        <v>1142</v>
      </c>
      <c r="DK109" s="79" t="s">
        <v>486</v>
      </c>
      <c r="DL109" s="79" t="s">
        <v>537</v>
      </c>
      <c r="DM109" s="79" t="s">
        <v>1143</v>
      </c>
      <c r="DN109" s="82"/>
      <c r="DO109" s="79" t="s">
        <v>1144</v>
      </c>
      <c r="DP109" s="82"/>
      <c r="DQ109" s="79"/>
      <c r="DR109" s="82"/>
      <c r="DS109" s="79"/>
      <c r="DT109" s="82"/>
      <c r="DU109" s="79"/>
      <c r="DV109" s="82"/>
      <c r="DW109" s="79"/>
      <c r="DX109" s="79"/>
      <c r="DY109" s="79"/>
      <c r="DZ109" s="79"/>
      <c r="EA109" s="79"/>
      <c r="EB109" s="79"/>
      <c r="EC109" s="79"/>
      <c r="ED109" s="79"/>
      <c r="EE109" s="79"/>
      <c r="EF109" s="82"/>
      <c r="EG109" s="79"/>
      <c r="EH109" s="82"/>
      <c r="EI109" s="79"/>
      <c r="EJ109" s="82"/>
      <c r="EK109" s="79"/>
      <c r="EL109" s="82"/>
      <c r="EM109" s="79"/>
      <c r="EN109" s="79" t="s">
        <v>79</v>
      </c>
      <c r="EO109" s="79"/>
      <c r="EP109" s="17"/>
      <c r="EQ109" s="23"/>
      <c r="ER109" s="23" t="str">
        <f t="shared" si="1"/>
        <v/>
      </c>
      <c r="ES109" s="19"/>
      <c r="ET109" s="19" t="str">
        <f t="shared" si="2"/>
        <v/>
      </c>
      <c r="EU109" s="19"/>
      <c r="EV109" s="19"/>
      <c r="EW109" s="19"/>
      <c r="EX109" s="19"/>
      <c r="EY109" s="19"/>
      <c r="EZ109" s="19"/>
      <c r="FA109" s="19"/>
      <c r="FB109" s="19"/>
    </row>
    <row r="110" ht="15.75" customHeight="1">
      <c r="A110" s="79" t="s">
        <v>1145</v>
      </c>
      <c r="B110" s="79" t="s">
        <v>475</v>
      </c>
      <c r="C110" s="79" t="s">
        <v>476</v>
      </c>
      <c r="D110" s="80">
        <v>46124.0</v>
      </c>
      <c r="E110" s="79" t="s">
        <v>1146</v>
      </c>
      <c r="F110" s="79" t="s">
        <v>568</v>
      </c>
      <c r="G110" s="79" t="s">
        <v>1012</v>
      </c>
      <c r="H110" s="79" t="s">
        <v>895</v>
      </c>
      <c r="I110" s="79"/>
      <c r="J110" s="79" t="s">
        <v>1147</v>
      </c>
      <c r="K110" s="79">
        <v>4390.0</v>
      </c>
      <c r="L110" s="79"/>
      <c r="M110" s="79" t="s">
        <v>1148</v>
      </c>
      <c r="N110" s="79" t="s">
        <v>521</v>
      </c>
      <c r="O110" s="79" t="s">
        <v>484</v>
      </c>
      <c r="P110" s="79"/>
      <c r="Q110" s="79" t="s">
        <v>1149</v>
      </c>
      <c r="R110" s="80">
        <v>46139.0</v>
      </c>
      <c r="S110" s="79"/>
      <c r="T110" s="79">
        <v>9698.0</v>
      </c>
      <c r="U110" s="79"/>
      <c r="V110" s="79"/>
      <c r="W110" s="80">
        <v>46107.0</v>
      </c>
      <c r="X110" s="79"/>
      <c r="Y110" s="80">
        <v>46114.0</v>
      </c>
      <c r="Z110" s="79" t="s">
        <v>486</v>
      </c>
      <c r="AA110" s="79" t="s">
        <v>487</v>
      </c>
      <c r="AB110" s="79" t="s">
        <v>486</v>
      </c>
      <c r="AC110" s="79" t="s">
        <v>488</v>
      </c>
      <c r="AD110" s="79">
        <v>27800.0</v>
      </c>
      <c r="AE110" s="79">
        <v>0.0</v>
      </c>
      <c r="AF110" s="79">
        <v>0.0</v>
      </c>
      <c r="AG110" s="79">
        <v>2780.0</v>
      </c>
      <c r="AH110" s="83">
        <v>30580.0</v>
      </c>
      <c r="AI110" s="79"/>
      <c r="AJ110" s="79">
        <v>0.0</v>
      </c>
      <c r="AK110" s="79">
        <v>17741.0</v>
      </c>
      <c r="AL110" s="83">
        <v>0.0</v>
      </c>
      <c r="AM110" s="79">
        <v>0.0</v>
      </c>
      <c r="AN110" s="79">
        <v>1774.0</v>
      </c>
      <c r="AO110" s="79">
        <v>19515.0</v>
      </c>
      <c r="AP110" s="79">
        <v>0.0</v>
      </c>
      <c r="AQ110" s="79">
        <v>10059.0</v>
      </c>
      <c r="AR110" s="79" t="s">
        <v>489</v>
      </c>
      <c r="AS110" s="79">
        <v>0.0</v>
      </c>
      <c r="AT110" s="79" t="s">
        <v>490</v>
      </c>
      <c r="AU110" s="79" t="s">
        <v>491</v>
      </c>
      <c r="AV110" s="79">
        <v>0.0</v>
      </c>
      <c r="AW110" s="79"/>
      <c r="AX110" s="79">
        <v>0.0</v>
      </c>
      <c r="AY110" s="79" t="s">
        <v>492</v>
      </c>
      <c r="AZ110" s="79">
        <v>0.0</v>
      </c>
      <c r="BA110" s="82"/>
      <c r="BB110" s="79">
        <v>0.0</v>
      </c>
      <c r="BC110" s="79"/>
      <c r="BD110" s="79">
        <v>0.0</v>
      </c>
      <c r="BE110" s="82"/>
      <c r="BF110" s="79">
        <v>0.0</v>
      </c>
      <c r="BG110" s="79"/>
      <c r="BH110" s="79">
        <v>0.0</v>
      </c>
      <c r="BI110" s="79" t="s">
        <v>493</v>
      </c>
      <c r="BJ110" s="79">
        <v>0.0</v>
      </c>
      <c r="BK110" s="79" t="s">
        <v>494</v>
      </c>
      <c r="BL110" s="79">
        <v>0.0</v>
      </c>
      <c r="BM110" s="79" t="s">
        <v>495</v>
      </c>
      <c r="BN110" s="79">
        <v>0.0</v>
      </c>
      <c r="BO110" s="79" t="s">
        <v>496</v>
      </c>
      <c r="BP110" s="79">
        <v>0.0</v>
      </c>
      <c r="BQ110" s="79"/>
      <c r="BR110" s="79">
        <v>0.0</v>
      </c>
      <c r="BS110" s="79"/>
      <c r="BT110" s="79">
        <v>0.0</v>
      </c>
      <c r="BU110" s="79"/>
      <c r="BV110" s="79">
        <v>0.0</v>
      </c>
      <c r="BW110" s="79"/>
      <c r="BX110" s="79">
        <v>0.0</v>
      </c>
      <c r="BY110" s="79">
        <v>0.0</v>
      </c>
      <c r="BZ110" s="79" t="s">
        <v>491</v>
      </c>
      <c r="CA110" s="79">
        <v>0.0</v>
      </c>
      <c r="CB110" s="79" t="s">
        <v>490</v>
      </c>
      <c r="CC110" s="79"/>
      <c r="CD110" s="79">
        <v>0.0</v>
      </c>
      <c r="CE110" s="79" t="s">
        <v>492</v>
      </c>
      <c r="CF110" s="79">
        <v>0.0</v>
      </c>
      <c r="CG110" s="79"/>
      <c r="CH110" s="79">
        <v>0.0</v>
      </c>
      <c r="CI110" s="79"/>
      <c r="CJ110" s="79">
        <v>0.0</v>
      </c>
      <c r="CK110" s="79"/>
      <c r="CL110" s="79">
        <v>0.0</v>
      </c>
      <c r="CM110" s="79"/>
      <c r="CN110" s="79">
        <v>0.0</v>
      </c>
      <c r="CO110" s="79" t="s">
        <v>493</v>
      </c>
      <c r="CP110" s="79">
        <v>0.0</v>
      </c>
      <c r="CQ110" s="79" t="s">
        <v>494</v>
      </c>
      <c r="CR110" s="79">
        <v>0.0</v>
      </c>
      <c r="CS110" s="79" t="s">
        <v>495</v>
      </c>
      <c r="CT110" s="79">
        <v>0.0</v>
      </c>
      <c r="CU110" s="79" t="s">
        <v>496</v>
      </c>
      <c r="CV110" s="79">
        <v>0.0</v>
      </c>
      <c r="CW110" s="79"/>
      <c r="CX110" s="79">
        <v>0.0</v>
      </c>
      <c r="CY110" s="79"/>
      <c r="CZ110" s="79">
        <v>0.0</v>
      </c>
      <c r="DA110" s="79"/>
      <c r="DB110" s="79">
        <v>0.0</v>
      </c>
      <c r="DC110" s="79"/>
      <c r="DD110" s="79">
        <v>0.0</v>
      </c>
      <c r="DE110" s="79">
        <v>0.0</v>
      </c>
      <c r="DF110" s="79">
        <v>27800.0</v>
      </c>
      <c r="DG110" s="79">
        <v>0.0</v>
      </c>
      <c r="DH110" s="79">
        <v>0.0</v>
      </c>
      <c r="DI110" s="79">
        <v>17741.0</v>
      </c>
      <c r="DJ110" s="79" t="s">
        <v>1150</v>
      </c>
      <c r="DK110" s="79" t="s">
        <v>486</v>
      </c>
      <c r="DL110" s="79" t="s">
        <v>1151</v>
      </c>
      <c r="DM110" s="79" t="s">
        <v>1152</v>
      </c>
      <c r="DN110" s="79" t="s">
        <v>1153</v>
      </c>
      <c r="DO110" s="79" t="s">
        <v>1154</v>
      </c>
      <c r="DP110" s="82"/>
      <c r="DQ110" s="79"/>
      <c r="DR110" s="82"/>
      <c r="DS110" s="79"/>
      <c r="DT110" s="82"/>
      <c r="DU110" s="79"/>
      <c r="DV110" s="82"/>
      <c r="DW110" s="79"/>
      <c r="DX110" s="79"/>
      <c r="DY110" s="79"/>
      <c r="DZ110" s="79"/>
      <c r="EA110" s="79"/>
      <c r="EB110" s="79"/>
      <c r="EC110" s="79"/>
      <c r="ED110" s="79"/>
      <c r="EE110" s="79"/>
      <c r="EF110" s="82"/>
      <c r="EG110" s="79"/>
      <c r="EH110" s="82"/>
      <c r="EI110" s="79"/>
      <c r="EJ110" s="82"/>
      <c r="EK110" s="79"/>
      <c r="EL110" s="82"/>
      <c r="EM110" s="79"/>
      <c r="EN110" s="79" t="s">
        <v>79</v>
      </c>
      <c r="EO110" s="79"/>
      <c r="EP110" s="17"/>
      <c r="EQ110" s="23"/>
      <c r="ER110" s="23" t="str">
        <f t="shared" si="1"/>
        <v/>
      </c>
      <c r="ES110" s="19"/>
      <c r="ET110" s="19" t="str">
        <f t="shared" si="2"/>
        <v/>
      </c>
      <c r="EU110" s="19"/>
      <c r="EV110" s="19"/>
      <c r="EW110" s="19"/>
      <c r="EX110" s="19"/>
      <c r="EY110" s="19"/>
      <c r="EZ110" s="19"/>
      <c r="FA110" s="19"/>
      <c r="FB110" s="19"/>
    </row>
    <row r="111" ht="15.75" customHeight="1">
      <c r="A111" s="79" t="s">
        <v>168</v>
      </c>
      <c r="B111" s="79" t="s">
        <v>475</v>
      </c>
      <c r="C111" s="79" t="s">
        <v>476</v>
      </c>
      <c r="D111" s="80">
        <v>46124.0</v>
      </c>
      <c r="E111" s="79" t="s">
        <v>1155</v>
      </c>
      <c r="F111" s="82"/>
      <c r="G111" s="79" t="s">
        <v>1156</v>
      </c>
      <c r="H111" s="79" t="s">
        <v>479</v>
      </c>
      <c r="I111" s="79" t="s">
        <v>480</v>
      </c>
      <c r="J111" s="79" t="s">
        <v>1157</v>
      </c>
      <c r="K111" s="79">
        <v>2000.0</v>
      </c>
      <c r="L111" s="79" t="s">
        <v>482</v>
      </c>
      <c r="M111" s="79" t="s">
        <v>913</v>
      </c>
      <c r="N111" s="79"/>
      <c r="O111" s="79" t="s">
        <v>484</v>
      </c>
      <c r="P111" s="79" t="s">
        <v>914</v>
      </c>
      <c r="Q111" s="79" t="s">
        <v>1158</v>
      </c>
      <c r="R111" s="80">
        <v>46605.0</v>
      </c>
      <c r="S111" s="79"/>
      <c r="T111" s="79">
        <v>26020.0</v>
      </c>
      <c r="U111" s="79"/>
      <c r="V111" s="79"/>
      <c r="W111" s="79"/>
      <c r="X111" s="79"/>
      <c r="Y111" s="79"/>
      <c r="Z111" s="79" t="s">
        <v>486</v>
      </c>
      <c r="AA111" s="79" t="s">
        <v>487</v>
      </c>
      <c r="AB111" s="79" t="s">
        <v>486</v>
      </c>
      <c r="AC111" s="79" t="s">
        <v>488</v>
      </c>
      <c r="AD111" s="79">
        <v>29800.0</v>
      </c>
      <c r="AE111" s="79">
        <v>0.0</v>
      </c>
      <c r="AF111" s="79">
        <v>0.0</v>
      </c>
      <c r="AG111" s="79">
        <v>2980.0</v>
      </c>
      <c r="AH111" s="83">
        <v>32780.0</v>
      </c>
      <c r="AI111" s="79"/>
      <c r="AJ111" s="79">
        <v>0.0</v>
      </c>
      <c r="AK111" s="79">
        <v>8450.0</v>
      </c>
      <c r="AL111" s="83">
        <v>0.0</v>
      </c>
      <c r="AM111" s="79">
        <v>0.0</v>
      </c>
      <c r="AN111" s="79">
        <v>845.0</v>
      </c>
      <c r="AO111" s="79">
        <v>9295.0</v>
      </c>
      <c r="AP111" s="79">
        <v>0.0</v>
      </c>
      <c r="AQ111" s="79">
        <v>21350.0</v>
      </c>
      <c r="AR111" s="79" t="s">
        <v>489</v>
      </c>
      <c r="AS111" s="79">
        <v>0.0</v>
      </c>
      <c r="AT111" s="79" t="s">
        <v>490</v>
      </c>
      <c r="AU111" s="79" t="s">
        <v>491</v>
      </c>
      <c r="AV111" s="79">
        <v>0.0</v>
      </c>
      <c r="AW111" s="79"/>
      <c r="AX111" s="79">
        <v>0.0</v>
      </c>
      <c r="AY111" s="79" t="s">
        <v>492</v>
      </c>
      <c r="AZ111" s="79">
        <v>0.0</v>
      </c>
      <c r="BA111" s="79"/>
      <c r="BB111" s="79">
        <v>0.0</v>
      </c>
      <c r="BC111" s="82"/>
      <c r="BD111" s="79">
        <v>0.0</v>
      </c>
      <c r="BE111" s="82"/>
      <c r="BF111" s="79">
        <v>0.0</v>
      </c>
      <c r="BG111" s="79"/>
      <c r="BH111" s="79">
        <v>0.0</v>
      </c>
      <c r="BI111" s="79" t="s">
        <v>493</v>
      </c>
      <c r="BJ111" s="79">
        <v>0.0</v>
      </c>
      <c r="BK111" s="79" t="s">
        <v>494</v>
      </c>
      <c r="BL111" s="79">
        <v>0.0</v>
      </c>
      <c r="BM111" s="79" t="s">
        <v>495</v>
      </c>
      <c r="BN111" s="79">
        <v>0.0</v>
      </c>
      <c r="BO111" s="79" t="s">
        <v>496</v>
      </c>
      <c r="BP111" s="79">
        <v>0.0</v>
      </c>
      <c r="BQ111" s="79"/>
      <c r="BR111" s="79">
        <v>0.0</v>
      </c>
      <c r="BS111" s="79"/>
      <c r="BT111" s="79">
        <v>0.0</v>
      </c>
      <c r="BU111" s="79"/>
      <c r="BV111" s="79">
        <v>0.0</v>
      </c>
      <c r="BW111" s="79"/>
      <c r="BX111" s="79">
        <v>0.0</v>
      </c>
      <c r="BY111" s="79">
        <v>0.0</v>
      </c>
      <c r="BZ111" s="79" t="s">
        <v>491</v>
      </c>
      <c r="CA111" s="79">
        <v>0.0</v>
      </c>
      <c r="CB111" s="79" t="s">
        <v>490</v>
      </c>
      <c r="CC111" s="79"/>
      <c r="CD111" s="79">
        <v>0.0</v>
      </c>
      <c r="CE111" s="79" t="s">
        <v>492</v>
      </c>
      <c r="CF111" s="79">
        <v>0.0</v>
      </c>
      <c r="CG111" s="79"/>
      <c r="CH111" s="79">
        <v>0.0</v>
      </c>
      <c r="CI111" s="79"/>
      <c r="CJ111" s="79">
        <v>0.0</v>
      </c>
      <c r="CK111" s="79"/>
      <c r="CL111" s="79">
        <v>0.0</v>
      </c>
      <c r="CM111" s="79"/>
      <c r="CN111" s="79">
        <v>0.0</v>
      </c>
      <c r="CO111" s="79" t="s">
        <v>493</v>
      </c>
      <c r="CP111" s="79">
        <v>0.0</v>
      </c>
      <c r="CQ111" s="79" t="s">
        <v>494</v>
      </c>
      <c r="CR111" s="79">
        <v>0.0</v>
      </c>
      <c r="CS111" s="79" t="s">
        <v>495</v>
      </c>
      <c r="CT111" s="79">
        <v>0.0</v>
      </c>
      <c r="CU111" s="79" t="s">
        <v>496</v>
      </c>
      <c r="CV111" s="79">
        <v>0.0</v>
      </c>
      <c r="CW111" s="79"/>
      <c r="CX111" s="79">
        <v>0.0</v>
      </c>
      <c r="CY111" s="79"/>
      <c r="CZ111" s="79">
        <v>0.0</v>
      </c>
      <c r="DA111" s="79"/>
      <c r="DB111" s="79">
        <v>0.0</v>
      </c>
      <c r="DC111" s="79"/>
      <c r="DD111" s="79">
        <v>0.0</v>
      </c>
      <c r="DE111" s="79">
        <v>5100.0</v>
      </c>
      <c r="DF111" s="79">
        <v>24700.0</v>
      </c>
      <c r="DG111" s="79">
        <v>0.0</v>
      </c>
      <c r="DH111" s="79">
        <v>0.0</v>
      </c>
      <c r="DI111" s="79">
        <v>8450.0</v>
      </c>
      <c r="DJ111" s="79" t="s">
        <v>169</v>
      </c>
      <c r="DK111" s="79" t="s">
        <v>486</v>
      </c>
      <c r="DL111" s="79" t="s">
        <v>487</v>
      </c>
      <c r="DM111" s="79" t="s">
        <v>1159</v>
      </c>
      <c r="DN111" s="82"/>
      <c r="DO111" s="79" t="s">
        <v>1160</v>
      </c>
      <c r="DP111" s="82"/>
      <c r="DQ111" s="79"/>
      <c r="DR111" s="82"/>
      <c r="DS111" s="79"/>
      <c r="DT111" s="82"/>
      <c r="DU111" s="79"/>
      <c r="DV111" s="82"/>
      <c r="DW111" s="79"/>
      <c r="DX111" s="79"/>
      <c r="DY111" s="79"/>
      <c r="DZ111" s="79"/>
      <c r="EA111" s="79"/>
      <c r="EB111" s="79"/>
      <c r="EC111" s="79"/>
      <c r="ED111" s="79"/>
      <c r="EE111" s="79"/>
      <c r="EF111" s="82"/>
      <c r="EG111" s="79"/>
      <c r="EH111" s="82"/>
      <c r="EI111" s="79"/>
      <c r="EJ111" s="82"/>
      <c r="EK111" s="79"/>
      <c r="EL111" s="82"/>
      <c r="EM111" s="79"/>
      <c r="EN111" s="79" t="s">
        <v>156</v>
      </c>
      <c r="EO111" s="79" t="s">
        <v>162</v>
      </c>
      <c r="EP111" s="17"/>
      <c r="EQ111" s="23"/>
      <c r="ER111" s="23" t="str">
        <f t="shared" si="1"/>
        <v/>
      </c>
      <c r="ES111" s="19"/>
      <c r="ET111" s="19" t="str">
        <f t="shared" si="2"/>
        <v/>
      </c>
      <c r="EU111" s="19"/>
      <c r="EV111" s="19"/>
      <c r="EW111" s="19"/>
      <c r="EX111" s="19"/>
      <c r="EY111" s="19"/>
      <c r="EZ111" s="19"/>
      <c r="FA111" s="19"/>
      <c r="FB111" s="19"/>
    </row>
    <row r="112" ht="15.75" customHeight="1">
      <c r="A112" s="79" t="s">
        <v>1161</v>
      </c>
      <c r="B112" s="79" t="s">
        <v>530</v>
      </c>
      <c r="C112" s="79" t="s">
        <v>476</v>
      </c>
      <c r="D112" s="80">
        <v>46124.0</v>
      </c>
      <c r="E112" s="79" t="s">
        <v>1162</v>
      </c>
      <c r="F112" s="79" t="s">
        <v>1163</v>
      </c>
      <c r="G112" s="79" t="s">
        <v>1164</v>
      </c>
      <c r="H112" s="79" t="s">
        <v>479</v>
      </c>
      <c r="I112" s="79" t="s">
        <v>737</v>
      </c>
      <c r="J112" s="79" t="s">
        <v>1165</v>
      </c>
      <c r="K112" s="79">
        <v>2000.0</v>
      </c>
      <c r="L112" s="79" t="s">
        <v>821</v>
      </c>
      <c r="M112" s="79" t="s">
        <v>1166</v>
      </c>
      <c r="N112" s="79" t="s">
        <v>1167</v>
      </c>
      <c r="O112" s="79" t="s">
        <v>740</v>
      </c>
      <c r="P112" s="79"/>
      <c r="Q112" s="79" t="s">
        <v>1168</v>
      </c>
      <c r="R112" s="80">
        <v>46851.0</v>
      </c>
      <c r="S112" s="79"/>
      <c r="T112" s="79">
        <v>40506.0</v>
      </c>
      <c r="U112" s="79"/>
      <c r="V112" s="79"/>
      <c r="W112" s="80">
        <v>46093.0</v>
      </c>
      <c r="X112" s="79"/>
      <c r="Y112" s="80">
        <v>46116.0</v>
      </c>
      <c r="Z112" s="79" t="s">
        <v>486</v>
      </c>
      <c r="AA112" s="79" t="s">
        <v>555</v>
      </c>
      <c r="AB112" s="79" t="s">
        <v>486</v>
      </c>
      <c r="AC112" s="79" t="s">
        <v>488</v>
      </c>
      <c r="AD112" s="79">
        <v>68182.0</v>
      </c>
      <c r="AE112" s="79">
        <v>0.0</v>
      </c>
      <c r="AF112" s="79">
        <v>0.0</v>
      </c>
      <c r="AG112" s="79">
        <v>6818.0</v>
      </c>
      <c r="AH112" s="83">
        <v>75000.0</v>
      </c>
      <c r="AI112" s="79"/>
      <c r="AJ112" s="79">
        <v>0.0</v>
      </c>
      <c r="AK112" s="79">
        <v>0.0</v>
      </c>
      <c r="AL112" s="83">
        <v>0.0</v>
      </c>
      <c r="AM112" s="79">
        <v>0.0</v>
      </c>
      <c r="AN112" s="79">
        <v>0.0</v>
      </c>
      <c r="AO112" s="79">
        <v>0.0</v>
      </c>
      <c r="AP112" s="79">
        <v>0.0</v>
      </c>
      <c r="AQ112" s="79">
        <v>68182.0</v>
      </c>
      <c r="AR112" s="79" t="s">
        <v>489</v>
      </c>
      <c r="AS112" s="79">
        <v>0.0</v>
      </c>
      <c r="AT112" s="79" t="s">
        <v>836</v>
      </c>
      <c r="AU112" s="79" t="s">
        <v>491</v>
      </c>
      <c r="AV112" s="79">
        <v>0.0</v>
      </c>
      <c r="AW112" s="79"/>
      <c r="AX112" s="79">
        <v>0.0</v>
      </c>
      <c r="AY112" s="79"/>
      <c r="AZ112" s="79">
        <v>0.0</v>
      </c>
      <c r="BA112" s="82"/>
      <c r="BB112" s="79">
        <v>0.0</v>
      </c>
      <c r="BC112" s="82"/>
      <c r="BD112" s="79">
        <v>0.0</v>
      </c>
      <c r="BE112" s="82"/>
      <c r="BF112" s="79">
        <v>0.0</v>
      </c>
      <c r="BG112" s="79"/>
      <c r="BH112" s="79">
        <v>0.0</v>
      </c>
      <c r="BI112" s="79" t="s">
        <v>493</v>
      </c>
      <c r="BJ112" s="79">
        <v>0.0</v>
      </c>
      <c r="BK112" s="79" t="s">
        <v>494</v>
      </c>
      <c r="BL112" s="79">
        <v>0.0</v>
      </c>
      <c r="BM112" s="79" t="s">
        <v>495</v>
      </c>
      <c r="BN112" s="79">
        <v>0.0</v>
      </c>
      <c r="BO112" s="79" t="s">
        <v>496</v>
      </c>
      <c r="BP112" s="79">
        <v>0.0</v>
      </c>
      <c r="BQ112" s="79"/>
      <c r="BR112" s="79">
        <v>0.0</v>
      </c>
      <c r="BS112" s="79"/>
      <c r="BT112" s="79">
        <v>0.0</v>
      </c>
      <c r="BU112" s="79"/>
      <c r="BV112" s="79">
        <v>0.0</v>
      </c>
      <c r="BW112" s="79"/>
      <c r="BX112" s="79">
        <v>0.0</v>
      </c>
      <c r="BY112" s="79">
        <v>0.0</v>
      </c>
      <c r="BZ112" s="79" t="s">
        <v>491</v>
      </c>
      <c r="CA112" s="79">
        <v>0.0</v>
      </c>
      <c r="CB112" s="79" t="s">
        <v>836</v>
      </c>
      <c r="CC112" s="79"/>
      <c r="CD112" s="79">
        <v>0.0</v>
      </c>
      <c r="CE112" s="79"/>
      <c r="CF112" s="79">
        <v>0.0</v>
      </c>
      <c r="CG112" s="79"/>
      <c r="CH112" s="79">
        <v>0.0</v>
      </c>
      <c r="CI112" s="79"/>
      <c r="CJ112" s="79">
        <v>0.0</v>
      </c>
      <c r="CK112" s="79"/>
      <c r="CL112" s="79">
        <v>0.0</v>
      </c>
      <c r="CM112" s="79"/>
      <c r="CN112" s="79">
        <v>0.0</v>
      </c>
      <c r="CO112" s="79" t="s">
        <v>493</v>
      </c>
      <c r="CP112" s="79">
        <v>0.0</v>
      </c>
      <c r="CQ112" s="79" t="s">
        <v>494</v>
      </c>
      <c r="CR112" s="79">
        <v>0.0</v>
      </c>
      <c r="CS112" s="79" t="s">
        <v>495</v>
      </c>
      <c r="CT112" s="79">
        <v>0.0</v>
      </c>
      <c r="CU112" s="79" t="s">
        <v>496</v>
      </c>
      <c r="CV112" s="79">
        <v>0.0</v>
      </c>
      <c r="CW112" s="79"/>
      <c r="CX112" s="79">
        <v>0.0</v>
      </c>
      <c r="CY112" s="79"/>
      <c r="CZ112" s="79">
        <v>0.0</v>
      </c>
      <c r="DA112" s="79"/>
      <c r="DB112" s="79">
        <v>0.0</v>
      </c>
      <c r="DC112" s="79"/>
      <c r="DD112" s="79">
        <v>0.0</v>
      </c>
      <c r="DE112" s="79">
        <v>0.0</v>
      </c>
      <c r="DF112" s="79">
        <v>68182.0</v>
      </c>
      <c r="DG112" s="79">
        <v>0.0</v>
      </c>
      <c r="DH112" s="79">
        <v>0.0</v>
      </c>
      <c r="DI112" s="79">
        <v>0.0</v>
      </c>
      <c r="DJ112" s="79" t="s">
        <v>1169</v>
      </c>
      <c r="DK112" s="79" t="s">
        <v>486</v>
      </c>
      <c r="DL112" s="79" t="s">
        <v>487</v>
      </c>
      <c r="DM112" s="79" t="s">
        <v>1170</v>
      </c>
      <c r="DN112" s="82"/>
      <c r="DO112" s="79" t="s">
        <v>1171</v>
      </c>
      <c r="DP112" s="82"/>
      <c r="DQ112" s="79"/>
      <c r="DR112" s="82"/>
      <c r="DS112" s="79"/>
      <c r="DT112" s="82"/>
      <c r="DU112" s="79"/>
      <c r="DV112" s="82"/>
      <c r="DW112" s="79"/>
      <c r="DX112" s="79"/>
      <c r="DY112" s="79"/>
      <c r="DZ112" s="79"/>
      <c r="EA112" s="79"/>
      <c r="EB112" s="79"/>
      <c r="EC112" s="79"/>
      <c r="ED112" s="79"/>
      <c r="EE112" s="79"/>
      <c r="EF112" s="82"/>
      <c r="EG112" s="79"/>
      <c r="EH112" s="82"/>
      <c r="EI112" s="79"/>
      <c r="EJ112" s="82"/>
      <c r="EK112" s="79"/>
      <c r="EL112" s="82"/>
      <c r="EM112" s="79"/>
      <c r="EN112" s="79" t="s">
        <v>156</v>
      </c>
      <c r="EO112" s="79" t="s">
        <v>48</v>
      </c>
      <c r="EP112" s="17"/>
      <c r="EQ112" s="23"/>
      <c r="ER112" s="23" t="str">
        <f t="shared" si="1"/>
        <v/>
      </c>
      <c r="ES112" s="19"/>
      <c r="ET112" s="19" t="str">
        <f t="shared" si="2"/>
        <v/>
      </c>
      <c r="EU112" s="19"/>
      <c r="EV112" s="19"/>
      <c r="EW112" s="19"/>
      <c r="EX112" s="19"/>
      <c r="EY112" s="19"/>
      <c r="EZ112" s="19"/>
      <c r="FA112" s="19"/>
      <c r="FB112" s="19"/>
    </row>
    <row r="113" ht="15.75" customHeight="1">
      <c r="A113" s="79" t="s">
        <v>1172</v>
      </c>
      <c r="B113" s="79" t="s">
        <v>475</v>
      </c>
      <c r="C113" s="79" t="s">
        <v>476</v>
      </c>
      <c r="D113" s="80">
        <v>46125.0</v>
      </c>
      <c r="E113" s="79" t="s">
        <v>1102</v>
      </c>
      <c r="F113" s="79"/>
      <c r="G113" s="79" t="s">
        <v>1173</v>
      </c>
      <c r="H113" s="79" t="s">
        <v>895</v>
      </c>
      <c r="I113" s="79"/>
      <c r="J113" s="79" t="s">
        <v>1174</v>
      </c>
      <c r="K113" s="79">
        <v>3000.0</v>
      </c>
      <c r="L113" s="79"/>
      <c r="M113" s="79" t="s">
        <v>897</v>
      </c>
      <c r="N113" s="79" t="s">
        <v>521</v>
      </c>
      <c r="O113" s="79" t="s">
        <v>484</v>
      </c>
      <c r="P113" s="79"/>
      <c r="Q113" s="79" t="s">
        <v>1175</v>
      </c>
      <c r="R113" s="80">
        <v>46288.0</v>
      </c>
      <c r="S113" s="79"/>
      <c r="T113" s="79">
        <v>43872.0</v>
      </c>
      <c r="U113" s="79"/>
      <c r="V113" s="79"/>
      <c r="W113" s="80"/>
      <c r="X113" s="79"/>
      <c r="Y113" s="80"/>
      <c r="Z113" s="79" t="s">
        <v>486</v>
      </c>
      <c r="AA113" s="79" t="s">
        <v>487</v>
      </c>
      <c r="AB113" s="79" t="s">
        <v>486</v>
      </c>
      <c r="AC113" s="79" t="s">
        <v>488</v>
      </c>
      <c r="AD113" s="79">
        <v>5900.0</v>
      </c>
      <c r="AE113" s="79">
        <v>0.0</v>
      </c>
      <c r="AF113" s="79">
        <v>0.0</v>
      </c>
      <c r="AG113" s="79">
        <v>590.0</v>
      </c>
      <c r="AH113" s="83">
        <v>6490.0</v>
      </c>
      <c r="AI113" s="79"/>
      <c r="AJ113" s="79">
        <v>0.0</v>
      </c>
      <c r="AK113" s="79">
        <v>0.0</v>
      </c>
      <c r="AL113" s="83">
        <v>0.0</v>
      </c>
      <c r="AM113" s="79">
        <v>0.0</v>
      </c>
      <c r="AN113" s="79">
        <v>0.0</v>
      </c>
      <c r="AO113" s="79">
        <v>0.0</v>
      </c>
      <c r="AP113" s="79">
        <v>0.0</v>
      </c>
      <c r="AQ113" s="79">
        <v>5900.0</v>
      </c>
      <c r="AR113" s="79" t="s">
        <v>489</v>
      </c>
      <c r="AS113" s="79">
        <v>0.0</v>
      </c>
      <c r="AT113" s="79" t="s">
        <v>490</v>
      </c>
      <c r="AU113" s="79" t="s">
        <v>491</v>
      </c>
      <c r="AV113" s="79">
        <v>0.0</v>
      </c>
      <c r="AW113" s="79"/>
      <c r="AX113" s="79">
        <v>0.0</v>
      </c>
      <c r="AY113" s="79" t="s">
        <v>492</v>
      </c>
      <c r="AZ113" s="79">
        <v>0.0</v>
      </c>
      <c r="BA113" s="79"/>
      <c r="BB113" s="79">
        <v>0.0</v>
      </c>
      <c r="BC113" s="79"/>
      <c r="BD113" s="79">
        <v>0.0</v>
      </c>
      <c r="BE113" s="82"/>
      <c r="BF113" s="79">
        <v>0.0</v>
      </c>
      <c r="BG113" s="82"/>
      <c r="BH113" s="79">
        <v>0.0</v>
      </c>
      <c r="BI113" s="79" t="s">
        <v>493</v>
      </c>
      <c r="BJ113" s="79">
        <v>0.0</v>
      </c>
      <c r="BK113" s="79" t="s">
        <v>494</v>
      </c>
      <c r="BL113" s="79">
        <v>0.0</v>
      </c>
      <c r="BM113" s="79" t="s">
        <v>495</v>
      </c>
      <c r="BN113" s="79">
        <v>0.0</v>
      </c>
      <c r="BO113" s="79" t="s">
        <v>496</v>
      </c>
      <c r="BP113" s="79">
        <v>0.0</v>
      </c>
      <c r="BQ113" s="79"/>
      <c r="BR113" s="79">
        <v>0.0</v>
      </c>
      <c r="BS113" s="79"/>
      <c r="BT113" s="79">
        <v>0.0</v>
      </c>
      <c r="BU113" s="79"/>
      <c r="BV113" s="79">
        <v>0.0</v>
      </c>
      <c r="BW113" s="79"/>
      <c r="BX113" s="79">
        <v>0.0</v>
      </c>
      <c r="BY113" s="79">
        <v>0.0</v>
      </c>
      <c r="BZ113" s="79" t="s">
        <v>491</v>
      </c>
      <c r="CA113" s="79">
        <v>0.0</v>
      </c>
      <c r="CB113" s="79" t="s">
        <v>490</v>
      </c>
      <c r="CC113" s="79"/>
      <c r="CD113" s="79">
        <v>0.0</v>
      </c>
      <c r="CE113" s="79" t="s">
        <v>492</v>
      </c>
      <c r="CF113" s="79">
        <v>0.0</v>
      </c>
      <c r="CG113" s="79"/>
      <c r="CH113" s="79">
        <v>0.0</v>
      </c>
      <c r="CI113" s="79"/>
      <c r="CJ113" s="79">
        <v>0.0</v>
      </c>
      <c r="CK113" s="79"/>
      <c r="CL113" s="79">
        <v>0.0</v>
      </c>
      <c r="CM113" s="79"/>
      <c r="CN113" s="79">
        <v>0.0</v>
      </c>
      <c r="CO113" s="79" t="s">
        <v>493</v>
      </c>
      <c r="CP113" s="79">
        <v>0.0</v>
      </c>
      <c r="CQ113" s="79" t="s">
        <v>494</v>
      </c>
      <c r="CR113" s="79">
        <v>0.0</v>
      </c>
      <c r="CS113" s="79" t="s">
        <v>495</v>
      </c>
      <c r="CT113" s="79">
        <v>0.0</v>
      </c>
      <c r="CU113" s="79" t="s">
        <v>496</v>
      </c>
      <c r="CV113" s="79">
        <v>0.0</v>
      </c>
      <c r="CW113" s="79"/>
      <c r="CX113" s="79">
        <v>0.0</v>
      </c>
      <c r="CY113" s="79"/>
      <c r="CZ113" s="79">
        <v>0.0</v>
      </c>
      <c r="DA113" s="79"/>
      <c r="DB113" s="79">
        <v>0.0</v>
      </c>
      <c r="DC113" s="79"/>
      <c r="DD113" s="79">
        <v>0.0</v>
      </c>
      <c r="DE113" s="79">
        <v>3400.0</v>
      </c>
      <c r="DF113" s="79">
        <v>2500.0</v>
      </c>
      <c r="DG113" s="79">
        <v>0.0</v>
      </c>
      <c r="DH113" s="79">
        <v>0.0</v>
      </c>
      <c r="DI113" s="79">
        <v>0.0</v>
      </c>
      <c r="DJ113" s="79" t="s">
        <v>185</v>
      </c>
      <c r="DK113" s="79" t="s">
        <v>486</v>
      </c>
      <c r="DL113" s="79" t="s">
        <v>487</v>
      </c>
      <c r="DM113" s="79" t="s">
        <v>1109</v>
      </c>
      <c r="DN113" s="79"/>
      <c r="DO113" s="79" t="s">
        <v>1110</v>
      </c>
      <c r="DP113" s="82"/>
      <c r="DQ113" s="79"/>
      <c r="DR113" s="82"/>
      <c r="DS113" s="79"/>
      <c r="DT113" s="82"/>
      <c r="DU113" s="79"/>
      <c r="DV113" s="82"/>
      <c r="DW113" s="79"/>
      <c r="DX113" s="79"/>
      <c r="DY113" s="79"/>
      <c r="DZ113" s="79"/>
      <c r="EA113" s="79"/>
      <c r="EB113" s="79"/>
      <c r="EC113" s="79"/>
      <c r="ED113" s="82"/>
      <c r="EE113" s="79"/>
      <c r="EF113" s="82"/>
      <c r="EG113" s="79"/>
      <c r="EH113" s="82"/>
      <c r="EI113" s="79"/>
      <c r="EJ113" s="82"/>
      <c r="EK113" s="79"/>
      <c r="EL113" s="82"/>
      <c r="EM113" s="79"/>
      <c r="EN113" s="79" t="s">
        <v>79</v>
      </c>
      <c r="EO113" s="79"/>
      <c r="EP113" s="17"/>
      <c r="EQ113" s="23"/>
      <c r="ER113" s="23" t="str">
        <f t="shared" si="1"/>
        <v/>
      </c>
      <c r="ES113" s="19"/>
      <c r="ET113" s="19" t="str">
        <f t="shared" si="2"/>
        <v/>
      </c>
      <c r="EU113" s="19"/>
      <c r="EV113" s="19"/>
      <c r="EW113" s="19"/>
      <c r="EX113" s="19"/>
      <c r="EY113" s="19"/>
      <c r="EZ113" s="19"/>
      <c r="FA113" s="19"/>
      <c r="FB113" s="19"/>
    </row>
    <row r="114" ht="15.75" customHeight="1">
      <c r="A114" s="79" t="s">
        <v>1176</v>
      </c>
      <c r="B114" s="79" t="s">
        <v>475</v>
      </c>
      <c r="C114" s="79" t="s">
        <v>476</v>
      </c>
      <c r="D114" s="80">
        <v>46125.0</v>
      </c>
      <c r="E114" s="79" t="s">
        <v>1177</v>
      </c>
      <c r="F114" s="79" t="s">
        <v>568</v>
      </c>
      <c r="G114" s="79" t="s">
        <v>1178</v>
      </c>
      <c r="H114" s="79" t="s">
        <v>479</v>
      </c>
      <c r="I114" s="79"/>
      <c r="J114" s="79" t="s">
        <v>1179</v>
      </c>
      <c r="K114" s="79">
        <v>1990.0</v>
      </c>
      <c r="L114" s="79"/>
      <c r="M114" s="79" t="s">
        <v>506</v>
      </c>
      <c r="N114" s="79"/>
      <c r="O114" s="79"/>
      <c r="P114" s="79"/>
      <c r="Q114" s="79"/>
      <c r="R114" s="80">
        <v>46891.0</v>
      </c>
      <c r="S114" s="79"/>
      <c r="T114" s="79">
        <v>4705.0</v>
      </c>
      <c r="U114" s="79"/>
      <c r="V114" s="79"/>
      <c r="W114" s="80">
        <v>46125.0</v>
      </c>
      <c r="X114" s="79"/>
      <c r="Y114" s="80">
        <v>46125.0</v>
      </c>
      <c r="Z114" s="79" t="s">
        <v>486</v>
      </c>
      <c r="AA114" s="79" t="s">
        <v>487</v>
      </c>
      <c r="AB114" s="79" t="s">
        <v>486</v>
      </c>
      <c r="AC114" s="79" t="s">
        <v>488</v>
      </c>
      <c r="AD114" s="79">
        <v>11000.0</v>
      </c>
      <c r="AE114" s="79">
        <v>0.0</v>
      </c>
      <c r="AF114" s="79">
        <v>0.0</v>
      </c>
      <c r="AG114" s="79">
        <v>1100.0</v>
      </c>
      <c r="AH114" s="83">
        <v>12100.0</v>
      </c>
      <c r="AI114" s="79"/>
      <c r="AJ114" s="79">
        <v>0.0</v>
      </c>
      <c r="AK114" s="79">
        <v>0.0</v>
      </c>
      <c r="AL114" s="83">
        <v>0.0</v>
      </c>
      <c r="AM114" s="79">
        <v>0.0</v>
      </c>
      <c r="AN114" s="79">
        <v>0.0</v>
      </c>
      <c r="AO114" s="79">
        <v>0.0</v>
      </c>
      <c r="AP114" s="79">
        <v>0.0</v>
      </c>
      <c r="AQ114" s="79">
        <v>11000.0</v>
      </c>
      <c r="AR114" s="79" t="s">
        <v>489</v>
      </c>
      <c r="AS114" s="79">
        <v>0.0</v>
      </c>
      <c r="AT114" s="79" t="s">
        <v>507</v>
      </c>
      <c r="AU114" s="79" t="s">
        <v>491</v>
      </c>
      <c r="AV114" s="79">
        <v>0.0</v>
      </c>
      <c r="AW114" s="79" t="s">
        <v>508</v>
      </c>
      <c r="AX114" s="79">
        <v>0.0</v>
      </c>
      <c r="AY114" s="79"/>
      <c r="AZ114" s="79">
        <v>0.0</v>
      </c>
      <c r="BA114" s="79"/>
      <c r="BB114" s="79">
        <v>0.0</v>
      </c>
      <c r="BC114" s="82"/>
      <c r="BD114" s="79">
        <v>0.0</v>
      </c>
      <c r="BE114" s="82"/>
      <c r="BF114" s="79">
        <v>0.0</v>
      </c>
      <c r="BG114" s="79"/>
      <c r="BH114" s="79">
        <v>0.0</v>
      </c>
      <c r="BI114" s="79" t="s">
        <v>493</v>
      </c>
      <c r="BJ114" s="79">
        <v>0.0</v>
      </c>
      <c r="BK114" s="79" t="s">
        <v>494</v>
      </c>
      <c r="BL114" s="79">
        <v>0.0</v>
      </c>
      <c r="BM114" s="79" t="s">
        <v>495</v>
      </c>
      <c r="BN114" s="79">
        <v>0.0</v>
      </c>
      <c r="BO114" s="79" t="s">
        <v>496</v>
      </c>
      <c r="BP114" s="79">
        <v>0.0</v>
      </c>
      <c r="BQ114" s="79"/>
      <c r="BR114" s="79">
        <v>0.0</v>
      </c>
      <c r="BS114" s="79"/>
      <c r="BT114" s="79">
        <v>0.0</v>
      </c>
      <c r="BU114" s="79"/>
      <c r="BV114" s="79">
        <v>0.0</v>
      </c>
      <c r="BW114" s="79"/>
      <c r="BX114" s="79">
        <v>0.0</v>
      </c>
      <c r="BY114" s="79">
        <v>0.0</v>
      </c>
      <c r="BZ114" s="79" t="s">
        <v>491</v>
      </c>
      <c r="CA114" s="79">
        <v>0.0</v>
      </c>
      <c r="CB114" s="79" t="s">
        <v>507</v>
      </c>
      <c r="CC114" s="79" t="s">
        <v>508</v>
      </c>
      <c r="CD114" s="79">
        <v>0.0</v>
      </c>
      <c r="CE114" s="79"/>
      <c r="CF114" s="79">
        <v>0.0</v>
      </c>
      <c r="CG114" s="79"/>
      <c r="CH114" s="79">
        <v>0.0</v>
      </c>
      <c r="CI114" s="79"/>
      <c r="CJ114" s="79">
        <v>0.0</v>
      </c>
      <c r="CK114" s="79"/>
      <c r="CL114" s="79">
        <v>0.0</v>
      </c>
      <c r="CM114" s="79"/>
      <c r="CN114" s="79">
        <v>0.0</v>
      </c>
      <c r="CO114" s="79" t="s">
        <v>493</v>
      </c>
      <c r="CP114" s="79">
        <v>0.0</v>
      </c>
      <c r="CQ114" s="79" t="s">
        <v>494</v>
      </c>
      <c r="CR114" s="79">
        <v>0.0</v>
      </c>
      <c r="CS114" s="79" t="s">
        <v>495</v>
      </c>
      <c r="CT114" s="79">
        <v>0.0</v>
      </c>
      <c r="CU114" s="79" t="s">
        <v>496</v>
      </c>
      <c r="CV114" s="79">
        <v>0.0</v>
      </c>
      <c r="CW114" s="79"/>
      <c r="CX114" s="79">
        <v>0.0</v>
      </c>
      <c r="CY114" s="79"/>
      <c r="CZ114" s="79">
        <v>0.0</v>
      </c>
      <c r="DA114" s="79"/>
      <c r="DB114" s="79">
        <v>0.0</v>
      </c>
      <c r="DC114" s="79"/>
      <c r="DD114" s="79">
        <v>0.0</v>
      </c>
      <c r="DE114" s="79">
        <v>11000.0</v>
      </c>
      <c r="DF114" s="79">
        <v>0.0</v>
      </c>
      <c r="DG114" s="79">
        <v>0.0</v>
      </c>
      <c r="DH114" s="79">
        <v>0.0</v>
      </c>
      <c r="DI114" s="79">
        <v>0.0</v>
      </c>
      <c r="DJ114" s="79" t="s">
        <v>1180</v>
      </c>
      <c r="DK114" s="79" t="s">
        <v>486</v>
      </c>
      <c r="DL114" s="79" t="s">
        <v>487</v>
      </c>
      <c r="DM114" s="79" t="s">
        <v>1181</v>
      </c>
      <c r="DN114" s="79" t="s">
        <v>1182</v>
      </c>
      <c r="DO114" s="79" t="s">
        <v>1183</v>
      </c>
      <c r="DP114" s="82"/>
      <c r="DQ114" s="79"/>
      <c r="DR114" s="82"/>
      <c r="DS114" s="79"/>
      <c r="DT114" s="82"/>
      <c r="DU114" s="79"/>
      <c r="DV114" s="82"/>
      <c r="DW114" s="79"/>
      <c r="DX114" s="79"/>
      <c r="DY114" s="79"/>
      <c r="DZ114" s="79"/>
      <c r="EA114" s="79"/>
      <c r="EB114" s="79"/>
      <c r="EC114" s="79"/>
      <c r="ED114" s="79"/>
      <c r="EE114" s="79"/>
      <c r="EF114" s="82"/>
      <c r="EG114" s="79"/>
      <c r="EH114" s="82"/>
      <c r="EI114" s="79"/>
      <c r="EJ114" s="82"/>
      <c r="EK114" s="79"/>
      <c r="EL114" s="82"/>
      <c r="EM114" s="79"/>
      <c r="EN114" s="79" t="s">
        <v>79</v>
      </c>
      <c r="EO114" s="79"/>
      <c r="EP114" s="17"/>
      <c r="EQ114" s="23"/>
      <c r="ER114" s="23" t="str">
        <f t="shared" si="1"/>
        <v/>
      </c>
      <c r="ES114" s="19"/>
      <c r="ET114" s="19" t="str">
        <f t="shared" si="2"/>
        <v/>
      </c>
      <c r="EU114" s="19"/>
      <c r="EV114" s="19"/>
      <c r="EW114" s="19"/>
      <c r="EX114" s="19"/>
      <c r="EY114" s="19"/>
      <c r="EZ114" s="19"/>
      <c r="FA114" s="19"/>
      <c r="FB114" s="19"/>
    </row>
    <row r="115" ht="15.75" customHeight="1">
      <c r="A115" s="79" t="s">
        <v>1184</v>
      </c>
      <c r="B115" s="79" t="s">
        <v>543</v>
      </c>
      <c r="C115" s="79" t="s">
        <v>476</v>
      </c>
      <c r="D115" s="80">
        <v>46128.0</v>
      </c>
      <c r="E115" s="79" t="s">
        <v>990</v>
      </c>
      <c r="F115" s="79" t="s">
        <v>634</v>
      </c>
      <c r="G115" s="79" t="s">
        <v>991</v>
      </c>
      <c r="H115" s="79" t="s">
        <v>992</v>
      </c>
      <c r="I115" s="79"/>
      <c r="J115" s="79" t="s">
        <v>993</v>
      </c>
      <c r="K115" s="79">
        <v>2000.0</v>
      </c>
      <c r="L115" s="79"/>
      <c r="M115" s="79" t="s">
        <v>994</v>
      </c>
      <c r="N115" s="79" t="s">
        <v>572</v>
      </c>
      <c r="O115" s="79"/>
      <c r="P115" s="79"/>
      <c r="Q115" s="79" t="s">
        <v>995</v>
      </c>
      <c r="R115" s="80">
        <v>46655.0</v>
      </c>
      <c r="S115" s="79"/>
      <c r="T115" s="79">
        <v>64950.0</v>
      </c>
      <c r="U115" s="79"/>
      <c r="V115" s="79"/>
      <c r="W115" s="79"/>
      <c r="X115" s="79"/>
      <c r="Y115" s="79"/>
      <c r="Z115" s="79" t="s">
        <v>486</v>
      </c>
      <c r="AA115" s="79" t="s">
        <v>487</v>
      </c>
      <c r="AB115" s="79" t="s">
        <v>486</v>
      </c>
      <c r="AC115" s="79" t="s">
        <v>488</v>
      </c>
      <c r="AD115" s="79">
        <v>165727.0</v>
      </c>
      <c r="AE115" s="79">
        <v>0.0</v>
      </c>
      <c r="AF115" s="79">
        <v>0.0</v>
      </c>
      <c r="AG115" s="79">
        <v>16573.0</v>
      </c>
      <c r="AH115" s="83">
        <v>182300.0</v>
      </c>
      <c r="AI115" s="79"/>
      <c r="AJ115" s="79">
        <v>0.0</v>
      </c>
      <c r="AK115" s="79">
        <v>0.0</v>
      </c>
      <c r="AL115" s="83">
        <v>0.0</v>
      </c>
      <c r="AM115" s="79">
        <v>0.0</v>
      </c>
      <c r="AN115" s="79">
        <v>0.0</v>
      </c>
      <c r="AO115" s="79">
        <v>0.0</v>
      </c>
      <c r="AP115" s="79">
        <v>0.0</v>
      </c>
      <c r="AQ115" s="79">
        <v>165727.0</v>
      </c>
      <c r="AR115" s="79" t="s">
        <v>489</v>
      </c>
      <c r="AS115" s="79">
        <v>0.0</v>
      </c>
      <c r="AT115" s="79" t="s">
        <v>507</v>
      </c>
      <c r="AU115" s="79" t="s">
        <v>491</v>
      </c>
      <c r="AV115" s="79">
        <v>0.0</v>
      </c>
      <c r="AW115" s="79" t="s">
        <v>508</v>
      </c>
      <c r="AX115" s="79">
        <v>0.0</v>
      </c>
      <c r="AY115" s="82"/>
      <c r="AZ115" s="79">
        <v>0.0</v>
      </c>
      <c r="BA115" s="82"/>
      <c r="BB115" s="79">
        <v>0.0</v>
      </c>
      <c r="BC115" s="82"/>
      <c r="BD115" s="79">
        <v>0.0</v>
      </c>
      <c r="BE115" s="82"/>
      <c r="BF115" s="79">
        <v>0.0</v>
      </c>
      <c r="BG115" s="79"/>
      <c r="BH115" s="79">
        <v>0.0</v>
      </c>
      <c r="BI115" s="79" t="s">
        <v>493</v>
      </c>
      <c r="BJ115" s="79">
        <v>0.0</v>
      </c>
      <c r="BK115" s="79" t="s">
        <v>494</v>
      </c>
      <c r="BL115" s="79">
        <v>0.0</v>
      </c>
      <c r="BM115" s="79" t="s">
        <v>495</v>
      </c>
      <c r="BN115" s="79">
        <v>0.0</v>
      </c>
      <c r="BO115" s="79" t="s">
        <v>496</v>
      </c>
      <c r="BP115" s="79">
        <v>0.0</v>
      </c>
      <c r="BQ115" s="79"/>
      <c r="BR115" s="79">
        <v>0.0</v>
      </c>
      <c r="BS115" s="79"/>
      <c r="BT115" s="79">
        <v>0.0</v>
      </c>
      <c r="BU115" s="79"/>
      <c r="BV115" s="79">
        <v>0.0</v>
      </c>
      <c r="BW115" s="79"/>
      <c r="BX115" s="79">
        <v>0.0</v>
      </c>
      <c r="BY115" s="79">
        <v>0.0</v>
      </c>
      <c r="BZ115" s="79" t="s">
        <v>491</v>
      </c>
      <c r="CA115" s="79">
        <v>0.0</v>
      </c>
      <c r="CB115" s="79" t="s">
        <v>507</v>
      </c>
      <c r="CC115" s="79" t="s">
        <v>508</v>
      </c>
      <c r="CD115" s="79">
        <v>0.0</v>
      </c>
      <c r="CE115" s="79"/>
      <c r="CF115" s="79">
        <v>0.0</v>
      </c>
      <c r="CG115" s="79"/>
      <c r="CH115" s="79">
        <v>0.0</v>
      </c>
      <c r="CI115" s="79"/>
      <c r="CJ115" s="79">
        <v>0.0</v>
      </c>
      <c r="CK115" s="79"/>
      <c r="CL115" s="79">
        <v>0.0</v>
      </c>
      <c r="CM115" s="79"/>
      <c r="CN115" s="79">
        <v>0.0</v>
      </c>
      <c r="CO115" s="79" t="s">
        <v>493</v>
      </c>
      <c r="CP115" s="79">
        <v>0.0</v>
      </c>
      <c r="CQ115" s="79" t="s">
        <v>494</v>
      </c>
      <c r="CR115" s="79">
        <v>0.0</v>
      </c>
      <c r="CS115" s="79" t="s">
        <v>495</v>
      </c>
      <c r="CT115" s="79">
        <v>0.0</v>
      </c>
      <c r="CU115" s="79" t="s">
        <v>496</v>
      </c>
      <c r="CV115" s="79">
        <v>0.0</v>
      </c>
      <c r="CW115" s="79"/>
      <c r="CX115" s="79">
        <v>0.0</v>
      </c>
      <c r="CY115" s="79"/>
      <c r="CZ115" s="79">
        <v>0.0</v>
      </c>
      <c r="DA115" s="79"/>
      <c r="DB115" s="79">
        <v>0.0</v>
      </c>
      <c r="DC115" s="79"/>
      <c r="DD115" s="79">
        <v>0.0</v>
      </c>
      <c r="DE115" s="79">
        <v>0.0</v>
      </c>
      <c r="DF115" s="79">
        <v>165727.0</v>
      </c>
      <c r="DG115" s="79">
        <v>0.0</v>
      </c>
      <c r="DH115" s="79">
        <v>0.0</v>
      </c>
      <c r="DI115" s="79">
        <v>0.0</v>
      </c>
      <c r="DJ115" s="79" t="s">
        <v>996</v>
      </c>
      <c r="DK115" s="79" t="s">
        <v>486</v>
      </c>
      <c r="DL115" s="79" t="s">
        <v>487</v>
      </c>
      <c r="DM115" s="79" t="s">
        <v>997</v>
      </c>
      <c r="DN115" s="79" t="s">
        <v>998</v>
      </c>
      <c r="DO115" s="79" t="s">
        <v>999</v>
      </c>
      <c r="DP115" s="82"/>
      <c r="DQ115" s="79"/>
      <c r="DR115" s="82"/>
      <c r="DS115" s="79"/>
      <c r="DT115" s="82"/>
      <c r="DU115" s="79"/>
      <c r="DV115" s="82"/>
      <c r="DW115" s="79"/>
      <c r="DX115" s="79"/>
      <c r="DY115" s="79"/>
      <c r="DZ115" s="79"/>
      <c r="EA115" s="79"/>
      <c r="EB115" s="79"/>
      <c r="EC115" s="79"/>
      <c r="ED115" s="79"/>
      <c r="EE115" s="79"/>
      <c r="EF115" s="82"/>
      <c r="EG115" s="79"/>
      <c r="EH115" s="82"/>
      <c r="EI115" s="79"/>
      <c r="EJ115" s="82"/>
      <c r="EK115" s="79"/>
      <c r="EL115" s="82"/>
      <c r="EM115" s="79"/>
      <c r="EN115" s="79" t="s">
        <v>79</v>
      </c>
      <c r="EO115" s="79"/>
      <c r="EP115" s="17"/>
      <c r="EQ115" s="23"/>
      <c r="ER115" s="23" t="str">
        <f t="shared" si="1"/>
        <v/>
      </c>
      <c r="ES115" s="19"/>
      <c r="ET115" s="19" t="str">
        <f t="shared" si="2"/>
        <v/>
      </c>
      <c r="EU115" s="19"/>
      <c r="EV115" s="19"/>
      <c r="EW115" s="19"/>
      <c r="EX115" s="19"/>
      <c r="EY115" s="19"/>
      <c r="EZ115" s="19"/>
      <c r="FA115" s="19"/>
      <c r="FB115" s="19"/>
    </row>
    <row r="116" ht="15.75" customHeight="1">
      <c r="A116" s="79" t="s">
        <v>1185</v>
      </c>
      <c r="B116" s="79" t="s">
        <v>475</v>
      </c>
      <c r="C116" s="79" t="s">
        <v>476</v>
      </c>
      <c r="D116" s="80">
        <v>46128.0</v>
      </c>
      <c r="E116" s="79" t="s">
        <v>1186</v>
      </c>
      <c r="F116" s="82"/>
      <c r="G116" s="79" t="s">
        <v>991</v>
      </c>
      <c r="H116" s="79" t="s">
        <v>1187</v>
      </c>
      <c r="I116" s="79"/>
      <c r="J116" s="79" t="s">
        <v>1188</v>
      </c>
      <c r="K116" s="79">
        <v>2000.0</v>
      </c>
      <c r="L116" s="79"/>
      <c r="M116" s="79" t="s">
        <v>1189</v>
      </c>
      <c r="N116" s="79" t="s">
        <v>1190</v>
      </c>
      <c r="O116" s="79" t="s">
        <v>484</v>
      </c>
      <c r="P116" s="79"/>
      <c r="Q116" s="79" t="s">
        <v>1191</v>
      </c>
      <c r="R116" s="80">
        <v>46657.0</v>
      </c>
      <c r="S116" s="79"/>
      <c r="T116" s="79">
        <v>92373.0</v>
      </c>
      <c r="U116" s="79"/>
      <c r="V116" s="79"/>
      <c r="W116" s="80"/>
      <c r="X116" s="79"/>
      <c r="Y116" s="80"/>
      <c r="Z116" s="79" t="s">
        <v>554</v>
      </c>
      <c r="AA116" s="79" t="s">
        <v>487</v>
      </c>
      <c r="AB116" s="79" t="s">
        <v>554</v>
      </c>
      <c r="AC116" s="79" t="s">
        <v>488</v>
      </c>
      <c r="AD116" s="79">
        <v>7250.0</v>
      </c>
      <c r="AE116" s="79">
        <v>0.0</v>
      </c>
      <c r="AF116" s="79">
        <v>0.0</v>
      </c>
      <c r="AG116" s="79">
        <v>725.0</v>
      </c>
      <c r="AH116" s="83">
        <v>7975.0</v>
      </c>
      <c r="AI116" s="79"/>
      <c r="AJ116" s="79">
        <v>0.0</v>
      </c>
      <c r="AK116" s="79">
        <v>3800.0</v>
      </c>
      <c r="AL116" s="83">
        <v>0.0</v>
      </c>
      <c r="AM116" s="79">
        <v>0.0</v>
      </c>
      <c r="AN116" s="79">
        <v>380.0</v>
      </c>
      <c r="AO116" s="79">
        <v>4180.0</v>
      </c>
      <c r="AP116" s="79">
        <v>0.0</v>
      </c>
      <c r="AQ116" s="79">
        <v>3450.0</v>
      </c>
      <c r="AR116" s="79" t="s">
        <v>556</v>
      </c>
      <c r="AS116" s="79">
        <v>0.0</v>
      </c>
      <c r="AT116" s="79" t="s">
        <v>490</v>
      </c>
      <c r="AU116" s="79" t="s">
        <v>491</v>
      </c>
      <c r="AV116" s="79">
        <v>0.0</v>
      </c>
      <c r="AW116" s="79"/>
      <c r="AX116" s="79">
        <v>0.0</v>
      </c>
      <c r="AY116" s="79" t="s">
        <v>492</v>
      </c>
      <c r="AZ116" s="79">
        <v>0.0</v>
      </c>
      <c r="BA116" s="79"/>
      <c r="BB116" s="79">
        <v>0.0</v>
      </c>
      <c r="BC116" s="79"/>
      <c r="BD116" s="79">
        <v>0.0</v>
      </c>
      <c r="BE116" s="82"/>
      <c r="BF116" s="79">
        <v>0.0</v>
      </c>
      <c r="BG116" s="79"/>
      <c r="BH116" s="79">
        <v>0.0</v>
      </c>
      <c r="BI116" s="79" t="s">
        <v>493</v>
      </c>
      <c r="BJ116" s="79">
        <v>0.0</v>
      </c>
      <c r="BK116" s="79" t="s">
        <v>494</v>
      </c>
      <c r="BL116" s="79">
        <v>0.0</v>
      </c>
      <c r="BM116" s="79" t="s">
        <v>495</v>
      </c>
      <c r="BN116" s="79">
        <v>0.0</v>
      </c>
      <c r="BO116" s="79" t="s">
        <v>496</v>
      </c>
      <c r="BP116" s="79">
        <v>0.0</v>
      </c>
      <c r="BQ116" s="79"/>
      <c r="BR116" s="79">
        <v>0.0</v>
      </c>
      <c r="BS116" s="79"/>
      <c r="BT116" s="79">
        <v>0.0</v>
      </c>
      <c r="BU116" s="79"/>
      <c r="BV116" s="79">
        <v>0.0</v>
      </c>
      <c r="BW116" s="79"/>
      <c r="BX116" s="79">
        <v>0.0</v>
      </c>
      <c r="BY116" s="79">
        <v>0.0</v>
      </c>
      <c r="BZ116" s="79" t="s">
        <v>491</v>
      </c>
      <c r="CA116" s="79">
        <v>0.0</v>
      </c>
      <c r="CB116" s="79" t="s">
        <v>490</v>
      </c>
      <c r="CC116" s="79"/>
      <c r="CD116" s="79">
        <v>0.0</v>
      </c>
      <c r="CE116" s="79" t="s">
        <v>492</v>
      </c>
      <c r="CF116" s="79">
        <v>0.0</v>
      </c>
      <c r="CG116" s="79"/>
      <c r="CH116" s="79">
        <v>0.0</v>
      </c>
      <c r="CI116" s="79"/>
      <c r="CJ116" s="79">
        <v>0.0</v>
      </c>
      <c r="CK116" s="79"/>
      <c r="CL116" s="79">
        <v>0.0</v>
      </c>
      <c r="CM116" s="79"/>
      <c r="CN116" s="79">
        <v>0.0</v>
      </c>
      <c r="CO116" s="79" t="s">
        <v>493</v>
      </c>
      <c r="CP116" s="79">
        <v>0.0</v>
      </c>
      <c r="CQ116" s="79" t="s">
        <v>494</v>
      </c>
      <c r="CR116" s="79">
        <v>0.0</v>
      </c>
      <c r="CS116" s="79" t="s">
        <v>495</v>
      </c>
      <c r="CT116" s="79">
        <v>0.0</v>
      </c>
      <c r="CU116" s="79" t="s">
        <v>496</v>
      </c>
      <c r="CV116" s="79">
        <v>0.0</v>
      </c>
      <c r="CW116" s="79"/>
      <c r="CX116" s="79">
        <v>0.0</v>
      </c>
      <c r="CY116" s="79"/>
      <c r="CZ116" s="79">
        <v>0.0</v>
      </c>
      <c r="DA116" s="79"/>
      <c r="DB116" s="79">
        <v>0.0</v>
      </c>
      <c r="DC116" s="79"/>
      <c r="DD116" s="79">
        <v>0.0</v>
      </c>
      <c r="DE116" s="79">
        <v>1000.0</v>
      </c>
      <c r="DF116" s="79">
        <v>6250.0</v>
      </c>
      <c r="DG116" s="79">
        <v>0.0</v>
      </c>
      <c r="DH116" s="79">
        <v>0.0</v>
      </c>
      <c r="DI116" s="79">
        <v>3800.0</v>
      </c>
      <c r="DJ116" s="79" t="s">
        <v>1192</v>
      </c>
      <c r="DK116" s="79" t="s">
        <v>554</v>
      </c>
      <c r="DL116" s="79" t="s">
        <v>487</v>
      </c>
      <c r="DM116" s="79" t="s">
        <v>1193</v>
      </c>
      <c r="DN116" s="82"/>
      <c r="DO116" s="79" t="s">
        <v>1194</v>
      </c>
      <c r="DP116" s="82"/>
      <c r="DQ116" s="79"/>
      <c r="DR116" s="82"/>
      <c r="DS116" s="79"/>
      <c r="DT116" s="82"/>
      <c r="DU116" s="79"/>
      <c r="DV116" s="82"/>
      <c r="DW116" s="79"/>
      <c r="DX116" s="79"/>
      <c r="DY116" s="79"/>
      <c r="DZ116" s="79"/>
      <c r="EA116" s="79"/>
      <c r="EB116" s="79"/>
      <c r="EC116" s="79"/>
      <c r="ED116" s="79"/>
      <c r="EE116" s="79"/>
      <c r="EF116" s="82"/>
      <c r="EG116" s="79"/>
      <c r="EH116" s="82"/>
      <c r="EI116" s="79"/>
      <c r="EJ116" s="82"/>
      <c r="EK116" s="79"/>
      <c r="EL116" s="82"/>
      <c r="EM116" s="79"/>
      <c r="EN116" s="79" t="s">
        <v>79</v>
      </c>
      <c r="EO116" s="79"/>
      <c r="EP116" s="17"/>
      <c r="EQ116" s="23"/>
      <c r="ER116" s="23" t="str">
        <f t="shared" si="1"/>
        <v/>
      </c>
      <c r="ES116" s="19"/>
      <c r="ET116" s="19" t="str">
        <f t="shared" si="2"/>
        <v/>
      </c>
      <c r="EU116" s="19"/>
      <c r="EV116" s="19"/>
      <c r="EW116" s="19"/>
      <c r="EX116" s="19"/>
      <c r="EY116" s="19"/>
      <c r="EZ116" s="19"/>
      <c r="FA116" s="19"/>
      <c r="FB116" s="19"/>
    </row>
    <row r="117" ht="15.75" customHeight="1">
      <c r="A117" s="79" t="s">
        <v>1195</v>
      </c>
      <c r="B117" s="79" t="s">
        <v>475</v>
      </c>
      <c r="C117" s="79" t="s">
        <v>476</v>
      </c>
      <c r="D117" s="80">
        <v>46128.0</v>
      </c>
      <c r="E117" s="79" t="s">
        <v>1196</v>
      </c>
      <c r="F117" s="82"/>
      <c r="G117" s="79" t="s">
        <v>1197</v>
      </c>
      <c r="H117" s="79" t="s">
        <v>1198</v>
      </c>
      <c r="I117" s="79"/>
      <c r="J117" s="79" t="s">
        <v>1199</v>
      </c>
      <c r="K117" s="79">
        <v>2000.0</v>
      </c>
      <c r="L117" s="79"/>
      <c r="M117" s="79" t="s">
        <v>1200</v>
      </c>
      <c r="N117" s="79" t="s">
        <v>1201</v>
      </c>
      <c r="O117" s="79" t="s">
        <v>740</v>
      </c>
      <c r="P117" s="79"/>
      <c r="Q117" s="79" t="s">
        <v>1202</v>
      </c>
      <c r="R117" s="80">
        <v>46172.0</v>
      </c>
      <c r="S117" s="79"/>
      <c r="T117" s="79">
        <v>50797.0</v>
      </c>
      <c r="U117" s="79"/>
      <c r="V117" s="79"/>
      <c r="W117" s="80">
        <v>46128.0</v>
      </c>
      <c r="X117" s="79"/>
      <c r="Y117" s="80">
        <v>46128.0</v>
      </c>
      <c r="Z117" s="79" t="s">
        <v>486</v>
      </c>
      <c r="AA117" s="79" t="s">
        <v>487</v>
      </c>
      <c r="AB117" s="79" t="s">
        <v>486</v>
      </c>
      <c r="AC117" s="79" t="s">
        <v>488</v>
      </c>
      <c r="AD117" s="79">
        <v>8400.0</v>
      </c>
      <c r="AE117" s="79">
        <v>0.0</v>
      </c>
      <c r="AF117" s="79">
        <v>0.0</v>
      </c>
      <c r="AG117" s="79">
        <v>840.0</v>
      </c>
      <c r="AH117" s="83">
        <v>9240.0</v>
      </c>
      <c r="AI117" s="79"/>
      <c r="AJ117" s="79">
        <v>0.0</v>
      </c>
      <c r="AK117" s="79">
        <v>0.0</v>
      </c>
      <c r="AL117" s="83">
        <v>0.0</v>
      </c>
      <c r="AM117" s="79">
        <v>0.0</v>
      </c>
      <c r="AN117" s="79">
        <v>0.0</v>
      </c>
      <c r="AO117" s="79">
        <v>0.0</v>
      </c>
      <c r="AP117" s="79">
        <v>0.0</v>
      </c>
      <c r="AQ117" s="79">
        <v>8400.0</v>
      </c>
      <c r="AR117" s="79" t="s">
        <v>489</v>
      </c>
      <c r="AS117" s="79">
        <v>0.0</v>
      </c>
      <c r="AT117" s="79" t="s">
        <v>490</v>
      </c>
      <c r="AU117" s="79" t="s">
        <v>491</v>
      </c>
      <c r="AV117" s="79">
        <v>0.0</v>
      </c>
      <c r="AW117" s="79"/>
      <c r="AX117" s="79">
        <v>0.0</v>
      </c>
      <c r="AY117" s="79" t="s">
        <v>492</v>
      </c>
      <c r="AZ117" s="79">
        <v>0.0</v>
      </c>
      <c r="BA117" s="79"/>
      <c r="BB117" s="79">
        <v>0.0</v>
      </c>
      <c r="BC117" s="82"/>
      <c r="BD117" s="79">
        <v>0.0</v>
      </c>
      <c r="BE117" s="79"/>
      <c r="BF117" s="79">
        <v>0.0</v>
      </c>
      <c r="BG117" s="79"/>
      <c r="BH117" s="79">
        <v>0.0</v>
      </c>
      <c r="BI117" s="79" t="s">
        <v>493</v>
      </c>
      <c r="BJ117" s="79">
        <v>0.0</v>
      </c>
      <c r="BK117" s="79" t="s">
        <v>494</v>
      </c>
      <c r="BL117" s="79">
        <v>0.0</v>
      </c>
      <c r="BM117" s="79" t="s">
        <v>495</v>
      </c>
      <c r="BN117" s="79">
        <v>0.0</v>
      </c>
      <c r="BO117" s="79" t="s">
        <v>496</v>
      </c>
      <c r="BP117" s="79">
        <v>0.0</v>
      </c>
      <c r="BQ117" s="79"/>
      <c r="BR117" s="79">
        <v>0.0</v>
      </c>
      <c r="BS117" s="79"/>
      <c r="BT117" s="79">
        <v>0.0</v>
      </c>
      <c r="BU117" s="79"/>
      <c r="BV117" s="79">
        <v>0.0</v>
      </c>
      <c r="BW117" s="79"/>
      <c r="BX117" s="79">
        <v>0.0</v>
      </c>
      <c r="BY117" s="79">
        <v>0.0</v>
      </c>
      <c r="BZ117" s="79" t="s">
        <v>491</v>
      </c>
      <c r="CA117" s="79">
        <v>0.0</v>
      </c>
      <c r="CB117" s="79" t="s">
        <v>490</v>
      </c>
      <c r="CC117" s="79"/>
      <c r="CD117" s="79">
        <v>0.0</v>
      </c>
      <c r="CE117" s="79" t="s">
        <v>492</v>
      </c>
      <c r="CF117" s="79">
        <v>0.0</v>
      </c>
      <c r="CG117" s="79"/>
      <c r="CH117" s="79">
        <v>0.0</v>
      </c>
      <c r="CI117" s="79"/>
      <c r="CJ117" s="79">
        <v>0.0</v>
      </c>
      <c r="CK117" s="79"/>
      <c r="CL117" s="79">
        <v>0.0</v>
      </c>
      <c r="CM117" s="79"/>
      <c r="CN117" s="79">
        <v>0.0</v>
      </c>
      <c r="CO117" s="79" t="s">
        <v>493</v>
      </c>
      <c r="CP117" s="79">
        <v>0.0</v>
      </c>
      <c r="CQ117" s="79" t="s">
        <v>494</v>
      </c>
      <c r="CR117" s="79">
        <v>0.0</v>
      </c>
      <c r="CS117" s="79" t="s">
        <v>495</v>
      </c>
      <c r="CT117" s="79">
        <v>0.0</v>
      </c>
      <c r="CU117" s="79" t="s">
        <v>496</v>
      </c>
      <c r="CV117" s="79">
        <v>0.0</v>
      </c>
      <c r="CW117" s="79"/>
      <c r="CX117" s="79">
        <v>0.0</v>
      </c>
      <c r="CY117" s="79"/>
      <c r="CZ117" s="79">
        <v>0.0</v>
      </c>
      <c r="DA117" s="79"/>
      <c r="DB117" s="79">
        <v>0.0</v>
      </c>
      <c r="DC117" s="79"/>
      <c r="DD117" s="79">
        <v>0.0</v>
      </c>
      <c r="DE117" s="79">
        <v>3400.0</v>
      </c>
      <c r="DF117" s="79">
        <v>5000.0</v>
      </c>
      <c r="DG117" s="79">
        <v>0.0</v>
      </c>
      <c r="DH117" s="79">
        <v>0.0</v>
      </c>
      <c r="DI117" s="79">
        <v>0.0</v>
      </c>
      <c r="DJ117" s="79" t="s">
        <v>1203</v>
      </c>
      <c r="DK117" s="79" t="s">
        <v>486</v>
      </c>
      <c r="DL117" s="79" t="s">
        <v>487</v>
      </c>
      <c r="DM117" s="79" t="s">
        <v>1204</v>
      </c>
      <c r="DN117" s="79"/>
      <c r="DO117" s="79" t="s">
        <v>1194</v>
      </c>
      <c r="DP117" s="82"/>
      <c r="DQ117" s="79"/>
      <c r="DR117" s="82"/>
      <c r="DS117" s="79"/>
      <c r="DT117" s="82"/>
      <c r="DU117" s="79"/>
      <c r="DV117" s="82"/>
      <c r="DW117" s="79"/>
      <c r="DX117" s="79"/>
      <c r="DY117" s="79"/>
      <c r="DZ117" s="79"/>
      <c r="EA117" s="79"/>
      <c r="EB117" s="79"/>
      <c r="EC117" s="79"/>
      <c r="ED117" s="79"/>
      <c r="EE117" s="79"/>
      <c r="EF117" s="82"/>
      <c r="EG117" s="79"/>
      <c r="EH117" s="82"/>
      <c r="EI117" s="79"/>
      <c r="EJ117" s="82"/>
      <c r="EK117" s="79"/>
      <c r="EL117" s="82"/>
      <c r="EM117" s="79"/>
      <c r="EN117" s="79" t="s">
        <v>79</v>
      </c>
      <c r="EO117" s="79"/>
      <c r="EP117" s="17"/>
      <c r="EQ117" s="23"/>
      <c r="ER117" s="23" t="str">
        <f t="shared" si="1"/>
        <v/>
      </c>
      <c r="ES117" s="19"/>
      <c r="ET117" s="19" t="str">
        <f t="shared" si="2"/>
        <v/>
      </c>
      <c r="EU117" s="19"/>
      <c r="EV117" s="19"/>
      <c r="EW117" s="19"/>
      <c r="EX117" s="19"/>
      <c r="EY117" s="19"/>
      <c r="EZ117" s="19"/>
      <c r="FA117" s="19"/>
      <c r="FB117" s="19"/>
    </row>
    <row r="118" ht="15.75" customHeight="1">
      <c r="A118" s="19"/>
      <c r="B118" s="4" t="s">
        <v>468</v>
      </c>
      <c r="C118" s="4" t="s">
        <v>469</v>
      </c>
      <c r="D118" s="78">
        <v>46128.0</v>
      </c>
      <c r="E118" s="4" t="s">
        <v>1205</v>
      </c>
      <c r="F118" s="19"/>
      <c r="AH118" s="23">
        <v>842430.0</v>
      </c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  <c r="CL118" s="19"/>
      <c r="CM118" s="19"/>
      <c r="CN118" s="19"/>
      <c r="CO118" s="19"/>
      <c r="CP118" s="19"/>
      <c r="CQ118" s="19"/>
      <c r="CR118" s="19"/>
      <c r="CS118" s="19"/>
      <c r="CT118" s="19"/>
      <c r="CU118" s="19"/>
      <c r="CV118" s="19"/>
      <c r="CW118" s="19"/>
      <c r="CX118" s="19"/>
      <c r="CY118" s="19"/>
      <c r="CZ118" s="19"/>
      <c r="DA118" s="19"/>
      <c r="DB118" s="19"/>
      <c r="DC118" s="19"/>
      <c r="DD118" s="19"/>
      <c r="DE118" s="19"/>
      <c r="DF118" s="19"/>
      <c r="DG118" s="19"/>
      <c r="DH118" s="19"/>
      <c r="DI118" s="19"/>
      <c r="DJ118" s="19"/>
      <c r="DK118" s="19"/>
      <c r="DL118" s="19"/>
      <c r="DM118" s="19"/>
      <c r="DN118" s="19"/>
      <c r="DO118" s="19"/>
      <c r="DP118" s="19"/>
      <c r="DQ118" s="19"/>
      <c r="DR118" s="19"/>
      <c r="DS118" s="19"/>
      <c r="DT118" s="19"/>
      <c r="DU118" s="19"/>
      <c r="DV118" s="19"/>
      <c r="DW118" s="19"/>
      <c r="DX118" s="19"/>
      <c r="DY118" s="19"/>
      <c r="DZ118" s="19"/>
      <c r="EA118" s="19"/>
      <c r="EB118" s="19"/>
      <c r="EC118" s="19"/>
      <c r="ED118" s="19"/>
      <c r="EE118" s="19"/>
      <c r="EF118" s="19"/>
      <c r="EG118" s="19"/>
      <c r="EH118" s="19"/>
      <c r="EI118" s="19"/>
      <c r="EJ118" s="19"/>
      <c r="EK118" s="19"/>
      <c r="EL118" s="19"/>
      <c r="EM118" s="19"/>
      <c r="EN118" s="4" t="s">
        <v>79</v>
      </c>
      <c r="EO118" s="19"/>
      <c r="EP118" s="17"/>
      <c r="EQ118" s="23"/>
      <c r="ER118" s="23" t="str">
        <f t="shared" si="1"/>
        <v/>
      </c>
      <c r="ES118" s="19"/>
      <c r="ET118" s="19" t="str">
        <f t="shared" si="2"/>
        <v/>
      </c>
      <c r="EU118" s="19"/>
      <c r="EV118" s="19"/>
      <c r="EW118" s="19"/>
      <c r="EX118" s="19"/>
      <c r="EY118" s="19"/>
      <c r="EZ118" s="19"/>
      <c r="FA118" s="19"/>
      <c r="FB118" s="19"/>
    </row>
    <row r="119" ht="15.75" customHeight="1">
      <c r="A119" s="4" t="s">
        <v>1206</v>
      </c>
      <c r="B119" s="4" t="s">
        <v>778</v>
      </c>
      <c r="C119" s="4" t="s">
        <v>476</v>
      </c>
      <c r="D119" s="78">
        <v>46128.0</v>
      </c>
      <c r="E119" s="4" t="s">
        <v>592</v>
      </c>
      <c r="F119" s="4" t="s">
        <v>1033</v>
      </c>
      <c r="G119" s="4" t="s">
        <v>1207</v>
      </c>
      <c r="H119" s="4" t="s">
        <v>890</v>
      </c>
      <c r="V119" s="4" t="s">
        <v>1208</v>
      </c>
      <c r="Y119" s="4" t="s">
        <v>1208</v>
      </c>
      <c r="Z119" s="4" t="s">
        <v>597</v>
      </c>
      <c r="AB119" s="4" t="s">
        <v>597</v>
      </c>
      <c r="AH119" s="23">
        <v>97152.0</v>
      </c>
      <c r="AL119" s="19"/>
      <c r="AM119" s="19"/>
      <c r="AN119" s="19"/>
      <c r="AO119" s="19"/>
      <c r="AP119" s="19"/>
      <c r="AQ119" s="4">
        <v>83448.0</v>
      </c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  <c r="CL119" s="19"/>
      <c r="CM119" s="19"/>
      <c r="CN119" s="19"/>
      <c r="CO119" s="19"/>
      <c r="CP119" s="19"/>
      <c r="CQ119" s="19"/>
      <c r="CR119" s="19"/>
      <c r="CS119" s="19"/>
      <c r="CT119" s="19"/>
      <c r="CU119" s="19"/>
      <c r="CV119" s="19"/>
      <c r="CW119" s="19"/>
      <c r="CX119" s="19"/>
      <c r="CY119" s="19"/>
      <c r="CZ119" s="19"/>
      <c r="DA119" s="19"/>
      <c r="DB119" s="19"/>
      <c r="DC119" s="19"/>
      <c r="DD119" s="19"/>
      <c r="DE119" s="19"/>
      <c r="DF119" s="19"/>
      <c r="DG119" s="19"/>
      <c r="DH119" s="19"/>
      <c r="DI119" s="19"/>
      <c r="DJ119" s="19"/>
      <c r="DK119" s="19"/>
      <c r="DL119" s="19"/>
      <c r="DM119" s="19"/>
      <c r="DN119" s="19"/>
      <c r="DO119" s="19"/>
      <c r="DP119" s="19"/>
      <c r="DQ119" s="19"/>
      <c r="DR119" s="19"/>
      <c r="DS119" s="19"/>
      <c r="DT119" s="19"/>
      <c r="DU119" s="19"/>
      <c r="DV119" s="19"/>
      <c r="DW119" s="19"/>
      <c r="DX119" s="19"/>
      <c r="DY119" s="19"/>
      <c r="DZ119" s="19"/>
      <c r="EA119" s="19"/>
      <c r="EB119" s="19"/>
      <c r="EC119" s="19"/>
      <c r="ED119" s="19"/>
      <c r="EE119" s="19"/>
      <c r="EF119" s="19"/>
      <c r="EG119" s="19"/>
      <c r="EH119" s="19"/>
      <c r="EI119" s="19"/>
      <c r="EJ119" s="19"/>
      <c r="EK119" s="19"/>
      <c r="EL119" s="19"/>
      <c r="EM119" s="19"/>
      <c r="EN119" s="4" t="s">
        <v>79</v>
      </c>
      <c r="EO119" s="19"/>
      <c r="EP119" s="17"/>
      <c r="EQ119" s="23"/>
      <c r="ER119" s="23" t="str">
        <f t="shared" si="1"/>
        <v/>
      </c>
      <c r="ES119" s="19"/>
      <c r="ET119" s="19" t="str">
        <f t="shared" si="2"/>
        <v/>
      </c>
      <c r="EU119" s="19"/>
      <c r="EV119" s="19"/>
      <c r="EW119" s="19"/>
      <c r="EX119" s="19"/>
      <c r="EY119" s="19"/>
      <c r="EZ119" s="19"/>
      <c r="FA119" s="19"/>
      <c r="FB119" s="19"/>
    </row>
    <row r="120" ht="15.75" customHeight="1">
      <c r="A120" s="4" t="s">
        <v>1209</v>
      </c>
      <c r="B120" s="4" t="s">
        <v>475</v>
      </c>
      <c r="C120" s="4" t="s">
        <v>476</v>
      </c>
      <c r="D120" s="78">
        <v>46128.0</v>
      </c>
      <c r="E120" s="4" t="s">
        <v>1210</v>
      </c>
      <c r="F120" s="4" t="s">
        <v>1033</v>
      </c>
      <c r="G120" s="4" t="s">
        <v>655</v>
      </c>
      <c r="H120" s="4" t="s">
        <v>679</v>
      </c>
      <c r="V120" s="4" t="s">
        <v>1211</v>
      </c>
      <c r="Y120" s="4" t="s">
        <v>1211</v>
      </c>
      <c r="Z120" s="4" t="s">
        <v>597</v>
      </c>
      <c r="AB120" s="4" t="s">
        <v>597</v>
      </c>
      <c r="AH120" s="23">
        <v>270820.0</v>
      </c>
      <c r="AL120" s="19"/>
      <c r="AM120" s="19"/>
      <c r="AN120" s="19"/>
      <c r="AO120" s="19"/>
      <c r="AP120" s="19"/>
      <c r="AQ120" s="4">
        <v>118200.0</v>
      </c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  <c r="CL120" s="19"/>
      <c r="CM120" s="19"/>
      <c r="CN120" s="19"/>
      <c r="CO120" s="19"/>
      <c r="CP120" s="19"/>
      <c r="CQ120" s="19"/>
      <c r="CR120" s="19"/>
      <c r="CS120" s="19"/>
      <c r="CT120" s="19"/>
      <c r="CU120" s="19"/>
      <c r="CV120" s="19"/>
      <c r="CW120" s="19"/>
      <c r="CX120" s="19"/>
      <c r="CY120" s="19"/>
      <c r="CZ120" s="19"/>
      <c r="DA120" s="19"/>
      <c r="DB120" s="19"/>
      <c r="DC120" s="19"/>
      <c r="DD120" s="19"/>
      <c r="DE120" s="19"/>
      <c r="DF120" s="19"/>
      <c r="DG120" s="19"/>
      <c r="DH120" s="19"/>
      <c r="DI120" s="19"/>
      <c r="DJ120" s="19"/>
      <c r="DK120" s="19"/>
      <c r="DL120" s="19"/>
      <c r="DM120" s="19"/>
      <c r="DN120" s="19"/>
      <c r="DO120" s="19"/>
      <c r="DP120" s="19"/>
      <c r="DQ120" s="19"/>
      <c r="DR120" s="19"/>
      <c r="DS120" s="19"/>
      <c r="DT120" s="19"/>
      <c r="DU120" s="19"/>
      <c r="DV120" s="19"/>
      <c r="DW120" s="19"/>
      <c r="DX120" s="19"/>
      <c r="DY120" s="19"/>
      <c r="DZ120" s="19"/>
      <c r="EA120" s="19"/>
      <c r="EB120" s="19"/>
      <c r="EC120" s="19"/>
      <c r="ED120" s="19"/>
      <c r="EE120" s="19"/>
      <c r="EF120" s="19"/>
      <c r="EG120" s="19"/>
      <c r="EH120" s="19"/>
      <c r="EI120" s="19"/>
      <c r="EJ120" s="19"/>
      <c r="EK120" s="19"/>
      <c r="EL120" s="19"/>
      <c r="EM120" s="19"/>
      <c r="EN120" s="4" t="s">
        <v>79</v>
      </c>
      <c r="EO120" s="19"/>
      <c r="EP120" s="17"/>
      <c r="EQ120" s="23"/>
      <c r="ER120" s="23" t="str">
        <f t="shared" si="1"/>
        <v/>
      </c>
      <c r="ES120" s="19"/>
      <c r="ET120" s="19" t="str">
        <f t="shared" si="2"/>
        <v/>
      </c>
      <c r="EU120" s="19"/>
      <c r="EV120" s="19"/>
      <c r="EW120" s="19"/>
      <c r="EX120" s="19"/>
      <c r="EY120" s="19"/>
      <c r="EZ120" s="19"/>
      <c r="FA120" s="19"/>
      <c r="FB120" s="19"/>
    </row>
    <row r="121" ht="15.75" customHeight="1">
      <c r="A121" s="4" t="s">
        <v>1212</v>
      </c>
      <c r="B121" s="4" t="s">
        <v>475</v>
      </c>
      <c r="C121" s="4" t="s">
        <v>1022</v>
      </c>
      <c r="D121" s="78">
        <v>46128.0</v>
      </c>
      <c r="E121" s="4" t="s">
        <v>1213</v>
      </c>
      <c r="F121" s="4" t="s">
        <v>1033</v>
      </c>
      <c r="G121" s="4" t="s">
        <v>1214</v>
      </c>
      <c r="H121" s="4" t="s">
        <v>781</v>
      </c>
      <c r="V121" s="4" t="s">
        <v>1208</v>
      </c>
      <c r="Z121" s="4" t="s">
        <v>597</v>
      </c>
      <c r="AB121" s="4" t="s">
        <v>597</v>
      </c>
      <c r="AH121" s="23">
        <v>353925.0</v>
      </c>
      <c r="AL121" s="19"/>
      <c r="AM121" s="19"/>
      <c r="AN121" s="19"/>
      <c r="AO121" s="19"/>
      <c r="AP121" s="19"/>
      <c r="AQ121" s="4">
        <v>98690.0</v>
      </c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  <c r="CL121" s="19"/>
      <c r="CM121" s="19"/>
      <c r="CN121" s="19"/>
      <c r="CO121" s="19"/>
      <c r="CP121" s="19"/>
      <c r="CQ121" s="19"/>
      <c r="CR121" s="19"/>
      <c r="CS121" s="19"/>
      <c r="CT121" s="19"/>
      <c r="CU121" s="19"/>
      <c r="CV121" s="19"/>
      <c r="CW121" s="19"/>
      <c r="CX121" s="19"/>
      <c r="CY121" s="19"/>
      <c r="CZ121" s="19"/>
      <c r="DA121" s="19"/>
      <c r="DB121" s="19"/>
      <c r="DC121" s="19"/>
      <c r="DD121" s="19"/>
      <c r="DE121" s="19"/>
      <c r="DF121" s="19"/>
      <c r="DG121" s="19"/>
      <c r="DH121" s="19"/>
      <c r="DI121" s="19"/>
      <c r="DJ121" s="19"/>
      <c r="DK121" s="19"/>
      <c r="DL121" s="19"/>
      <c r="DM121" s="19"/>
      <c r="DN121" s="19"/>
      <c r="DO121" s="19"/>
      <c r="DP121" s="19"/>
      <c r="DQ121" s="19"/>
      <c r="DR121" s="19"/>
      <c r="DS121" s="19"/>
      <c r="DT121" s="19"/>
      <c r="DU121" s="19"/>
      <c r="DV121" s="19"/>
      <c r="DW121" s="19"/>
      <c r="DX121" s="19"/>
      <c r="DY121" s="19"/>
      <c r="DZ121" s="19"/>
      <c r="EA121" s="19"/>
      <c r="EB121" s="19"/>
      <c r="EC121" s="19"/>
      <c r="ED121" s="19"/>
      <c r="EE121" s="19"/>
      <c r="EF121" s="19"/>
      <c r="EG121" s="19"/>
      <c r="EH121" s="19"/>
      <c r="EI121" s="19"/>
      <c r="EJ121" s="19"/>
      <c r="EK121" s="19"/>
      <c r="EL121" s="19"/>
      <c r="EM121" s="19"/>
      <c r="EN121" s="4" t="s">
        <v>79</v>
      </c>
      <c r="EO121" s="19"/>
      <c r="EP121" s="17"/>
      <c r="EQ121" s="23"/>
      <c r="ER121" s="23" t="str">
        <f t="shared" si="1"/>
        <v/>
      </c>
      <c r="ES121" s="19"/>
      <c r="ET121" s="19" t="str">
        <f t="shared" si="2"/>
        <v/>
      </c>
      <c r="EU121" s="19"/>
      <c r="EV121" s="19"/>
      <c r="EW121" s="19"/>
      <c r="EX121" s="19"/>
      <c r="EY121" s="19"/>
      <c r="EZ121" s="19"/>
      <c r="FA121" s="19"/>
      <c r="FB121" s="19"/>
    </row>
    <row r="122" ht="15.75" customHeight="1">
      <c r="A122" s="4" t="s">
        <v>1215</v>
      </c>
      <c r="B122" s="4" t="s">
        <v>778</v>
      </c>
      <c r="C122" s="4" t="s">
        <v>476</v>
      </c>
      <c r="D122" s="78">
        <v>46128.0</v>
      </c>
      <c r="E122" s="4" t="s">
        <v>1213</v>
      </c>
      <c r="F122" s="4" t="s">
        <v>1033</v>
      </c>
      <c r="G122" s="4" t="s">
        <v>1214</v>
      </c>
      <c r="H122" s="4" t="s">
        <v>781</v>
      </c>
      <c r="V122" s="4" t="s">
        <v>1208</v>
      </c>
      <c r="Z122" s="4" t="s">
        <v>597</v>
      </c>
      <c r="AB122" s="4" t="s">
        <v>597</v>
      </c>
      <c r="AH122" s="23">
        <v>124740.0</v>
      </c>
      <c r="AL122" s="19"/>
      <c r="AM122" s="19"/>
      <c r="AN122" s="19"/>
      <c r="AO122" s="19"/>
      <c r="AP122" s="19"/>
      <c r="AQ122" s="4">
        <v>92426.0</v>
      </c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  <c r="CL122" s="19"/>
      <c r="CM122" s="19"/>
      <c r="CN122" s="19"/>
      <c r="CO122" s="19"/>
      <c r="CP122" s="19"/>
      <c r="CQ122" s="19"/>
      <c r="CR122" s="19"/>
      <c r="CS122" s="19"/>
      <c r="CT122" s="19"/>
      <c r="CU122" s="19"/>
      <c r="CV122" s="19"/>
      <c r="CW122" s="19"/>
      <c r="CX122" s="19"/>
      <c r="CY122" s="19"/>
      <c r="CZ122" s="19"/>
      <c r="DA122" s="19"/>
      <c r="DB122" s="19"/>
      <c r="DC122" s="19"/>
      <c r="DD122" s="19"/>
      <c r="DE122" s="19"/>
      <c r="DF122" s="19"/>
      <c r="DG122" s="19"/>
      <c r="DH122" s="19"/>
      <c r="DI122" s="19"/>
      <c r="DJ122" s="19"/>
      <c r="DK122" s="19"/>
      <c r="DL122" s="19"/>
      <c r="DM122" s="19"/>
      <c r="DN122" s="19"/>
      <c r="DO122" s="19"/>
      <c r="DP122" s="19"/>
      <c r="DQ122" s="19"/>
      <c r="DR122" s="19"/>
      <c r="DS122" s="19"/>
      <c r="DT122" s="19"/>
      <c r="DU122" s="19"/>
      <c r="DV122" s="19"/>
      <c r="DW122" s="19"/>
      <c r="DX122" s="19"/>
      <c r="DY122" s="19"/>
      <c r="DZ122" s="19"/>
      <c r="EA122" s="19"/>
      <c r="EB122" s="19"/>
      <c r="EC122" s="19"/>
      <c r="ED122" s="19"/>
      <c r="EE122" s="19"/>
      <c r="EF122" s="19"/>
      <c r="EG122" s="19"/>
      <c r="EH122" s="19"/>
      <c r="EI122" s="19"/>
      <c r="EJ122" s="19"/>
      <c r="EK122" s="19"/>
      <c r="EL122" s="19"/>
      <c r="EM122" s="19"/>
      <c r="EN122" s="4" t="s">
        <v>79</v>
      </c>
      <c r="EO122" s="19"/>
      <c r="EP122" s="17"/>
      <c r="EQ122" s="23"/>
      <c r="ER122" s="23" t="str">
        <f t="shared" si="1"/>
        <v/>
      </c>
      <c r="ES122" s="19"/>
      <c r="ET122" s="19" t="str">
        <f t="shared" si="2"/>
        <v/>
      </c>
      <c r="EU122" s="19"/>
      <c r="EV122" s="19"/>
      <c r="EW122" s="19"/>
      <c r="EX122" s="19"/>
      <c r="EY122" s="19"/>
      <c r="EZ122" s="19"/>
      <c r="FA122" s="19"/>
      <c r="FB122" s="19"/>
    </row>
    <row r="123" ht="15.75" customHeight="1">
      <c r="A123" s="79" t="s">
        <v>1216</v>
      </c>
      <c r="B123" s="79" t="s">
        <v>591</v>
      </c>
      <c r="C123" s="79" t="s">
        <v>476</v>
      </c>
      <c r="D123" s="80">
        <v>46129.0</v>
      </c>
      <c r="E123" s="79" t="s">
        <v>1217</v>
      </c>
      <c r="F123" s="82"/>
      <c r="G123" s="79" t="s">
        <v>1218</v>
      </c>
      <c r="H123" s="79" t="s">
        <v>1219</v>
      </c>
      <c r="I123" s="79"/>
      <c r="J123" s="79" t="s">
        <v>1220</v>
      </c>
      <c r="K123" s="79">
        <v>3000.0</v>
      </c>
      <c r="L123" s="79"/>
      <c r="M123" s="79" t="s">
        <v>1221</v>
      </c>
      <c r="N123" s="79" t="s">
        <v>1131</v>
      </c>
      <c r="O123" s="79" t="s">
        <v>484</v>
      </c>
      <c r="P123" s="79" t="s">
        <v>1222</v>
      </c>
      <c r="Q123" s="79" t="s">
        <v>1223</v>
      </c>
      <c r="R123" s="80">
        <v>46864.0</v>
      </c>
      <c r="S123" s="79"/>
      <c r="T123" s="79">
        <v>16144.0</v>
      </c>
      <c r="U123" s="79"/>
      <c r="V123" s="79"/>
      <c r="W123" s="80"/>
      <c r="X123" s="79"/>
      <c r="Y123" s="80"/>
      <c r="Z123" s="79" t="s">
        <v>486</v>
      </c>
      <c r="AA123" s="79" t="s">
        <v>487</v>
      </c>
      <c r="AB123" s="79" t="s">
        <v>486</v>
      </c>
      <c r="AC123" s="79" t="s">
        <v>488</v>
      </c>
      <c r="AD123" s="79">
        <v>90100.0</v>
      </c>
      <c r="AE123" s="79">
        <v>12000.0</v>
      </c>
      <c r="AF123" s="79">
        <v>53050.0</v>
      </c>
      <c r="AG123" s="79">
        <v>10210.0</v>
      </c>
      <c r="AH123" s="83">
        <v>165360.0</v>
      </c>
      <c r="AI123" s="79"/>
      <c r="AJ123" s="79">
        <v>0.0</v>
      </c>
      <c r="AK123" s="79">
        <v>255.0</v>
      </c>
      <c r="AL123" s="83">
        <v>800.0</v>
      </c>
      <c r="AM123" s="79">
        <v>53050.0</v>
      </c>
      <c r="AN123" s="79">
        <v>106.0</v>
      </c>
      <c r="AO123" s="79">
        <v>54211.0</v>
      </c>
      <c r="AP123" s="79">
        <v>0.0</v>
      </c>
      <c r="AQ123" s="79">
        <v>101045.0</v>
      </c>
      <c r="AR123" s="79" t="s">
        <v>489</v>
      </c>
      <c r="AS123" s="79">
        <v>12000.0</v>
      </c>
      <c r="AT123" s="79" t="s">
        <v>836</v>
      </c>
      <c r="AU123" s="79" t="s">
        <v>491</v>
      </c>
      <c r="AV123" s="79">
        <v>0.0</v>
      </c>
      <c r="AW123" s="79"/>
      <c r="AX123" s="79">
        <v>0.0</v>
      </c>
      <c r="AY123" s="79"/>
      <c r="AZ123" s="79">
        <v>0.0</v>
      </c>
      <c r="BA123" s="79"/>
      <c r="BB123" s="79">
        <v>0.0</v>
      </c>
      <c r="BC123" s="82"/>
      <c r="BD123" s="79">
        <v>0.0</v>
      </c>
      <c r="BE123" s="82"/>
      <c r="BF123" s="79">
        <v>0.0</v>
      </c>
      <c r="BG123" s="82"/>
      <c r="BH123" s="79">
        <v>0.0</v>
      </c>
      <c r="BI123" s="79" t="s">
        <v>493</v>
      </c>
      <c r="BJ123" s="79">
        <v>17650.0</v>
      </c>
      <c r="BK123" s="79" t="s">
        <v>494</v>
      </c>
      <c r="BL123" s="79">
        <v>32800.0</v>
      </c>
      <c r="BM123" s="79" t="s">
        <v>495</v>
      </c>
      <c r="BN123" s="79">
        <v>2600.0</v>
      </c>
      <c r="BO123" s="79" t="s">
        <v>496</v>
      </c>
      <c r="BP123" s="79">
        <v>0.0</v>
      </c>
      <c r="BQ123" s="79"/>
      <c r="BR123" s="79">
        <v>0.0</v>
      </c>
      <c r="BS123" s="79"/>
      <c r="BT123" s="79">
        <v>0.0</v>
      </c>
      <c r="BU123" s="79"/>
      <c r="BV123" s="79">
        <v>0.0</v>
      </c>
      <c r="BW123" s="79"/>
      <c r="BX123" s="79">
        <v>0.0</v>
      </c>
      <c r="BY123" s="79">
        <v>0.0</v>
      </c>
      <c r="BZ123" s="79" t="s">
        <v>491</v>
      </c>
      <c r="CA123" s="79">
        <v>800.0</v>
      </c>
      <c r="CB123" s="79" t="s">
        <v>836</v>
      </c>
      <c r="CC123" s="79"/>
      <c r="CD123" s="79">
        <v>0.0</v>
      </c>
      <c r="CE123" s="79"/>
      <c r="CF123" s="79">
        <v>0.0</v>
      </c>
      <c r="CG123" s="79"/>
      <c r="CH123" s="79">
        <v>0.0</v>
      </c>
      <c r="CI123" s="79"/>
      <c r="CJ123" s="79">
        <v>0.0</v>
      </c>
      <c r="CK123" s="79"/>
      <c r="CL123" s="79">
        <v>0.0</v>
      </c>
      <c r="CM123" s="79"/>
      <c r="CN123" s="79">
        <v>0.0</v>
      </c>
      <c r="CO123" s="79" t="s">
        <v>493</v>
      </c>
      <c r="CP123" s="79">
        <v>17650.0</v>
      </c>
      <c r="CQ123" s="79" t="s">
        <v>494</v>
      </c>
      <c r="CR123" s="79">
        <v>32800.0</v>
      </c>
      <c r="CS123" s="79" t="s">
        <v>495</v>
      </c>
      <c r="CT123" s="79">
        <v>2600.0</v>
      </c>
      <c r="CU123" s="79" t="s">
        <v>496</v>
      </c>
      <c r="CV123" s="79">
        <v>0.0</v>
      </c>
      <c r="CW123" s="79"/>
      <c r="CX123" s="79">
        <v>0.0</v>
      </c>
      <c r="CY123" s="79"/>
      <c r="CZ123" s="79">
        <v>0.0</v>
      </c>
      <c r="DA123" s="79"/>
      <c r="DB123" s="79">
        <v>0.0</v>
      </c>
      <c r="DC123" s="79"/>
      <c r="DD123" s="79">
        <v>0.0</v>
      </c>
      <c r="DE123" s="79">
        <v>79100.0</v>
      </c>
      <c r="DF123" s="79">
        <v>11000.0</v>
      </c>
      <c r="DG123" s="79">
        <v>0.0</v>
      </c>
      <c r="DH123" s="79">
        <v>0.0</v>
      </c>
      <c r="DI123" s="79">
        <v>255.0</v>
      </c>
      <c r="DJ123" s="79" t="s">
        <v>1224</v>
      </c>
      <c r="DK123" s="79" t="s">
        <v>486</v>
      </c>
      <c r="DL123" s="79" t="s">
        <v>487</v>
      </c>
      <c r="DM123" s="79" t="s">
        <v>1225</v>
      </c>
      <c r="DN123" s="79" t="s">
        <v>1226</v>
      </c>
      <c r="DO123" s="79" t="s">
        <v>1227</v>
      </c>
      <c r="DP123" s="82"/>
      <c r="DQ123" s="79"/>
      <c r="DR123" s="82"/>
      <c r="DS123" s="79"/>
      <c r="DT123" s="82"/>
      <c r="DU123" s="79"/>
      <c r="DV123" s="82"/>
      <c r="DW123" s="79"/>
      <c r="DX123" s="79"/>
      <c r="DY123" s="79"/>
      <c r="DZ123" s="79"/>
      <c r="EA123" s="79"/>
      <c r="EB123" s="79"/>
      <c r="EC123" s="79"/>
      <c r="ED123" s="82"/>
      <c r="EE123" s="79"/>
      <c r="EF123" s="82"/>
      <c r="EG123" s="79"/>
      <c r="EH123" s="82"/>
      <c r="EI123" s="79"/>
      <c r="EJ123" s="82"/>
      <c r="EK123" s="79"/>
      <c r="EL123" s="82"/>
      <c r="EM123" s="79"/>
      <c r="EN123" s="79" t="s">
        <v>79</v>
      </c>
      <c r="EO123" s="79"/>
      <c r="EP123" s="17"/>
      <c r="EQ123" s="23"/>
      <c r="ER123" s="23" t="str">
        <f t="shared" si="1"/>
        <v/>
      </c>
      <c r="ES123" s="19"/>
      <c r="ET123" s="19" t="str">
        <f t="shared" si="2"/>
        <v/>
      </c>
      <c r="EU123" s="19"/>
      <c r="EV123" s="19"/>
      <c r="EW123" s="19"/>
      <c r="EX123" s="19"/>
      <c r="EY123" s="19"/>
      <c r="EZ123" s="19"/>
      <c r="FA123" s="19"/>
      <c r="FB123" s="19"/>
    </row>
    <row r="124" ht="15.75" customHeight="1">
      <c r="A124" s="4" t="s">
        <v>1228</v>
      </c>
      <c r="B124" s="4" t="s">
        <v>605</v>
      </c>
      <c r="C124" s="4" t="s">
        <v>1022</v>
      </c>
      <c r="D124" s="78">
        <v>46129.0</v>
      </c>
      <c r="E124" s="4" t="s">
        <v>1229</v>
      </c>
      <c r="F124" s="4" t="s">
        <v>1033</v>
      </c>
      <c r="G124" s="4" t="s">
        <v>1230</v>
      </c>
      <c r="H124" s="4" t="s">
        <v>1231</v>
      </c>
      <c r="V124" s="4" t="s">
        <v>1232</v>
      </c>
      <c r="Y124" s="4" t="s">
        <v>1232</v>
      </c>
      <c r="Z124" s="4" t="s">
        <v>597</v>
      </c>
      <c r="AB124" s="4" t="s">
        <v>597</v>
      </c>
      <c r="AH124" s="23">
        <v>284020.0</v>
      </c>
      <c r="AL124" s="19"/>
      <c r="AM124" s="19"/>
      <c r="AN124" s="19"/>
      <c r="AO124" s="19"/>
      <c r="AP124" s="19"/>
      <c r="AQ124" s="4">
        <v>195840.0</v>
      </c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  <c r="CL124" s="19"/>
      <c r="CM124" s="19"/>
      <c r="CN124" s="19"/>
      <c r="CO124" s="19"/>
      <c r="CP124" s="19"/>
      <c r="CQ124" s="19"/>
      <c r="CR124" s="19"/>
      <c r="CS124" s="19"/>
      <c r="CT124" s="19"/>
      <c r="CU124" s="19"/>
      <c r="CV124" s="19"/>
      <c r="CW124" s="19"/>
      <c r="CX124" s="19"/>
      <c r="CY124" s="19"/>
      <c r="CZ124" s="19"/>
      <c r="DA124" s="19"/>
      <c r="DB124" s="19"/>
      <c r="DC124" s="19"/>
      <c r="DD124" s="19"/>
      <c r="DE124" s="19"/>
      <c r="DF124" s="19"/>
      <c r="DG124" s="19"/>
      <c r="DH124" s="19"/>
      <c r="DI124" s="19"/>
      <c r="DJ124" s="19"/>
      <c r="DK124" s="19"/>
      <c r="DL124" s="19"/>
      <c r="DM124" s="19"/>
      <c r="DN124" s="19"/>
      <c r="DO124" s="19"/>
      <c r="DP124" s="19"/>
      <c r="DQ124" s="19"/>
      <c r="DR124" s="19"/>
      <c r="DS124" s="19"/>
      <c r="DT124" s="19"/>
      <c r="DU124" s="19"/>
      <c r="DV124" s="19"/>
      <c r="DW124" s="19"/>
      <c r="DX124" s="19"/>
      <c r="DY124" s="19"/>
      <c r="DZ124" s="19"/>
      <c r="EA124" s="19"/>
      <c r="EB124" s="19"/>
      <c r="EC124" s="19"/>
      <c r="ED124" s="19"/>
      <c r="EE124" s="19"/>
      <c r="EF124" s="19"/>
      <c r="EG124" s="19"/>
      <c r="EH124" s="19"/>
      <c r="EI124" s="19"/>
      <c r="EJ124" s="19"/>
      <c r="EK124" s="19"/>
      <c r="EL124" s="19"/>
      <c r="EM124" s="19"/>
      <c r="EN124" s="4" t="s">
        <v>79</v>
      </c>
      <c r="EO124" s="19"/>
      <c r="EP124" s="17"/>
      <c r="EQ124" s="23"/>
      <c r="ER124" s="23" t="str">
        <f t="shared" si="1"/>
        <v/>
      </c>
      <c r="ES124" s="19"/>
      <c r="ET124" s="19" t="str">
        <f t="shared" si="2"/>
        <v/>
      </c>
      <c r="EU124" s="19"/>
      <c r="EV124" s="19"/>
      <c r="EW124" s="19"/>
      <c r="EX124" s="19"/>
      <c r="EY124" s="19"/>
      <c r="EZ124" s="19"/>
      <c r="FA124" s="19"/>
      <c r="FB124" s="19"/>
    </row>
    <row r="125" ht="15.75" customHeight="1">
      <c r="A125" s="79" t="s">
        <v>1233</v>
      </c>
      <c r="B125" s="79" t="s">
        <v>475</v>
      </c>
      <c r="C125" s="79" t="s">
        <v>476</v>
      </c>
      <c r="D125" s="80">
        <v>46130.0</v>
      </c>
      <c r="E125" s="79" t="s">
        <v>1234</v>
      </c>
      <c r="F125" s="79" t="s">
        <v>568</v>
      </c>
      <c r="G125" s="79" t="s">
        <v>655</v>
      </c>
      <c r="H125" s="79" t="s">
        <v>479</v>
      </c>
      <c r="I125" s="79"/>
      <c r="J125" s="79" t="s">
        <v>1235</v>
      </c>
      <c r="K125" s="79">
        <v>2000.0</v>
      </c>
      <c r="L125" s="79"/>
      <c r="M125" s="79" t="s">
        <v>506</v>
      </c>
      <c r="N125" s="79" t="s">
        <v>831</v>
      </c>
      <c r="O125" s="79" t="s">
        <v>740</v>
      </c>
      <c r="P125" s="79"/>
      <c r="Q125" s="79" t="s">
        <v>1236</v>
      </c>
      <c r="R125" s="80">
        <v>46293.0</v>
      </c>
      <c r="S125" s="79"/>
      <c r="T125" s="79">
        <v>18303.0</v>
      </c>
      <c r="U125" s="79" t="s">
        <v>1237</v>
      </c>
      <c r="V125" s="79"/>
      <c r="W125" s="80">
        <v>46130.0</v>
      </c>
      <c r="X125" s="79"/>
      <c r="Y125" s="80">
        <v>46131.0</v>
      </c>
      <c r="Z125" s="79" t="s">
        <v>486</v>
      </c>
      <c r="AA125" s="79" t="s">
        <v>487</v>
      </c>
      <c r="AB125" s="79" t="s">
        <v>486</v>
      </c>
      <c r="AC125" s="79" t="s">
        <v>488</v>
      </c>
      <c r="AD125" s="79">
        <v>14000.0</v>
      </c>
      <c r="AE125" s="79">
        <v>0.0</v>
      </c>
      <c r="AF125" s="79">
        <v>0.0</v>
      </c>
      <c r="AG125" s="79">
        <v>1400.0</v>
      </c>
      <c r="AH125" s="83">
        <v>15400.0</v>
      </c>
      <c r="AI125" s="79"/>
      <c r="AJ125" s="79">
        <v>0.0</v>
      </c>
      <c r="AK125" s="79">
        <v>0.0</v>
      </c>
      <c r="AL125" s="83">
        <v>0.0</v>
      </c>
      <c r="AM125" s="79">
        <v>0.0</v>
      </c>
      <c r="AN125" s="79">
        <v>0.0</v>
      </c>
      <c r="AO125" s="79">
        <v>0.0</v>
      </c>
      <c r="AP125" s="79">
        <v>0.0</v>
      </c>
      <c r="AQ125" s="79">
        <v>14000.0</v>
      </c>
      <c r="AR125" s="79" t="s">
        <v>489</v>
      </c>
      <c r="AS125" s="79">
        <v>0.0</v>
      </c>
      <c r="AT125" s="79" t="s">
        <v>490</v>
      </c>
      <c r="AU125" s="79" t="s">
        <v>491</v>
      </c>
      <c r="AV125" s="79">
        <v>0.0</v>
      </c>
      <c r="AW125" s="79"/>
      <c r="AX125" s="79">
        <v>0.0</v>
      </c>
      <c r="AY125" s="79" t="s">
        <v>492</v>
      </c>
      <c r="AZ125" s="79">
        <v>0.0</v>
      </c>
      <c r="BA125" s="79"/>
      <c r="BB125" s="79">
        <v>0.0</v>
      </c>
      <c r="BC125" s="79"/>
      <c r="BD125" s="79">
        <v>0.0</v>
      </c>
      <c r="BE125" s="82"/>
      <c r="BF125" s="79">
        <v>0.0</v>
      </c>
      <c r="BG125" s="82"/>
      <c r="BH125" s="79">
        <v>0.0</v>
      </c>
      <c r="BI125" s="79" t="s">
        <v>493</v>
      </c>
      <c r="BJ125" s="79">
        <v>0.0</v>
      </c>
      <c r="BK125" s="79" t="s">
        <v>494</v>
      </c>
      <c r="BL125" s="79">
        <v>0.0</v>
      </c>
      <c r="BM125" s="79" t="s">
        <v>495</v>
      </c>
      <c r="BN125" s="79">
        <v>0.0</v>
      </c>
      <c r="BO125" s="79" t="s">
        <v>496</v>
      </c>
      <c r="BP125" s="79">
        <v>0.0</v>
      </c>
      <c r="BQ125" s="79"/>
      <c r="BR125" s="79">
        <v>0.0</v>
      </c>
      <c r="BS125" s="79"/>
      <c r="BT125" s="79">
        <v>0.0</v>
      </c>
      <c r="BU125" s="79"/>
      <c r="BV125" s="79">
        <v>0.0</v>
      </c>
      <c r="BW125" s="79"/>
      <c r="BX125" s="79">
        <v>0.0</v>
      </c>
      <c r="BY125" s="79">
        <v>0.0</v>
      </c>
      <c r="BZ125" s="79" t="s">
        <v>491</v>
      </c>
      <c r="CA125" s="79">
        <v>0.0</v>
      </c>
      <c r="CB125" s="79" t="s">
        <v>490</v>
      </c>
      <c r="CC125" s="79"/>
      <c r="CD125" s="79">
        <v>0.0</v>
      </c>
      <c r="CE125" s="79" t="s">
        <v>492</v>
      </c>
      <c r="CF125" s="79">
        <v>0.0</v>
      </c>
      <c r="CG125" s="79"/>
      <c r="CH125" s="79">
        <v>0.0</v>
      </c>
      <c r="CI125" s="79"/>
      <c r="CJ125" s="79">
        <v>0.0</v>
      </c>
      <c r="CK125" s="79"/>
      <c r="CL125" s="79">
        <v>0.0</v>
      </c>
      <c r="CM125" s="79"/>
      <c r="CN125" s="79">
        <v>0.0</v>
      </c>
      <c r="CO125" s="79" t="s">
        <v>493</v>
      </c>
      <c r="CP125" s="79">
        <v>0.0</v>
      </c>
      <c r="CQ125" s="79" t="s">
        <v>494</v>
      </c>
      <c r="CR125" s="79">
        <v>0.0</v>
      </c>
      <c r="CS125" s="79" t="s">
        <v>495</v>
      </c>
      <c r="CT125" s="79">
        <v>0.0</v>
      </c>
      <c r="CU125" s="79" t="s">
        <v>496</v>
      </c>
      <c r="CV125" s="79">
        <v>0.0</v>
      </c>
      <c r="CW125" s="79"/>
      <c r="CX125" s="79">
        <v>0.0</v>
      </c>
      <c r="CY125" s="79"/>
      <c r="CZ125" s="79">
        <v>0.0</v>
      </c>
      <c r="DA125" s="79"/>
      <c r="DB125" s="79">
        <v>0.0</v>
      </c>
      <c r="DC125" s="79"/>
      <c r="DD125" s="79">
        <v>0.0</v>
      </c>
      <c r="DE125" s="79">
        <v>11000.0</v>
      </c>
      <c r="DF125" s="79">
        <v>3000.0</v>
      </c>
      <c r="DG125" s="79">
        <v>0.0</v>
      </c>
      <c r="DH125" s="79">
        <v>0.0</v>
      </c>
      <c r="DI125" s="79">
        <v>0.0</v>
      </c>
      <c r="DJ125" s="79" t="s">
        <v>1238</v>
      </c>
      <c r="DK125" s="79" t="s">
        <v>486</v>
      </c>
      <c r="DL125" s="79" t="s">
        <v>487</v>
      </c>
      <c r="DM125" s="79" t="s">
        <v>1239</v>
      </c>
      <c r="DN125" s="82"/>
      <c r="DO125" s="79" t="s">
        <v>1240</v>
      </c>
      <c r="DP125" s="82"/>
      <c r="DQ125" s="79"/>
      <c r="DR125" s="82"/>
      <c r="DS125" s="79"/>
      <c r="DT125" s="82"/>
      <c r="DU125" s="79"/>
      <c r="DV125" s="82"/>
      <c r="DW125" s="79"/>
      <c r="DX125" s="79"/>
      <c r="DY125" s="79"/>
      <c r="DZ125" s="79"/>
      <c r="EA125" s="79"/>
      <c r="EB125" s="79"/>
      <c r="EC125" s="79"/>
      <c r="ED125" s="79"/>
      <c r="EE125" s="79"/>
      <c r="EF125" s="82"/>
      <c r="EG125" s="79"/>
      <c r="EH125" s="82"/>
      <c r="EI125" s="79"/>
      <c r="EJ125" s="82"/>
      <c r="EK125" s="79"/>
      <c r="EL125" s="82"/>
      <c r="EM125" s="79"/>
      <c r="EN125" s="79" t="s">
        <v>57</v>
      </c>
      <c r="EO125" s="79"/>
      <c r="EP125" s="17"/>
      <c r="EQ125" s="23"/>
      <c r="ER125" s="23" t="str">
        <f t="shared" si="1"/>
        <v/>
      </c>
      <c r="ES125" s="19"/>
      <c r="ET125" s="19" t="str">
        <f t="shared" si="2"/>
        <v/>
      </c>
      <c r="EU125" s="19"/>
      <c r="EV125" s="19"/>
      <c r="EW125" s="19"/>
      <c r="EX125" s="19"/>
      <c r="EY125" s="19"/>
      <c r="EZ125" s="19"/>
      <c r="FA125" s="19"/>
      <c r="FB125" s="19"/>
    </row>
    <row r="126" ht="15.75" customHeight="1">
      <c r="A126" s="79" t="s">
        <v>1242</v>
      </c>
      <c r="B126" s="79" t="s">
        <v>475</v>
      </c>
      <c r="C126" s="79" t="s">
        <v>476</v>
      </c>
      <c r="D126" s="80">
        <v>46130.0</v>
      </c>
      <c r="E126" s="79" t="s">
        <v>1234</v>
      </c>
      <c r="F126" s="79" t="s">
        <v>568</v>
      </c>
      <c r="G126" s="79" t="s">
        <v>655</v>
      </c>
      <c r="H126" s="79" t="s">
        <v>479</v>
      </c>
      <c r="I126" s="79"/>
      <c r="J126" s="79" t="s">
        <v>1235</v>
      </c>
      <c r="K126" s="79">
        <v>2000.0</v>
      </c>
      <c r="L126" s="79"/>
      <c r="M126" s="79" t="s">
        <v>506</v>
      </c>
      <c r="N126" s="79" t="s">
        <v>831</v>
      </c>
      <c r="O126" s="79" t="s">
        <v>740</v>
      </c>
      <c r="P126" s="79"/>
      <c r="Q126" s="79" t="s">
        <v>1236</v>
      </c>
      <c r="R126" s="80">
        <v>46293.0</v>
      </c>
      <c r="S126" s="79"/>
      <c r="T126" s="79">
        <v>18303.0</v>
      </c>
      <c r="U126" s="79" t="s">
        <v>1237</v>
      </c>
      <c r="V126" s="79"/>
      <c r="W126" s="80">
        <v>46130.0</v>
      </c>
      <c r="X126" s="79"/>
      <c r="Y126" s="80">
        <v>46131.0</v>
      </c>
      <c r="Z126" s="79" t="s">
        <v>486</v>
      </c>
      <c r="AA126" s="79" t="s">
        <v>487</v>
      </c>
      <c r="AB126" s="79" t="s">
        <v>486</v>
      </c>
      <c r="AC126" s="79" t="s">
        <v>488</v>
      </c>
      <c r="AD126" s="79">
        <v>8000.0</v>
      </c>
      <c r="AE126" s="79">
        <v>0.0</v>
      </c>
      <c r="AF126" s="79">
        <v>0.0</v>
      </c>
      <c r="AG126" s="79">
        <v>800.0</v>
      </c>
      <c r="AH126" s="83">
        <v>8800.0</v>
      </c>
      <c r="AI126" s="79"/>
      <c r="AJ126" s="79">
        <v>0.0</v>
      </c>
      <c r="AK126" s="79">
        <v>0.0</v>
      </c>
      <c r="AL126" s="83">
        <v>0.0</v>
      </c>
      <c r="AM126" s="79">
        <v>0.0</v>
      </c>
      <c r="AN126" s="79">
        <v>0.0</v>
      </c>
      <c r="AO126" s="79">
        <v>0.0</v>
      </c>
      <c r="AP126" s="79">
        <v>0.0</v>
      </c>
      <c r="AQ126" s="79">
        <v>8000.0</v>
      </c>
      <c r="AR126" s="79" t="s">
        <v>489</v>
      </c>
      <c r="AS126" s="79">
        <v>0.0</v>
      </c>
      <c r="AT126" s="79" t="s">
        <v>490</v>
      </c>
      <c r="AU126" s="79" t="s">
        <v>491</v>
      </c>
      <c r="AV126" s="79">
        <v>0.0</v>
      </c>
      <c r="AW126" s="79"/>
      <c r="AX126" s="79">
        <v>0.0</v>
      </c>
      <c r="AY126" s="79" t="s">
        <v>492</v>
      </c>
      <c r="AZ126" s="79">
        <v>0.0</v>
      </c>
      <c r="BA126" s="79"/>
      <c r="BB126" s="79">
        <v>0.0</v>
      </c>
      <c r="BC126" s="79"/>
      <c r="BD126" s="79">
        <v>0.0</v>
      </c>
      <c r="BE126" s="82"/>
      <c r="BF126" s="79">
        <v>0.0</v>
      </c>
      <c r="BG126" s="79"/>
      <c r="BH126" s="79">
        <v>0.0</v>
      </c>
      <c r="BI126" s="79" t="s">
        <v>493</v>
      </c>
      <c r="BJ126" s="79">
        <v>0.0</v>
      </c>
      <c r="BK126" s="79" t="s">
        <v>494</v>
      </c>
      <c r="BL126" s="79">
        <v>0.0</v>
      </c>
      <c r="BM126" s="79" t="s">
        <v>495</v>
      </c>
      <c r="BN126" s="79">
        <v>0.0</v>
      </c>
      <c r="BO126" s="79" t="s">
        <v>496</v>
      </c>
      <c r="BP126" s="79">
        <v>0.0</v>
      </c>
      <c r="BQ126" s="79"/>
      <c r="BR126" s="79">
        <v>0.0</v>
      </c>
      <c r="BS126" s="79"/>
      <c r="BT126" s="79">
        <v>0.0</v>
      </c>
      <c r="BU126" s="79"/>
      <c r="BV126" s="79">
        <v>0.0</v>
      </c>
      <c r="BW126" s="79"/>
      <c r="BX126" s="79">
        <v>0.0</v>
      </c>
      <c r="BY126" s="79">
        <v>0.0</v>
      </c>
      <c r="BZ126" s="79" t="s">
        <v>491</v>
      </c>
      <c r="CA126" s="79">
        <v>0.0</v>
      </c>
      <c r="CB126" s="79" t="s">
        <v>490</v>
      </c>
      <c r="CC126" s="79"/>
      <c r="CD126" s="79">
        <v>0.0</v>
      </c>
      <c r="CE126" s="79" t="s">
        <v>492</v>
      </c>
      <c r="CF126" s="79">
        <v>0.0</v>
      </c>
      <c r="CG126" s="79"/>
      <c r="CH126" s="79">
        <v>0.0</v>
      </c>
      <c r="CI126" s="79"/>
      <c r="CJ126" s="79">
        <v>0.0</v>
      </c>
      <c r="CK126" s="79"/>
      <c r="CL126" s="79">
        <v>0.0</v>
      </c>
      <c r="CM126" s="79"/>
      <c r="CN126" s="79">
        <v>0.0</v>
      </c>
      <c r="CO126" s="79" t="s">
        <v>493</v>
      </c>
      <c r="CP126" s="79">
        <v>0.0</v>
      </c>
      <c r="CQ126" s="79" t="s">
        <v>494</v>
      </c>
      <c r="CR126" s="79">
        <v>0.0</v>
      </c>
      <c r="CS126" s="79" t="s">
        <v>495</v>
      </c>
      <c r="CT126" s="79">
        <v>0.0</v>
      </c>
      <c r="CU126" s="79" t="s">
        <v>496</v>
      </c>
      <c r="CV126" s="79">
        <v>0.0</v>
      </c>
      <c r="CW126" s="79"/>
      <c r="CX126" s="79">
        <v>0.0</v>
      </c>
      <c r="CY126" s="79"/>
      <c r="CZ126" s="79">
        <v>0.0</v>
      </c>
      <c r="DA126" s="79"/>
      <c r="DB126" s="79">
        <v>0.0</v>
      </c>
      <c r="DC126" s="79"/>
      <c r="DD126" s="79">
        <v>0.0</v>
      </c>
      <c r="DE126" s="79">
        <v>8000.0</v>
      </c>
      <c r="DF126" s="79">
        <v>0.0</v>
      </c>
      <c r="DG126" s="79">
        <v>0.0</v>
      </c>
      <c r="DH126" s="79">
        <v>0.0</v>
      </c>
      <c r="DI126" s="79">
        <v>0.0</v>
      </c>
      <c r="DJ126" s="79" t="s">
        <v>1238</v>
      </c>
      <c r="DK126" s="79" t="s">
        <v>486</v>
      </c>
      <c r="DL126" s="79" t="s">
        <v>487</v>
      </c>
      <c r="DM126" s="79" t="s">
        <v>1239</v>
      </c>
      <c r="DN126" s="82"/>
      <c r="DO126" s="79" t="s">
        <v>1240</v>
      </c>
      <c r="DP126" s="82"/>
      <c r="DQ126" s="79"/>
      <c r="DR126" s="82"/>
      <c r="DS126" s="79"/>
      <c r="DT126" s="82"/>
      <c r="DU126" s="79"/>
      <c r="DV126" s="82"/>
      <c r="DW126" s="79"/>
      <c r="DX126" s="79"/>
      <c r="DY126" s="79"/>
      <c r="DZ126" s="79"/>
      <c r="EA126" s="79"/>
      <c r="EB126" s="79"/>
      <c r="EC126" s="79"/>
      <c r="ED126" s="79"/>
      <c r="EE126" s="79"/>
      <c r="EF126" s="82"/>
      <c r="EG126" s="79"/>
      <c r="EH126" s="82"/>
      <c r="EI126" s="79"/>
      <c r="EJ126" s="82"/>
      <c r="EK126" s="79"/>
      <c r="EL126" s="82"/>
      <c r="EM126" s="79"/>
      <c r="EN126" s="79" t="s">
        <v>57</v>
      </c>
      <c r="EO126" s="79"/>
      <c r="EP126" s="17"/>
      <c r="EQ126" s="23"/>
      <c r="ER126" s="23" t="str">
        <f t="shared" si="1"/>
        <v/>
      </c>
      <c r="ES126" s="19"/>
      <c r="ET126" s="19" t="str">
        <f t="shared" si="2"/>
        <v/>
      </c>
      <c r="EU126" s="19"/>
      <c r="EV126" s="19"/>
      <c r="EW126" s="19"/>
      <c r="EX126" s="19"/>
      <c r="EY126" s="19"/>
      <c r="EZ126" s="19"/>
      <c r="FA126" s="19"/>
      <c r="FB126" s="19"/>
    </row>
    <row r="127" ht="15.75" customHeight="1">
      <c r="A127" s="79" t="s">
        <v>1243</v>
      </c>
      <c r="B127" s="79" t="s">
        <v>475</v>
      </c>
      <c r="C127" s="79" t="s">
        <v>476</v>
      </c>
      <c r="D127" s="80">
        <v>46130.0</v>
      </c>
      <c r="E127" s="79" t="s">
        <v>1041</v>
      </c>
      <c r="F127" s="82"/>
      <c r="G127" s="79" t="s">
        <v>1042</v>
      </c>
      <c r="H127" s="79" t="s">
        <v>1043</v>
      </c>
      <c r="I127" s="79"/>
      <c r="J127" s="79" t="s">
        <v>1044</v>
      </c>
      <c r="K127" s="79">
        <v>2680.0</v>
      </c>
      <c r="L127" s="79"/>
      <c r="M127" s="79" t="s">
        <v>1045</v>
      </c>
      <c r="N127" s="79"/>
      <c r="O127" s="79"/>
      <c r="P127" s="79"/>
      <c r="Q127" s="79"/>
      <c r="R127" s="84">
        <v>46742.0</v>
      </c>
      <c r="S127" s="79"/>
      <c r="T127" s="79">
        <v>39081.0</v>
      </c>
      <c r="U127" s="79"/>
      <c r="V127" s="79"/>
      <c r="W127" s="80">
        <v>46129.0</v>
      </c>
      <c r="X127" s="79"/>
      <c r="Y127" s="80">
        <v>46130.0</v>
      </c>
      <c r="Z127" s="79" t="s">
        <v>524</v>
      </c>
      <c r="AA127" s="79" t="s">
        <v>487</v>
      </c>
      <c r="AB127" s="79" t="s">
        <v>524</v>
      </c>
      <c r="AC127" s="79" t="s">
        <v>488</v>
      </c>
      <c r="AD127" s="79">
        <v>17000.0</v>
      </c>
      <c r="AE127" s="79">
        <v>0.0</v>
      </c>
      <c r="AF127" s="79">
        <v>0.0</v>
      </c>
      <c r="AG127" s="79">
        <v>1700.0</v>
      </c>
      <c r="AH127" s="83">
        <v>18700.0</v>
      </c>
      <c r="AI127" s="79"/>
      <c r="AJ127" s="79">
        <v>0.0</v>
      </c>
      <c r="AK127" s="79">
        <v>0.0</v>
      </c>
      <c r="AL127" s="83">
        <v>0.0</v>
      </c>
      <c r="AM127" s="79">
        <v>0.0</v>
      </c>
      <c r="AN127" s="79">
        <v>0.0</v>
      </c>
      <c r="AO127" s="79">
        <v>0.0</v>
      </c>
      <c r="AP127" s="79">
        <v>0.0</v>
      </c>
      <c r="AQ127" s="79">
        <v>17000.0</v>
      </c>
      <c r="AR127" s="79" t="s">
        <v>525</v>
      </c>
      <c r="AS127" s="79">
        <v>0.0</v>
      </c>
      <c r="AT127" s="79" t="s">
        <v>490</v>
      </c>
      <c r="AU127" s="79" t="s">
        <v>491</v>
      </c>
      <c r="AV127" s="79">
        <v>0.0</v>
      </c>
      <c r="AW127" s="79"/>
      <c r="AX127" s="79">
        <v>0.0</v>
      </c>
      <c r="AY127" s="79" t="s">
        <v>492</v>
      </c>
      <c r="AZ127" s="79">
        <v>0.0</v>
      </c>
      <c r="BA127" s="82"/>
      <c r="BB127" s="79">
        <v>0.0</v>
      </c>
      <c r="BC127" s="79"/>
      <c r="BD127" s="79">
        <v>0.0</v>
      </c>
      <c r="BE127" s="82"/>
      <c r="BF127" s="79">
        <v>0.0</v>
      </c>
      <c r="BG127" s="82"/>
      <c r="BH127" s="79">
        <v>0.0</v>
      </c>
      <c r="BI127" s="79" t="s">
        <v>493</v>
      </c>
      <c r="BJ127" s="79">
        <v>0.0</v>
      </c>
      <c r="BK127" s="79" t="s">
        <v>494</v>
      </c>
      <c r="BL127" s="79">
        <v>0.0</v>
      </c>
      <c r="BM127" s="79" t="s">
        <v>495</v>
      </c>
      <c r="BN127" s="79">
        <v>0.0</v>
      </c>
      <c r="BO127" s="79" t="s">
        <v>496</v>
      </c>
      <c r="BP127" s="79">
        <v>0.0</v>
      </c>
      <c r="BQ127" s="79"/>
      <c r="BR127" s="79">
        <v>0.0</v>
      </c>
      <c r="BS127" s="79"/>
      <c r="BT127" s="79">
        <v>0.0</v>
      </c>
      <c r="BU127" s="79"/>
      <c r="BV127" s="79">
        <v>0.0</v>
      </c>
      <c r="BW127" s="79"/>
      <c r="BX127" s="79">
        <v>0.0</v>
      </c>
      <c r="BY127" s="79">
        <v>0.0</v>
      </c>
      <c r="BZ127" s="79" t="s">
        <v>491</v>
      </c>
      <c r="CA127" s="79">
        <v>0.0</v>
      </c>
      <c r="CB127" s="79" t="s">
        <v>490</v>
      </c>
      <c r="CC127" s="79"/>
      <c r="CD127" s="79">
        <v>0.0</v>
      </c>
      <c r="CE127" s="79" t="s">
        <v>492</v>
      </c>
      <c r="CF127" s="79">
        <v>0.0</v>
      </c>
      <c r="CG127" s="79"/>
      <c r="CH127" s="79">
        <v>0.0</v>
      </c>
      <c r="CI127" s="79"/>
      <c r="CJ127" s="79">
        <v>0.0</v>
      </c>
      <c r="CK127" s="79"/>
      <c r="CL127" s="79">
        <v>0.0</v>
      </c>
      <c r="CM127" s="79"/>
      <c r="CN127" s="79">
        <v>0.0</v>
      </c>
      <c r="CO127" s="79" t="s">
        <v>493</v>
      </c>
      <c r="CP127" s="79">
        <v>0.0</v>
      </c>
      <c r="CQ127" s="79" t="s">
        <v>494</v>
      </c>
      <c r="CR127" s="79">
        <v>0.0</v>
      </c>
      <c r="CS127" s="79" t="s">
        <v>495</v>
      </c>
      <c r="CT127" s="79">
        <v>0.0</v>
      </c>
      <c r="CU127" s="79" t="s">
        <v>496</v>
      </c>
      <c r="CV127" s="79">
        <v>0.0</v>
      </c>
      <c r="CW127" s="79"/>
      <c r="CX127" s="79">
        <v>0.0</v>
      </c>
      <c r="CY127" s="79"/>
      <c r="CZ127" s="79">
        <v>0.0</v>
      </c>
      <c r="DA127" s="79"/>
      <c r="DB127" s="79">
        <v>0.0</v>
      </c>
      <c r="DC127" s="79"/>
      <c r="DD127" s="79">
        <v>0.0</v>
      </c>
      <c r="DE127" s="79">
        <v>17000.0</v>
      </c>
      <c r="DF127" s="79">
        <v>0.0</v>
      </c>
      <c r="DG127" s="79">
        <v>0.0</v>
      </c>
      <c r="DH127" s="79">
        <v>0.0</v>
      </c>
      <c r="DI127" s="79">
        <v>0.0</v>
      </c>
      <c r="DJ127" s="79" t="s">
        <v>320</v>
      </c>
      <c r="DK127" s="79" t="s">
        <v>524</v>
      </c>
      <c r="DL127" s="79" t="s">
        <v>487</v>
      </c>
      <c r="DM127" s="79" t="s">
        <v>1046</v>
      </c>
      <c r="DN127" s="79" t="s">
        <v>1047</v>
      </c>
      <c r="DO127" s="79" t="s">
        <v>1048</v>
      </c>
      <c r="DP127" s="82"/>
      <c r="DQ127" s="79"/>
      <c r="DR127" s="82"/>
      <c r="DS127" s="79"/>
      <c r="DT127" s="82"/>
      <c r="DU127" s="79"/>
      <c r="DV127" s="82"/>
      <c r="DW127" s="79"/>
      <c r="DX127" s="79"/>
      <c r="DY127" s="79"/>
      <c r="DZ127" s="79"/>
      <c r="EA127" s="79"/>
      <c r="EB127" s="79"/>
      <c r="EC127" s="79"/>
      <c r="ED127" s="79"/>
      <c r="EE127" s="79"/>
      <c r="EF127" s="82"/>
      <c r="EG127" s="79"/>
      <c r="EH127" s="82"/>
      <c r="EI127" s="79"/>
      <c r="EJ127" s="82"/>
      <c r="EK127" s="79"/>
      <c r="EL127" s="82"/>
      <c r="EM127" s="79"/>
      <c r="EN127" s="79" t="s">
        <v>57</v>
      </c>
      <c r="EO127" s="79"/>
      <c r="EP127" s="17"/>
      <c r="EQ127" s="23"/>
      <c r="ER127" s="23" t="str">
        <f t="shared" si="1"/>
        <v/>
      </c>
      <c r="ES127" s="19"/>
      <c r="ET127" s="19" t="str">
        <f t="shared" si="2"/>
        <v/>
      </c>
      <c r="EU127" s="19"/>
      <c r="EV127" s="19"/>
      <c r="EW127" s="19"/>
      <c r="EX127" s="19"/>
      <c r="EY127" s="19"/>
      <c r="EZ127" s="19"/>
      <c r="FA127" s="19"/>
      <c r="FB127" s="19"/>
    </row>
    <row r="128" ht="15.75" customHeight="1">
      <c r="A128" s="4" t="s">
        <v>1244</v>
      </c>
      <c r="B128" s="4" t="s">
        <v>475</v>
      </c>
      <c r="C128" s="4" t="s">
        <v>476</v>
      </c>
      <c r="D128" s="78">
        <v>46130.0</v>
      </c>
      <c r="E128" s="4" t="s">
        <v>1245</v>
      </c>
      <c r="F128" s="4" t="s">
        <v>1033</v>
      </c>
      <c r="G128" s="4" t="s">
        <v>1173</v>
      </c>
      <c r="H128" s="4" t="s">
        <v>1246</v>
      </c>
      <c r="V128" s="4" t="s">
        <v>1070</v>
      </c>
      <c r="Y128" s="4" t="s">
        <v>1070</v>
      </c>
      <c r="Z128" s="4" t="s">
        <v>597</v>
      </c>
      <c r="AB128" s="4" t="s">
        <v>597</v>
      </c>
      <c r="AH128" s="23">
        <v>84480.0</v>
      </c>
      <c r="AL128" s="19"/>
      <c r="AM128" s="19"/>
      <c r="AN128" s="19"/>
      <c r="AO128" s="19"/>
      <c r="AP128" s="19"/>
      <c r="AQ128" s="4">
        <v>16800.0</v>
      </c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/>
      <c r="CJ128" s="19"/>
      <c r="CK128" s="19"/>
      <c r="CL128" s="19"/>
      <c r="CM128" s="19"/>
      <c r="CN128" s="19"/>
      <c r="CO128" s="19"/>
      <c r="CP128" s="19"/>
      <c r="CQ128" s="19"/>
      <c r="CR128" s="19"/>
      <c r="CS128" s="19"/>
      <c r="CT128" s="19"/>
      <c r="CU128" s="19"/>
      <c r="CV128" s="19"/>
      <c r="CW128" s="19"/>
      <c r="CX128" s="19"/>
      <c r="CY128" s="19"/>
      <c r="CZ128" s="19"/>
      <c r="DA128" s="19"/>
      <c r="DB128" s="19"/>
      <c r="DC128" s="19"/>
      <c r="DD128" s="19"/>
      <c r="DE128" s="19"/>
      <c r="DF128" s="19"/>
      <c r="DG128" s="19"/>
      <c r="DH128" s="19"/>
      <c r="DI128" s="19"/>
      <c r="DJ128" s="19"/>
      <c r="DK128" s="19"/>
      <c r="DL128" s="19"/>
      <c r="DM128" s="19"/>
      <c r="DN128" s="19"/>
      <c r="DO128" s="19"/>
      <c r="DP128" s="19"/>
      <c r="DQ128" s="19"/>
      <c r="DR128" s="19"/>
      <c r="DS128" s="19"/>
      <c r="DT128" s="19"/>
      <c r="DU128" s="19"/>
      <c r="DV128" s="19"/>
      <c r="DW128" s="19"/>
      <c r="DX128" s="19"/>
      <c r="DY128" s="19"/>
      <c r="DZ128" s="19"/>
      <c r="EA128" s="19"/>
      <c r="EB128" s="19"/>
      <c r="EC128" s="19"/>
      <c r="ED128" s="19"/>
      <c r="EE128" s="19"/>
      <c r="EF128" s="19"/>
      <c r="EG128" s="19"/>
      <c r="EH128" s="19"/>
      <c r="EI128" s="19"/>
      <c r="EJ128" s="19"/>
      <c r="EK128" s="19"/>
      <c r="EL128" s="19"/>
      <c r="EM128" s="19"/>
      <c r="EN128" s="4" t="s">
        <v>79</v>
      </c>
      <c r="EO128" s="19"/>
      <c r="EP128" s="17"/>
      <c r="EQ128" s="23"/>
      <c r="ER128" s="23" t="str">
        <f t="shared" si="1"/>
        <v/>
      </c>
      <c r="ES128" s="19"/>
      <c r="ET128" s="19" t="str">
        <f t="shared" si="2"/>
        <v/>
      </c>
      <c r="EU128" s="19"/>
      <c r="EV128" s="19"/>
      <c r="EW128" s="19"/>
      <c r="EX128" s="19"/>
      <c r="EY128" s="19"/>
      <c r="EZ128" s="19"/>
      <c r="FA128" s="19"/>
      <c r="FB128" s="19"/>
    </row>
    <row r="129" ht="15.75" customHeight="1">
      <c r="A129" s="4" t="s">
        <v>1247</v>
      </c>
      <c r="B129" s="4" t="s">
        <v>605</v>
      </c>
      <c r="C129" s="4" t="s">
        <v>476</v>
      </c>
      <c r="D129" s="78">
        <v>46130.0</v>
      </c>
      <c r="E129" s="4" t="s">
        <v>1069</v>
      </c>
      <c r="F129" s="4" t="s">
        <v>1033</v>
      </c>
      <c r="G129" s="4" t="s">
        <v>879</v>
      </c>
      <c r="H129" s="4" t="s">
        <v>1064</v>
      </c>
      <c r="V129" s="4" t="s">
        <v>1070</v>
      </c>
      <c r="Z129" s="4" t="s">
        <v>597</v>
      </c>
      <c r="AB129" s="4" t="s">
        <v>597</v>
      </c>
      <c r="AH129" s="23">
        <v>141416.0</v>
      </c>
      <c r="AL129" s="19"/>
      <c r="AM129" s="19"/>
      <c r="AN129" s="19"/>
      <c r="AO129" s="19"/>
      <c r="AP129" s="19"/>
      <c r="AQ129" s="4">
        <v>101248.0</v>
      </c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  <c r="CL129" s="19"/>
      <c r="CM129" s="19"/>
      <c r="CN129" s="19"/>
      <c r="CO129" s="19"/>
      <c r="CP129" s="19"/>
      <c r="CQ129" s="19"/>
      <c r="CR129" s="19"/>
      <c r="CS129" s="19"/>
      <c r="CT129" s="19"/>
      <c r="CU129" s="19"/>
      <c r="CV129" s="19"/>
      <c r="CW129" s="19"/>
      <c r="CX129" s="19"/>
      <c r="CY129" s="19"/>
      <c r="CZ129" s="19"/>
      <c r="DA129" s="19"/>
      <c r="DB129" s="19"/>
      <c r="DC129" s="19"/>
      <c r="DD129" s="19"/>
      <c r="DE129" s="19"/>
      <c r="DF129" s="19"/>
      <c r="DG129" s="19"/>
      <c r="DH129" s="19"/>
      <c r="DI129" s="19"/>
      <c r="DJ129" s="19"/>
      <c r="DK129" s="19"/>
      <c r="DL129" s="19"/>
      <c r="DM129" s="19"/>
      <c r="DN129" s="19"/>
      <c r="DO129" s="19"/>
      <c r="DP129" s="19"/>
      <c r="DQ129" s="19"/>
      <c r="DR129" s="19"/>
      <c r="DS129" s="19"/>
      <c r="DT129" s="19"/>
      <c r="DU129" s="19"/>
      <c r="DV129" s="19"/>
      <c r="DW129" s="19"/>
      <c r="DX129" s="19"/>
      <c r="DY129" s="19"/>
      <c r="DZ129" s="19"/>
      <c r="EA129" s="19"/>
      <c r="EB129" s="19"/>
      <c r="EC129" s="19"/>
      <c r="ED129" s="19"/>
      <c r="EE129" s="19"/>
      <c r="EF129" s="19"/>
      <c r="EG129" s="19"/>
      <c r="EH129" s="19"/>
      <c r="EI129" s="19"/>
      <c r="EJ129" s="19"/>
      <c r="EK129" s="19"/>
      <c r="EL129" s="19"/>
      <c r="EM129" s="19"/>
      <c r="EN129" s="4" t="s">
        <v>79</v>
      </c>
      <c r="EO129" s="19"/>
      <c r="EP129" s="17"/>
      <c r="EQ129" s="23"/>
      <c r="ER129" s="23" t="str">
        <f t="shared" si="1"/>
        <v/>
      </c>
      <c r="ES129" s="19"/>
      <c r="ET129" s="19" t="str">
        <f t="shared" si="2"/>
        <v/>
      </c>
      <c r="EU129" s="19"/>
      <c r="EV129" s="19"/>
      <c r="EW129" s="19"/>
      <c r="EX129" s="19"/>
      <c r="EY129" s="19"/>
      <c r="EZ129" s="19"/>
      <c r="FA129" s="19"/>
      <c r="FB129" s="19"/>
    </row>
    <row r="130" ht="15.75" customHeight="1">
      <c r="A130" s="4" t="s">
        <v>1248</v>
      </c>
      <c r="B130" s="4" t="s">
        <v>605</v>
      </c>
      <c r="C130" s="4" t="s">
        <v>476</v>
      </c>
      <c r="D130" s="78">
        <v>46130.0</v>
      </c>
      <c r="E130" s="4" t="s">
        <v>1069</v>
      </c>
      <c r="F130" s="4" t="s">
        <v>1033</v>
      </c>
      <c r="G130" s="4" t="s">
        <v>879</v>
      </c>
      <c r="H130" s="4" t="s">
        <v>1064</v>
      </c>
      <c r="V130" s="4" t="s">
        <v>1070</v>
      </c>
      <c r="Z130" s="4" t="s">
        <v>597</v>
      </c>
      <c r="AB130" s="4" t="s">
        <v>597</v>
      </c>
      <c r="AH130" s="23">
        <v>3080.0</v>
      </c>
      <c r="AL130" s="19"/>
      <c r="AM130" s="19"/>
      <c r="AN130" s="19"/>
      <c r="AO130" s="19"/>
      <c r="AP130" s="19"/>
      <c r="AQ130" s="4">
        <v>0.0</v>
      </c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  <c r="CL130" s="19"/>
      <c r="CM130" s="19"/>
      <c r="CN130" s="19"/>
      <c r="CO130" s="19"/>
      <c r="CP130" s="19"/>
      <c r="CQ130" s="19"/>
      <c r="CR130" s="19"/>
      <c r="CS130" s="19"/>
      <c r="CT130" s="19"/>
      <c r="CU130" s="19"/>
      <c r="CV130" s="19"/>
      <c r="CW130" s="19"/>
      <c r="CX130" s="19"/>
      <c r="CY130" s="19"/>
      <c r="CZ130" s="19"/>
      <c r="DA130" s="19"/>
      <c r="DB130" s="19"/>
      <c r="DC130" s="19"/>
      <c r="DD130" s="19"/>
      <c r="DE130" s="19"/>
      <c r="DF130" s="19"/>
      <c r="DG130" s="19"/>
      <c r="DH130" s="19"/>
      <c r="DI130" s="19"/>
      <c r="DJ130" s="19"/>
      <c r="DK130" s="19"/>
      <c r="DL130" s="19"/>
      <c r="DM130" s="19"/>
      <c r="DN130" s="19"/>
      <c r="DO130" s="19"/>
      <c r="DP130" s="19"/>
      <c r="DQ130" s="19"/>
      <c r="DR130" s="19"/>
      <c r="DS130" s="19"/>
      <c r="DT130" s="19"/>
      <c r="DU130" s="19"/>
      <c r="DV130" s="19"/>
      <c r="DW130" s="19"/>
      <c r="DX130" s="19"/>
      <c r="DY130" s="19"/>
      <c r="DZ130" s="19"/>
      <c r="EA130" s="19"/>
      <c r="EB130" s="19"/>
      <c r="EC130" s="19"/>
      <c r="ED130" s="19"/>
      <c r="EE130" s="19"/>
      <c r="EF130" s="19"/>
      <c r="EG130" s="19"/>
      <c r="EH130" s="19"/>
      <c r="EI130" s="19"/>
      <c r="EJ130" s="19"/>
      <c r="EK130" s="19"/>
      <c r="EL130" s="19"/>
      <c r="EM130" s="19"/>
      <c r="EN130" s="4" t="s">
        <v>79</v>
      </c>
      <c r="EO130" s="19"/>
      <c r="EP130" s="17"/>
      <c r="EQ130" s="23"/>
      <c r="ER130" s="23" t="str">
        <f t="shared" si="1"/>
        <v/>
      </c>
      <c r="ES130" s="19"/>
      <c r="ET130" s="19" t="str">
        <f t="shared" si="2"/>
        <v/>
      </c>
      <c r="EU130" s="19"/>
      <c r="EV130" s="19"/>
      <c r="EW130" s="19"/>
      <c r="EX130" s="19"/>
      <c r="EY130" s="19"/>
      <c r="EZ130" s="19"/>
      <c r="FA130" s="19"/>
      <c r="FB130" s="19"/>
    </row>
    <row r="131" ht="15.75" customHeight="1">
      <c r="A131" s="4" t="s">
        <v>1249</v>
      </c>
      <c r="B131" s="4" t="s">
        <v>605</v>
      </c>
      <c r="C131" s="4" t="s">
        <v>476</v>
      </c>
      <c r="D131" s="78">
        <v>46130.0</v>
      </c>
      <c r="E131" s="4" t="s">
        <v>1069</v>
      </c>
      <c r="F131" s="4" t="s">
        <v>1033</v>
      </c>
      <c r="G131" s="4" t="s">
        <v>879</v>
      </c>
      <c r="H131" s="4" t="s">
        <v>1064</v>
      </c>
      <c r="V131" s="4" t="s">
        <v>1070</v>
      </c>
      <c r="Z131" s="4" t="s">
        <v>597</v>
      </c>
      <c r="AB131" s="4" t="s">
        <v>597</v>
      </c>
      <c r="AH131" s="23">
        <v>616.0</v>
      </c>
      <c r="AL131" s="19"/>
      <c r="AM131" s="19"/>
      <c r="AN131" s="19"/>
      <c r="AO131" s="19"/>
      <c r="AP131" s="19"/>
      <c r="AQ131" s="4">
        <v>0.0</v>
      </c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  <c r="CL131" s="19"/>
      <c r="CM131" s="19"/>
      <c r="CN131" s="19"/>
      <c r="CO131" s="19"/>
      <c r="CP131" s="19"/>
      <c r="CQ131" s="19"/>
      <c r="CR131" s="19"/>
      <c r="CS131" s="19"/>
      <c r="CT131" s="19"/>
      <c r="CU131" s="19"/>
      <c r="CV131" s="19"/>
      <c r="CW131" s="19"/>
      <c r="CX131" s="19"/>
      <c r="CY131" s="19"/>
      <c r="CZ131" s="19"/>
      <c r="DA131" s="19"/>
      <c r="DB131" s="19"/>
      <c r="DC131" s="19"/>
      <c r="DD131" s="19"/>
      <c r="DE131" s="19"/>
      <c r="DF131" s="19"/>
      <c r="DG131" s="19"/>
      <c r="DH131" s="19"/>
      <c r="DI131" s="19"/>
      <c r="DJ131" s="19"/>
      <c r="DK131" s="19"/>
      <c r="DL131" s="19"/>
      <c r="DM131" s="19"/>
      <c r="DN131" s="19"/>
      <c r="DO131" s="19"/>
      <c r="DP131" s="19"/>
      <c r="DQ131" s="19"/>
      <c r="DR131" s="19"/>
      <c r="DS131" s="19"/>
      <c r="DT131" s="19"/>
      <c r="DU131" s="19"/>
      <c r="DV131" s="19"/>
      <c r="DW131" s="19"/>
      <c r="DX131" s="19"/>
      <c r="DY131" s="19"/>
      <c r="DZ131" s="19"/>
      <c r="EA131" s="19"/>
      <c r="EB131" s="19"/>
      <c r="EC131" s="19"/>
      <c r="ED131" s="19"/>
      <c r="EE131" s="19"/>
      <c r="EF131" s="19"/>
      <c r="EG131" s="19"/>
      <c r="EH131" s="19"/>
      <c r="EI131" s="19"/>
      <c r="EJ131" s="19"/>
      <c r="EK131" s="19"/>
      <c r="EL131" s="19"/>
      <c r="EM131" s="19"/>
      <c r="EN131" s="4" t="s">
        <v>79</v>
      </c>
      <c r="EO131" s="19"/>
      <c r="EP131" s="17"/>
      <c r="EQ131" s="23"/>
      <c r="ER131" s="23" t="str">
        <f t="shared" si="1"/>
        <v/>
      </c>
      <c r="ES131" s="19"/>
      <c r="ET131" s="19" t="str">
        <f t="shared" si="2"/>
        <v/>
      </c>
      <c r="EU131" s="19"/>
      <c r="EV131" s="19"/>
      <c r="EW131" s="19"/>
      <c r="EX131" s="19"/>
      <c r="EY131" s="19"/>
      <c r="EZ131" s="19"/>
      <c r="FA131" s="19"/>
      <c r="FB131" s="19"/>
    </row>
    <row r="132" ht="15.75" customHeight="1">
      <c r="A132" s="79" t="s">
        <v>1250</v>
      </c>
      <c r="B132" s="79" t="s">
        <v>475</v>
      </c>
      <c r="C132" s="79" t="s">
        <v>1022</v>
      </c>
      <c r="D132" s="80">
        <v>46131.0</v>
      </c>
      <c r="E132" s="79" t="s">
        <v>1251</v>
      </c>
      <c r="F132" s="79"/>
      <c r="G132" s="79" t="s">
        <v>1252</v>
      </c>
      <c r="H132" s="79" t="s">
        <v>1253</v>
      </c>
      <c r="I132" s="79"/>
      <c r="J132" s="79" t="s">
        <v>1254</v>
      </c>
      <c r="K132" s="79">
        <v>4000.0</v>
      </c>
      <c r="L132" s="79"/>
      <c r="M132" s="79" t="s">
        <v>1255</v>
      </c>
      <c r="N132" s="79" t="s">
        <v>1256</v>
      </c>
      <c r="O132" s="79" t="s">
        <v>484</v>
      </c>
      <c r="P132" s="79"/>
      <c r="Q132" s="79" t="s">
        <v>1257</v>
      </c>
      <c r="R132" s="79">
        <v>46407.0</v>
      </c>
      <c r="S132" s="79" t="s">
        <v>1258</v>
      </c>
      <c r="T132" s="79">
        <v>31110.0</v>
      </c>
      <c r="U132" s="79"/>
      <c r="V132" s="79"/>
      <c r="W132" s="80"/>
      <c r="X132" s="79"/>
      <c r="Y132" s="80"/>
      <c r="Z132" s="79" t="s">
        <v>557</v>
      </c>
      <c r="AA132" s="79" t="s">
        <v>487</v>
      </c>
      <c r="AB132" s="79" t="s">
        <v>557</v>
      </c>
      <c r="AC132" s="79" t="s">
        <v>488</v>
      </c>
      <c r="AD132" s="79">
        <v>392000.0</v>
      </c>
      <c r="AE132" s="79">
        <v>0.0</v>
      </c>
      <c r="AF132" s="79">
        <v>0.0</v>
      </c>
      <c r="AG132" s="79">
        <v>39200.0</v>
      </c>
      <c r="AH132" s="83">
        <v>431200.0</v>
      </c>
      <c r="AI132" s="79"/>
      <c r="AJ132" s="79">
        <v>0.0</v>
      </c>
      <c r="AK132" s="79"/>
      <c r="AL132" s="83"/>
      <c r="AM132" s="79"/>
      <c r="AN132" s="79"/>
      <c r="AO132" s="79"/>
      <c r="AP132" s="79">
        <v>0.0</v>
      </c>
      <c r="AQ132" s="79">
        <v>172000.0</v>
      </c>
      <c r="AR132" s="79" t="s">
        <v>525</v>
      </c>
      <c r="AS132" s="79">
        <v>0.0</v>
      </c>
      <c r="AT132" s="79" t="s">
        <v>507</v>
      </c>
      <c r="AU132" s="79" t="s">
        <v>491</v>
      </c>
      <c r="AV132" s="79">
        <v>0.0</v>
      </c>
      <c r="AW132" s="79" t="s">
        <v>508</v>
      </c>
      <c r="AX132" s="79">
        <v>0.0</v>
      </c>
      <c r="AY132" s="79"/>
      <c r="AZ132" s="79">
        <v>0.0</v>
      </c>
      <c r="BA132" s="79"/>
      <c r="BB132" s="79">
        <v>0.0</v>
      </c>
      <c r="BC132" s="79"/>
      <c r="BD132" s="79">
        <v>0.0</v>
      </c>
      <c r="BE132" s="82"/>
      <c r="BF132" s="79">
        <v>0.0</v>
      </c>
      <c r="BG132" s="79"/>
      <c r="BH132" s="79">
        <v>0.0</v>
      </c>
      <c r="BI132" s="79" t="s">
        <v>493</v>
      </c>
      <c r="BJ132" s="79">
        <v>0.0</v>
      </c>
      <c r="BK132" s="79" t="s">
        <v>494</v>
      </c>
      <c r="BL132" s="79">
        <v>0.0</v>
      </c>
      <c r="BM132" s="79" t="s">
        <v>495</v>
      </c>
      <c r="BN132" s="79">
        <v>0.0</v>
      </c>
      <c r="BO132" s="79" t="s">
        <v>496</v>
      </c>
      <c r="BP132" s="79">
        <v>0.0</v>
      </c>
      <c r="BQ132" s="79"/>
      <c r="BR132" s="79">
        <v>0.0</v>
      </c>
      <c r="BS132" s="79"/>
      <c r="BT132" s="79">
        <v>0.0</v>
      </c>
      <c r="BU132" s="79"/>
      <c r="BV132" s="79">
        <v>0.0</v>
      </c>
      <c r="BW132" s="79"/>
      <c r="BX132" s="79">
        <v>0.0</v>
      </c>
      <c r="BY132" s="79"/>
      <c r="BZ132" s="79"/>
      <c r="CA132" s="79"/>
      <c r="CB132" s="79"/>
      <c r="CC132" s="79"/>
      <c r="CD132" s="79"/>
      <c r="CE132" s="79"/>
      <c r="CF132" s="79"/>
      <c r="CG132" s="79"/>
      <c r="CH132" s="79"/>
      <c r="CI132" s="79"/>
      <c r="CJ132" s="79"/>
      <c r="CK132" s="79"/>
      <c r="CL132" s="79"/>
      <c r="CM132" s="79"/>
      <c r="CN132" s="79"/>
      <c r="CO132" s="79"/>
      <c r="CP132" s="79"/>
      <c r="CQ132" s="79"/>
      <c r="CR132" s="79"/>
      <c r="CS132" s="79"/>
      <c r="CT132" s="79"/>
      <c r="CU132" s="79"/>
      <c r="CV132" s="79"/>
      <c r="CW132" s="79"/>
      <c r="CX132" s="79"/>
      <c r="CY132" s="79"/>
      <c r="CZ132" s="79"/>
      <c r="DA132" s="79"/>
      <c r="DB132" s="79"/>
      <c r="DC132" s="79"/>
      <c r="DD132" s="79"/>
      <c r="DE132" s="79"/>
      <c r="DF132" s="79"/>
      <c r="DG132" s="79"/>
      <c r="DH132" s="79"/>
      <c r="DI132" s="79"/>
      <c r="DJ132" s="79" t="s">
        <v>1259</v>
      </c>
      <c r="DK132" s="79" t="s">
        <v>1260</v>
      </c>
      <c r="DL132" s="79" t="s">
        <v>555</v>
      </c>
      <c r="DM132" s="79" t="s">
        <v>558</v>
      </c>
      <c r="DN132" s="79" t="s">
        <v>1261</v>
      </c>
      <c r="DO132" s="79"/>
      <c r="DP132" s="82"/>
      <c r="DQ132" s="79"/>
      <c r="DR132" s="82"/>
      <c r="DS132" s="79"/>
      <c r="DT132" s="82"/>
      <c r="DU132" s="79"/>
      <c r="DV132" s="82"/>
      <c r="DW132" s="79"/>
      <c r="DX132" s="79"/>
      <c r="DY132" s="79"/>
      <c r="DZ132" s="79"/>
      <c r="EA132" s="79"/>
      <c r="EB132" s="79"/>
      <c r="EC132" s="79"/>
      <c r="ED132" s="79"/>
      <c r="EE132" s="79"/>
      <c r="EF132" s="82"/>
      <c r="EG132" s="79"/>
      <c r="EH132" s="82"/>
      <c r="EI132" s="79"/>
      <c r="EJ132" s="82"/>
      <c r="EK132" s="79"/>
      <c r="EL132" s="82"/>
      <c r="EM132" s="79">
        <v>0.0</v>
      </c>
      <c r="EN132" s="79" t="s">
        <v>79</v>
      </c>
      <c r="EO132" s="79"/>
      <c r="EP132" s="17"/>
      <c r="EQ132" s="23"/>
      <c r="ER132" s="23" t="str">
        <f t="shared" si="1"/>
        <v/>
      </c>
      <c r="ES132" s="19"/>
      <c r="ET132" s="19" t="str">
        <f t="shared" si="2"/>
        <v/>
      </c>
      <c r="EU132" s="19"/>
      <c r="EV132" s="19"/>
      <c r="EW132" s="19"/>
      <c r="EX132" s="19"/>
      <c r="EY132" s="19"/>
      <c r="EZ132" s="19"/>
      <c r="FA132" s="19"/>
      <c r="FB132" s="19"/>
    </row>
    <row r="133" ht="15.75" customHeight="1">
      <c r="A133" s="79" t="s">
        <v>179</v>
      </c>
      <c r="B133" s="79" t="s">
        <v>475</v>
      </c>
      <c r="C133" s="79" t="s">
        <v>476</v>
      </c>
      <c r="D133" s="80">
        <v>46131.0</v>
      </c>
      <c r="E133" s="79" t="s">
        <v>1262</v>
      </c>
      <c r="F133" s="82"/>
      <c r="G133" s="79" t="s">
        <v>1263</v>
      </c>
      <c r="H133" s="79" t="s">
        <v>1264</v>
      </c>
      <c r="I133" s="79"/>
      <c r="J133" s="79" t="s">
        <v>1265</v>
      </c>
      <c r="K133" s="79">
        <v>3000.0</v>
      </c>
      <c r="L133" s="79"/>
      <c r="M133" s="79" t="s">
        <v>1266</v>
      </c>
      <c r="N133" s="79" t="s">
        <v>572</v>
      </c>
      <c r="O133" s="79" t="s">
        <v>573</v>
      </c>
      <c r="P133" s="79"/>
      <c r="Q133" s="79" t="s">
        <v>1267</v>
      </c>
      <c r="R133" s="80">
        <v>46594.0</v>
      </c>
      <c r="S133" s="79"/>
      <c r="T133" s="79">
        <v>32586.0</v>
      </c>
      <c r="U133" s="79"/>
      <c r="V133" s="79"/>
      <c r="W133" s="79"/>
      <c r="X133" s="79"/>
      <c r="Y133" s="79"/>
      <c r="Z133" s="79" t="s">
        <v>557</v>
      </c>
      <c r="AA133" s="79" t="s">
        <v>487</v>
      </c>
      <c r="AB133" s="79" t="s">
        <v>557</v>
      </c>
      <c r="AC133" s="79" t="s">
        <v>488</v>
      </c>
      <c r="AD133" s="79">
        <v>50000.0</v>
      </c>
      <c r="AE133" s="79">
        <v>0.0</v>
      </c>
      <c r="AF133" s="79">
        <v>0.0</v>
      </c>
      <c r="AG133" s="79">
        <v>5000.0</v>
      </c>
      <c r="AH133" s="83">
        <v>55000.0</v>
      </c>
      <c r="AI133" s="79"/>
      <c r="AJ133" s="79">
        <v>0.0</v>
      </c>
      <c r="AK133" s="79">
        <v>6596.0</v>
      </c>
      <c r="AL133" s="83">
        <v>0.0</v>
      </c>
      <c r="AM133" s="79">
        <v>0.0</v>
      </c>
      <c r="AN133" s="79">
        <v>660.0</v>
      </c>
      <c r="AO133" s="79">
        <v>7256.0</v>
      </c>
      <c r="AP133" s="79">
        <v>0.0</v>
      </c>
      <c r="AQ133" s="79">
        <v>43404.0</v>
      </c>
      <c r="AR133" s="79" t="s">
        <v>1268</v>
      </c>
      <c r="AS133" s="79">
        <v>0.0</v>
      </c>
      <c r="AT133" s="79" t="s">
        <v>490</v>
      </c>
      <c r="AU133" s="79" t="s">
        <v>491</v>
      </c>
      <c r="AV133" s="79">
        <v>0.0</v>
      </c>
      <c r="AW133" s="79"/>
      <c r="AX133" s="79">
        <v>0.0</v>
      </c>
      <c r="AY133" s="79" t="s">
        <v>492</v>
      </c>
      <c r="AZ133" s="79">
        <v>0.0</v>
      </c>
      <c r="BA133" s="79"/>
      <c r="BB133" s="79">
        <v>0.0</v>
      </c>
      <c r="BC133" s="82"/>
      <c r="BD133" s="79">
        <v>0.0</v>
      </c>
      <c r="BE133" s="82"/>
      <c r="BF133" s="79">
        <v>0.0</v>
      </c>
      <c r="BG133" s="82"/>
      <c r="BH133" s="79">
        <v>0.0</v>
      </c>
      <c r="BI133" s="79" t="s">
        <v>493</v>
      </c>
      <c r="BJ133" s="79">
        <v>0.0</v>
      </c>
      <c r="BK133" s="79" t="s">
        <v>494</v>
      </c>
      <c r="BL133" s="79">
        <v>0.0</v>
      </c>
      <c r="BM133" s="79" t="s">
        <v>495</v>
      </c>
      <c r="BN133" s="79">
        <v>0.0</v>
      </c>
      <c r="BO133" s="79" t="s">
        <v>496</v>
      </c>
      <c r="BP133" s="79">
        <v>0.0</v>
      </c>
      <c r="BQ133" s="79"/>
      <c r="BR133" s="79">
        <v>0.0</v>
      </c>
      <c r="BS133" s="79"/>
      <c r="BT133" s="79">
        <v>0.0</v>
      </c>
      <c r="BU133" s="79"/>
      <c r="BV133" s="79">
        <v>0.0</v>
      </c>
      <c r="BW133" s="79"/>
      <c r="BX133" s="79">
        <v>0.0</v>
      </c>
      <c r="BY133" s="79">
        <v>0.0</v>
      </c>
      <c r="BZ133" s="79" t="s">
        <v>491</v>
      </c>
      <c r="CA133" s="79">
        <v>0.0</v>
      </c>
      <c r="CB133" s="79" t="s">
        <v>490</v>
      </c>
      <c r="CC133" s="79"/>
      <c r="CD133" s="79">
        <v>0.0</v>
      </c>
      <c r="CE133" s="79" t="s">
        <v>492</v>
      </c>
      <c r="CF133" s="79">
        <v>0.0</v>
      </c>
      <c r="CG133" s="79"/>
      <c r="CH133" s="79">
        <v>0.0</v>
      </c>
      <c r="CI133" s="79"/>
      <c r="CJ133" s="79">
        <v>0.0</v>
      </c>
      <c r="CK133" s="79"/>
      <c r="CL133" s="79">
        <v>0.0</v>
      </c>
      <c r="CM133" s="79"/>
      <c r="CN133" s="79">
        <v>0.0</v>
      </c>
      <c r="CO133" s="79" t="s">
        <v>493</v>
      </c>
      <c r="CP133" s="79">
        <v>0.0</v>
      </c>
      <c r="CQ133" s="79" t="s">
        <v>494</v>
      </c>
      <c r="CR133" s="79">
        <v>0.0</v>
      </c>
      <c r="CS133" s="79" t="s">
        <v>495</v>
      </c>
      <c r="CT133" s="79">
        <v>0.0</v>
      </c>
      <c r="CU133" s="79" t="s">
        <v>496</v>
      </c>
      <c r="CV133" s="79">
        <v>0.0</v>
      </c>
      <c r="CW133" s="79"/>
      <c r="CX133" s="79">
        <v>0.0</v>
      </c>
      <c r="CY133" s="79"/>
      <c r="CZ133" s="79">
        <v>0.0</v>
      </c>
      <c r="DA133" s="79"/>
      <c r="DB133" s="79">
        <v>0.0</v>
      </c>
      <c r="DC133" s="79"/>
      <c r="DD133" s="79">
        <v>0.0</v>
      </c>
      <c r="DE133" s="79">
        <v>25000.0</v>
      </c>
      <c r="DF133" s="79">
        <v>25000.0</v>
      </c>
      <c r="DG133" s="79">
        <v>0.0</v>
      </c>
      <c r="DH133" s="79">
        <v>0.0</v>
      </c>
      <c r="DI133" s="79">
        <v>6596.0</v>
      </c>
      <c r="DJ133" s="79" t="s">
        <v>180</v>
      </c>
      <c r="DK133" s="79" t="s">
        <v>1260</v>
      </c>
      <c r="DL133" s="79" t="s">
        <v>555</v>
      </c>
      <c r="DM133" s="79" t="s">
        <v>1269</v>
      </c>
      <c r="DN133" s="79" t="s">
        <v>1270</v>
      </c>
      <c r="DO133" s="79" t="s">
        <v>1271</v>
      </c>
      <c r="DP133" s="82"/>
      <c r="DQ133" s="79"/>
      <c r="DR133" s="82"/>
      <c r="DS133" s="79"/>
      <c r="DT133" s="82"/>
      <c r="DU133" s="79"/>
      <c r="DV133" s="82"/>
      <c r="DW133" s="79"/>
      <c r="DX133" s="79"/>
      <c r="DY133" s="79"/>
      <c r="DZ133" s="79"/>
      <c r="EA133" s="79"/>
      <c r="EB133" s="79"/>
      <c r="EC133" s="79"/>
      <c r="ED133" s="79"/>
      <c r="EE133" s="79"/>
      <c r="EF133" s="82"/>
      <c r="EG133" s="79"/>
      <c r="EH133" s="82"/>
      <c r="EI133" s="79"/>
      <c r="EJ133" s="82"/>
      <c r="EK133" s="79"/>
      <c r="EL133" s="82"/>
      <c r="EM133" s="79"/>
      <c r="EN133" s="79" t="s">
        <v>156</v>
      </c>
      <c r="EO133" s="79" t="s">
        <v>173</v>
      </c>
      <c r="EP133" s="17"/>
      <c r="EQ133" s="23"/>
      <c r="ER133" s="23" t="str">
        <f t="shared" si="1"/>
        <v/>
      </c>
      <c r="ES133" s="19"/>
      <c r="ET133" s="19" t="str">
        <f t="shared" si="2"/>
        <v/>
      </c>
      <c r="EU133" s="19"/>
      <c r="EV133" s="19"/>
      <c r="EW133" s="19"/>
      <c r="EX133" s="19"/>
      <c r="EY133" s="19"/>
      <c r="EZ133" s="19"/>
      <c r="FA133" s="19"/>
      <c r="FB133" s="19"/>
    </row>
    <row r="134" ht="15.75" customHeight="1">
      <c r="A134" s="79" t="s">
        <v>1272</v>
      </c>
      <c r="B134" s="79" t="s">
        <v>591</v>
      </c>
      <c r="C134" s="79" t="s">
        <v>476</v>
      </c>
      <c r="D134" s="80">
        <v>46135.0</v>
      </c>
      <c r="E134" s="79" t="s">
        <v>1273</v>
      </c>
      <c r="F134" s="82"/>
      <c r="G134" s="79" t="s">
        <v>533</v>
      </c>
      <c r="H134" s="79" t="s">
        <v>1274</v>
      </c>
      <c r="I134" s="79"/>
      <c r="J134" s="79" t="s">
        <v>1275</v>
      </c>
      <c r="K134" s="79">
        <v>0.0</v>
      </c>
      <c r="L134" s="79"/>
      <c r="M134" s="79" t="s">
        <v>1276</v>
      </c>
      <c r="N134" s="79"/>
      <c r="O134" s="79"/>
      <c r="P134" s="79"/>
      <c r="Q134" s="79"/>
      <c r="R134" s="79">
        <v>46902.0</v>
      </c>
      <c r="S134" s="79" t="s">
        <v>1277</v>
      </c>
      <c r="T134" s="79">
        <v>25190.0</v>
      </c>
      <c r="U134" s="79"/>
      <c r="V134" s="79"/>
      <c r="W134" s="79">
        <v>46130.0</v>
      </c>
      <c r="X134" s="79"/>
      <c r="Y134" s="79">
        <v>46136.0</v>
      </c>
      <c r="Z134" s="79" t="s">
        <v>486</v>
      </c>
      <c r="AA134" s="79" t="s">
        <v>537</v>
      </c>
      <c r="AB134" s="79" t="s">
        <v>486</v>
      </c>
      <c r="AC134" s="79" t="s">
        <v>488</v>
      </c>
      <c r="AD134" s="79">
        <v>150100.0</v>
      </c>
      <c r="AE134" s="79">
        <v>12000.0</v>
      </c>
      <c r="AF134" s="79">
        <v>61250.0</v>
      </c>
      <c r="AG134" s="79">
        <v>16210.0</v>
      </c>
      <c r="AH134" s="83">
        <v>239560.0</v>
      </c>
      <c r="AI134" s="79"/>
      <c r="AJ134" s="79">
        <v>0.0</v>
      </c>
      <c r="AK134" s="79"/>
      <c r="AL134" s="83"/>
      <c r="AM134" s="79"/>
      <c r="AN134" s="79"/>
      <c r="AO134" s="79"/>
      <c r="AP134" s="79">
        <v>0.0</v>
      </c>
      <c r="AQ134" s="79">
        <v>124466.0</v>
      </c>
      <c r="AR134" s="79" t="s">
        <v>489</v>
      </c>
      <c r="AS134" s="79">
        <v>12000.0</v>
      </c>
      <c r="AT134" s="79" t="s">
        <v>836</v>
      </c>
      <c r="AU134" s="79" t="s">
        <v>491</v>
      </c>
      <c r="AV134" s="79">
        <v>0.0</v>
      </c>
      <c r="AW134" s="79"/>
      <c r="AX134" s="79">
        <v>0.0</v>
      </c>
      <c r="AY134" s="79"/>
      <c r="AZ134" s="79">
        <v>0.0</v>
      </c>
      <c r="BA134" s="79"/>
      <c r="BB134" s="79">
        <v>0.0</v>
      </c>
      <c r="BC134" s="82"/>
      <c r="BD134" s="79">
        <v>0.0</v>
      </c>
      <c r="BE134" s="82"/>
      <c r="BF134" s="79">
        <v>0.0</v>
      </c>
      <c r="BG134" s="82"/>
      <c r="BH134" s="79">
        <v>0.0</v>
      </c>
      <c r="BI134" s="79" t="s">
        <v>493</v>
      </c>
      <c r="BJ134" s="79">
        <v>17650.0</v>
      </c>
      <c r="BK134" s="79" t="s">
        <v>494</v>
      </c>
      <c r="BL134" s="79">
        <v>41000.0</v>
      </c>
      <c r="BM134" s="79" t="s">
        <v>495</v>
      </c>
      <c r="BN134" s="79">
        <v>2600.0</v>
      </c>
      <c r="BO134" s="79" t="s">
        <v>496</v>
      </c>
      <c r="BP134" s="79">
        <v>0.0</v>
      </c>
      <c r="BQ134" s="79"/>
      <c r="BR134" s="79">
        <v>0.0</v>
      </c>
      <c r="BS134" s="79"/>
      <c r="BT134" s="79">
        <v>0.0</v>
      </c>
      <c r="BU134" s="79"/>
      <c r="BV134" s="79">
        <v>0.0</v>
      </c>
      <c r="BW134" s="79"/>
      <c r="BX134" s="79">
        <v>0.0</v>
      </c>
      <c r="BY134" s="79"/>
      <c r="BZ134" s="79"/>
      <c r="CA134" s="79"/>
      <c r="CB134" s="79"/>
      <c r="CC134" s="79"/>
      <c r="CD134" s="79"/>
      <c r="CE134" s="79"/>
      <c r="CF134" s="79"/>
      <c r="CG134" s="79"/>
      <c r="CH134" s="79"/>
      <c r="CI134" s="79"/>
      <c r="CJ134" s="79"/>
      <c r="CK134" s="79"/>
      <c r="CL134" s="79"/>
      <c r="CM134" s="79"/>
      <c r="CN134" s="79"/>
      <c r="CO134" s="79"/>
      <c r="CP134" s="79"/>
      <c r="CQ134" s="79"/>
      <c r="CR134" s="79"/>
      <c r="CS134" s="79"/>
      <c r="CT134" s="79"/>
      <c r="CU134" s="79"/>
      <c r="CV134" s="79"/>
      <c r="CW134" s="79"/>
      <c r="CX134" s="79"/>
      <c r="CY134" s="79"/>
      <c r="CZ134" s="79"/>
      <c r="DA134" s="79"/>
      <c r="DB134" s="79"/>
      <c r="DC134" s="79"/>
      <c r="DD134" s="79"/>
      <c r="DE134" s="79"/>
      <c r="DF134" s="79"/>
      <c r="DG134" s="79"/>
      <c r="DH134" s="79"/>
      <c r="DI134" s="79"/>
      <c r="DJ134" s="79" t="s">
        <v>1278</v>
      </c>
      <c r="DK134" s="79" t="s">
        <v>486</v>
      </c>
      <c r="DL134" s="79" t="s">
        <v>537</v>
      </c>
      <c r="DM134" s="79" t="s">
        <v>1279</v>
      </c>
      <c r="DN134" s="79"/>
      <c r="DO134" s="79" t="s">
        <v>733</v>
      </c>
      <c r="DP134" s="82"/>
      <c r="DQ134" s="79"/>
      <c r="DR134" s="82"/>
      <c r="DS134" s="79"/>
      <c r="DT134" s="82"/>
      <c r="DU134" s="79"/>
      <c r="DV134" s="82"/>
      <c r="DW134" s="79"/>
      <c r="DX134" s="79"/>
      <c r="DY134" s="79"/>
      <c r="DZ134" s="79"/>
      <c r="EA134" s="79"/>
      <c r="EB134" s="79"/>
      <c r="EC134" s="79"/>
      <c r="ED134" s="79"/>
      <c r="EE134" s="79"/>
      <c r="EF134" s="82"/>
      <c r="EG134" s="79"/>
      <c r="EH134" s="82"/>
      <c r="EI134" s="79"/>
      <c r="EJ134" s="82"/>
      <c r="EK134" s="79"/>
      <c r="EL134" s="82"/>
      <c r="EM134" s="79">
        <v>0.0</v>
      </c>
      <c r="EN134" s="79" t="s">
        <v>79</v>
      </c>
      <c r="EO134" s="79"/>
      <c r="EP134" s="17"/>
      <c r="EQ134" s="23"/>
      <c r="ER134" s="23" t="str">
        <f t="shared" si="1"/>
        <v/>
      </c>
      <c r="ES134" s="19"/>
      <c r="ET134" s="19" t="str">
        <f t="shared" si="2"/>
        <v/>
      </c>
      <c r="EU134" s="19"/>
      <c r="EV134" s="19"/>
      <c r="EW134" s="19"/>
      <c r="EX134" s="19"/>
      <c r="EY134" s="19"/>
      <c r="EZ134" s="19"/>
      <c r="FA134" s="19"/>
      <c r="FB134" s="19"/>
    </row>
    <row r="135" ht="15.75" customHeight="1">
      <c r="A135" s="79" t="s">
        <v>184</v>
      </c>
      <c r="B135" s="79" t="s">
        <v>475</v>
      </c>
      <c r="C135" s="79" t="s">
        <v>476</v>
      </c>
      <c r="D135" s="80">
        <v>46135.0</v>
      </c>
      <c r="E135" s="79" t="s">
        <v>1102</v>
      </c>
      <c r="F135" s="82"/>
      <c r="G135" s="79" t="s">
        <v>1173</v>
      </c>
      <c r="H135" s="79" t="s">
        <v>895</v>
      </c>
      <c r="I135" s="79"/>
      <c r="J135" s="79" t="s">
        <v>1174</v>
      </c>
      <c r="K135" s="79">
        <v>3000.0</v>
      </c>
      <c r="L135" s="79"/>
      <c r="M135" s="79" t="s">
        <v>897</v>
      </c>
      <c r="N135" s="79" t="s">
        <v>521</v>
      </c>
      <c r="O135" s="79" t="s">
        <v>484</v>
      </c>
      <c r="P135" s="79"/>
      <c r="Q135" s="79" t="s">
        <v>1175</v>
      </c>
      <c r="R135" s="79">
        <v>46288.0</v>
      </c>
      <c r="S135" s="79" t="s">
        <v>1280</v>
      </c>
      <c r="T135" s="79">
        <v>43872.0</v>
      </c>
      <c r="U135" s="79"/>
      <c r="V135" s="79"/>
      <c r="W135" s="79">
        <v>46135.0</v>
      </c>
      <c r="X135" s="79"/>
      <c r="Y135" s="79"/>
      <c r="Z135" s="79" t="s">
        <v>486</v>
      </c>
      <c r="AA135" s="79" t="s">
        <v>487</v>
      </c>
      <c r="AB135" s="79" t="s">
        <v>486</v>
      </c>
      <c r="AC135" s="79" t="s">
        <v>488</v>
      </c>
      <c r="AD135" s="79">
        <v>26400.0</v>
      </c>
      <c r="AE135" s="79">
        <v>0.0</v>
      </c>
      <c r="AF135" s="79">
        <v>0.0</v>
      </c>
      <c r="AG135" s="79">
        <v>2640.0</v>
      </c>
      <c r="AH135" s="83">
        <v>29040.0</v>
      </c>
      <c r="AI135" s="79"/>
      <c r="AJ135" s="79">
        <v>0.0</v>
      </c>
      <c r="AK135" s="79"/>
      <c r="AL135" s="83"/>
      <c r="AM135" s="79"/>
      <c r="AN135" s="79"/>
      <c r="AO135" s="79"/>
      <c r="AP135" s="79">
        <v>0.0</v>
      </c>
      <c r="AQ135" s="79">
        <v>20290.0</v>
      </c>
      <c r="AR135" s="79" t="s">
        <v>489</v>
      </c>
      <c r="AS135" s="79">
        <v>0.0</v>
      </c>
      <c r="AT135" s="79" t="s">
        <v>490</v>
      </c>
      <c r="AU135" s="79" t="s">
        <v>491</v>
      </c>
      <c r="AV135" s="79">
        <v>0.0</v>
      </c>
      <c r="AW135" s="79"/>
      <c r="AX135" s="79">
        <v>0.0</v>
      </c>
      <c r="AY135" s="79" t="s">
        <v>492</v>
      </c>
      <c r="AZ135" s="79">
        <v>0.0</v>
      </c>
      <c r="BA135" s="79"/>
      <c r="BB135" s="79">
        <v>0.0</v>
      </c>
      <c r="BC135" s="82"/>
      <c r="BD135" s="79">
        <v>0.0</v>
      </c>
      <c r="BE135" s="82"/>
      <c r="BF135" s="79">
        <v>0.0</v>
      </c>
      <c r="BG135" s="82"/>
      <c r="BH135" s="79">
        <v>0.0</v>
      </c>
      <c r="BI135" s="79" t="s">
        <v>493</v>
      </c>
      <c r="BJ135" s="79">
        <v>0.0</v>
      </c>
      <c r="BK135" s="79" t="s">
        <v>494</v>
      </c>
      <c r="BL135" s="79">
        <v>0.0</v>
      </c>
      <c r="BM135" s="79" t="s">
        <v>495</v>
      </c>
      <c r="BN135" s="79">
        <v>0.0</v>
      </c>
      <c r="BO135" s="79" t="s">
        <v>496</v>
      </c>
      <c r="BP135" s="79">
        <v>0.0</v>
      </c>
      <c r="BQ135" s="79"/>
      <c r="BR135" s="79">
        <v>0.0</v>
      </c>
      <c r="BS135" s="79"/>
      <c r="BT135" s="79">
        <v>0.0</v>
      </c>
      <c r="BU135" s="79"/>
      <c r="BV135" s="79">
        <v>0.0</v>
      </c>
      <c r="BW135" s="79"/>
      <c r="BX135" s="79">
        <v>0.0</v>
      </c>
      <c r="BY135" s="79"/>
      <c r="BZ135" s="79"/>
      <c r="CA135" s="79"/>
      <c r="CB135" s="79"/>
      <c r="CC135" s="79"/>
      <c r="CD135" s="79"/>
      <c r="CE135" s="79"/>
      <c r="CF135" s="79"/>
      <c r="CG135" s="79"/>
      <c r="CH135" s="79"/>
      <c r="CI135" s="79"/>
      <c r="CJ135" s="79"/>
      <c r="CK135" s="79"/>
      <c r="CL135" s="79"/>
      <c r="CM135" s="79"/>
      <c r="CN135" s="79"/>
      <c r="CO135" s="79"/>
      <c r="CP135" s="79"/>
      <c r="CQ135" s="79"/>
      <c r="CR135" s="79"/>
      <c r="CS135" s="79"/>
      <c r="CT135" s="79"/>
      <c r="CU135" s="79"/>
      <c r="CV135" s="79"/>
      <c r="CW135" s="79"/>
      <c r="CX135" s="79"/>
      <c r="CY135" s="79"/>
      <c r="CZ135" s="79"/>
      <c r="DA135" s="79"/>
      <c r="DB135" s="79"/>
      <c r="DC135" s="79"/>
      <c r="DD135" s="79"/>
      <c r="DE135" s="79"/>
      <c r="DF135" s="79"/>
      <c r="DG135" s="79"/>
      <c r="DH135" s="79"/>
      <c r="DI135" s="79"/>
      <c r="DJ135" s="79" t="s">
        <v>185</v>
      </c>
      <c r="DK135" s="79" t="s">
        <v>486</v>
      </c>
      <c r="DL135" s="79" t="s">
        <v>487</v>
      </c>
      <c r="DM135" s="79" t="s">
        <v>1109</v>
      </c>
      <c r="DN135" s="79"/>
      <c r="DO135" s="79" t="s">
        <v>1110</v>
      </c>
      <c r="DP135" s="82"/>
      <c r="DQ135" s="79"/>
      <c r="DR135" s="82"/>
      <c r="DS135" s="79"/>
      <c r="DT135" s="82"/>
      <c r="DU135" s="79"/>
      <c r="DV135" s="82"/>
      <c r="DW135" s="79"/>
      <c r="DX135" s="79"/>
      <c r="DY135" s="79"/>
      <c r="DZ135" s="79"/>
      <c r="EA135" s="79"/>
      <c r="EB135" s="79"/>
      <c r="EC135" s="79"/>
      <c r="ED135" s="79"/>
      <c r="EE135" s="79"/>
      <c r="EF135" s="82"/>
      <c r="EG135" s="79"/>
      <c r="EH135" s="82"/>
      <c r="EI135" s="79"/>
      <c r="EJ135" s="82"/>
      <c r="EK135" s="79"/>
      <c r="EL135" s="82"/>
      <c r="EM135" s="79">
        <v>0.0</v>
      </c>
      <c r="EN135" s="79" t="s">
        <v>156</v>
      </c>
      <c r="EO135" s="79" t="s">
        <v>152</v>
      </c>
      <c r="EP135" s="17"/>
      <c r="EQ135" s="23"/>
      <c r="ER135" s="23" t="str">
        <f t="shared" si="1"/>
        <v/>
      </c>
      <c r="ES135" s="19"/>
      <c r="ET135" s="19" t="str">
        <f t="shared" si="2"/>
        <v/>
      </c>
      <c r="EU135" s="19"/>
      <c r="EV135" s="19"/>
      <c r="EW135" s="19"/>
      <c r="EX135" s="19"/>
      <c r="EY135" s="19"/>
      <c r="EZ135" s="19"/>
      <c r="FA135" s="19"/>
      <c r="FB135" s="19"/>
    </row>
    <row r="136" ht="15.75" customHeight="1">
      <c r="A136" s="79" t="s">
        <v>1281</v>
      </c>
      <c r="B136" s="79" t="s">
        <v>530</v>
      </c>
      <c r="C136" s="79" t="s">
        <v>476</v>
      </c>
      <c r="D136" s="80">
        <v>46137.0</v>
      </c>
      <c r="E136" s="79" t="s">
        <v>1041</v>
      </c>
      <c r="F136" s="79" t="s">
        <v>1136</v>
      </c>
      <c r="G136" s="79" t="s">
        <v>1042</v>
      </c>
      <c r="H136" s="79" t="s">
        <v>1043</v>
      </c>
      <c r="I136" s="79"/>
      <c r="J136" s="79" t="s">
        <v>1044</v>
      </c>
      <c r="K136" s="79">
        <v>2680.0</v>
      </c>
      <c r="L136" s="79"/>
      <c r="M136" s="79" t="s">
        <v>1045</v>
      </c>
      <c r="N136" s="79"/>
      <c r="O136" s="79"/>
      <c r="P136" s="79"/>
      <c r="Q136" s="79"/>
      <c r="R136" s="79">
        <v>46742.0</v>
      </c>
      <c r="S136" s="79" t="s">
        <v>1282</v>
      </c>
      <c r="T136" s="79">
        <v>39081.0</v>
      </c>
      <c r="U136" s="79"/>
      <c r="V136" s="79"/>
      <c r="W136" s="79"/>
      <c r="X136" s="79"/>
      <c r="Y136" s="79"/>
      <c r="Z136" s="79" t="s">
        <v>524</v>
      </c>
      <c r="AA136" s="79" t="s">
        <v>487</v>
      </c>
      <c r="AB136" s="79" t="s">
        <v>524</v>
      </c>
      <c r="AC136" s="79" t="s">
        <v>488</v>
      </c>
      <c r="AD136" s="79">
        <v>870600.0</v>
      </c>
      <c r="AE136" s="79">
        <v>0.0</v>
      </c>
      <c r="AF136" s="79">
        <v>0.0</v>
      </c>
      <c r="AG136" s="79">
        <v>87060.0</v>
      </c>
      <c r="AH136" s="83">
        <v>957660.0</v>
      </c>
      <c r="AI136" s="79"/>
      <c r="AJ136" s="79">
        <v>0.0</v>
      </c>
      <c r="AK136" s="79"/>
      <c r="AL136" s="83"/>
      <c r="AM136" s="79"/>
      <c r="AN136" s="79"/>
      <c r="AO136" s="79"/>
      <c r="AP136" s="79">
        <v>0.0</v>
      </c>
      <c r="AQ136" s="79">
        <v>132754.0</v>
      </c>
      <c r="AR136" s="79" t="s">
        <v>525</v>
      </c>
      <c r="AS136" s="79">
        <v>0.0</v>
      </c>
      <c r="AT136" s="79" t="s">
        <v>507</v>
      </c>
      <c r="AU136" s="79" t="s">
        <v>491</v>
      </c>
      <c r="AV136" s="79">
        <v>0.0</v>
      </c>
      <c r="AW136" s="79" t="s">
        <v>508</v>
      </c>
      <c r="AX136" s="79">
        <v>0.0</v>
      </c>
      <c r="AY136" s="79"/>
      <c r="AZ136" s="79">
        <v>0.0</v>
      </c>
      <c r="BA136" s="79"/>
      <c r="BB136" s="79">
        <v>0.0</v>
      </c>
      <c r="BC136" s="82"/>
      <c r="BD136" s="79">
        <v>0.0</v>
      </c>
      <c r="BE136" s="82"/>
      <c r="BF136" s="79">
        <v>0.0</v>
      </c>
      <c r="BG136" s="82"/>
      <c r="BH136" s="79">
        <v>0.0</v>
      </c>
      <c r="BI136" s="79" t="s">
        <v>493</v>
      </c>
      <c r="BJ136" s="79">
        <v>0.0</v>
      </c>
      <c r="BK136" s="79" t="s">
        <v>494</v>
      </c>
      <c r="BL136" s="79">
        <v>0.0</v>
      </c>
      <c r="BM136" s="79" t="s">
        <v>495</v>
      </c>
      <c r="BN136" s="79">
        <v>0.0</v>
      </c>
      <c r="BO136" s="79" t="s">
        <v>496</v>
      </c>
      <c r="BP136" s="79">
        <v>0.0</v>
      </c>
      <c r="BQ136" s="79"/>
      <c r="BR136" s="79">
        <v>0.0</v>
      </c>
      <c r="BS136" s="79"/>
      <c r="BT136" s="79">
        <v>0.0</v>
      </c>
      <c r="BU136" s="79"/>
      <c r="BV136" s="79">
        <v>0.0</v>
      </c>
      <c r="BW136" s="79"/>
      <c r="BX136" s="79">
        <v>0.0</v>
      </c>
      <c r="BY136" s="79"/>
      <c r="BZ136" s="79"/>
      <c r="CA136" s="79"/>
      <c r="CB136" s="79"/>
      <c r="CC136" s="79"/>
      <c r="CD136" s="79"/>
      <c r="CE136" s="79"/>
      <c r="CF136" s="79"/>
      <c r="CG136" s="79"/>
      <c r="CH136" s="79"/>
      <c r="CI136" s="79"/>
      <c r="CJ136" s="79"/>
      <c r="CK136" s="79"/>
      <c r="CL136" s="79"/>
      <c r="CM136" s="79"/>
      <c r="CN136" s="79"/>
      <c r="CO136" s="79"/>
      <c r="CP136" s="79"/>
      <c r="CQ136" s="79"/>
      <c r="CR136" s="79"/>
      <c r="CS136" s="79"/>
      <c r="CT136" s="79"/>
      <c r="CU136" s="79"/>
      <c r="CV136" s="79"/>
      <c r="CW136" s="79"/>
      <c r="CX136" s="79"/>
      <c r="CY136" s="79"/>
      <c r="CZ136" s="79"/>
      <c r="DA136" s="79"/>
      <c r="DB136" s="79"/>
      <c r="DC136" s="79"/>
      <c r="DD136" s="79"/>
      <c r="DE136" s="79"/>
      <c r="DF136" s="79"/>
      <c r="DG136" s="79"/>
      <c r="DH136" s="79"/>
      <c r="DI136" s="79"/>
      <c r="DJ136" s="79" t="s">
        <v>320</v>
      </c>
      <c r="DK136" s="79" t="s">
        <v>524</v>
      </c>
      <c r="DL136" s="79" t="s">
        <v>487</v>
      </c>
      <c r="DM136" s="79" t="s">
        <v>1046</v>
      </c>
      <c r="DN136" s="79" t="s">
        <v>1047</v>
      </c>
      <c r="DO136" s="79" t="s">
        <v>1048</v>
      </c>
      <c r="DP136" s="82"/>
      <c r="DQ136" s="79"/>
      <c r="DR136" s="82"/>
      <c r="DS136" s="79"/>
      <c r="DT136" s="82"/>
      <c r="DU136" s="79"/>
      <c r="DV136" s="82"/>
      <c r="DW136" s="79"/>
      <c r="DX136" s="79"/>
      <c r="DY136" s="79"/>
      <c r="DZ136" s="79"/>
      <c r="EA136" s="79"/>
      <c r="EB136" s="79"/>
      <c r="EC136" s="79"/>
      <c r="ED136" s="79"/>
      <c r="EE136" s="79"/>
      <c r="EF136" s="82"/>
      <c r="EG136" s="79"/>
      <c r="EH136" s="82"/>
      <c r="EI136" s="79"/>
      <c r="EJ136" s="82"/>
      <c r="EK136" s="79"/>
      <c r="EL136" s="82"/>
      <c r="EM136" s="79">
        <v>0.0</v>
      </c>
      <c r="EN136" s="79" t="s">
        <v>79</v>
      </c>
      <c r="EO136" s="79"/>
      <c r="EP136" s="17"/>
      <c r="EQ136" s="23"/>
      <c r="ER136" s="23" t="str">
        <f t="shared" si="1"/>
        <v/>
      </c>
      <c r="ES136" s="19"/>
      <c r="ET136" s="19" t="str">
        <f t="shared" si="2"/>
        <v/>
      </c>
      <c r="EU136" s="19"/>
      <c r="EV136" s="19"/>
      <c r="EW136" s="19"/>
      <c r="EX136" s="19"/>
      <c r="EY136" s="19"/>
      <c r="EZ136" s="19"/>
      <c r="FA136" s="19"/>
      <c r="FB136" s="19"/>
    </row>
    <row r="137" ht="15.75" customHeight="1">
      <c r="A137" s="79" t="s">
        <v>1284</v>
      </c>
      <c r="B137" s="79" t="s">
        <v>543</v>
      </c>
      <c r="C137" s="79" t="s">
        <v>476</v>
      </c>
      <c r="D137" s="80">
        <v>46137.0</v>
      </c>
      <c r="E137" s="79" t="s">
        <v>618</v>
      </c>
      <c r="F137" s="79" t="s">
        <v>634</v>
      </c>
      <c r="G137" s="79" t="s">
        <v>619</v>
      </c>
      <c r="H137" s="79" t="s">
        <v>620</v>
      </c>
      <c r="I137" s="79" t="s">
        <v>621</v>
      </c>
      <c r="J137" s="79" t="s">
        <v>622</v>
      </c>
      <c r="K137" s="79">
        <v>3800.0</v>
      </c>
      <c r="L137" s="79" t="s">
        <v>623</v>
      </c>
      <c r="M137" s="79" t="s">
        <v>624</v>
      </c>
      <c r="N137" s="79" t="s">
        <v>521</v>
      </c>
      <c r="O137" s="79" t="s">
        <v>484</v>
      </c>
      <c r="P137" s="79" t="s">
        <v>625</v>
      </c>
      <c r="Q137" s="79" t="s">
        <v>626</v>
      </c>
      <c r="R137" s="79">
        <v>46822.0</v>
      </c>
      <c r="S137" s="79" t="s">
        <v>1285</v>
      </c>
      <c r="T137" s="79">
        <v>34767.0</v>
      </c>
      <c r="U137" s="79"/>
      <c r="V137" s="79"/>
      <c r="W137" s="79">
        <v>46107.0</v>
      </c>
      <c r="X137" s="79"/>
      <c r="Y137" s="79">
        <v>46107.0</v>
      </c>
      <c r="Z137" s="79" t="s">
        <v>557</v>
      </c>
      <c r="AA137" s="79" t="s">
        <v>627</v>
      </c>
      <c r="AB137" s="79" t="s">
        <v>557</v>
      </c>
      <c r="AC137" s="79" t="s">
        <v>488</v>
      </c>
      <c r="AD137" s="79">
        <v>1122727.0</v>
      </c>
      <c r="AE137" s="79">
        <v>0.0</v>
      </c>
      <c r="AF137" s="79">
        <v>0.0</v>
      </c>
      <c r="AG137" s="79">
        <v>112273.0</v>
      </c>
      <c r="AH137" s="83">
        <v>1235000.0</v>
      </c>
      <c r="AI137" s="79"/>
      <c r="AJ137" s="79">
        <v>0.0</v>
      </c>
      <c r="AK137" s="79"/>
      <c r="AL137" s="83"/>
      <c r="AM137" s="79"/>
      <c r="AN137" s="79"/>
      <c r="AO137" s="79"/>
      <c r="AP137" s="79">
        <v>0.0</v>
      </c>
      <c r="AQ137" s="79">
        <v>166123.0</v>
      </c>
      <c r="AR137" s="79" t="s">
        <v>525</v>
      </c>
      <c r="AS137" s="79">
        <v>0.0</v>
      </c>
      <c r="AT137" s="79" t="s">
        <v>507</v>
      </c>
      <c r="AU137" s="79" t="s">
        <v>491</v>
      </c>
      <c r="AV137" s="79">
        <v>0.0</v>
      </c>
      <c r="AW137" s="79" t="s">
        <v>508</v>
      </c>
      <c r="AX137" s="79">
        <v>0.0</v>
      </c>
      <c r="AY137" s="79"/>
      <c r="AZ137" s="79">
        <v>0.0</v>
      </c>
      <c r="BA137" s="79"/>
      <c r="BB137" s="79">
        <v>0.0</v>
      </c>
      <c r="BC137" s="82"/>
      <c r="BD137" s="79">
        <v>0.0</v>
      </c>
      <c r="BE137" s="82"/>
      <c r="BF137" s="79">
        <v>0.0</v>
      </c>
      <c r="BG137" s="82"/>
      <c r="BH137" s="79">
        <v>0.0</v>
      </c>
      <c r="BI137" s="79" t="s">
        <v>493</v>
      </c>
      <c r="BJ137" s="79">
        <v>0.0</v>
      </c>
      <c r="BK137" s="79" t="s">
        <v>494</v>
      </c>
      <c r="BL137" s="79">
        <v>0.0</v>
      </c>
      <c r="BM137" s="79" t="s">
        <v>495</v>
      </c>
      <c r="BN137" s="79">
        <v>0.0</v>
      </c>
      <c r="BO137" s="79" t="s">
        <v>496</v>
      </c>
      <c r="BP137" s="79">
        <v>0.0</v>
      </c>
      <c r="BQ137" s="79"/>
      <c r="BR137" s="79">
        <v>0.0</v>
      </c>
      <c r="BS137" s="79"/>
      <c r="BT137" s="79">
        <v>0.0</v>
      </c>
      <c r="BU137" s="79"/>
      <c r="BV137" s="79">
        <v>0.0</v>
      </c>
      <c r="BW137" s="79"/>
      <c r="BX137" s="79">
        <v>0.0</v>
      </c>
      <c r="BY137" s="79"/>
      <c r="BZ137" s="79"/>
      <c r="CA137" s="79"/>
      <c r="CB137" s="79"/>
      <c r="CC137" s="79"/>
      <c r="CD137" s="79"/>
      <c r="CE137" s="79"/>
      <c r="CF137" s="79"/>
      <c r="CG137" s="79"/>
      <c r="CH137" s="79"/>
      <c r="CI137" s="79"/>
      <c r="CJ137" s="79"/>
      <c r="CK137" s="79"/>
      <c r="CL137" s="79"/>
      <c r="CM137" s="79"/>
      <c r="CN137" s="79"/>
      <c r="CO137" s="79"/>
      <c r="CP137" s="79"/>
      <c r="CQ137" s="79"/>
      <c r="CR137" s="79"/>
      <c r="CS137" s="79"/>
      <c r="CT137" s="79"/>
      <c r="CU137" s="79"/>
      <c r="CV137" s="79"/>
      <c r="CW137" s="79"/>
      <c r="CX137" s="79"/>
      <c r="CY137" s="79"/>
      <c r="CZ137" s="79"/>
      <c r="DA137" s="79"/>
      <c r="DB137" s="79"/>
      <c r="DC137" s="79"/>
      <c r="DD137" s="79"/>
      <c r="DE137" s="79"/>
      <c r="DF137" s="79"/>
      <c r="DG137" s="79"/>
      <c r="DH137" s="79"/>
      <c r="DI137" s="79"/>
      <c r="DJ137" s="79" t="s">
        <v>628</v>
      </c>
      <c r="DK137" s="79" t="s">
        <v>557</v>
      </c>
      <c r="DL137" s="79" t="s">
        <v>487</v>
      </c>
      <c r="DM137" s="79" t="s">
        <v>629</v>
      </c>
      <c r="DN137" s="79" t="s">
        <v>630</v>
      </c>
      <c r="DO137" s="79">
        <v>9.037442434E9</v>
      </c>
      <c r="DP137" s="82"/>
      <c r="DQ137" s="79"/>
      <c r="DR137" s="82"/>
      <c r="DS137" s="79"/>
      <c r="DT137" s="82"/>
      <c r="DU137" s="79"/>
      <c r="DV137" s="82"/>
      <c r="DW137" s="79"/>
      <c r="DX137" s="79"/>
      <c r="DY137" s="79"/>
      <c r="DZ137" s="79"/>
      <c r="EA137" s="79"/>
      <c r="EB137" s="79"/>
      <c r="EC137" s="79"/>
      <c r="ED137" s="79"/>
      <c r="EE137" s="79"/>
      <c r="EF137" s="82"/>
      <c r="EG137" s="79"/>
      <c r="EH137" s="82"/>
      <c r="EI137" s="79"/>
      <c r="EJ137" s="82"/>
      <c r="EK137" s="79"/>
      <c r="EL137" s="82"/>
      <c r="EM137" s="79">
        <v>0.0</v>
      </c>
      <c r="EN137" s="79" t="s">
        <v>79</v>
      </c>
      <c r="EO137" s="79"/>
      <c r="EP137" s="17"/>
      <c r="EQ137" s="23"/>
      <c r="ER137" s="23" t="str">
        <f t="shared" si="1"/>
        <v/>
      </c>
      <c r="ES137" s="19"/>
      <c r="ET137" s="19" t="str">
        <f t="shared" si="2"/>
        <v/>
      </c>
      <c r="EU137" s="19"/>
      <c r="EV137" s="19"/>
      <c r="EW137" s="19"/>
      <c r="EX137" s="19"/>
      <c r="EY137" s="19"/>
      <c r="EZ137" s="19"/>
      <c r="FA137" s="19"/>
      <c r="FB137" s="19"/>
    </row>
    <row r="138" ht="15.75" customHeight="1">
      <c r="A138" s="79" t="s">
        <v>333</v>
      </c>
      <c r="B138" s="79" t="s">
        <v>530</v>
      </c>
      <c r="C138" s="79" t="s">
        <v>476</v>
      </c>
      <c r="D138" s="80">
        <v>46137.0</v>
      </c>
      <c r="E138" s="79" t="s">
        <v>1286</v>
      </c>
      <c r="F138" s="79"/>
      <c r="G138" s="79" t="s">
        <v>1287</v>
      </c>
      <c r="H138" s="79" t="s">
        <v>1288</v>
      </c>
      <c r="I138" s="79"/>
      <c r="J138" s="79" t="s">
        <v>1289</v>
      </c>
      <c r="K138" s="79">
        <v>1400.0</v>
      </c>
      <c r="L138" s="79"/>
      <c r="M138" s="79" t="s">
        <v>1290</v>
      </c>
      <c r="N138" s="79" t="s">
        <v>1291</v>
      </c>
      <c r="O138" s="79" t="s">
        <v>484</v>
      </c>
      <c r="P138" s="79"/>
      <c r="Q138" s="79" t="s">
        <v>1292</v>
      </c>
      <c r="R138" s="79">
        <v>46565.0</v>
      </c>
      <c r="S138" s="79" t="s">
        <v>1293</v>
      </c>
      <c r="T138" s="79">
        <v>12041.0</v>
      </c>
      <c r="U138" s="79" t="s">
        <v>1294</v>
      </c>
      <c r="V138" s="79"/>
      <c r="W138" s="79">
        <v>46058.0</v>
      </c>
      <c r="X138" s="79"/>
      <c r="Y138" s="79">
        <v>46104.0</v>
      </c>
      <c r="Z138" s="79" t="s">
        <v>524</v>
      </c>
      <c r="AA138" s="79" t="s">
        <v>487</v>
      </c>
      <c r="AB138" s="79" t="s">
        <v>524</v>
      </c>
      <c r="AC138" s="79" t="s">
        <v>488</v>
      </c>
      <c r="AD138" s="79">
        <v>0.0</v>
      </c>
      <c r="AE138" s="79">
        <v>0.0</v>
      </c>
      <c r="AF138" s="79">
        <v>200000.0</v>
      </c>
      <c r="AG138" s="79">
        <v>0.0</v>
      </c>
      <c r="AH138" s="83">
        <v>200000.0</v>
      </c>
      <c r="AI138" s="79"/>
      <c r="AJ138" s="79">
        <v>0.0</v>
      </c>
      <c r="AK138" s="79"/>
      <c r="AL138" s="83"/>
      <c r="AM138" s="79"/>
      <c r="AN138" s="79"/>
      <c r="AO138" s="79"/>
      <c r="AP138" s="79">
        <v>0.0</v>
      </c>
      <c r="AQ138" s="79">
        <v>200000.0</v>
      </c>
      <c r="AR138" s="79" t="s">
        <v>525</v>
      </c>
      <c r="AS138" s="79">
        <v>0.0</v>
      </c>
      <c r="AT138" s="79" t="s">
        <v>507</v>
      </c>
      <c r="AU138" s="79" t="s">
        <v>491</v>
      </c>
      <c r="AV138" s="79">
        <v>0.0</v>
      </c>
      <c r="AW138" s="79" t="s">
        <v>508</v>
      </c>
      <c r="AX138" s="79">
        <v>0.0</v>
      </c>
      <c r="AY138" s="79"/>
      <c r="AZ138" s="79">
        <v>0.0</v>
      </c>
      <c r="BA138" s="79"/>
      <c r="BB138" s="79">
        <v>0.0</v>
      </c>
      <c r="BC138" s="82"/>
      <c r="BD138" s="79">
        <v>0.0</v>
      </c>
      <c r="BE138" s="82"/>
      <c r="BF138" s="79">
        <v>0.0</v>
      </c>
      <c r="BG138" s="82"/>
      <c r="BH138" s="79">
        <v>0.0</v>
      </c>
      <c r="BI138" s="79" t="s">
        <v>493</v>
      </c>
      <c r="BJ138" s="79">
        <v>0.0</v>
      </c>
      <c r="BK138" s="79" t="s">
        <v>494</v>
      </c>
      <c r="BL138" s="79">
        <v>0.0</v>
      </c>
      <c r="BM138" s="79" t="s">
        <v>495</v>
      </c>
      <c r="BN138" s="79">
        <v>0.0</v>
      </c>
      <c r="BO138" s="79" t="s">
        <v>496</v>
      </c>
      <c r="BP138" s="79">
        <v>200000.0</v>
      </c>
      <c r="BQ138" s="79"/>
      <c r="BR138" s="79">
        <v>0.0</v>
      </c>
      <c r="BS138" s="79"/>
      <c r="BT138" s="79">
        <v>0.0</v>
      </c>
      <c r="BU138" s="79"/>
      <c r="BV138" s="79">
        <v>0.0</v>
      </c>
      <c r="BW138" s="79"/>
      <c r="BX138" s="79">
        <v>0.0</v>
      </c>
      <c r="BY138" s="79"/>
      <c r="BZ138" s="79"/>
      <c r="CA138" s="79"/>
      <c r="CB138" s="79"/>
      <c r="CC138" s="79"/>
      <c r="CD138" s="79"/>
      <c r="CE138" s="79"/>
      <c r="CF138" s="79"/>
      <c r="CG138" s="79"/>
      <c r="CH138" s="79"/>
      <c r="CI138" s="79"/>
      <c r="CJ138" s="79"/>
      <c r="CK138" s="79"/>
      <c r="CL138" s="79"/>
      <c r="CM138" s="79"/>
      <c r="CN138" s="79"/>
      <c r="CO138" s="79"/>
      <c r="CP138" s="79"/>
      <c r="CQ138" s="79"/>
      <c r="CR138" s="79"/>
      <c r="CS138" s="79"/>
      <c r="CT138" s="79"/>
      <c r="CU138" s="79"/>
      <c r="CV138" s="79"/>
      <c r="CW138" s="79"/>
      <c r="CX138" s="79"/>
      <c r="CY138" s="79"/>
      <c r="CZ138" s="79"/>
      <c r="DA138" s="79"/>
      <c r="DB138" s="79"/>
      <c r="DC138" s="79"/>
      <c r="DD138" s="79"/>
      <c r="DE138" s="79"/>
      <c r="DF138" s="79"/>
      <c r="DG138" s="79"/>
      <c r="DH138" s="79"/>
      <c r="DI138" s="79"/>
      <c r="DJ138" s="79" t="s">
        <v>334</v>
      </c>
      <c r="DK138" s="79" t="s">
        <v>524</v>
      </c>
      <c r="DL138" s="79" t="s">
        <v>487</v>
      </c>
      <c r="DM138" s="79" t="s">
        <v>1295</v>
      </c>
      <c r="DN138" s="79" t="s">
        <v>1296</v>
      </c>
      <c r="DO138" s="79"/>
      <c r="DP138" s="82"/>
      <c r="DQ138" s="79"/>
      <c r="DR138" s="82"/>
      <c r="DS138" s="79"/>
      <c r="DT138" s="82"/>
      <c r="DU138" s="79"/>
      <c r="DV138" s="82"/>
      <c r="DW138" s="79"/>
      <c r="DX138" s="79"/>
      <c r="DY138" s="79"/>
      <c r="DZ138" s="79"/>
      <c r="EA138" s="79"/>
      <c r="EB138" s="79"/>
      <c r="EC138" s="79"/>
      <c r="ED138" s="79"/>
      <c r="EE138" s="79"/>
      <c r="EF138" s="82"/>
      <c r="EG138" s="79"/>
      <c r="EH138" s="82"/>
      <c r="EI138" s="79"/>
      <c r="EJ138" s="82"/>
      <c r="EK138" s="79"/>
      <c r="EL138" s="82"/>
      <c r="EM138" s="79">
        <v>0.0</v>
      </c>
      <c r="EN138" s="79" t="s">
        <v>156</v>
      </c>
      <c r="EO138" s="79" t="s">
        <v>48</v>
      </c>
      <c r="EP138" s="17"/>
      <c r="EQ138" s="23"/>
      <c r="ER138" s="23" t="str">
        <f t="shared" si="1"/>
        <v/>
      </c>
      <c r="ES138" s="19"/>
      <c r="ET138" s="19" t="str">
        <f t="shared" si="2"/>
        <v/>
      </c>
      <c r="EU138" s="19"/>
      <c r="EV138" s="19"/>
      <c r="EW138" s="19"/>
      <c r="EX138" s="19"/>
      <c r="EY138" s="19"/>
      <c r="EZ138" s="19"/>
      <c r="FA138" s="19"/>
      <c r="FB138" s="19"/>
    </row>
    <row r="139" ht="15.75" customHeight="1">
      <c r="A139" s="79" t="s">
        <v>1298</v>
      </c>
      <c r="B139" s="79" t="s">
        <v>475</v>
      </c>
      <c r="C139" s="79" t="s">
        <v>476</v>
      </c>
      <c r="D139" s="80">
        <v>46137.0</v>
      </c>
      <c r="E139" s="79" t="s">
        <v>1299</v>
      </c>
      <c r="F139" s="79" t="s">
        <v>568</v>
      </c>
      <c r="G139" s="79" t="s">
        <v>1300</v>
      </c>
      <c r="H139" s="79" t="s">
        <v>479</v>
      </c>
      <c r="I139" s="79"/>
      <c r="J139" s="79" t="s">
        <v>1301</v>
      </c>
      <c r="K139" s="79">
        <v>2000.0</v>
      </c>
      <c r="L139" s="79"/>
      <c r="M139" s="79" t="s">
        <v>1302</v>
      </c>
      <c r="N139" s="79" t="s">
        <v>572</v>
      </c>
      <c r="O139" s="79"/>
      <c r="P139" s="79"/>
      <c r="Q139" s="79" t="s">
        <v>1303</v>
      </c>
      <c r="R139" s="79">
        <v>46656.0</v>
      </c>
      <c r="S139" s="79" t="s">
        <v>1304</v>
      </c>
      <c r="T139" s="79">
        <v>64909.0</v>
      </c>
      <c r="U139" s="79"/>
      <c r="V139" s="79"/>
      <c r="W139" s="79"/>
      <c r="X139" s="79"/>
      <c r="Y139" s="79"/>
      <c r="Z139" s="79" t="s">
        <v>486</v>
      </c>
      <c r="AA139" s="79" t="s">
        <v>487</v>
      </c>
      <c r="AB139" s="79" t="s">
        <v>486</v>
      </c>
      <c r="AC139" s="79" t="s">
        <v>488</v>
      </c>
      <c r="AD139" s="79">
        <v>11000.0</v>
      </c>
      <c r="AE139" s="79">
        <v>0.0</v>
      </c>
      <c r="AF139" s="79">
        <v>0.0</v>
      </c>
      <c r="AG139" s="79">
        <v>1100.0</v>
      </c>
      <c r="AH139" s="83">
        <v>12100.0</v>
      </c>
      <c r="AI139" s="79"/>
      <c r="AJ139" s="79">
        <v>0.0</v>
      </c>
      <c r="AK139" s="79"/>
      <c r="AL139" s="83"/>
      <c r="AM139" s="79"/>
      <c r="AN139" s="79"/>
      <c r="AO139" s="79"/>
      <c r="AP139" s="79">
        <v>0.0</v>
      </c>
      <c r="AQ139" s="79">
        <v>11000.0</v>
      </c>
      <c r="AR139" s="79" t="s">
        <v>489</v>
      </c>
      <c r="AS139" s="79">
        <v>0.0</v>
      </c>
      <c r="AT139" s="79" t="s">
        <v>490</v>
      </c>
      <c r="AU139" s="79" t="s">
        <v>491</v>
      </c>
      <c r="AV139" s="79">
        <v>0.0</v>
      </c>
      <c r="AW139" s="79"/>
      <c r="AX139" s="79">
        <v>0.0</v>
      </c>
      <c r="AY139" s="79" t="s">
        <v>492</v>
      </c>
      <c r="AZ139" s="79">
        <v>0.0</v>
      </c>
      <c r="BA139" s="79"/>
      <c r="BB139" s="79">
        <v>0.0</v>
      </c>
      <c r="BC139" s="82"/>
      <c r="BD139" s="79">
        <v>0.0</v>
      </c>
      <c r="BE139" s="82"/>
      <c r="BF139" s="79">
        <v>0.0</v>
      </c>
      <c r="BG139" s="82"/>
      <c r="BH139" s="79">
        <v>0.0</v>
      </c>
      <c r="BI139" s="79" t="s">
        <v>493</v>
      </c>
      <c r="BJ139" s="79">
        <v>0.0</v>
      </c>
      <c r="BK139" s="79" t="s">
        <v>494</v>
      </c>
      <c r="BL139" s="79">
        <v>0.0</v>
      </c>
      <c r="BM139" s="79" t="s">
        <v>495</v>
      </c>
      <c r="BN139" s="79">
        <v>0.0</v>
      </c>
      <c r="BO139" s="79" t="s">
        <v>1305</v>
      </c>
      <c r="BP139" s="79">
        <v>0.0</v>
      </c>
      <c r="BQ139" s="79"/>
      <c r="BR139" s="79">
        <v>0.0</v>
      </c>
      <c r="BS139" s="79"/>
      <c r="BT139" s="79">
        <v>0.0</v>
      </c>
      <c r="BU139" s="79"/>
      <c r="BV139" s="79">
        <v>0.0</v>
      </c>
      <c r="BW139" s="79"/>
      <c r="BX139" s="79">
        <v>0.0</v>
      </c>
      <c r="BY139" s="79"/>
      <c r="BZ139" s="79"/>
      <c r="CA139" s="79"/>
      <c r="CB139" s="79"/>
      <c r="CC139" s="79"/>
      <c r="CD139" s="79"/>
      <c r="CE139" s="79"/>
      <c r="CF139" s="79"/>
      <c r="CG139" s="79"/>
      <c r="CH139" s="79"/>
      <c r="CI139" s="79"/>
      <c r="CJ139" s="79"/>
      <c r="CK139" s="79"/>
      <c r="CL139" s="79"/>
      <c r="CM139" s="79"/>
      <c r="CN139" s="79"/>
      <c r="CO139" s="79"/>
      <c r="CP139" s="79"/>
      <c r="CQ139" s="79"/>
      <c r="CR139" s="79"/>
      <c r="CS139" s="79"/>
      <c r="CT139" s="79"/>
      <c r="CU139" s="79"/>
      <c r="CV139" s="79"/>
      <c r="CW139" s="79"/>
      <c r="CX139" s="79"/>
      <c r="CY139" s="79"/>
      <c r="CZ139" s="79"/>
      <c r="DA139" s="79"/>
      <c r="DB139" s="79"/>
      <c r="DC139" s="79"/>
      <c r="DD139" s="79"/>
      <c r="DE139" s="79"/>
      <c r="DF139" s="79"/>
      <c r="DG139" s="79"/>
      <c r="DH139" s="79"/>
      <c r="DI139" s="79"/>
      <c r="DJ139" s="79" t="s">
        <v>1306</v>
      </c>
      <c r="DK139" s="79" t="s">
        <v>486</v>
      </c>
      <c r="DL139" s="79" t="s">
        <v>487</v>
      </c>
      <c r="DM139" s="79" t="s">
        <v>1307</v>
      </c>
      <c r="DN139" s="79" t="s">
        <v>1308</v>
      </c>
      <c r="DO139" s="79" t="s">
        <v>1309</v>
      </c>
      <c r="DP139" s="82"/>
      <c r="DQ139" s="79"/>
      <c r="DR139" s="82"/>
      <c r="DS139" s="79"/>
      <c r="DT139" s="82"/>
      <c r="DU139" s="79"/>
      <c r="DV139" s="82"/>
      <c r="DW139" s="79"/>
      <c r="DX139" s="79"/>
      <c r="DY139" s="79"/>
      <c r="DZ139" s="79"/>
      <c r="EA139" s="79"/>
      <c r="EB139" s="79"/>
      <c r="EC139" s="79"/>
      <c r="ED139" s="79"/>
      <c r="EE139" s="79"/>
      <c r="EF139" s="82"/>
      <c r="EG139" s="79"/>
      <c r="EH139" s="82"/>
      <c r="EI139" s="79"/>
      <c r="EJ139" s="82"/>
      <c r="EK139" s="79"/>
      <c r="EL139" s="82"/>
      <c r="EM139" s="79">
        <v>0.0</v>
      </c>
      <c r="EN139" s="79" t="s">
        <v>79</v>
      </c>
      <c r="EO139" s="79"/>
      <c r="EP139" s="17"/>
      <c r="EQ139" s="23"/>
      <c r="ER139" s="23" t="str">
        <f t="shared" si="1"/>
        <v/>
      </c>
      <c r="ES139" s="19"/>
      <c r="ET139" s="19" t="str">
        <f t="shared" si="2"/>
        <v/>
      </c>
      <c r="EU139" s="19"/>
      <c r="EV139" s="19"/>
      <c r="EW139" s="19"/>
      <c r="EX139" s="19"/>
      <c r="EY139" s="19"/>
      <c r="EZ139" s="19"/>
      <c r="FA139" s="19"/>
      <c r="FB139" s="19"/>
    </row>
    <row r="140" ht="15.75" customHeight="1">
      <c r="A140" s="79" t="s">
        <v>1310</v>
      </c>
      <c r="B140" s="79" t="s">
        <v>475</v>
      </c>
      <c r="C140" s="79" t="s">
        <v>476</v>
      </c>
      <c r="D140" s="80">
        <v>46137.0</v>
      </c>
      <c r="E140" s="79" t="s">
        <v>1311</v>
      </c>
      <c r="F140" s="79" t="s">
        <v>568</v>
      </c>
      <c r="G140" s="79" t="s">
        <v>685</v>
      </c>
      <c r="H140" s="79" t="s">
        <v>479</v>
      </c>
      <c r="I140" s="79"/>
      <c r="J140" s="79" t="s">
        <v>1312</v>
      </c>
      <c r="K140" s="79">
        <v>2000.0</v>
      </c>
      <c r="L140" s="79"/>
      <c r="M140" s="79" t="s">
        <v>1313</v>
      </c>
      <c r="N140" s="79" t="s">
        <v>1314</v>
      </c>
      <c r="O140" s="79"/>
      <c r="P140" s="79"/>
      <c r="Q140" s="79" t="s">
        <v>711</v>
      </c>
      <c r="R140" s="79">
        <v>46504.0</v>
      </c>
      <c r="S140" s="79" t="s">
        <v>1315</v>
      </c>
      <c r="T140" s="79">
        <v>40562.0</v>
      </c>
      <c r="U140" s="79"/>
      <c r="V140" s="79"/>
      <c r="W140" s="79">
        <v>46132.0</v>
      </c>
      <c r="X140" s="79"/>
      <c r="Y140" s="79">
        <v>46139.0</v>
      </c>
      <c r="Z140" s="79" t="s">
        <v>486</v>
      </c>
      <c r="AA140" s="79" t="s">
        <v>537</v>
      </c>
      <c r="AB140" s="79" t="s">
        <v>486</v>
      </c>
      <c r="AC140" s="79" t="s">
        <v>488</v>
      </c>
      <c r="AD140" s="79">
        <v>11000.0</v>
      </c>
      <c r="AE140" s="79">
        <v>0.0</v>
      </c>
      <c r="AF140" s="79">
        <v>0.0</v>
      </c>
      <c r="AG140" s="79">
        <v>1100.0</v>
      </c>
      <c r="AH140" s="83">
        <v>12100.0</v>
      </c>
      <c r="AI140" s="79"/>
      <c r="AJ140" s="79">
        <v>0.0</v>
      </c>
      <c r="AK140" s="79"/>
      <c r="AL140" s="83"/>
      <c r="AM140" s="79"/>
      <c r="AN140" s="79"/>
      <c r="AO140" s="79"/>
      <c r="AP140" s="79">
        <v>0.0</v>
      </c>
      <c r="AQ140" s="79">
        <v>11000.0</v>
      </c>
      <c r="AR140" s="79" t="s">
        <v>489</v>
      </c>
      <c r="AS140" s="79">
        <v>0.0</v>
      </c>
      <c r="AT140" s="79" t="s">
        <v>490</v>
      </c>
      <c r="AU140" s="79" t="s">
        <v>491</v>
      </c>
      <c r="AV140" s="79">
        <v>0.0</v>
      </c>
      <c r="AW140" s="79"/>
      <c r="AX140" s="79">
        <v>0.0</v>
      </c>
      <c r="AY140" s="79" t="s">
        <v>492</v>
      </c>
      <c r="AZ140" s="79">
        <v>0.0</v>
      </c>
      <c r="BA140" s="79"/>
      <c r="BB140" s="79">
        <v>0.0</v>
      </c>
      <c r="BC140" s="82"/>
      <c r="BD140" s="79">
        <v>0.0</v>
      </c>
      <c r="BE140" s="82"/>
      <c r="BF140" s="79">
        <v>0.0</v>
      </c>
      <c r="BG140" s="82"/>
      <c r="BH140" s="79">
        <v>0.0</v>
      </c>
      <c r="BI140" s="79" t="s">
        <v>493</v>
      </c>
      <c r="BJ140" s="79">
        <v>0.0</v>
      </c>
      <c r="BK140" s="79" t="s">
        <v>494</v>
      </c>
      <c r="BL140" s="79">
        <v>0.0</v>
      </c>
      <c r="BM140" s="79" t="s">
        <v>495</v>
      </c>
      <c r="BN140" s="79">
        <v>0.0</v>
      </c>
      <c r="BO140" s="79" t="s">
        <v>1305</v>
      </c>
      <c r="BP140" s="79">
        <v>0.0</v>
      </c>
      <c r="BQ140" s="79"/>
      <c r="BR140" s="79">
        <v>0.0</v>
      </c>
      <c r="BS140" s="79"/>
      <c r="BT140" s="79">
        <v>0.0</v>
      </c>
      <c r="BU140" s="79"/>
      <c r="BV140" s="79">
        <v>0.0</v>
      </c>
      <c r="BW140" s="79"/>
      <c r="BX140" s="79">
        <v>0.0</v>
      </c>
      <c r="BY140" s="79"/>
      <c r="BZ140" s="79"/>
      <c r="CA140" s="79"/>
      <c r="CB140" s="79"/>
      <c r="CC140" s="79"/>
      <c r="CD140" s="79"/>
      <c r="CE140" s="79"/>
      <c r="CF140" s="79"/>
      <c r="CG140" s="79"/>
      <c r="CH140" s="79"/>
      <c r="CI140" s="79"/>
      <c r="CJ140" s="79"/>
      <c r="CK140" s="79"/>
      <c r="CL140" s="79"/>
      <c r="CM140" s="79"/>
      <c r="CN140" s="79"/>
      <c r="CO140" s="79"/>
      <c r="CP140" s="79"/>
      <c r="CQ140" s="79"/>
      <c r="CR140" s="79"/>
      <c r="CS140" s="79"/>
      <c r="CT140" s="79"/>
      <c r="CU140" s="79"/>
      <c r="CV140" s="79"/>
      <c r="CW140" s="79"/>
      <c r="CX140" s="79"/>
      <c r="CY140" s="79"/>
      <c r="CZ140" s="79"/>
      <c r="DA140" s="79"/>
      <c r="DB140" s="79"/>
      <c r="DC140" s="79"/>
      <c r="DD140" s="79"/>
      <c r="DE140" s="79"/>
      <c r="DF140" s="79"/>
      <c r="DG140" s="79"/>
      <c r="DH140" s="79"/>
      <c r="DI140" s="79"/>
      <c r="DJ140" s="79" t="s">
        <v>1316</v>
      </c>
      <c r="DK140" s="79" t="s">
        <v>486</v>
      </c>
      <c r="DL140" s="79" t="s">
        <v>537</v>
      </c>
      <c r="DM140" s="79" t="s">
        <v>1317</v>
      </c>
      <c r="DN140" s="79"/>
      <c r="DO140" s="79" t="s">
        <v>1318</v>
      </c>
      <c r="DP140" s="82"/>
      <c r="DQ140" s="79"/>
      <c r="DR140" s="82"/>
      <c r="DS140" s="79"/>
      <c r="DT140" s="82"/>
      <c r="DU140" s="79"/>
      <c r="DV140" s="82"/>
      <c r="DW140" s="79"/>
      <c r="DX140" s="79"/>
      <c r="DY140" s="79"/>
      <c r="DZ140" s="79"/>
      <c r="EA140" s="79"/>
      <c r="EB140" s="79"/>
      <c r="EC140" s="79"/>
      <c r="ED140" s="79"/>
      <c r="EE140" s="79"/>
      <c r="EF140" s="82"/>
      <c r="EG140" s="79"/>
      <c r="EH140" s="82"/>
      <c r="EI140" s="79"/>
      <c r="EJ140" s="82"/>
      <c r="EK140" s="79"/>
      <c r="EL140" s="82"/>
      <c r="EM140" s="79">
        <v>0.0</v>
      </c>
      <c r="EN140" s="79" t="s">
        <v>79</v>
      </c>
      <c r="EO140" s="79"/>
      <c r="EP140" s="17"/>
      <c r="EQ140" s="23"/>
      <c r="ER140" s="23" t="str">
        <f t="shared" si="1"/>
        <v/>
      </c>
      <c r="ES140" s="19"/>
      <c r="ET140" s="19" t="str">
        <f t="shared" si="2"/>
        <v/>
      </c>
      <c r="EU140" s="19"/>
      <c r="EV140" s="19"/>
      <c r="EW140" s="19"/>
      <c r="EX140" s="19"/>
      <c r="EY140" s="19"/>
      <c r="EZ140" s="19"/>
      <c r="FA140" s="19"/>
      <c r="FB140" s="19"/>
    </row>
    <row r="141" ht="15.75" customHeight="1">
      <c r="A141" s="19"/>
      <c r="B141" s="4" t="s">
        <v>468</v>
      </c>
      <c r="C141" s="4" t="s">
        <v>1319</v>
      </c>
      <c r="D141" s="78">
        <v>46142.0</v>
      </c>
      <c r="E141" s="4" t="s">
        <v>1320</v>
      </c>
      <c r="F141" s="19"/>
      <c r="AH141" s="23">
        <v>8266050.0</v>
      </c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/>
      <c r="CK141" s="19"/>
      <c r="CL141" s="19"/>
      <c r="CM141" s="19"/>
      <c r="CN141" s="19"/>
      <c r="CO141" s="19"/>
      <c r="CP141" s="19"/>
      <c r="CQ141" s="19"/>
      <c r="CR141" s="19"/>
      <c r="CS141" s="19"/>
      <c r="CT141" s="19"/>
      <c r="CU141" s="19"/>
      <c r="CV141" s="19"/>
      <c r="CW141" s="19"/>
      <c r="CX141" s="19"/>
      <c r="CY141" s="19"/>
      <c r="CZ141" s="19"/>
      <c r="DA141" s="19"/>
      <c r="DB141" s="19"/>
      <c r="DC141" s="19"/>
      <c r="DD141" s="19"/>
      <c r="DE141" s="19"/>
      <c r="DF141" s="19"/>
      <c r="DG141" s="19"/>
      <c r="DH141" s="19"/>
      <c r="DI141" s="19"/>
      <c r="DJ141" s="19"/>
      <c r="DK141" s="19"/>
      <c r="DL141" s="19"/>
      <c r="DM141" s="19"/>
      <c r="DN141" s="19"/>
      <c r="DO141" s="19"/>
      <c r="DP141" s="19"/>
      <c r="DQ141" s="19"/>
      <c r="DR141" s="19"/>
      <c r="DS141" s="19"/>
      <c r="DT141" s="19"/>
      <c r="DU141" s="19"/>
      <c r="DV141" s="19"/>
      <c r="DW141" s="19"/>
      <c r="DX141" s="19"/>
      <c r="DY141" s="19"/>
      <c r="DZ141" s="19"/>
      <c r="EA141" s="19"/>
      <c r="EB141" s="19"/>
      <c r="EC141" s="19"/>
      <c r="ED141" s="19"/>
      <c r="EE141" s="19"/>
      <c r="EF141" s="19"/>
      <c r="EG141" s="19"/>
      <c r="EH141" s="19"/>
      <c r="EI141" s="19"/>
      <c r="EJ141" s="19"/>
      <c r="EK141" s="19"/>
      <c r="EL141" s="19"/>
      <c r="EM141" s="19"/>
      <c r="EN141" s="4" t="s">
        <v>79</v>
      </c>
      <c r="EO141" s="19"/>
      <c r="EP141" s="17"/>
      <c r="EQ141" s="23"/>
      <c r="ER141" s="23" t="str">
        <f t="shared" si="1"/>
        <v/>
      </c>
      <c r="ES141" s="19"/>
      <c r="ET141" s="19" t="str">
        <f t="shared" si="2"/>
        <v/>
      </c>
      <c r="EU141" s="19"/>
      <c r="EV141" s="19"/>
      <c r="EW141" s="19"/>
      <c r="EX141" s="19"/>
      <c r="EY141" s="19"/>
      <c r="EZ141" s="19"/>
      <c r="FA141" s="19"/>
      <c r="FB141" s="19"/>
    </row>
    <row r="142" ht="15.75" customHeight="1">
      <c r="A142" s="19"/>
      <c r="B142" s="4" t="s">
        <v>468</v>
      </c>
      <c r="C142" s="4" t="s">
        <v>1319</v>
      </c>
      <c r="D142" s="78">
        <v>46142.0</v>
      </c>
      <c r="E142" s="4" t="s">
        <v>1321</v>
      </c>
      <c r="F142" s="19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23">
        <v>8439760.0</v>
      </c>
      <c r="AI142" s="4"/>
      <c r="AJ142" s="4"/>
      <c r="AK142" s="4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/>
      <c r="CK142" s="19"/>
      <c r="CL142" s="19"/>
      <c r="CM142" s="19"/>
      <c r="CN142" s="19"/>
      <c r="CO142" s="19"/>
      <c r="CP142" s="19"/>
      <c r="CQ142" s="19"/>
      <c r="CR142" s="19"/>
      <c r="CS142" s="19"/>
      <c r="CT142" s="19"/>
      <c r="CU142" s="19"/>
      <c r="CV142" s="19"/>
      <c r="CW142" s="19"/>
      <c r="CX142" s="19"/>
      <c r="CY142" s="19"/>
      <c r="CZ142" s="19"/>
      <c r="DA142" s="19"/>
      <c r="DB142" s="19"/>
      <c r="DC142" s="19"/>
      <c r="DD142" s="19"/>
      <c r="DE142" s="19"/>
      <c r="DF142" s="19"/>
      <c r="DG142" s="19"/>
      <c r="DH142" s="19"/>
      <c r="DI142" s="19"/>
      <c r="DJ142" s="19"/>
      <c r="DK142" s="19"/>
      <c r="DL142" s="19"/>
      <c r="DM142" s="19"/>
      <c r="DN142" s="19"/>
      <c r="DO142" s="19"/>
      <c r="DP142" s="19"/>
      <c r="DQ142" s="19"/>
      <c r="DR142" s="19"/>
      <c r="DS142" s="19"/>
      <c r="DT142" s="19"/>
      <c r="DU142" s="19"/>
      <c r="DV142" s="19"/>
      <c r="DW142" s="19"/>
      <c r="DX142" s="19"/>
      <c r="DY142" s="19"/>
      <c r="DZ142" s="19"/>
      <c r="EA142" s="19"/>
      <c r="EB142" s="19"/>
      <c r="EC142" s="19"/>
      <c r="ED142" s="19"/>
      <c r="EE142" s="19"/>
      <c r="EF142" s="19"/>
      <c r="EG142" s="19"/>
      <c r="EH142" s="19"/>
      <c r="EI142" s="19"/>
      <c r="EJ142" s="19"/>
      <c r="EK142" s="19"/>
      <c r="EL142" s="19"/>
      <c r="EM142" s="19"/>
      <c r="EN142" s="4" t="s">
        <v>156</v>
      </c>
      <c r="EO142" s="4" t="s">
        <v>48</v>
      </c>
      <c r="EP142" s="17"/>
      <c r="EQ142" s="23"/>
      <c r="ER142" s="23" t="str">
        <f t="shared" si="1"/>
        <v/>
      </c>
      <c r="ES142" s="19"/>
      <c r="ET142" s="19" t="str">
        <f t="shared" si="2"/>
        <v/>
      </c>
      <c r="EU142" s="19"/>
      <c r="EV142" s="19"/>
      <c r="EW142" s="19"/>
      <c r="EX142" s="19"/>
      <c r="EY142" s="19"/>
      <c r="EZ142" s="19"/>
      <c r="FA142" s="19"/>
      <c r="FB142" s="19"/>
    </row>
    <row r="143" ht="15.75" customHeight="1">
      <c r="A143" s="4" t="s">
        <v>1322</v>
      </c>
      <c r="B143" s="4" t="s">
        <v>778</v>
      </c>
      <c r="C143" s="4" t="s">
        <v>1022</v>
      </c>
      <c r="D143" s="78">
        <v>46159.0</v>
      </c>
      <c r="E143" s="4" t="s">
        <v>1323</v>
      </c>
      <c r="F143" s="4" t="s">
        <v>1324</v>
      </c>
      <c r="G143" s="4" t="s">
        <v>1325</v>
      </c>
      <c r="H143" s="4" t="s">
        <v>601</v>
      </c>
      <c r="R143" s="4" t="s">
        <v>1326</v>
      </c>
      <c r="Y143" s="4" t="s">
        <v>1327</v>
      </c>
      <c r="Z143" s="4" t="s">
        <v>597</v>
      </c>
      <c r="AB143" s="4" t="s">
        <v>597</v>
      </c>
      <c r="AH143" s="23">
        <v>0.0</v>
      </c>
      <c r="AL143" s="19"/>
      <c r="AM143" s="19"/>
      <c r="AN143" s="19"/>
      <c r="AO143" s="19"/>
      <c r="AP143" s="19"/>
      <c r="AQ143" s="4">
        <v>0.0</v>
      </c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  <c r="CY143" s="19"/>
      <c r="CZ143" s="19"/>
      <c r="DA143" s="19"/>
      <c r="DB143" s="19"/>
      <c r="DC143" s="19"/>
      <c r="DD143" s="19"/>
      <c r="DE143" s="19"/>
      <c r="DF143" s="19"/>
      <c r="DG143" s="19"/>
      <c r="DH143" s="19"/>
      <c r="DI143" s="19"/>
      <c r="DJ143" s="19"/>
      <c r="DK143" s="19"/>
      <c r="DL143" s="19"/>
      <c r="DM143" s="19"/>
      <c r="DN143" s="19"/>
      <c r="DO143" s="19"/>
      <c r="DP143" s="19"/>
      <c r="DQ143" s="19"/>
      <c r="DR143" s="19"/>
      <c r="DS143" s="19"/>
      <c r="DT143" s="19"/>
      <c r="DU143" s="19"/>
      <c r="DV143" s="19"/>
      <c r="DW143" s="19"/>
      <c r="DX143" s="19"/>
      <c r="DY143" s="19"/>
      <c r="DZ143" s="19"/>
      <c r="EA143" s="19"/>
      <c r="EB143" s="19"/>
      <c r="EC143" s="19"/>
      <c r="ED143" s="19"/>
      <c r="EE143" s="19"/>
      <c r="EF143" s="19"/>
      <c r="EG143" s="19"/>
      <c r="EH143" s="19"/>
      <c r="EI143" s="19"/>
      <c r="EJ143" s="19"/>
      <c r="EK143" s="19"/>
      <c r="EL143" s="19"/>
      <c r="EM143" s="19"/>
      <c r="EN143" s="4" t="s">
        <v>79</v>
      </c>
      <c r="EO143" s="19"/>
      <c r="EP143" s="17"/>
      <c r="EQ143" s="23"/>
      <c r="ER143" s="23" t="str">
        <f t="shared" si="1"/>
        <v/>
      </c>
      <c r="ES143" s="19"/>
      <c r="ET143" s="19" t="str">
        <f t="shared" si="2"/>
        <v/>
      </c>
      <c r="EU143" s="19"/>
      <c r="EV143" s="19"/>
      <c r="EW143" s="19"/>
      <c r="EX143" s="19"/>
      <c r="EY143" s="19"/>
      <c r="EZ143" s="19"/>
      <c r="FA143" s="19"/>
      <c r="FB143" s="19"/>
    </row>
    <row r="144" ht="15.75" customHeight="1">
      <c r="A144" s="4" t="s">
        <v>1328</v>
      </c>
      <c r="B144" s="4" t="s">
        <v>778</v>
      </c>
      <c r="C144" s="4" t="s">
        <v>1022</v>
      </c>
      <c r="D144" s="78">
        <v>46166.0</v>
      </c>
      <c r="E144" s="4" t="s">
        <v>1329</v>
      </c>
      <c r="F144" s="4" t="s">
        <v>1330</v>
      </c>
      <c r="G144" s="4" t="s">
        <v>931</v>
      </c>
      <c r="H144" s="4" t="s">
        <v>1331</v>
      </c>
      <c r="Y144" s="4" t="s">
        <v>1054</v>
      </c>
      <c r="Z144" s="4" t="s">
        <v>597</v>
      </c>
      <c r="AB144" s="4" t="s">
        <v>597</v>
      </c>
      <c r="AH144" s="23">
        <v>0.0</v>
      </c>
      <c r="AL144" s="19"/>
      <c r="AM144" s="19"/>
      <c r="AN144" s="19"/>
      <c r="AO144" s="19"/>
      <c r="AP144" s="19"/>
      <c r="AQ144" s="4">
        <v>0.0</v>
      </c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  <c r="CY144" s="19"/>
      <c r="CZ144" s="19"/>
      <c r="DA144" s="19"/>
      <c r="DB144" s="19"/>
      <c r="DC144" s="19"/>
      <c r="DD144" s="19"/>
      <c r="DE144" s="19"/>
      <c r="DF144" s="19"/>
      <c r="DG144" s="19"/>
      <c r="DH144" s="19"/>
      <c r="DI144" s="19"/>
      <c r="DJ144" s="19"/>
      <c r="DK144" s="19"/>
      <c r="DL144" s="19"/>
      <c r="DM144" s="19"/>
      <c r="DN144" s="19"/>
      <c r="DO144" s="19"/>
      <c r="DP144" s="19"/>
      <c r="DQ144" s="19"/>
      <c r="DR144" s="19"/>
      <c r="DS144" s="19"/>
      <c r="DT144" s="19"/>
      <c r="DU144" s="19"/>
      <c r="DV144" s="19"/>
      <c r="DW144" s="19"/>
      <c r="DX144" s="19"/>
      <c r="DY144" s="19"/>
      <c r="DZ144" s="19"/>
      <c r="EA144" s="19"/>
      <c r="EB144" s="19"/>
      <c r="EC144" s="19"/>
      <c r="ED144" s="19"/>
      <c r="EE144" s="19"/>
      <c r="EF144" s="19"/>
      <c r="EG144" s="19"/>
      <c r="EH144" s="19"/>
      <c r="EI144" s="19"/>
      <c r="EJ144" s="19"/>
      <c r="EK144" s="19"/>
      <c r="EL144" s="19"/>
      <c r="EM144" s="19"/>
      <c r="EN144" s="4" t="s">
        <v>79</v>
      </c>
      <c r="EO144" s="19"/>
      <c r="EP144" s="17"/>
      <c r="EQ144" s="23"/>
      <c r="ER144" s="23" t="str">
        <f t="shared" si="1"/>
        <v/>
      </c>
      <c r="ES144" s="19"/>
      <c r="ET144" s="19" t="str">
        <f t="shared" si="2"/>
        <v/>
      </c>
      <c r="EU144" s="19"/>
      <c r="EV144" s="19"/>
      <c r="EW144" s="19"/>
      <c r="EX144" s="19"/>
      <c r="EY144" s="19"/>
      <c r="EZ144" s="19"/>
      <c r="FA144" s="19"/>
      <c r="FB144" s="19"/>
    </row>
    <row r="145" ht="15.75" customHeight="1">
      <c r="A145" s="19"/>
      <c r="B145" s="4" t="s">
        <v>468</v>
      </c>
      <c r="C145" s="4" t="s">
        <v>1332</v>
      </c>
      <c r="D145" s="78">
        <v>46204.0</v>
      </c>
      <c r="E145" s="4" t="s">
        <v>1333</v>
      </c>
      <c r="F145" s="19"/>
      <c r="AH145" s="23">
        <v>8823110.0</v>
      </c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  <c r="CY145" s="19"/>
      <c r="CZ145" s="19"/>
      <c r="DA145" s="19"/>
      <c r="DB145" s="19"/>
      <c r="DC145" s="19"/>
      <c r="DD145" s="19"/>
      <c r="DE145" s="19"/>
      <c r="DF145" s="19"/>
      <c r="DG145" s="19"/>
      <c r="DH145" s="19"/>
      <c r="DI145" s="19"/>
      <c r="DJ145" s="19"/>
      <c r="DK145" s="19"/>
      <c r="DL145" s="19"/>
      <c r="DM145" s="19"/>
      <c r="DN145" s="19"/>
      <c r="DO145" s="19"/>
      <c r="DP145" s="19"/>
      <c r="DQ145" s="19"/>
      <c r="DR145" s="19"/>
      <c r="DS145" s="19"/>
      <c r="DT145" s="19"/>
      <c r="DU145" s="19"/>
      <c r="DV145" s="19"/>
      <c r="DW145" s="19"/>
      <c r="DX145" s="19"/>
      <c r="DY145" s="19"/>
      <c r="DZ145" s="19"/>
      <c r="EA145" s="19"/>
      <c r="EB145" s="19"/>
      <c r="EC145" s="19"/>
      <c r="ED145" s="19"/>
      <c r="EE145" s="19"/>
      <c r="EF145" s="19"/>
      <c r="EG145" s="19"/>
      <c r="EH145" s="19"/>
      <c r="EI145" s="19"/>
      <c r="EJ145" s="19"/>
      <c r="EK145" s="19"/>
      <c r="EL145" s="19"/>
      <c r="EM145" s="19"/>
      <c r="EN145" s="4" t="s">
        <v>79</v>
      </c>
      <c r="EO145" s="19"/>
      <c r="EP145" s="17"/>
      <c r="EQ145" s="23"/>
      <c r="ER145" s="23" t="str">
        <f t="shared" si="1"/>
        <v/>
      </c>
      <c r="ES145" s="19"/>
      <c r="ET145" s="19" t="str">
        <f t="shared" si="2"/>
        <v/>
      </c>
      <c r="EU145" s="19"/>
      <c r="EV145" s="19"/>
      <c r="EW145" s="19"/>
      <c r="EX145" s="19"/>
      <c r="EY145" s="19"/>
      <c r="EZ145" s="19"/>
      <c r="FA145" s="19"/>
      <c r="FB145" s="19"/>
    </row>
    <row r="146" ht="15.75" customHeight="1">
      <c r="A146" s="19"/>
      <c r="B146" s="4" t="s">
        <v>468</v>
      </c>
      <c r="C146" s="4" t="s">
        <v>1332</v>
      </c>
      <c r="D146" s="78">
        <v>46295.0</v>
      </c>
      <c r="E146" s="4" t="s">
        <v>1334</v>
      </c>
      <c r="F146" s="19"/>
      <c r="AH146" s="23">
        <v>1.049528E7</v>
      </c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  <c r="CY146" s="19"/>
      <c r="CZ146" s="19"/>
      <c r="DA146" s="19"/>
      <c r="DB146" s="19"/>
      <c r="DC146" s="19"/>
      <c r="DD146" s="19"/>
      <c r="DE146" s="19"/>
      <c r="DF146" s="19"/>
      <c r="DG146" s="19"/>
      <c r="DH146" s="19"/>
      <c r="DI146" s="19"/>
      <c r="DJ146" s="19"/>
      <c r="DK146" s="19"/>
      <c r="DL146" s="19"/>
      <c r="DM146" s="19"/>
      <c r="DN146" s="19"/>
      <c r="DO146" s="19"/>
      <c r="DP146" s="19"/>
      <c r="DQ146" s="19"/>
      <c r="DR146" s="19"/>
      <c r="DS146" s="19"/>
      <c r="DT146" s="19"/>
      <c r="DU146" s="19"/>
      <c r="DV146" s="19"/>
      <c r="DW146" s="19"/>
      <c r="DX146" s="19"/>
      <c r="DY146" s="19"/>
      <c r="DZ146" s="19"/>
      <c r="EA146" s="19"/>
      <c r="EB146" s="19"/>
      <c r="EC146" s="19"/>
      <c r="ED146" s="19"/>
      <c r="EE146" s="19"/>
      <c r="EF146" s="19"/>
      <c r="EG146" s="19"/>
      <c r="EH146" s="19"/>
      <c r="EI146" s="19"/>
      <c r="EJ146" s="19"/>
      <c r="EK146" s="19"/>
      <c r="EL146" s="19"/>
      <c r="EM146" s="19"/>
      <c r="EN146" s="4" t="s">
        <v>79</v>
      </c>
      <c r="EO146" s="19"/>
      <c r="EP146" s="17"/>
      <c r="EQ146" s="23"/>
      <c r="ER146" s="23" t="str">
        <f t="shared" si="1"/>
        <v/>
      </c>
      <c r="ES146" s="19"/>
      <c r="ET146" s="19" t="str">
        <f t="shared" si="2"/>
        <v/>
      </c>
      <c r="EU146" s="19"/>
      <c r="EV146" s="19"/>
      <c r="EW146" s="19"/>
      <c r="EX146" s="19"/>
      <c r="EY146" s="19"/>
      <c r="EZ146" s="19"/>
      <c r="FA146" s="19"/>
      <c r="FB146" s="19"/>
    </row>
    <row r="147" ht="15.75" customHeight="1">
      <c r="A147" s="19"/>
      <c r="B147" s="4" t="s">
        <v>468</v>
      </c>
      <c r="C147" s="4" t="s">
        <v>1332</v>
      </c>
      <c r="D147" s="78">
        <v>46296.0</v>
      </c>
      <c r="E147" s="4" t="s">
        <v>1335</v>
      </c>
      <c r="F147" s="19"/>
      <c r="AH147" s="23">
        <v>1.3365393E7</v>
      </c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  <c r="CY147" s="19"/>
      <c r="CZ147" s="19"/>
      <c r="DA147" s="19"/>
      <c r="DB147" s="19"/>
      <c r="DC147" s="19"/>
      <c r="DD147" s="19"/>
      <c r="DE147" s="19"/>
      <c r="DF147" s="19"/>
      <c r="DG147" s="19"/>
      <c r="DH147" s="19"/>
      <c r="DI147" s="19"/>
      <c r="DJ147" s="19"/>
      <c r="DK147" s="19"/>
      <c r="DL147" s="19"/>
      <c r="DM147" s="19"/>
      <c r="DN147" s="19"/>
      <c r="DO147" s="19"/>
      <c r="DP147" s="19"/>
      <c r="DQ147" s="19"/>
      <c r="DR147" s="19"/>
      <c r="DS147" s="19"/>
      <c r="DT147" s="19"/>
      <c r="DU147" s="19"/>
      <c r="DV147" s="19"/>
      <c r="DW147" s="19"/>
      <c r="DX147" s="19"/>
      <c r="DY147" s="19"/>
      <c r="DZ147" s="19"/>
      <c r="EA147" s="19"/>
      <c r="EB147" s="19"/>
      <c r="EC147" s="19"/>
      <c r="ED147" s="19"/>
      <c r="EE147" s="19"/>
      <c r="EF147" s="19"/>
      <c r="EG147" s="19"/>
      <c r="EH147" s="19"/>
      <c r="EI147" s="19"/>
      <c r="EJ147" s="19"/>
      <c r="EK147" s="19"/>
      <c r="EL147" s="19"/>
      <c r="EM147" s="19"/>
      <c r="EN147" s="4" t="s">
        <v>79</v>
      </c>
      <c r="EO147" s="19"/>
      <c r="EP147" s="17"/>
      <c r="EQ147" s="23"/>
      <c r="ER147" s="23" t="str">
        <f t="shared" si="1"/>
        <v/>
      </c>
      <c r="ES147" s="19"/>
      <c r="ET147" s="19" t="str">
        <f t="shared" si="2"/>
        <v/>
      </c>
      <c r="EU147" s="19"/>
      <c r="EV147" s="19"/>
      <c r="EW147" s="19"/>
      <c r="EX147" s="19"/>
      <c r="EY147" s="19"/>
      <c r="EZ147" s="19"/>
      <c r="FA147" s="19"/>
      <c r="FB147" s="19"/>
    </row>
    <row r="148" ht="15.75" customHeight="1">
      <c r="A148" s="19"/>
      <c r="B148" s="4" t="s">
        <v>468</v>
      </c>
      <c r="C148" s="4" t="s">
        <v>1332</v>
      </c>
      <c r="D148" s="78">
        <v>46296.0</v>
      </c>
      <c r="E148" s="4" t="s">
        <v>1336</v>
      </c>
      <c r="F148" s="19"/>
      <c r="AH148" s="23">
        <v>1.185382E7</v>
      </c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  <c r="CY148" s="19"/>
      <c r="CZ148" s="19"/>
      <c r="DA148" s="19"/>
      <c r="DB148" s="19"/>
      <c r="DC148" s="19"/>
      <c r="DD148" s="19"/>
      <c r="DE148" s="19"/>
      <c r="DF148" s="19"/>
      <c r="DG148" s="19"/>
      <c r="DH148" s="19"/>
      <c r="DI148" s="19"/>
      <c r="DJ148" s="19"/>
      <c r="DK148" s="19"/>
      <c r="DL148" s="19"/>
      <c r="DM148" s="19"/>
      <c r="DN148" s="19"/>
      <c r="DO148" s="19"/>
      <c r="DP148" s="19"/>
      <c r="DQ148" s="19"/>
      <c r="DR148" s="19"/>
      <c r="DS148" s="19"/>
      <c r="DT148" s="19"/>
      <c r="DU148" s="19"/>
      <c r="DV148" s="19"/>
      <c r="DW148" s="19"/>
      <c r="DX148" s="19"/>
      <c r="DY148" s="19"/>
      <c r="DZ148" s="19"/>
      <c r="EA148" s="19"/>
      <c r="EB148" s="19"/>
      <c r="EC148" s="19"/>
      <c r="ED148" s="19"/>
      <c r="EE148" s="19"/>
      <c r="EF148" s="19"/>
      <c r="EG148" s="19"/>
      <c r="EH148" s="19"/>
      <c r="EI148" s="19"/>
      <c r="EJ148" s="19"/>
      <c r="EK148" s="19"/>
      <c r="EL148" s="19"/>
      <c r="EM148" s="19"/>
      <c r="EN148" s="4" t="s">
        <v>79</v>
      </c>
      <c r="EO148" s="19"/>
      <c r="EP148" s="17"/>
      <c r="EQ148" s="23"/>
      <c r="ER148" s="23" t="str">
        <f t="shared" si="1"/>
        <v/>
      </c>
      <c r="ES148" s="19"/>
      <c r="ET148" s="19" t="str">
        <f t="shared" si="2"/>
        <v/>
      </c>
      <c r="EU148" s="19"/>
      <c r="EV148" s="19"/>
      <c r="EW148" s="19"/>
      <c r="EX148" s="19"/>
      <c r="EY148" s="19"/>
      <c r="EZ148" s="19"/>
      <c r="FA148" s="19"/>
      <c r="FB148" s="19"/>
    </row>
    <row r="149" ht="15.75" customHeight="1">
      <c r="A149" s="19"/>
      <c r="B149" s="4" t="s">
        <v>468</v>
      </c>
      <c r="C149" s="4" t="s">
        <v>1332</v>
      </c>
      <c r="D149" s="78">
        <v>46357.0</v>
      </c>
      <c r="E149" s="4" t="s">
        <v>1337</v>
      </c>
      <c r="F149" s="19"/>
      <c r="AH149" s="23">
        <v>3.425163E7</v>
      </c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  <c r="CD149" s="19"/>
      <c r="CE149" s="19"/>
      <c r="CF149" s="19"/>
      <c r="CG149" s="19"/>
      <c r="CH149" s="19"/>
      <c r="CI149" s="19"/>
      <c r="CJ149" s="19"/>
      <c r="CK149" s="19"/>
      <c r="CL149" s="19"/>
      <c r="CM149" s="19"/>
      <c r="CN149" s="19"/>
      <c r="CO149" s="19"/>
      <c r="CP149" s="19"/>
      <c r="CQ149" s="19"/>
      <c r="CR149" s="19"/>
      <c r="CS149" s="19"/>
      <c r="CT149" s="19"/>
      <c r="CU149" s="19"/>
      <c r="CV149" s="19"/>
      <c r="CW149" s="19"/>
      <c r="CX149" s="19"/>
      <c r="CY149" s="19"/>
      <c r="CZ149" s="19"/>
      <c r="DA149" s="19"/>
      <c r="DB149" s="19"/>
      <c r="DC149" s="19"/>
      <c r="DD149" s="19"/>
      <c r="DE149" s="19"/>
      <c r="DF149" s="19"/>
      <c r="DG149" s="19"/>
      <c r="DH149" s="19"/>
      <c r="DI149" s="19"/>
      <c r="DJ149" s="19"/>
      <c r="DK149" s="19"/>
      <c r="DL149" s="19"/>
      <c r="DM149" s="19"/>
      <c r="DN149" s="19"/>
      <c r="DO149" s="19"/>
      <c r="DP149" s="19"/>
      <c r="DQ149" s="19"/>
      <c r="DR149" s="19"/>
      <c r="DS149" s="19"/>
      <c r="DT149" s="19"/>
      <c r="DU149" s="19"/>
      <c r="DV149" s="19"/>
      <c r="DW149" s="19"/>
      <c r="DX149" s="19"/>
      <c r="DY149" s="19"/>
      <c r="DZ149" s="19"/>
      <c r="EA149" s="19"/>
      <c r="EB149" s="19"/>
      <c r="EC149" s="19"/>
      <c r="ED149" s="19"/>
      <c r="EE149" s="19"/>
      <c r="EF149" s="19"/>
      <c r="EG149" s="19"/>
      <c r="EH149" s="19"/>
      <c r="EI149" s="19"/>
      <c r="EJ149" s="19"/>
      <c r="EK149" s="19"/>
      <c r="EL149" s="19"/>
      <c r="EM149" s="19"/>
      <c r="EN149" s="4" t="s">
        <v>79</v>
      </c>
      <c r="EO149" s="19"/>
      <c r="EP149" s="17"/>
      <c r="EQ149" s="23"/>
      <c r="ER149" s="23" t="str">
        <f t="shared" si="1"/>
        <v/>
      </c>
      <c r="ES149" s="19"/>
      <c r="ET149" s="19" t="str">
        <f t="shared" si="2"/>
        <v/>
      </c>
      <c r="EU149" s="19"/>
      <c r="EV149" s="19"/>
      <c r="EW149" s="19"/>
      <c r="EX149" s="19"/>
      <c r="EY149" s="19"/>
      <c r="EZ149" s="19"/>
      <c r="FA149" s="19"/>
      <c r="FB149" s="19"/>
    </row>
    <row r="150" ht="15.75" customHeight="1">
      <c r="A150" s="19"/>
      <c r="F150" s="19"/>
      <c r="AH150" s="23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  <c r="CD150" s="19"/>
      <c r="CE150" s="19"/>
      <c r="CF150" s="19"/>
      <c r="CG150" s="19"/>
      <c r="CH150" s="19"/>
      <c r="CI150" s="19"/>
      <c r="CJ150" s="19"/>
      <c r="CK150" s="19"/>
      <c r="CL150" s="19"/>
      <c r="CM150" s="19"/>
      <c r="CN150" s="19"/>
      <c r="CO150" s="19"/>
      <c r="CP150" s="19"/>
      <c r="CQ150" s="19"/>
      <c r="CR150" s="19"/>
      <c r="CS150" s="19"/>
      <c r="CT150" s="19"/>
      <c r="CU150" s="19"/>
      <c r="CV150" s="19"/>
      <c r="CW150" s="19"/>
      <c r="CX150" s="19"/>
      <c r="CY150" s="19"/>
      <c r="CZ150" s="19"/>
      <c r="DA150" s="19"/>
      <c r="DB150" s="19"/>
      <c r="DC150" s="19"/>
      <c r="DD150" s="19"/>
      <c r="DE150" s="19"/>
      <c r="DF150" s="19"/>
      <c r="DG150" s="19"/>
      <c r="DH150" s="19"/>
      <c r="DI150" s="19"/>
      <c r="DJ150" s="19"/>
      <c r="DK150" s="19"/>
      <c r="DL150" s="19"/>
      <c r="DM150" s="19"/>
      <c r="DN150" s="19"/>
      <c r="DO150" s="19"/>
      <c r="DP150" s="19"/>
      <c r="DQ150" s="19"/>
      <c r="DR150" s="19"/>
      <c r="DS150" s="19"/>
      <c r="DT150" s="19"/>
      <c r="DU150" s="19"/>
      <c r="DV150" s="19"/>
      <c r="DW150" s="19"/>
      <c r="DX150" s="19"/>
      <c r="DY150" s="19"/>
      <c r="DZ150" s="19"/>
      <c r="EA150" s="19"/>
      <c r="EB150" s="19"/>
      <c r="EC150" s="19"/>
      <c r="ED150" s="19"/>
      <c r="EE150" s="19"/>
      <c r="EF150" s="19"/>
      <c r="EG150" s="19"/>
      <c r="EH150" s="19"/>
      <c r="EI150" s="19"/>
      <c r="EJ150" s="19"/>
      <c r="EK150" s="19"/>
      <c r="EL150" s="19"/>
      <c r="EM150" s="19"/>
      <c r="EN150" s="19"/>
      <c r="EO150" s="19"/>
      <c r="EP150" s="17"/>
      <c r="EQ150" s="23"/>
      <c r="ER150" s="23" t="str">
        <f t="shared" si="1"/>
        <v/>
      </c>
      <c r="ES150" s="19"/>
      <c r="ET150" s="19" t="str">
        <f t="shared" si="2"/>
        <v/>
      </c>
      <c r="EU150" s="19"/>
      <c r="EV150" s="19"/>
      <c r="EW150" s="19"/>
      <c r="EX150" s="19"/>
      <c r="EY150" s="19"/>
      <c r="EZ150" s="19"/>
      <c r="FA150" s="19"/>
      <c r="FB150" s="19"/>
    </row>
    <row r="151" ht="15.75" customHeight="1">
      <c r="A151" s="19"/>
      <c r="F151" s="19"/>
      <c r="AH151" s="23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  <c r="CD151" s="19"/>
      <c r="CE151" s="19"/>
      <c r="CF151" s="19"/>
      <c r="CG151" s="19"/>
      <c r="CH151" s="19"/>
      <c r="CI151" s="19"/>
      <c r="CJ151" s="19"/>
      <c r="CK151" s="19"/>
      <c r="CL151" s="19"/>
      <c r="CM151" s="19"/>
      <c r="CN151" s="19"/>
      <c r="CO151" s="19"/>
      <c r="CP151" s="19"/>
      <c r="CQ151" s="19"/>
      <c r="CR151" s="19"/>
      <c r="CS151" s="19"/>
      <c r="CT151" s="19"/>
      <c r="CU151" s="19"/>
      <c r="CV151" s="19"/>
      <c r="CW151" s="19"/>
      <c r="CX151" s="19"/>
      <c r="CY151" s="19"/>
      <c r="CZ151" s="19"/>
      <c r="DA151" s="19"/>
      <c r="DB151" s="19"/>
      <c r="DC151" s="19"/>
      <c r="DD151" s="19"/>
      <c r="DE151" s="19"/>
      <c r="DF151" s="19"/>
      <c r="DG151" s="19"/>
      <c r="DH151" s="19"/>
      <c r="DI151" s="19"/>
      <c r="DJ151" s="19"/>
      <c r="DK151" s="19"/>
      <c r="DL151" s="19"/>
      <c r="DM151" s="19"/>
      <c r="DN151" s="19"/>
      <c r="DO151" s="19"/>
      <c r="DP151" s="19"/>
      <c r="DQ151" s="19"/>
      <c r="DR151" s="19"/>
      <c r="DS151" s="19"/>
      <c r="DT151" s="19"/>
      <c r="DU151" s="19"/>
      <c r="DV151" s="19"/>
      <c r="DW151" s="19"/>
      <c r="DX151" s="19"/>
      <c r="DY151" s="19"/>
      <c r="DZ151" s="19"/>
      <c r="EA151" s="19"/>
      <c r="EB151" s="19"/>
      <c r="EC151" s="19"/>
      <c r="ED151" s="19"/>
      <c r="EE151" s="19"/>
      <c r="EF151" s="19"/>
      <c r="EG151" s="19"/>
      <c r="EH151" s="19"/>
      <c r="EI151" s="19"/>
      <c r="EJ151" s="19"/>
      <c r="EK151" s="19"/>
      <c r="EL151" s="19"/>
      <c r="EM151" s="19"/>
      <c r="EN151" s="19"/>
      <c r="EO151" s="19"/>
      <c r="EP151" s="17"/>
      <c r="EQ151" s="23"/>
      <c r="ER151" s="23" t="str">
        <f t="shared" si="1"/>
        <v/>
      </c>
      <c r="ES151" s="19"/>
      <c r="ET151" s="19" t="str">
        <f t="shared" si="2"/>
        <v/>
      </c>
      <c r="EU151" s="19"/>
      <c r="EV151" s="19"/>
      <c r="EW151" s="19"/>
      <c r="EX151" s="19"/>
      <c r="EY151" s="19"/>
      <c r="EZ151" s="19"/>
      <c r="FA151" s="19"/>
      <c r="FB151" s="19"/>
    </row>
    <row r="152" ht="15.75" customHeight="1">
      <c r="A152" s="19"/>
      <c r="F152" s="19"/>
      <c r="AH152" s="23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  <c r="CD152" s="19"/>
      <c r="CE152" s="19"/>
      <c r="CF152" s="19"/>
      <c r="CG152" s="19"/>
      <c r="CH152" s="19"/>
      <c r="CI152" s="19"/>
      <c r="CJ152" s="19"/>
      <c r="CK152" s="19"/>
      <c r="CL152" s="19"/>
      <c r="CM152" s="19"/>
      <c r="CN152" s="19"/>
      <c r="CO152" s="19"/>
      <c r="CP152" s="19"/>
      <c r="CQ152" s="19"/>
      <c r="CR152" s="19"/>
      <c r="CS152" s="19"/>
      <c r="CT152" s="19"/>
      <c r="CU152" s="19"/>
      <c r="CV152" s="19"/>
      <c r="CW152" s="19"/>
      <c r="CX152" s="19"/>
      <c r="CY152" s="19"/>
      <c r="CZ152" s="19"/>
      <c r="DA152" s="19"/>
      <c r="DB152" s="19"/>
      <c r="DC152" s="19"/>
      <c r="DD152" s="19"/>
      <c r="DE152" s="19"/>
      <c r="DF152" s="19"/>
      <c r="DG152" s="19"/>
      <c r="DH152" s="19"/>
      <c r="DI152" s="19"/>
      <c r="DJ152" s="19"/>
      <c r="DK152" s="19"/>
      <c r="DL152" s="19"/>
      <c r="DM152" s="19"/>
      <c r="DN152" s="19"/>
      <c r="DO152" s="19"/>
      <c r="DP152" s="19"/>
      <c r="DQ152" s="19"/>
      <c r="DR152" s="19"/>
      <c r="DS152" s="19"/>
      <c r="DT152" s="19"/>
      <c r="DU152" s="19"/>
      <c r="DV152" s="19"/>
      <c r="DW152" s="19"/>
      <c r="DX152" s="19"/>
      <c r="DY152" s="19"/>
      <c r="DZ152" s="19"/>
      <c r="EA152" s="19"/>
      <c r="EB152" s="19"/>
      <c r="EC152" s="19"/>
      <c r="ED152" s="19"/>
      <c r="EE152" s="19"/>
      <c r="EF152" s="19"/>
      <c r="EG152" s="19"/>
      <c r="EH152" s="19"/>
      <c r="EI152" s="19"/>
      <c r="EJ152" s="19"/>
      <c r="EK152" s="19"/>
      <c r="EL152" s="19"/>
      <c r="EM152" s="19"/>
      <c r="EN152" s="19"/>
      <c r="EO152" s="19"/>
      <c r="EP152" s="17"/>
      <c r="EQ152" s="23"/>
      <c r="ER152" s="23" t="str">
        <f t="shared" si="1"/>
        <v/>
      </c>
      <c r="ES152" s="19"/>
      <c r="ET152" s="19" t="str">
        <f t="shared" si="2"/>
        <v/>
      </c>
      <c r="EU152" s="19"/>
      <c r="EV152" s="19"/>
      <c r="EW152" s="19"/>
      <c r="EX152" s="19"/>
      <c r="EY152" s="19"/>
      <c r="EZ152" s="19"/>
      <c r="FA152" s="19"/>
      <c r="FB152" s="19"/>
    </row>
    <row r="153" ht="15.75" customHeight="1">
      <c r="A153" s="19"/>
      <c r="F153" s="19"/>
      <c r="AH153" s="23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  <c r="CD153" s="19"/>
      <c r="CE153" s="19"/>
      <c r="CF153" s="19"/>
      <c r="CG153" s="19"/>
      <c r="CH153" s="19"/>
      <c r="CI153" s="19"/>
      <c r="CJ153" s="19"/>
      <c r="CK153" s="19"/>
      <c r="CL153" s="19"/>
      <c r="CM153" s="19"/>
      <c r="CN153" s="19"/>
      <c r="CO153" s="19"/>
      <c r="CP153" s="19"/>
      <c r="CQ153" s="19"/>
      <c r="CR153" s="19"/>
      <c r="CS153" s="19"/>
      <c r="CT153" s="19"/>
      <c r="CU153" s="19"/>
      <c r="CV153" s="19"/>
      <c r="CW153" s="19"/>
      <c r="CX153" s="19"/>
      <c r="CY153" s="19"/>
      <c r="CZ153" s="19"/>
      <c r="DA153" s="19"/>
      <c r="DB153" s="19"/>
      <c r="DC153" s="19"/>
      <c r="DD153" s="19"/>
      <c r="DE153" s="19"/>
      <c r="DF153" s="19"/>
      <c r="DG153" s="19"/>
      <c r="DH153" s="19"/>
      <c r="DI153" s="19"/>
      <c r="DJ153" s="19"/>
      <c r="DK153" s="19"/>
      <c r="DL153" s="19"/>
      <c r="DM153" s="19"/>
      <c r="DN153" s="19"/>
      <c r="DO153" s="19"/>
      <c r="DP153" s="19"/>
      <c r="DQ153" s="19"/>
      <c r="DR153" s="19"/>
      <c r="DS153" s="19"/>
      <c r="DT153" s="19"/>
      <c r="DU153" s="19"/>
      <c r="DV153" s="19"/>
      <c r="DW153" s="19"/>
      <c r="DX153" s="19"/>
      <c r="DY153" s="19"/>
      <c r="DZ153" s="19"/>
      <c r="EA153" s="19"/>
      <c r="EB153" s="19"/>
      <c r="EC153" s="19"/>
      <c r="ED153" s="19"/>
      <c r="EE153" s="19"/>
      <c r="EF153" s="19"/>
      <c r="EG153" s="19"/>
      <c r="EH153" s="19"/>
      <c r="EI153" s="19"/>
      <c r="EJ153" s="19"/>
      <c r="EK153" s="19"/>
      <c r="EL153" s="19"/>
      <c r="EM153" s="19"/>
      <c r="EN153" s="19"/>
      <c r="EO153" s="19"/>
      <c r="EP153" s="17"/>
      <c r="EQ153" s="23"/>
      <c r="ER153" s="23" t="str">
        <f t="shared" si="1"/>
        <v/>
      </c>
      <c r="ES153" s="19"/>
      <c r="ET153" s="19" t="str">
        <f t="shared" si="2"/>
        <v/>
      </c>
      <c r="EU153" s="19"/>
      <c r="EV153" s="19"/>
      <c r="EW153" s="19"/>
      <c r="EX153" s="19"/>
      <c r="EY153" s="19"/>
      <c r="EZ153" s="19"/>
      <c r="FA153" s="19"/>
      <c r="FB153" s="19"/>
    </row>
    <row r="154" ht="15.75" customHeight="1">
      <c r="A154" s="19"/>
      <c r="F154" s="19"/>
      <c r="AH154" s="23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  <c r="CD154" s="19"/>
      <c r="CE154" s="19"/>
      <c r="CF154" s="19"/>
      <c r="CG154" s="19"/>
      <c r="CH154" s="19"/>
      <c r="CI154" s="19"/>
      <c r="CJ154" s="19"/>
      <c r="CK154" s="19"/>
      <c r="CL154" s="19"/>
      <c r="CM154" s="19"/>
      <c r="CN154" s="19"/>
      <c r="CO154" s="19"/>
      <c r="CP154" s="19"/>
      <c r="CQ154" s="19"/>
      <c r="CR154" s="19"/>
      <c r="CS154" s="19"/>
      <c r="CT154" s="19"/>
      <c r="CU154" s="19"/>
      <c r="CV154" s="19"/>
      <c r="CW154" s="19"/>
      <c r="CX154" s="19"/>
      <c r="CY154" s="19"/>
      <c r="CZ154" s="19"/>
      <c r="DA154" s="19"/>
      <c r="DB154" s="19"/>
      <c r="DC154" s="19"/>
      <c r="DD154" s="19"/>
      <c r="DE154" s="19"/>
      <c r="DF154" s="19"/>
      <c r="DG154" s="19"/>
      <c r="DH154" s="19"/>
      <c r="DI154" s="19"/>
      <c r="DJ154" s="19"/>
      <c r="DK154" s="19"/>
      <c r="DL154" s="19"/>
      <c r="DM154" s="19"/>
      <c r="DN154" s="19"/>
      <c r="DO154" s="19"/>
      <c r="DP154" s="19"/>
      <c r="DQ154" s="19"/>
      <c r="DR154" s="19"/>
      <c r="DS154" s="19"/>
      <c r="DT154" s="19"/>
      <c r="DU154" s="19"/>
      <c r="DV154" s="19"/>
      <c r="DW154" s="19"/>
      <c r="DX154" s="19"/>
      <c r="DY154" s="19"/>
      <c r="DZ154" s="19"/>
      <c r="EA154" s="19"/>
      <c r="EB154" s="19"/>
      <c r="EC154" s="19"/>
      <c r="ED154" s="19"/>
      <c r="EE154" s="19"/>
      <c r="EF154" s="19"/>
      <c r="EG154" s="19"/>
      <c r="EH154" s="19"/>
      <c r="EI154" s="19"/>
      <c r="EJ154" s="19"/>
      <c r="EK154" s="19"/>
      <c r="EL154" s="19"/>
      <c r="EM154" s="19"/>
      <c r="EN154" s="19"/>
      <c r="EO154" s="19"/>
      <c r="EP154" s="17"/>
      <c r="EQ154" s="23"/>
      <c r="ER154" s="23" t="str">
        <f t="shared" si="1"/>
        <v/>
      </c>
      <c r="ES154" s="19"/>
      <c r="ET154" s="19" t="str">
        <f t="shared" si="2"/>
        <v/>
      </c>
      <c r="EU154" s="19"/>
      <c r="EV154" s="19"/>
      <c r="EW154" s="19"/>
      <c r="EX154" s="19"/>
      <c r="EY154" s="19"/>
      <c r="EZ154" s="19"/>
      <c r="FA154" s="19"/>
      <c r="FB154" s="19"/>
    </row>
    <row r="155" ht="15.75" customHeight="1">
      <c r="A155" s="19"/>
      <c r="F155" s="19"/>
      <c r="AH155" s="23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  <c r="CD155" s="19"/>
      <c r="CE155" s="19"/>
      <c r="CF155" s="19"/>
      <c r="CG155" s="19"/>
      <c r="CH155" s="19"/>
      <c r="CI155" s="19"/>
      <c r="CJ155" s="19"/>
      <c r="CK155" s="19"/>
      <c r="CL155" s="19"/>
      <c r="CM155" s="19"/>
      <c r="CN155" s="19"/>
      <c r="CO155" s="19"/>
      <c r="CP155" s="19"/>
      <c r="CQ155" s="19"/>
      <c r="CR155" s="19"/>
      <c r="CS155" s="19"/>
      <c r="CT155" s="19"/>
      <c r="CU155" s="19"/>
      <c r="CV155" s="19"/>
      <c r="CW155" s="19"/>
      <c r="CX155" s="19"/>
      <c r="CY155" s="19"/>
      <c r="CZ155" s="19"/>
      <c r="DA155" s="19"/>
      <c r="DB155" s="19"/>
      <c r="DC155" s="19"/>
      <c r="DD155" s="19"/>
      <c r="DE155" s="19"/>
      <c r="DF155" s="19"/>
      <c r="DG155" s="19"/>
      <c r="DH155" s="19"/>
      <c r="DI155" s="19"/>
      <c r="DJ155" s="19"/>
      <c r="DK155" s="19"/>
      <c r="DL155" s="19"/>
      <c r="DM155" s="19"/>
      <c r="DN155" s="19"/>
      <c r="DO155" s="19"/>
      <c r="DP155" s="19"/>
      <c r="DQ155" s="19"/>
      <c r="DR155" s="19"/>
      <c r="DS155" s="19"/>
      <c r="DT155" s="19"/>
      <c r="DU155" s="19"/>
      <c r="DV155" s="19"/>
      <c r="DW155" s="19"/>
      <c r="DX155" s="19"/>
      <c r="DY155" s="19"/>
      <c r="DZ155" s="19"/>
      <c r="EA155" s="19"/>
      <c r="EB155" s="19"/>
      <c r="EC155" s="19"/>
      <c r="ED155" s="19"/>
      <c r="EE155" s="19"/>
      <c r="EF155" s="19"/>
      <c r="EG155" s="19"/>
      <c r="EH155" s="19"/>
      <c r="EI155" s="19"/>
      <c r="EJ155" s="19"/>
      <c r="EK155" s="19"/>
      <c r="EL155" s="19"/>
      <c r="EM155" s="19"/>
      <c r="EN155" s="19"/>
      <c r="EO155" s="19"/>
      <c r="EP155" s="17"/>
      <c r="EQ155" s="23"/>
      <c r="ER155" s="23" t="str">
        <f t="shared" si="1"/>
        <v/>
      </c>
      <c r="ES155" s="19"/>
      <c r="ET155" s="19" t="str">
        <f t="shared" si="2"/>
        <v/>
      </c>
      <c r="EU155" s="19"/>
      <c r="EV155" s="19"/>
      <c r="EW155" s="19"/>
      <c r="EX155" s="19"/>
      <c r="EY155" s="19"/>
      <c r="EZ155" s="19"/>
      <c r="FA155" s="19"/>
      <c r="FB155" s="19"/>
    </row>
    <row r="156" ht="15.75" customHeight="1">
      <c r="A156" s="19"/>
      <c r="F156" s="19"/>
      <c r="AH156" s="23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  <c r="CD156" s="19"/>
      <c r="CE156" s="19"/>
      <c r="CF156" s="19"/>
      <c r="CG156" s="19"/>
      <c r="CH156" s="19"/>
      <c r="CI156" s="19"/>
      <c r="CJ156" s="19"/>
      <c r="CK156" s="19"/>
      <c r="CL156" s="19"/>
      <c r="CM156" s="19"/>
      <c r="CN156" s="19"/>
      <c r="CO156" s="19"/>
      <c r="CP156" s="19"/>
      <c r="CQ156" s="19"/>
      <c r="CR156" s="19"/>
      <c r="CS156" s="19"/>
      <c r="CT156" s="19"/>
      <c r="CU156" s="19"/>
      <c r="CV156" s="19"/>
      <c r="CW156" s="19"/>
      <c r="CX156" s="19"/>
      <c r="CY156" s="19"/>
      <c r="CZ156" s="19"/>
      <c r="DA156" s="19"/>
      <c r="DB156" s="19"/>
      <c r="DC156" s="19"/>
      <c r="DD156" s="19"/>
      <c r="DE156" s="19"/>
      <c r="DF156" s="19"/>
      <c r="DG156" s="19"/>
      <c r="DH156" s="19"/>
      <c r="DI156" s="19"/>
      <c r="DJ156" s="19"/>
      <c r="DK156" s="19"/>
      <c r="DL156" s="19"/>
      <c r="DM156" s="19"/>
      <c r="DN156" s="19"/>
      <c r="DO156" s="19"/>
      <c r="DP156" s="19"/>
      <c r="DQ156" s="19"/>
      <c r="DR156" s="19"/>
      <c r="DS156" s="19"/>
      <c r="DT156" s="19"/>
      <c r="DU156" s="19"/>
      <c r="DV156" s="19"/>
      <c r="DW156" s="19"/>
      <c r="DX156" s="19"/>
      <c r="DY156" s="19"/>
      <c r="DZ156" s="19"/>
      <c r="EA156" s="19"/>
      <c r="EB156" s="19"/>
      <c r="EC156" s="19"/>
      <c r="ED156" s="19"/>
      <c r="EE156" s="19"/>
      <c r="EF156" s="19"/>
      <c r="EG156" s="19"/>
      <c r="EH156" s="19"/>
      <c r="EI156" s="19"/>
      <c r="EJ156" s="19"/>
      <c r="EK156" s="19"/>
      <c r="EL156" s="19"/>
      <c r="EM156" s="19"/>
      <c r="EN156" s="19"/>
      <c r="EO156" s="19"/>
      <c r="EP156" s="17"/>
      <c r="EQ156" s="23"/>
      <c r="ER156" s="23" t="str">
        <f t="shared" si="1"/>
        <v/>
      </c>
      <c r="ES156" s="19"/>
      <c r="ET156" s="19" t="str">
        <f t="shared" si="2"/>
        <v/>
      </c>
      <c r="EU156" s="19"/>
      <c r="EV156" s="19"/>
      <c r="EW156" s="19"/>
      <c r="EX156" s="19"/>
      <c r="EY156" s="19"/>
      <c r="EZ156" s="19"/>
      <c r="FA156" s="19"/>
      <c r="FB156" s="19"/>
    </row>
    <row r="157" ht="15.75" customHeight="1">
      <c r="A157" s="19"/>
      <c r="F157" s="19"/>
      <c r="AH157" s="23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  <c r="CD157" s="19"/>
      <c r="CE157" s="19"/>
      <c r="CF157" s="19"/>
      <c r="CG157" s="19"/>
      <c r="CH157" s="19"/>
      <c r="CI157" s="19"/>
      <c r="CJ157" s="19"/>
      <c r="CK157" s="19"/>
      <c r="CL157" s="19"/>
      <c r="CM157" s="19"/>
      <c r="CN157" s="19"/>
      <c r="CO157" s="19"/>
      <c r="CP157" s="19"/>
      <c r="CQ157" s="19"/>
      <c r="CR157" s="19"/>
      <c r="CS157" s="19"/>
      <c r="CT157" s="19"/>
      <c r="CU157" s="19"/>
      <c r="CV157" s="19"/>
      <c r="CW157" s="19"/>
      <c r="CX157" s="19"/>
      <c r="CY157" s="19"/>
      <c r="CZ157" s="19"/>
      <c r="DA157" s="19"/>
      <c r="DB157" s="19"/>
      <c r="DC157" s="19"/>
      <c r="DD157" s="19"/>
      <c r="DE157" s="19"/>
      <c r="DF157" s="19"/>
      <c r="DG157" s="19"/>
      <c r="DH157" s="19"/>
      <c r="DI157" s="19"/>
      <c r="DJ157" s="19"/>
      <c r="DK157" s="19"/>
      <c r="DL157" s="19"/>
      <c r="DM157" s="19"/>
      <c r="DN157" s="19"/>
      <c r="DO157" s="19"/>
      <c r="DP157" s="19"/>
      <c r="DQ157" s="19"/>
      <c r="DR157" s="19"/>
      <c r="DS157" s="19"/>
      <c r="DT157" s="19"/>
      <c r="DU157" s="19"/>
      <c r="DV157" s="19"/>
      <c r="DW157" s="19"/>
      <c r="DX157" s="19"/>
      <c r="DY157" s="19"/>
      <c r="DZ157" s="19"/>
      <c r="EA157" s="19"/>
      <c r="EB157" s="19"/>
      <c r="EC157" s="19"/>
      <c r="ED157" s="19"/>
      <c r="EE157" s="19"/>
      <c r="EF157" s="19"/>
      <c r="EG157" s="19"/>
      <c r="EH157" s="19"/>
      <c r="EI157" s="19"/>
      <c r="EJ157" s="19"/>
      <c r="EK157" s="19"/>
      <c r="EL157" s="19"/>
      <c r="EM157" s="19"/>
      <c r="EN157" s="19"/>
      <c r="EO157" s="19"/>
      <c r="EP157" s="17"/>
      <c r="EQ157" s="23"/>
      <c r="ER157" s="23" t="str">
        <f t="shared" si="1"/>
        <v/>
      </c>
      <c r="ES157" s="19"/>
      <c r="ET157" s="19" t="str">
        <f t="shared" si="2"/>
        <v/>
      </c>
      <c r="EU157" s="19"/>
      <c r="EV157" s="19"/>
      <c r="EW157" s="19"/>
      <c r="EX157" s="19"/>
      <c r="EY157" s="19"/>
      <c r="EZ157" s="19"/>
      <c r="FA157" s="19"/>
      <c r="FB157" s="19"/>
    </row>
    <row r="158" ht="15.75" customHeight="1">
      <c r="A158" s="19"/>
      <c r="F158" s="19"/>
      <c r="AH158" s="23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  <c r="CD158" s="19"/>
      <c r="CE158" s="19"/>
      <c r="CF158" s="19"/>
      <c r="CG158" s="19"/>
      <c r="CH158" s="19"/>
      <c r="CI158" s="19"/>
      <c r="CJ158" s="19"/>
      <c r="CK158" s="19"/>
      <c r="CL158" s="19"/>
      <c r="CM158" s="19"/>
      <c r="CN158" s="19"/>
      <c r="CO158" s="19"/>
      <c r="CP158" s="19"/>
      <c r="CQ158" s="19"/>
      <c r="CR158" s="19"/>
      <c r="CS158" s="19"/>
      <c r="CT158" s="19"/>
      <c r="CU158" s="19"/>
      <c r="CV158" s="19"/>
      <c r="CW158" s="19"/>
      <c r="CX158" s="19"/>
      <c r="CY158" s="19"/>
      <c r="CZ158" s="19"/>
      <c r="DA158" s="19"/>
      <c r="DB158" s="19"/>
      <c r="DC158" s="19"/>
      <c r="DD158" s="19"/>
      <c r="DE158" s="19"/>
      <c r="DF158" s="19"/>
      <c r="DG158" s="19"/>
      <c r="DH158" s="19"/>
      <c r="DI158" s="19"/>
      <c r="DJ158" s="19"/>
      <c r="DK158" s="19"/>
      <c r="DL158" s="19"/>
      <c r="DM158" s="19"/>
      <c r="DN158" s="19"/>
      <c r="DO158" s="19"/>
      <c r="DP158" s="19"/>
      <c r="DQ158" s="19"/>
      <c r="DR158" s="19"/>
      <c r="DS158" s="19"/>
      <c r="DT158" s="19"/>
      <c r="DU158" s="19"/>
      <c r="DV158" s="19"/>
      <c r="DW158" s="19"/>
      <c r="DX158" s="19"/>
      <c r="DY158" s="19"/>
      <c r="DZ158" s="19"/>
      <c r="EA158" s="19"/>
      <c r="EB158" s="19"/>
      <c r="EC158" s="19"/>
      <c r="ED158" s="19"/>
      <c r="EE158" s="19"/>
      <c r="EF158" s="19"/>
      <c r="EG158" s="19"/>
      <c r="EH158" s="19"/>
      <c r="EI158" s="19"/>
      <c r="EJ158" s="19"/>
      <c r="EK158" s="19"/>
      <c r="EL158" s="19"/>
      <c r="EM158" s="19"/>
      <c r="EN158" s="19"/>
      <c r="EO158" s="19"/>
      <c r="EP158" s="17"/>
      <c r="EQ158" s="23"/>
      <c r="ER158" s="23" t="str">
        <f t="shared" si="1"/>
        <v/>
      </c>
      <c r="ES158" s="19"/>
      <c r="ET158" s="19" t="str">
        <f t="shared" si="2"/>
        <v/>
      </c>
      <c r="EU158" s="19"/>
      <c r="EV158" s="19"/>
      <c r="EW158" s="19"/>
      <c r="EX158" s="19"/>
      <c r="EY158" s="19"/>
      <c r="EZ158" s="19"/>
      <c r="FA158" s="19"/>
      <c r="FB158" s="19"/>
    </row>
    <row r="159" ht="15.75" customHeight="1">
      <c r="A159" s="19"/>
      <c r="F159" s="19"/>
      <c r="AH159" s="23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  <c r="CD159" s="19"/>
      <c r="CE159" s="19"/>
      <c r="CF159" s="19"/>
      <c r="CG159" s="19"/>
      <c r="CH159" s="19"/>
      <c r="CI159" s="19"/>
      <c r="CJ159" s="19"/>
      <c r="CK159" s="19"/>
      <c r="CL159" s="19"/>
      <c r="CM159" s="19"/>
      <c r="CN159" s="19"/>
      <c r="CO159" s="19"/>
      <c r="CP159" s="19"/>
      <c r="CQ159" s="19"/>
      <c r="CR159" s="19"/>
      <c r="CS159" s="19"/>
      <c r="CT159" s="19"/>
      <c r="CU159" s="19"/>
      <c r="CV159" s="19"/>
      <c r="CW159" s="19"/>
      <c r="CX159" s="19"/>
      <c r="CY159" s="19"/>
      <c r="CZ159" s="19"/>
      <c r="DA159" s="19"/>
      <c r="DB159" s="19"/>
      <c r="DC159" s="19"/>
      <c r="DD159" s="19"/>
      <c r="DE159" s="19"/>
      <c r="DF159" s="19"/>
      <c r="DG159" s="19"/>
      <c r="DH159" s="19"/>
      <c r="DI159" s="19"/>
      <c r="DJ159" s="19"/>
      <c r="DK159" s="19"/>
      <c r="DL159" s="19"/>
      <c r="DM159" s="19"/>
      <c r="DN159" s="19"/>
      <c r="DO159" s="19"/>
      <c r="DP159" s="19"/>
      <c r="DQ159" s="19"/>
      <c r="DR159" s="19"/>
      <c r="DS159" s="19"/>
      <c r="DT159" s="19"/>
      <c r="DU159" s="19"/>
      <c r="DV159" s="19"/>
      <c r="DW159" s="19"/>
      <c r="DX159" s="19"/>
      <c r="DY159" s="19"/>
      <c r="DZ159" s="19"/>
      <c r="EA159" s="19"/>
      <c r="EB159" s="19"/>
      <c r="EC159" s="19"/>
      <c r="ED159" s="19"/>
      <c r="EE159" s="19"/>
      <c r="EF159" s="19"/>
      <c r="EG159" s="19"/>
      <c r="EH159" s="19"/>
      <c r="EI159" s="19"/>
      <c r="EJ159" s="19"/>
      <c r="EK159" s="19"/>
      <c r="EL159" s="19"/>
      <c r="EM159" s="19"/>
      <c r="EN159" s="19"/>
      <c r="EO159" s="19"/>
      <c r="EP159" s="17"/>
      <c r="EQ159" s="23"/>
      <c r="ER159" s="23" t="str">
        <f t="shared" si="1"/>
        <v/>
      </c>
      <c r="ES159" s="19"/>
      <c r="ET159" s="19" t="str">
        <f t="shared" si="2"/>
        <v/>
      </c>
      <c r="EU159" s="19"/>
      <c r="EV159" s="19"/>
      <c r="EW159" s="19"/>
      <c r="EX159" s="19"/>
      <c r="EY159" s="19"/>
      <c r="EZ159" s="19"/>
      <c r="FA159" s="19"/>
      <c r="FB159" s="19"/>
    </row>
    <row r="160" ht="15.75" customHeight="1">
      <c r="A160" s="19"/>
      <c r="F160" s="19"/>
      <c r="AH160" s="23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  <c r="CD160" s="19"/>
      <c r="CE160" s="19"/>
      <c r="CF160" s="19"/>
      <c r="CG160" s="19"/>
      <c r="CH160" s="19"/>
      <c r="CI160" s="19"/>
      <c r="CJ160" s="19"/>
      <c r="CK160" s="19"/>
      <c r="CL160" s="19"/>
      <c r="CM160" s="19"/>
      <c r="CN160" s="19"/>
      <c r="CO160" s="19"/>
      <c r="CP160" s="19"/>
      <c r="CQ160" s="19"/>
      <c r="CR160" s="19"/>
      <c r="CS160" s="19"/>
      <c r="CT160" s="19"/>
      <c r="CU160" s="19"/>
      <c r="CV160" s="19"/>
      <c r="CW160" s="19"/>
      <c r="CX160" s="19"/>
      <c r="CY160" s="19"/>
      <c r="CZ160" s="19"/>
      <c r="DA160" s="19"/>
      <c r="DB160" s="19"/>
      <c r="DC160" s="19"/>
      <c r="DD160" s="19"/>
      <c r="DE160" s="19"/>
      <c r="DF160" s="19"/>
      <c r="DG160" s="19"/>
      <c r="DH160" s="19"/>
      <c r="DI160" s="19"/>
      <c r="DJ160" s="19"/>
      <c r="DK160" s="19"/>
      <c r="DL160" s="19"/>
      <c r="DM160" s="19"/>
      <c r="DN160" s="19"/>
      <c r="DO160" s="19"/>
      <c r="DP160" s="19"/>
      <c r="DQ160" s="19"/>
      <c r="DR160" s="19"/>
      <c r="DS160" s="19"/>
      <c r="DT160" s="19"/>
      <c r="DU160" s="19"/>
      <c r="DV160" s="19"/>
      <c r="DW160" s="19"/>
      <c r="DX160" s="19"/>
      <c r="DY160" s="19"/>
      <c r="DZ160" s="19"/>
      <c r="EA160" s="19"/>
      <c r="EB160" s="19"/>
      <c r="EC160" s="19"/>
      <c r="ED160" s="19"/>
      <c r="EE160" s="19"/>
      <c r="EF160" s="19"/>
      <c r="EG160" s="19"/>
      <c r="EH160" s="19"/>
      <c r="EI160" s="19"/>
      <c r="EJ160" s="19"/>
      <c r="EK160" s="19"/>
      <c r="EL160" s="19"/>
      <c r="EM160" s="19"/>
      <c r="EN160" s="19"/>
      <c r="EO160" s="19"/>
      <c r="EP160" s="17"/>
      <c r="EQ160" s="23"/>
      <c r="ER160" s="23" t="str">
        <f t="shared" si="1"/>
        <v/>
      </c>
      <c r="ES160" s="19"/>
      <c r="ET160" s="19" t="str">
        <f t="shared" si="2"/>
        <v/>
      </c>
      <c r="EU160" s="19"/>
      <c r="EV160" s="19"/>
      <c r="EW160" s="19"/>
      <c r="EX160" s="19"/>
      <c r="EY160" s="19"/>
      <c r="EZ160" s="19"/>
      <c r="FA160" s="19"/>
      <c r="FB160" s="19"/>
    </row>
    <row r="161" ht="15.75" customHeight="1">
      <c r="A161" s="19"/>
      <c r="F161" s="19"/>
      <c r="AH161" s="23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  <c r="CD161" s="19"/>
      <c r="CE161" s="19"/>
      <c r="CF161" s="19"/>
      <c r="CG161" s="19"/>
      <c r="CH161" s="19"/>
      <c r="CI161" s="19"/>
      <c r="CJ161" s="19"/>
      <c r="CK161" s="19"/>
      <c r="CL161" s="19"/>
      <c r="CM161" s="19"/>
      <c r="CN161" s="19"/>
      <c r="CO161" s="19"/>
      <c r="CP161" s="19"/>
      <c r="CQ161" s="19"/>
      <c r="CR161" s="19"/>
      <c r="CS161" s="19"/>
      <c r="CT161" s="19"/>
      <c r="CU161" s="19"/>
      <c r="CV161" s="19"/>
      <c r="CW161" s="19"/>
      <c r="CX161" s="19"/>
      <c r="CY161" s="19"/>
      <c r="CZ161" s="19"/>
      <c r="DA161" s="19"/>
      <c r="DB161" s="19"/>
      <c r="DC161" s="19"/>
      <c r="DD161" s="19"/>
      <c r="DE161" s="19"/>
      <c r="DF161" s="19"/>
      <c r="DG161" s="19"/>
      <c r="DH161" s="19"/>
      <c r="DI161" s="19"/>
      <c r="DJ161" s="19"/>
      <c r="DK161" s="19"/>
      <c r="DL161" s="19"/>
      <c r="DM161" s="19"/>
      <c r="DN161" s="19"/>
      <c r="DO161" s="19"/>
      <c r="DP161" s="19"/>
      <c r="DQ161" s="19"/>
      <c r="DR161" s="19"/>
      <c r="DS161" s="19"/>
      <c r="DT161" s="19"/>
      <c r="DU161" s="19"/>
      <c r="DV161" s="19"/>
      <c r="DW161" s="19"/>
      <c r="DX161" s="19"/>
      <c r="DY161" s="19"/>
      <c r="DZ161" s="19"/>
      <c r="EA161" s="19"/>
      <c r="EB161" s="19"/>
      <c r="EC161" s="19"/>
      <c r="ED161" s="19"/>
      <c r="EE161" s="19"/>
      <c r="EF161" s="19"/>
      <c r="EG161" s="19"/>
      <c r="EH161" s="19"/>
      <c r="EI161" s="19"/>
      <c r="EJ161" s="19"/>
      <c r="EK161" s="19"/>
      <c r="EL161" s="19"/>
      <c r="EM161" s="19"/>
      <c r="EN161" s="19"/>
      <c r="EO161" s="19"/>
      <c r="EP161" s="17"/>
      <c r="EQ161" s="23"/>
      <c r="ER161" s="23" t="str">
        <f t="shared" si="1"/>
        <v/>
      </c>
      <c r="ES161" s="19"/>
      <c r="ET161" s="19" t="str">
        <f t="shared" si="2"/>
        <v/>
      </c>
      <c r="EU161" s="19"/>
      <c r="EV161" s="19"/>
      <c r="EW161" s="19"/>
      <c r="EX161" s="19"/>
      <c r="EY161" s="19"/>
      <c r="EZ161" s="19"/>
      <c r="FA161" s="19"/>
      <c r="FB161" s="19"/>
    </row>
    <row r="162" ht="15.75" customHeight="1">
      <c r="A162" s="19"/>
      <c r="F162" s="19"/>
      <c r="AH162" s="23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  <c r="CD162" s="19"/>
      <c r="CE162" s="19"/>
      <c r="CF162" s="19"/>
      <c r="CG162" s="19"/>
      <c r="CH162" s="19"/>
      <c r="CI162" s="19"/>
      <c r="CJ162" s="19"/>
      <c r="CK162" s="19"/>
      <c r="CL162" s="19"/>
      <c r="CM162" s="19"/>
      <c r="CN162" s="19"/>
      <c r="CO162" s="19"/>
      <c r="CP162" s="19"/>
      <c r="CQ162" s="19"/>
      <c r="CR162" s="19"/>
      <c r="CS162" s="19"/>
      <c r="CT162" s="19"/>
      <c r="CU162" s="19"/>
      <c r="CV162" s="19"/>
      <c r="CW162" s="19"/>
      <c r="CX162" s="19"/>
      <c r="CY162" s="19"/>
      <c r="CZ162" s="19"/>
      <c r="DA162" s="19"/>
      <c r="DB162" s="19"/>
      <c r="DC162" s="19"/>
      <c r="DD162" s="19"/>
      <c r="DE162" s="19"/>
      <c r="DF162" s="19"/>
      <c r="DG162" s="19"/>
      <c r="DH162" s="19"/>
      <c r="DI162" s="19"/>
      <c r="DJ162" s="19"/>
      <c r="DK162" s="19"/>
      <c r="DL162" s="19"/>
      <c r="DM162" s="19"/>
      <c r="DN162" s="19"/>
      <c r="DO162" s="19"/>
      <c r="DP162" s="19"/>
      <c r="DQ162" s="19"/>
      <c r="DR162" s="19"/>
      <c r="DS162" s="19"/>
      <c r="DT162" s="19"/>
      <c r="DU162" s="19"/>
      <c r="DV162" s="19"/>
      <c r="DW162" s="19"/>
      <c r="DX162" s="19"/>
      <c r="DY162" s="19"/>
      <c r="DZ162" s="19"/>
      <c r="EA162" s="19"/>
      <c r="EB162" s="19"/>
      <c r="EC162" s="19"/>
      <c r="ED162" s="19"/>
      <c r="EE162" s="19"/>
      <c r="EF162" s="19"/>
      <c r="EG162" s="19"/>
      <c r="EH162" s="19"/>
      <c r="EI162" s="19"/>
      <c r="EJ162" s="19"/>
      <c r="EK162" s="19"/>
      <c r="EL162" s="19"/>
      <c r="EM162" s="19"/>
      <c r="EN162" s="19"/>
      <c r="EO162" s="19"/>
      <c r="EP162" s="17"/>
      <c r="EQ162" s="23"/>
      <c r="ER162" s="23" t="str">
        <f t="shared" si="1"/>
        <v/>
      </c>
      <c r="ES162" s="19"/>
      <c r="ET162" s="19" t="str">
        <f t="shared" si="2"/>
        <v/>
      </c>
      <c r="EU162" s="19"/>
      <c r="EV162" s="19"/>
      <c r="EW162" s="19"/>
      <c r="EX162" s="19"/>
      <c r="EY162" s="19"/>
      <c r="EZ162" s="19"/>
      <c r="FA162" s="19"/>
      <c r="FB162" s="19"/>
    </row>
    <row r="163" ht="15.75" customHeight="1">
      <c r="A163" s="19"/>
      <c r="F163" s="19"/>
      <c r="AH163" s="23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  <c r="CD163" s="19"/>
      <c r="CE163" s="19"/>
      <c r="CF163" s="19"/>
      <c r="CG163" s="19"/>
      <c r="CH163" s="19"/>
      <c r="CI163" s="19"/>
      <c r="CJ163" s="19"/>
      <c r="CK163" s="19"/>
      <c r="CL163" s="19"/>
      <c r="CM163" s="19"/>
      <c r="CN163" s="19"/>
      <c r="CO163" s="19"/>
      <c r="CP163" s="19"/>
      <c r="CQ163" s="19"/>
      <c r="CR163" s="19"/>
      <c r="CS163" s="19"/>
      <c r="CT163" s="19"/>
      <c r="CU163" s="19"/>
      <c r="CV163" s="19"/>
      <c r="CW163" s="19"/>
      <c r="CX163" s="19"/>
      <c r="CY163" s="19"/>
      <c r="CZ163" s="19"/>
      <c r="DA163" s="19"/>
      <c r="DB163" s="19"/>
      <c r="DC163" s="19"/>
      <c r="DD163" s="19"/>
      <c r="DE163" s="19"/>
      <c r="DF163" s="19"/>
      <c r="DG163" s="19"/>
      <c r="DH163" s="19"/>
      <c r="DI163" s="19"/>
      <c r="DJ163" s="19"/>
      <c r="DK163" s="19"/>
      <c r="DL163" s="19"/>
      <c r="DM163" s="19"/>
      <c r="DN163" s="19"/>
      <c r="DO163" s="19"/>
      <c r="DP163" s="19"/>
      <c r="DQ163" s="19"/>
      <c r="DR163" s="19"/>
      <c r="DS163" s="19"/>
      <c r="DT163" s="19"/>
      <c r="DU163" s="19"/>
      <c r="DV163" s="19"/>
      <c r="DW163" s="19"/>
      <c r="DX163" s="19"/>
      <c r="DY163" s="19"/>
      <c r="DZ163" s="19"/>
      <c r="EA163" s="19"/>
      <c r="EB163" s="19"/>
      <c r="EC163" s="19"/>
      <c r="ED163" s="19"/>
      <c r="EE163" s="19"/>
      <c r="EF163" s="19"/>
      <c r="EG163" s="19"/>
      <c r="EH163" s="19"/>
      <c r="EI163" s="19"/>
      <c r="EJ163" s="19"/>
      <c r="EK163" s="19"/>
      <c r="EL163" s="19"/>
      <c r="EM163" s="19"/>
      <c r="EN163" s="19"/>
      <c r="EO163" s="19"/>
      <c r="EP163" s="17"/>
      <c r="EQ163" s="23"/>
      <c r="ER163" s="23" t="str">
        <f t="shared" si="1"/>
        <v/>
      </c>
      <c r="ES163" s="19"/>
      <c r="ET163" s="19" t="str">
        <f t="shared" si="2"/>
        <v/>
      </c>
      <c r="EU163" s="19"/>
      <c r="EV163" s="19"/>
      <c r="EW163" s="19"/>
      <c r="EX163" s="19"/>
      <c r="EY163" s="19"/>
      <c r="EZ163" s="19"/>
      <c r="FA163" s="19"/>
      <c r="FB163" s="19"/>
    </row>
    <row r="164" ht="15.75" customHeight="1">
      <c r="A164" s="19"/>
      <c r="F164" s="19"/>
      <c r="AH164" s="23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  <c r="CD164" s="19"/>
      <c r="CE164" s="19"/>
      <c r="CF164" s="19"/>
      <c r="CG164" s="19"/>
      <c r="CH164" s="19"/>
      <c r="CI164" s="19"/>
      <c r="CJ164" s="19"/>
      <c r="CK164" s="19"/>
      <c r="CL164" s="19"/>
      <c r="CM164" s="19"/>
      <c r="CN164" s="19"/>
      <c r="CO164" s="19"/>
      <c r="CP164" s="19"/>
      <c r="CQ164" s="19"/>
      <c r="CR164" s="19"/>
      <c r="CS164" s="19"/>
      <c r="CT164" s="19"/>
      <c r="CU164" s="19"/>
      <c r="CV164" s="19"/>
      <c r="CW164" s="19"/>
      <c r="CX164" s="19"/>
      <c r="CY164" s="19"/>
      <c r="CZ164" s="19"/>
      <c r="DA164" s="19"/>
      <c r="DB164" s="19"/>
      <c r="DC164" s="19"/>
      <c r="DD164" s="19"/>
      <c r="DE164" s="19"/>
      <c r="DF164" s="19"/>
      <c r="DG164" s="19"/>
      <c r="DH164" s="19"/>
      <c r="DI164" s="19"/>
      <c r="DJ164" s="19"/>
      <c r="DK164" s="19"/>
      <c r="DL164" s="19"/>
      <c r="DM164" s="19"/>
      <c r="DN164" s="19"/>
      <c r="DO164" s="19"/>
      <c r="DP164" s="19"/>
      <c r="DQ164" s="19"/>
      <c r="DR164" s="19"/>
      <c r="DS164" s="19"/>
      <c r="DT164" s="19"/>
      <c r="DU164" s="19"/>
      <c r="DV164" s="19"/>
      <c r="DW164" s="19"/>
      <c r="DX164" s="19"/>
      <c r="DY164" s="19"/>
      <c r="DZ164" s="19"/>
      <c r="EA164" s="19"/>
      <c r="EB164" s="19"/>
      <c r="EC164" s="19"/>
      <c r="ED164" s="19"/>
      <c r="EE164" s="19"/>
      <c r="EF164" s="19"/>
      <c r="EG164" s="19"/>
      <c r="EH164" s="19"/>
      <c r="EI164" s="19"/>
      <c r="EJ164" s="19"/>
      <c r="EK164" s="19"/>
      <c r="EL164" s="19"/>
      <c r="EM164" s="19"/>
      <c r="EN164" s="19"/>
      <c r="EO164" s="19"/>
      <c r="EP164" s="17"/>
      <c r="EQ164" s="23"/>
      <c r="ER164" s="23" t="str">
        <f t="shared" si="1"/>
        <v/>
      </c>
      <c r="ES164" s="19"/>
      <c r="ET164" s="19" t="str">
        <f t="shared" si="2"/>
        <v/>
      </c>
      <c r="EU164" s="19"/>
      <c r="EV164" s="19"/>
      <c r="EW164" s="19"/>
      <c r="EX164" s="19"/>
      <c r="EY164" s="19"/>
      <c r="EZ164" s="19"/>
      <c r="FA164" s="19"/>
      <c r="FB164" s="19"/>
    </row>
    <row r="165" ht="15.75" customHeight="1">
      <c r="A165" s="19"/>
      <c r="F165" s="19"/>
      <c r="AH165" s="23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  <c r="CD165" s="19"/>
      <c r="CE165" s="19"/>
      <c r="CF165" s="19"/>
      <c r="CG165" s="19"/>
      <c r="CH165" s="19"/>
      <c r="CI165" s="19"/>
      <c r="CJ165" s="19"/>
      <c r="CK165" s="19"/>
      <c r="CL165" s="19"/>
      <c r="CM165" s="19"/>
      <c r="CN165" s="19"/>
      <c r="CO165" s="19"/>
      <c r="CP165" s="19"/>
      <c r="CQ165" s="19"/>
      <c r="CR165" s="19"/>
      <c r="CS165" s="19"/>
      <c r="CT165" s="19"/>
      <c r="CU165" s="19"/>
      <c r="CV165" s="19"/>
      <c r="CW165" s="19"/>
      <c r="CX165" s="19"/>
      <c r="CY165" s="19"/>
      <c r="CZ165" s="19"/>
      <c r="DA165" s="19"/>
      <c r="DB165" s="19"/>
      <c r="DC165" s="19"/>
      <c r="DD165" s="19"/>
      <c r="DE165" s="19"/>
      <c r="DF165" s="19"/>
      <c r="DG165" s="19"/>
      <c r="DH165" s="19"/>
      <c r="DI165" s="19"/>
      <c r="DJ165" s="19"/>
      <c r="DK165" s="19"/>
      <c r="DL165" s="19"/>
      <c r="DM165" s="19"/>
      <c r="DN165" s="19"/>
      <c r="DO165" s="19"/>
      <c r="DP165" s="19"/>
      <c r="DQ165" s="19"/>
      <c r="DR165" s="19"/>
      <c r="DS165" s="19"/>
      <c r="DT165" s="19"/>
      <c r="DU165" s="19"/>
      <c r="DV165" s="19"/>
      <c r="DW165" s="19"/>
      <c r="DX165" s="19"/>
      <c r="DY165" s="19"/>
      <c r="DZ165" s="19"/>
      <c r="EA165" s="19"/>
      <c r="EB165" s="19"/>
      <c r="EC165" s="19"/>
      <c r="ED165" s="19"/>
      <c r="EE165" s="19"/>
      <c r="EF165" s="19"/>
      <c r="EG165" s="19"/>
      <c r="EH165" s="19"/>
      <c r="EI165" s="19"/>
      <c r="EJ165" s="19"/>
      <c r="EK165" s="19"/>
      <c r="EL165" s="19"/>
      <c r="EM165" s="19"/>
      <c r="EN165" s="19"/>
      <c r="EO165" s="19"/>
      <c r="EP165" s="17"/>
      <c r="EQ165" s="23"/>
      <c r="ER165" s="23" t="str">
        <f t="shared" si="1"/>
        <v/>
      </c>
      <c r="ES165" s="19"/>
      <c r="ET165" s="19" t="str">
        <f t="shared" si="2"/>
        <v/>
      </c>
      <c r="EU165" s="19"/>
      <c r="EV165" s="19"/>
      <c r="EW165" s="19"/>
      <c r="EX165" s="19"/>
      <c r="EY165" s="19"/>
      <c r="EZ165" s="19"/>
      <c r="FA165" s="19"/>
      <c r="FB165" s="19"/>
    </row>
    <row r="166" ht="15.75" customHeight="1">
      <c r="A166" s="19"/>
      <c r="F166" s="19"/>
      <c r="AH166" s="23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  <c r="CD166" s="19"/>
      <c r="CE166" s="19"/>
      <c r="CF166" s="19"/>
      <c r="CG166" s="19"/>
      <c r="CH166" s="19"/>
      <c r="CI166" s="19"/>
      <c r="CJ166" s="19"/>
      <c r="CK166" s="19"/>
      <c r="CL166" s="19"/>
      <c r="CM166" s="19"/>
      <c r="CN166" s="19"/>
      <c r="CO166" s="19"/>
      <c r="CP166" s="19"/>
      <c r="CQ166" s="19"/>
      <c r="CR166" s="19"/>
      <c r="CS166" s="19"/>
      <c r="CT166" s="19"/>
      <c r="CU166" s="19"/>
      <c r="CV166" s="19"/>
      <c r="CW166" s="19"/>
      <c r="CX166" s="19"/>
      <c r="CY166" s="19"/>
      <c r="CZ166" s="19"/>
      <c r="DA166" s="19"/>
      <c r="DB166" s="19"/>
      <c r="DC166" s="19"/>
      <c r="DD166" s="19"/>
      <c r="DE166" s="19"/>
      <c r="DF166" s="19"/>
      <c r="DG166" s="19"/>
      <c r="DH166" s="19"/>
      <c r="DI166" s="19"/>
      <c r="DJ166" s="19"/>
      <c r="DK166" s="19"/>
      <c r="DL166" s="19"/>
      <c r="DM166" s="19"/>
      <c r="DN166" s="19"/>
      <c r="DO166" s="19"/>
      <c r="DP166" s="19"/>
      <c r="DQ166" s="19"/>
      <c r="DR166" s="19"/>
      <c r="DS166" s="19"/>
      <c r="DT166" s="19"/>
      <c r="DU166" s="19"/>
      <c r="DV166" s="19"/>
      <c r="DW166" s="19"/>
      <c r="DX166" s="19"/>
      <c r="DY166" s="19"/>
      <c r="DZ166" s="19"/>
      <c r="EA166" s="19"/>
      <c r="EB166" s="19"/>
      <c r="EC166" s="19"/>
      <c r="ED166" s="19"/>
      <c r="EE166" s="19"/>
      <c r="EF166" s="19"/>
      <c r="EG166" s="19"/>
      <c r="EH166" s="19"/>
      <c r="EI166" s="19"/>
      <c r="EJ166" s="19"/>
      <c r="EK166" s="19"/>
      <c r="EL166" s="19"/>
      <c r="EM166" s="19"/>
      <c r="EN166" s="19"/>
      <c r="EO166" s="19"/>
      <c r="EP166" s="17"/>
      <c r="EQ166" s="23"/>
      <c r="ER166" s="23" t="str">
        <f t="shared" si="1"/>
        <v/>
      </c>
      <c r="ES166" s="19"/>
      <c r="ET166" s="19" t="str">
        <f t="shared" si="2"/>
        <v/>
      </c>
      <c r="EU166" s="19"/>
      <c r="EV166" s="19"/>
      <c r="EW166" s="19"/>
      <c r="EX166" s="19"/>
      <c r="EY166" s="19"/>
      <c r="EZ166" s="19"/>
      <c r="FA166" s="19"/>
      <c r="FB166" s="19"/>
    </row>
    <row r="167" ht="15.75" customHeight="1">
      <c r="A167" s="19"/>
      <c r="F167" s="19"/>
      <c r="AH167" s="23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  <c r="CD167" s="19"/>
      <c r="CE167" s="19"/>
      <c r="CF167" s="19"/>
      <c r="CG167" s="19"/>
      <c r="CH167" s="19"/>
      <c r="CI167" s="19"/>
      <c r="CJ167" s="19"/>
      <c r="CK167" s="19"/>
      <c r="CL167" s="19"/>
      <c r="CM167" s="19"/>
      <c r="CN167" s="19"/>
      <c r="CO167" s="19"/>
      <c r="CP167" s="19"/>
      <c r="CQ167" s="19"/>
      <c r="CR167" s="19"/>
      <c r="CS167" s="19"/>
      <c r="CT167" s="19"/>
      <c r="CU167" s="19"/>
      <c r="CV167" s="19"/>
      <c r="CW167" s="19"/>
      <c r="CX167" s="19"/>
      <c r="CY167" s="19"/>
      <c r="CZ167" s="19"/>
      <c r="DA167" s="19"/>
      <c r="DB167" s="19"/>
      <c r="DC167" s="19"/>
      <c r="DD167" s="19"/>
      <c r="DE167" s="19"/>
      <c r="DF167" s="19"/>
      <c r="DG167" s="19"/>
      <c r="DH167" s="19"/>
      <c r="DI167" s="19"/>
      <c r="DJ167" s="19"/>
      <c r="DK167" s="19"/>
      <c r="DL167" s="19"/>
      <c r="DM167" s="19"/>
      <c r="DN167" s="19"/>
      <c r="DO167" s="19"/>
      <c r="DP167" s="19"/>
      <c r="DQ167" s="19"/>
      <c r="DR167" s="19"/>
      <c r="DS167" s="19"/>
      <c r="DT167" s="19"/>
      <c r="DU167" s="19"/>
      <c r="DV167" s="19"/>
      <c r="DW167" s="19"/>
      <c r="DX167" s="19"/>
      <c r="DY167" s="19"/>
      <c r="DZ167" s="19"/>
      <c r="EA167" s="19"/>
      <c r="EB167" s="19"/>
      <c r="EC167" s="19"/>
      <c r="ED167" s="19"/>
      <c r="EE167" s="19"/>
      <c r="EF167" s="19"/>
      <c r="EG167" s="19"/>
      <c r="EH167" s="19"/>
      <c r="EI167" s="19"/>
      <c r="EJ167" s="19"/>
      <c r="EK167" s="19"/>
      <c r="EL167" s="19"/>
      <c r="EM167" s="19"/>
      <c r="EN167" s="19"/>
      <c r="EO167" s="19"/>
      <c r="EP167" s="17"/>
      <c r="EQ167" s="23"/>
      <c r="ER167" s="23" t="str">
        <f t="shared" si="1"/>
        <v/>
      </c>
      <c r="ES167" s="19"/>
      <c r="ET167" s="19" t="str">
        <f t="shared" si="2"/>
        <v/>
      </c>
      <c r="EU167" s="19"/>
      <c r="EV167" s="19"/>
      <c r="EW167" s="19"/>
      <c r="EX167" s="19"/>
      <c r="EY167" s="19"/>
      <c r="EZ167" s="19"/>
      <c r="FA167" s="19"/>
      <c r="FB167" s="19"/>
    </row>
    <row r="168" ht="15.75" customHeight="1">
      <c r="A168" s="19"/>
      <c r="F168" s="19"/>
      <c r="AH168" s="23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  <c r="CD168" s="19"/>
      <c r="CE168" s="19"/>
      <c r="CF168" s="19"/>
      <c r="CG168" s="19"/>
      <c r="CH168" s="19"/>
      <c r="CI168" s="19"/>
      <c r="CJ168" s="19"/>
      <c r="CK168" s="19"/>
      <c r="CL168" s="19"/>
      <c r="CM168" s="19"/>
      <c r="CN168" s="19"/>
      <c r="CO168" s="19"/>
      <c r="CP168" s="19"/>
      <c r="CQ168" s="19"/>
      <c r="CR168" s="19"/>
      <c r="CS168" s="19"/>
      <c r="CT168" s="19"/>
      <c r="CU168" s="19"/>
      <c r="CV168" s="19"/>
      <c r="CW168" s="19"/>
      <c r="CX168" s="19"/>
      <c r="CY168" s="19"/>
      <c r="CZ168" s="19"/>
      <c r="DA168" s="19"/>
      <c r="DB168" s="19"/>
      <c r="DC168" s="19"/>
      <c r="DD168" s="19"/>
      <c r="DE168" s="19"/>
      <c r="DF168" s="19"/>
      <c r="DG168" s="19"/>
      <c r="DH168" s="19"/>
      <c r="DI168" s="19"/>
      <c r="DJ168" s="19"/>
      <c r="DK168" s="19"/>
      <c r="DL168" s="19"/>
      <c r="DM168" s="19"/>
      <c r="DN168" s="19"/>
      <c r="DO168" s="19"/>
      <c r="DP168" s="19"/>
      <c r="DQ168" s="19"/>
      <c r="DR168" s="19"/>
      <c r="DS168" s="19"/>
      <c r="DT168" s="19"/>
      <c r="DU168" s="19"/>
      <c r="DV168" s="19"/>
      <c r="DW168" s="19"/>
      <c r="DX168" s="19"/>
      <c r="DY168" s="19"/>
      <c r="DZ168" s="19"/>
      <c r="EA168" s="19"/>
      <c r="EB168" s="19"/>
      <c r="EC168" s="19"/>
      <c r="ED168" s="19"/>
      <c r="EE168" s="19"/>
      <c r="EF168" s="19"/>
      <c r="EG168" s="19"/>
      <c r="EH168" s="19"/>
      <c r="EI168" s="19"/>
      <c r="EJ168" s="19"/>
      <c r="EK168" s="19"/>
      <c r="EL168" s="19"/>
      <c r="EM168" s="19"/>
      <c r="EN168" s="19"/>
      <c r="EO168" s="19"/>
      <c r="EP168" s="17"/>
      <c r="EQ168" s="23"/>
      <c r="ER168" s="23" t="str">
        <f t="shared" si="1"/>
        <v/>
      </c>
      <c r="ES168" s="19"/>
      <c r="ET168" s="19" t="str">
        <f t="shared" si="2"/>
        <v/>
      </c>
      <c r="EU168" s="19"/>
      <c r="EV168" s="19"/>
      <c r="EW168" s="19"/>
      <c r="EX168" s="19"/>
      <c r="EY168" s="19"/>
      <c r="EZ168" s="19"/>
      <c r="FA168" s="19"/>
      <c r="FB168" s="19"/>
    </row>
    <row r="169" ht="15.75" customHeight="1">
      <c r="A169" s="19"/>
      <c r="F169" s="19"/>
      <c r="AH169" s="23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  <c r="CD169" s="19"/>
      <c r="CE169" s="19"/>
      <c r="CF169" s="19"/>
      <c r="CG169" s="19"/>
      <c r="CH169" s="19"/>
      <c r="CI169" s="19"/>
      <c r="CJ169" s="19"/>
      <c r="CK169" s="19"/>
      <c r="CL169" s="19"/>
      <c r="CM169" s="19"/>
      <c r="CN169" s="19"/>
      <c r="CO169" s="19"/>
      <c r="CP169" s="19"/>
      <c r="CQ169" s="19"/>
      <c r="CR169" s="19"/>
      <c r="CS169" s="19"/>
      <c r="CT169" s="19"/>
      <c r="CU169" s="19"/>
      <c r="CV169" s="19"/>
      <c r="CW169" s="19"/>
      <c r="CX169" s="19"/>
      <c r="CY169" s="19"/>
      <c r="CZ169" s="19"/>
      <c r="DA169" s="19"/>
      <c r="DB169" s="19"/>
      <c r="DC169" s="19"/>
      <c r="DD169" s="19"/>
      <c r="DE169" s="19"/>
      <c r="DF169" s="19"/>
      <c r="DG169" s="19"/>
      <c r="DH169" s="19"/>
      <c r="DI169" s="19"/>
      <c r="DJ169" s="19"/>
      <c r="DK169" s="19"/>
      <c r="DL169" s="19"/>
      <c r="DM169" s="19"/>
      <c r="DN169" s="19"/>
      <c r="DO169" s="19"/>
      <c r="DP169" s="19"/>
      <c r="DQ169" s="19"/>
      <c r="DR169" s="19"/>
      <c r="DS169" s="19"/>
      <c r="DT169" s="19"/>
      <c r="DU169" s="19"/>
      <c r="DV169" s="19"/>
      <c r="DW169" s="19"/>
      <c r="DX169" s="19"/>
      <c r="DY169" s="19"/>
      <c r="DZ169" s="19"/>
      <c r="EA169" s="19"/>
      <c r="EB169" s="19"/>
      <c r="EC169" s="19"/>
      <c r="ED169" s="19"/>
      <c r="EE169" s="19"/>
      <c r="EF169" s="19"/>
      <c r="EG169" s="19"/>
      <c r="EH169" s="19"/>
      <c r="EI169" s="19"/>
      <c r="EJ169" s="19"/>
      <c r="EK169" s="19"/>
      <c r="EL169" s="19"/>
      <c r="EM169" s="19"/>
      <c r="EN169" s="19"/>
      <c r="EO169" s="19"/>
      <c r="EP169" s="17"/>
      <c r="EQ169" s="23"/>
      <c r="ER169" s="23" t="str">
        <f t="shared" si="1"/>
        <v/>
      </c>
      <c r="ES169" s="19"/>
      <c r="ET169" s="19" t="str">
        <f t="shared" si="2"/>
        <v/>
      </c>
      <c r="EU169" s="19"/>
      <c r="EV169" s="19"/>
      <c r="EW169" s="19"/>
      <c r="EX169" s="19"/>
      <c r="EY169" s="19"/>
      <c r="EZ169" s="19"/>
      <c r="FA169" s="19"/>
      <c r="FB169" s="19"/>
    </row>
    <row r="170" ht="15.75" customHeight="1">
      <c r="A170" s="19"/>
      <c r="F170" s="19"/>
      <c r="AH170" s="23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  <c r="CD170" s="19"/>
      <c r="CE170" s="19"/>
      <c r="CF170" s="19"/>
      <c r="CG170" s="19"/>
      <c r="CH170" s="19"/>
      <c r="CI170" s="19"/>
      <c r="CJ170" s="19"/>
      <c r="CK170" s="19"/>
      <c r="CL170" s="19"/>
      <c r="CM170" s="19"/>
      <c r="CN170" s="19"/>
      <c r="CO170" s="19"/>
      <c r="CP170" s="19"/>
      <c r="CQ170" s="19"/>
      <c r="CR170" s="19"/>
      <c r="CS170" s="19"/>
      <c r="CT170" s="19"/>
      <c r="CU170" s="19"/>
      <c r="CV170" s="19"/>
      <c r="CW170" s="19"/>
      <c r="CX170" s="19"/>
      <c r="CY170" s="19"/>
      <c r="CZ170" s="19"/>
      <c r="DA170" s="19"/>
      <c r="DB170" s="19"/>
      <c r="DC170" s="19"/>
      <c r="DD170" s="19"/>
      <c r="DE170" s="19"/>
      <c r="DF170" s="19"/>
      <c r="DG170" s="19"/>
      <c r="DH170" s="19"/>
      <c r="DI170" s="19"/>
      <c r="DJ170" s="19"/>
      <c r="DK170" s="19"/>
      <c r="DL170" s="19"/>
      <c r="DM170" s="19"/>
      <c r="DN170" s="19"/>
      <c r="DO170" s="19"/>
      <c r="DP170" s="19"/>
      <c r="DQ170" s="19"/>
      <c r="DR170" s="19"/>
      <c r="DS170" s="19"/>
      <c r="DT170" s="19"/>
      <c r="DU170" s="19"/>
      <c r="DV170" s="19"/>
      <c r="DW170" s="19"/>
      <c r="DX170" s="19"/>
      <c r="DY170" s="19"/>
      <c r="DZ170" s="19"/>
      <c r="EA170" s="19"/>
      <c r="EB170" s="19"/>
      <c r="EC170" s="19"/>
      <c r="ED170" s="19"/>
      <c r="EE170" s="19"/>
      <c r="EF170" s="19"/>
      <c r="EG170" s="19"/>
      <c r="EH170" s="19"/>
      <c r="EI170" s="19"/>
      <c r="EJ170" s="19"/>
      <c r="EK170" s="19"/>
      <c r="EL170" s="19"/>
      <c r="EM170" s="19"/>
      <c r="EN170" s="19"/>
      <c r="EO170" s="19"/>
      <c r="EP170" s="17"/>
      <c r="EQ170" s="23"/>
      <c r="ER170" s="23" t="str">
        <f t="shared" si="1"/>
        <v/>
      </c>
      <c r="ES170" s="19"/>
      <c r="ET170" s="19" t="str">
        <f t="shared" si="2"/>
        <v/>
      </c>
      <c r="EU170" s="19"/>
      <c r="EV170" s="19"/>
      <c r="EW170" s="19"/>
      <c r="EX170" s="19"/>
      <c r="EY170" s="19"/>
      <c r="EZ170" s="19"/>
      <c r="FA170" s="19"/>
      <c r="FB170" s="19"/>
    </row>
    <row r="171" ht="15.75" customHeight="1">
      <c r="A171" s="19"/>
      <c r="F171" s="19"/>
      <c r="AH171" s="23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  <c r="CL171" s="19"/>
      <c r="CM171" s="19"/>
      <c r="CN171" s="19"/>
      <c r="CO171" s="19"/>
      <c r="CP171" s="19"/>
      <c r="CQ171" s="19"/>
      <c r="CR171" s="19"/>
      <c r="CS171" s="19"/>
      <c r="CT171" s="19"/>
      <c r="CU171" s="19"/>
      <c r="CV171" s="19"/>
      <c r="CW171" s="19"/>
      <c r="CX171" s="19"/>
      <c r="CY171" s="19"/>
      <c r="CZ171" s="19"/>
      <c r="DA171" s="19"/>
      <c r="DB171" s="19"/>
      <c r="DC171" s="19"/>
      <c r="DD171" s="19"/>
      <c r="DE171" s="19"/>
      <c r="DF171" s="19"/>
      <c r="DG171" s="19"/>
      <c r="DH171" s="19"/>
      <c r="DI171" s="19"/>
      <c r="DJ171" s="19"/>
      <c r="DK171" s="19"/>
      <c r="DL171" s="19"/>
      <c r="DM171" s="19"/>
      <c r="DN171" s="19"/>
      <c r="DO171" s="19"/>
      <c r="DP171" s="19"/>
      <c r="DQ171" s="19"/>
      <c r="DR171" s="19"/>
      <c r="DS171" s="19"/>
      <c r="DT171" s="19"/>
      <c r="DU171" s="19"/>
      <c r="DV171" s="19"/>
      <c r="DW171" s="19"/>
      <c r="DX171" s="19"/>
      <c r="DY171" s="19"/>
      <c r="DZ171" s="19"/>
      <c r="EA171" s="19"/>
      <c r="EB171" s="19"/>
      <c r="EC171" s="19"/>
      <c r="ED171" s="19"/>
      <c r="EE171" s="19"/>
      <c r="EF171" s="19"/>
      <c r="EG171" s="19"/>
      <c r="EH171" s="19"/>
      <c r="EI171" s="19"/>
      <c r="EJ171" s="19"/>
      <c r="EK171" s="19"/>
      <c r="EL171" s="19"/>
      <c r="EM171" s="19"/>
      <c r="EN171" s="19"/>
      <c r="EO171" s="19"/>
      <c r="EP171" s="17"/>
      <c r="EQ171" s="23"/>
      <c r="ER171" s="23" t="str">
        <f t="shared" si="1"/>
        <v/>
      </c>
      <c r="ES171" s="19"/>
      <c r="ET171" s="19" t="str">
        <f t="shared" si="2"/>
        <v/>
      </c>
      <c r="EU171" s="19"/>
      <c r="EV171" s="19"/>
      <c r="EW171" s="19"/>
      <c r="EX171" s="19"/>
      <c r="EY171" s="19"/>
      <c r="EZ171" s="19"/>
      <c r="FA171" s="19"/>
      <c r="FB171" s="19"/>
    </row>
    <row r="172" ht="15.75" customHeight="1">
      <c r="A172" s="19"/>
      <c r="F172" s="19"/>
      <c r="AH172" s="23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  <c r="CD172" s="19"/>
      <c r="CE172" s="19"/>
      <c r="CF172" s="19"/>
      <c r="CG172" s="19"/>
      <c r="CH172" s="19"/>
      <c r="CI172" s="19"/>
      <c r="CJ172" s="19"/>
      <c r="CK172" s="19"/>
      <c r="CL172" s="19"/>
      <c r="CM172" s="19"/>
      <c r="CN172" s="19"/>
      <c r="CO172" s="19"/>
      <c r="CP172" s="19"/>
      <c r="CQ172" s="19"/>
      <c r="CR172" s="19"/>
      <c r="CS172" s="19"/>
      <c r="CT172" s="19"/>
      <c r="CU172" s="19"/>
      <c r="CV172" s="19"/>
      <c r="CW172" s="19"/>
      <c r="CX172" s="19"/>
      <c r="CY172" s="19"/>
      <c r="CZ172" s="19"/>
      <c r="DA172" s="19"/>
      <c r="DB172" s="19"/>
      <c r="DC172" s="19"/>
      <c r="DD172" s="19"/>
      <c r="DE172" s="19"/>
      <c r="DF172" s="19"/>
      <c r="DG172" s="19"/>
      <c r="DH172" s="19"/>
      <c r="DI172" s="19"/>
      <c r="DJ172" s="19"/>
      <c r="DK172" s="19"/>
      <c r="DL172" s="19"/>
      <c r="DM172" s="19"/>
      <c r="DN172" s="19"/>
      <c r="DO172" s="19"/>
      <c r="DP172" s="19"/>
      <c r="DQ172" s="19"/>
      <c r="DR172" s="19"/>
      <c r="DS172" s="19"/>
      <c r="DT172" s="19"/>
      <c r="DU172" s="19"/>
      <c r="DV172" s="19"/>
      <c r="DW172" s="19"/>
      <c r="DX172" s="19"/>
      <c r="DY172" s="19"/>
      <c r="DZ172" s="19"/>
      <c r="EA172" s="19"/>
      <c r="EB172" s="19"/>
      <c r="EC172" s="19"/>
      <c r="ED172" s="19"/>
      <c r="EE172" s="19"/>
      <c r="EF172" s="19"/>
      <c r="EG172" s="19"/>
      <c r="EH172" s="19"/>
      <c r="EI172" s="19"/>
      <c r="EJ172" s="19"/>
      <c r="EK172" s="19"/>
      <c r="EL172" s="19"/>
      <c r="EM172" s="19"/>
      <c r="EN172" s="19"/>
      <c r="EO172" s="19"/>
      <c r="EP172" s="17"/>
      <c r="EQ172" s="23"/>
      <c r="ER172" s="23" t="str">
        <f t="shared" si="1"/>
        <v/>
      </c>
      <c r="ES172" s="19"/>
      <c r="ET172" s="19" t="str">
        <f t="shared" si="2"/>
        <v/>
      </c>
      <c r="EU172" s="19"/>
      <c r="EV172" s="19"/>
      <c r="EW172" s="19"/>
      <c r="EX172" s="19"/>
      <c r="EY172" s="19"/>
      <c r="EZ172" s="19"/>
      <c r="FA172" s="19"/>
      <c r="FB172" s="19"/>
    </row>
    <row r="173" ht="15.75" customHeight="1">
      <c r="A173" s="19"/>
      <c r="F173" s="19"/>
      <c r="AH173" s="23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  <c r="CD173" s="19"/>
      <c r="CE173" s="19"/>
      <c r="CF173" s="19"/>
      <c r="CG173" s="19"/>
      <c r="CH173" s="19"/>
      <c r="CI173" s="19"/>
      <c r="CJ173" s="19"/>
      <c r="CK173" s="19"/>
      <c r="CL173" s="19"/>
      <c r="CM173" s="19"/>
      <c r="CN173" s="19"/>
      <c r="CO173" s="19"/>
      <c r="CP173" s="19"/>
      <c r="CQ173" s="19"/>
      <c r="CR173" s="19"/>
      <c r="CS173" s="19"/>
      <c r="CT173" s="19"/>
      <c r="CU173" s="19"/>
      <c r="CV173" s="19"/>
      <c r="CW173" s="19"/>
      <c r="CX173" s="19"/>
      <c r="CY173" s="19"/>
      <c r="CZ173" s="19"/>
      <c r="DA173" s="19"/>
      <c r="DB173" s="19"/>
      <c r="DC173" s="19"/>
      <c r="DD173" s="19"/>
      <c r="DE173" s="19"/>
      <c r="DF173" s="19"/>
      <c r="DG173" s="19"/>
      <c r="DH173" s="19"/>
      <c r="DI173" s="19"/>
      <c r="DJ173" s="19"/>
      <c r="DK173" s="19"/>
      <c r="DL173" s="19"/>
      <c r="DM173" s="19"/>
      <c r="DN173" s="19"/>
      <c r="DO173" s="19"/>
      <c r="DP173" s="19"/>
      <c r="DQ173" s="19"/>
      <c r="DR173" s="19"/>
      <c r="DS173" s="19"/>
      <c r="DT173" s="19"/>
      <c r="DU173" s="19"/>
      <c r="DV173" s="19"/>
      <c r="DW173" s="19"/>
      <c r="DX173" s="19"/>
      <c r="DY173" s="19"/>
      <c r="DZ173" s="19"/>
      <c r="EA173" s="19"/>
      <c r="EB173" s="19"/>
      <c r="EC173" s="19"/>
      <c r="ED173" s="19"/>
      <c r="EE173" s="19"/>
      <c r="EF173" s="19"/>
      <c r="EG173" s="19"/>
      <c r="EH173" s="19"/>
      <c r="EI173" s="19"/>
      <c r="EJ173" s="19"/>
      <c r="EK173" s="19"/>
      <c r="EL173" s="19"/>
      <c r="EM173" s="19"/>
      <c r="EN173" s="19"/>
      <c r="EO173" s="19"/>
      <c r="EP173" s="17"/>
      <c r="EQ173" s="23"/>
      <c r="ER173" s="23" t="str">
        <f t="shared" si="1"/>
        <v/>
      </c>
      <c r="ES173" s="19"/>
      <c r="ET173" s="19" t="str">
        <f t="shared" si="2"/>
        <v/>
      </c>
      <c r="EU173" s="19"/>
      <c r="EV173" s="19"/>
      <c r="EW173" s="19"/>
      <c r="EX173" s="19"/>
      <c r="EY173" s="19"/>
      <c r="EZ173" s="19"/>
      <c r="FA173" s="19"/>
      <c r="FB173" s="19"/>
    </row>
    <row r="174" ht="15.75" customHeight="1">
      <c r="A174" s="19"/>
      <c r="F174" s="19"/>
      <c r="AH174" s="23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  <c r="CD174" s="19"/>
      <c r="CE174" s="19"/>
      <c r="CF174" s="19"/>
      <c r="CG174" s="19"/>
      <c r="CH174" s="19"/>
      <c r="CI174" s="19"/>
      <c r="CJ174" s="19"/>
      <c r="CK174" s="19"/>
      <c r="CL174" s="19"/>
      <c r="CM174" s="19"/>
      <c r="CN174" s="19"/>
      <c r="CO174" s="19"/>
      <c r="CP174" s="19"/>
      <c r="CQ174" s="19"/>
      <c r="CR174" s="19"/>
      <c r="CS174" s="19"/>
      <c r="CT174" s="19"/>
      <c r="CU174" s="19"/>
      <c r="CV174" s="19"/>
      <c r="CW174" s="19"/>
      <c r="CX174" s="19"/>
      <c r="CY174" s="19"/>
      <c r="CZ174" s="19"/>
      <c r="DA174" s="19"/>
      <c r="DB174" s="19"/>
      <c r="DC174" s="19"/>
      <c r="DD174" s="19"/>
      <c r="DE174" s="19"/>
      <c r="DF174" s="19"/>
      <c r="DG174" s="19"/>
      <c r="DH174" s="19"/>
      <c r="DI174" s="19"/>
      <c r="DJ174" s="19"/>
      <c r="DK174" s="19"/>
      <c r="DL174" s="19"/>
      <c r="DM174" s="19"/>
      <c r="DN174" s="19"/>
      <c r="DO174" s="19"/>
      <c r="DP174" s="19"/>
      <c r="DQ174" s="19"/>
      <c r="DR174" s="19"/>
      <c r="DS174" s="19"/>
      <c r="DT174" s="19"/>
      <c r="DU174" s="19"/>
      <c r="DV174" s="19"/>
      <c r="DW174" s="19"/>
      <c r="DX174" s="19"/>
      <c r="DY174" s="19"/>
      <c r="DZ174" s="19"/>
      <c r="EA174" s="19"/>
      <c r="EB174" s="19"/>
      <c r="EC174" s="19"/>
      <c r="ED174" s="19"/>
      <c r="EE174" s="19"/>
      <c r="EF174" s="19"/>
      <c r="EG174" s="19"/>
      <c r="EH174" s="19"/>
      <c r="EI174" s="19"/>
      <c r="EJ174" s="19"/>
      <c r="EK174" s="19"/>
      <c r="EL174" s="19"/>
      <c r="EM174" s="19"/>
      <c r="EN174" s="19"/>
      <c r="EO174" s="19"/>
      <c r="EP174" s="17"/>
      <c r="EQ174" s="23"/>
      <c r="ER174" s="23" t="str">
        <f t="shared" si="1"/>
        <v/>
      </c>
      <c r="ES174" s="19"/>
      <c r="ET174" s="19" t="str">
        <f t="shared" si="2"/>
        <v/>
      </c>
      <c r="EU174" s="19"/>
      <c r="EV174" s="19"/>
      <c r="EW174" s="19"/>
      <c r="EX174" s="19"/>
      <c r="EY174" s="19"/>
      <c r="EZ174" s="19"/>
      <c r="FA174" s="19"/>
      <c r="FB174" s="19"/>
    </row>
    <row r="175" ht="15.75" customHeight="1">
      <c r="A175" s="19"/>
      <c r="F175" s="19"/>
      <c r="AH175" s="23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  <c r="CD175" s="19"/>
      <c r="CE175" s="19"/>
      <c r="CF175" s="19"/>
      <c r="CG175" s="19"/>
      <c r="CH175" s="19"/>
      <c r="CI175" s="19"/>
      <c r="CJ175" s="19"/>
      <c r="CK175" s="19"/>
      <c r="CL175" s="19"/>
      <c r="CM175" s="19"/>
      <c r="CN175" s="19"/>
      <c r="CO175" s="19"/>
      <c r="CP175" s="19"/>
      <c r="CQ175" s="19"/>
      <c r="CR175" s="19"/>
      <c r="CS175" s="19"/>
      <c r="CT175" s="19"/>
      <c r="CU175" s="19"/>
      <c r="CV175" s="19"/>
      <c r="CW175" s="19"/>
      <c r="CX175" s="19"/>
      <c r="CY175" s="19"/>
      <c r="CZ175" s="19"/>
      <c r="DA175" s="19"/>
      <c r="DB175" s="19"/>
      <c r="DC175" s="19"/>
      <c r="DD175" s="19"/>
      <c r="DE175" s="19"/>
      <c r="DF175" s="19"/>
      <c r="DG175" s="19"/>
      <c r="DH175" s="19"/>
      <c r="DI175" s="19"/>
      <c r="DJ175" s="19"/>
      <c r="DK175" s="19"/>
      <c r="DL175" s="19"/>
      <c r="DM175" s="19"/>
      <c r="DN175" s="19"/>
      <c r="DO175" s="19"/>
      <c r="DP175" s="19"/>
      <c r="DQ175" s="19"/>
      <c r="DR175" s="19"/>
      <c r="DS175" s="19"/>
      <c r="DT175" s="19"/>
      <c r="DU175" s="19"/>
      <c r="DV175" s="19"/>
      <c r="DW175" s="19"/>
      <c r="DX175" s="19"/>
      <c r="DY175" s="19"/>
      <c r="DZ175" s="19"/>
      <c r="EA175" s="19"/>
      <c r="EB175" s="19"/>
      <c r="EC175" s="19"/>
      <c r="ED175" s="19"/>
      <c r="EE175" s="19"/>
      <c r="EF175" s="19"/>
      <c r="EG175" s="19"/>
      <c r="EH175" s="19"/>
      <c r="EI175" s="19"/>
      <c r="EJ175" s="19"/>
      <c r="EK175" s="19"/>
      <c r="EL175" s="19"/>
      <c r="EM175" s="19"/>
      <c r="EN175" s="19"/>
      <c r="EO175" s="19"/>
      <c r="EP175" s="17"/>
      <c r="EQ175" s="23"/>
      <c r="ER175" s="23" t="str">
        <f t="shared" si="1"/>
        <v/>
      </c>
      <c r="ES175" s="19"/>
      <c r="ET175" s="19" t="str">
        <f t="shared" si="2"/>
        <v/>
      </c>
      <c r="EU175" s="19"/>
      <c r="EV175" s="19"/>
      <c r="EW175" s="19"/>
      <c r="EX175" s="19"/>
      <c r="EY175" s="19"/>
      <c r="EZ175" s="19"/>
      <c r="FA175" s="19"/>
      <c r="FB175" s="19"/>
    </row>
    <row r="176" ht="15.75" customHeight="1">
      <c r="A176" s="19"/>
      <c r="F176" s="19"/>
      <c r="AH176" s="23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  <c r="CD176" s="19"/>
      <c r="CE176" s="19"/>
      <c r="CF176" s="19"/>
      <c r="CG176" s="19"/>
      <c r="CH176" s="19"/>
      <c r="CI176" s="19"/>
      <c r="CJ176" s="19"/>
      <c r="CK176" s="19"/>
      <c r="CL176" s="19"/>
      <c r="CM176" s="19"/>
      <c r="CN176" s="19"/>
      <c r="CO176" s="19"/>
      <c r="CP176" s="19"/>
      <c r="CQ176" s="19"/>
      <c r="CR176" s="19"/>
      <c r="CS176" s="19"/>
      <c r="CT176" s="19"/>
      <c r="CU176" s="19"/>
      <c r="CV176" s="19"/>
      <c r="CW176" s="19"/>
      <c r="CX176" s="19"/>
      <c r="CY176" s="19"/>
      <c r="CZ176" s="19"/>
      <c r="DA176" s="19"/>
      <c r="DB176" s="19"/>
      <c r="DC176" s="19"/>
      <c r="DD176" s="19"/>
      <c r="DE176" s="19"/>
      <c r="DF176" s="19"/>
      <c r="DG176" s="19"/>
      <c r="DH176" s="19"/>
      <c r="DI176" s="19"/>
      <c r="DJ176" s="19"/>
      <c r="DK176" s="19"/>
      <c r="DL176" s="19"/>
      <c r="DM176" s="19"/>
      <c r="DN176" s="19"/>
      <c r="DO176" s="19"/>
      <c r="DP176" s="19"/>
      <c r="DQ176" s="19"/>
      <c r="DR176" s="19"/>
      <c r="DS176" s="19"/>
      <c r="DT176" s="19"/>
      <c r="DU176" s="19"/>
      <c r="DV176" s="19"/>
      <c r="DW176" s="19"/>
      <c r="DX176" s="19"/>
      <c r="DY176" s="19"/>
      <c r="DZ176" s="19"/>
      <c r="EA176" s="19"/>
      <c r="EB176" s="19"/>
      <c r="EC176" s="19"/>
      <c r="ED176" s="19"/>
      <c r="EE176" s="19"/>
      <c r="EF176" s="19"/>
      <c r="EG176" s="19"/>
      <c r="EH176" s="19"/>
      <c r="EI176" s="19"/>
      <c r="EJ176" s="19"/>
      <c r="EK176" s="19"/>
      <c r="EL176" s="19"/>
      <c r="EM176" s="19"/>
      <c r="EN176" s="19"/>
      <c r="EO176" s="19"/>
      <c r="EP176" s="17"/>
      <c r="EQ176" s="23"/>
      <c r="ER176" s="23" t="str">
        <f t="shared" si="1"/>
        <v/>
      </c>
      <c r="ES176" s="19"/>
      <c r="ET176" s="19" t="str">
        <f t="shared" si="2"/>
        <v/>
      </c>
      <c r="EU176" s="19"/>
      <c r="EV176" s="19"/>
      <c r="EW176" s="19"/>
      <c r="EX176" s="19"/>
      <c r="EY176" s="19"/>
      <c r="EZ176" s="19"/>
      <c r="FA176" s="19"/>
      <c r="FB176" s="19"/>
    </row>
    <row r="177" ht="15.75" customHeight="1">
      <c r="A177" s="19"/>
      <c r="F177" s="19"/>
      <c r="AH177" s="23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  <c r="CD177" s="19"/>
      <c r="CE177" s="19"/>
      <c r="CF177" s="19"/>
      <c r="CG177" s="19"/>
      <c r="CH177" s="19"/>
      <c r="CI177" s="19"/>
      <c r="CJ177" s="19"/>
      <c r="CK177" s="19"/>
      <c r="CL177" s="19"/>
      <c r="CM177" s="19"/>
      <c r="CN177" s="19"/>
      <c r="CO177" s="19"/>
      <c r="CP177" s="19"/>
      <c r="CQ177" s="19"/>
      <c r="CR177" s="19"/>
      <c r="CS177" s="19"/>
      <c r="CT177" s="19"/>
      <c r="CU177" s="19"/>
      <c r="CV177" s="19"/>
      <c r="CW177" s="19"/>
      <c r="CX177" s="19"/>
      <c r="CY177" s="19"/>
      <c r="CZ177" s="19"/>
      <c r="DA177" s="19"/>
      <c r="DB177" s="19"/>
      <c r="DC177" s="19"/>
      <c r="DD177" s="19"/>
      <c r="DE177" s="19"/>
      <c r="DF177" s="19"/>
      <c r="DG177" s="19"/>
      <c r="DH177" s="19"/>
      <c r="DI177" s="19"/>
      <c r="DJ177" s="19"/>
      <c r="DK177" s="19"/>
      <c r="DL177" s="19"/>
      <c r="DM177" s="19"/>
      <c r="DN177" s="19"/>
      <c r="DO177" s="19"/>
      <c r="DP177" s="19"/>
      <c r="DQ177" s="19"/>
      <c r="DR177" s="19"/>
      <c r="DS177" s="19"/>
      <c r="DT177" s="19"/>
      <c r="DU177" s="19"/>
      <c r="DV177" s="19"/>
      <c r="DW177" s="19"/>
      <c r="DX177" s="19"/>
      <c r="DY177" s="19"/>
      <c r="DZ177" s="19"/>
      <c r="EA177" s="19"/>
      <c r="EB177" s="19"/>
      <c r="EC177" s="19"/>
      <c r="ED177" s="19"/>
      <c r="EE177" s="19"/>
      <c r="EF177" s="19"/>
      <c r="EG177" s="19"/>
      <c r="EH177" s="19"/>
      <c r="EI177" s="19"/>
      <c r="EJ177" s="19"/>
      <c r="EK177" s="19"/>
      <c r="EL177" s="19"/>
      <c r="EM177" s="19"/>
      <c r="EN177" s="19"/>
      <c r="EO177" s="19"/>
      <c r="EP177" s="17"/>
      <c r="EQ177" s="23"/>
      <c r="ER177" s="23" t="str">
        <f t="shared" si="1"/>
        <v/>
      </c>
      <c r="ES177" s="19"/>
      <c r="ET177" s="19" t="str">
        <f t="shared" si="2"/>
        <v/>
      </c>
      <c r="EU177" s="19"/>
      <c r="EV177" s="19"/>
      <c r="EW177" s="19"/>
      <c r="EX177" s="19"/>
      <c r="EY177" s="19"/>
      <c r="EZ177" s="19"/>
      <c r="FA177" s="19"/>
      <c r="FB177" s="19"/>
    </row>
    <row r="178" ht="15.75" customHeight="1">
      <c r="A178" s="19"/>
      <c r="F178" s="19"/>
      <c r="AH178" s="23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  <c r="CD178" s="19"/>
      <c r="CE178" s="19"/>
      <c r="CF178" s="19"/>
      <c r="CG178" s="19"/>
      <c r="CH178" s="19"/>
      <c r="CI178" s="19"/>
      <c r="CJ178" s="19"/>
      <c r="CK178" s="19"/>
      <c r="CL178" s="19"/>
      <c r="CM178" s="19"/>
      <c r="CN178" s="19"/>
      <c r="CO178" s="19"/>
      <c r="CP178" s="19"/>
      <c r="CQ178" s="19"/>
      <c r="CR178" s="19"/>
      <c r="CS178" s="19"/>
      <c r="CT178" s="19"/>
      <c r="CU178" s="19"/>
      <c r="CV178" s="19"/>
      <c r="CW178" s="19"/>
      <c r="CX178" s="19"/>
      <c r="CY178" s="19"/>
      <c r="CZ178" s="19"/>
      <c r="DA178" s="19"/>
      <c r="DB178" s="19"/>
      <c r="DC178" s="19"/>
      <c r="DD178" s="19"/>
      <c r="DE178" s="19"/>
      <c r="DF178" s="19"/>
      <c r="DG178" s="19"/>
      <c r="DH178" s="19"/>
      <c r="DI178" s="19"/>
      <c r="DJ178" s="19"/>
      <c r="DK178" s="19"/>
      <c r="DL178" s="19"/>
      <c r="DM178" s="19"/>
      <c r="DN178" s="19"/>
      <c r="DO178" s="19"/>
      <c r="DP178" s="19"/>
      <c r="DQ178" s="19"/>
      <c r="DR178" s="19"/>
      <c r="DS178" s="19"/>
      <c r="DT178" s="19"/>
      <c r="DU178" s="19"/>
      <c r="DV178" s="19"/>
      <c r="DW178" s="19"/>
      <c r="DX178" s="19"/>
      <c r="DY178" s="19"/>
      <c r="DZ178" s="19"/>
      <c r="EA178" s="19"/>
      <c r="EB178" s="19"/>
      <c r="EC178" s="19"/>
      <c r="ED178" s="19"/>
      <c r="EE178" s="19"/>
      <c r="EF178" s="19"/>
      <c r="EG178" s="19"/>
      <c r="EH178" s="19"/>
      <c r="EI178" s="19"/>
      <c r="EJ178" s="19"/>
      <c r="EK178" s="19"/>
      <c r="EL178" s="19"/>
      <c r="EM178" s="19"/>
      <c r="EN178" s="19"/>
      <c r="EO178" s="19"/>
      <c r="EP178" s="17"/>
      <c r="EQ178" s="23"/>
      <c r="ER178" s="23" t="str">
        <f t="shared" si="1"/>
        <v/>
      </c>
      <c r="ES178" s="19"/>
      <c r="ET178" s="19" t="str">
        <f t="shared" si="2"/>
        <v/>
      </c>
      <c r="EU178" s="19"/>
      <c r="EV178" s="19"/>
      <c r="EW178" s="19"/>
      <c r="EX178" s="19"/>
      <c r="EY178" s="19"/>
      <c r="EZ178" s="19"/>
      <c r="FA178" s="19"/>
      <c r="FB178" s="19"/>
    </row>
    <row r="179" ht="15.75" customHeight="1">
      <c r="A179" s="19"/>
      <c r="F179" s="19"/>
      <c r="AH179" s="23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/>
      <c r="CK179" s="19"/>
      <c r="CL179" s="19"/>
      <c r="CM179" s="19"/>
      <c r="CN179" s="19"/>
      <c r="CO179" s="19"/>
      <c r="CP179" s="19"/>
      <c r="CQ179" s="19"/>
      <c r="CR179" s="19"/>
      <c r="CS179" s="19"/>
      <c r="CT179" s="19"/>
      <c r="CU179" s="19"/>
      <c r="CV179" s="19"/>
      <c r="CW179" s="19"/>
      <c r="CX179" s="19"/>
      <c r="CY179" s="19"/>
      <c r="CZ179" s="19"/>
      <c r="DA179" s="19"/>
      <c r="DB179" s="19"/>
      <c r="DC179" s="19"/>
      <c r="DD179" s="19"/>
      <c r="DE179" s="19"/>
      <c r="DF179" s="19"/>
      <c r="DG179" s="19"/>
      <c r="DH179" s="19"/>
      <c r="DI179" s="19"/>
      <c r="DJ179" s="19"/>
      <c r="DK179" s="19"/>
      <c r="DL179" s="19"/>
      <c r="DM179" s="19"/>
      <c r="DN179" s="19"/>
      <c r="DO179" s="19"/>
      <c r="DP179" s="19"/>
      <c r="DQ179" s="19"/>
      <c r="DR179" s="19"/>
      <c r="DS179" s="19"/>
      <c r="DT179" s="19"/>
      <c r="DU179" s="19"/>
      <c r="DV179" s="19"/>
      <c r="DW179" s="19"/>
      <c r="DX179" s="19"/>
      <c r="DY179" s="19"/>
      <c r="DZ179" s="19"/>
      <c r="EA179" s="19"/>
      <c r="EB179" s="19"/>
      <c r="EC179" s="19"/>
      <c r="ED179" s="19"/>
      <c r="EE179" s="19"/>
      <c r="EF179" s="19"/>
      <c r="EG179" s="19"/>
      <c r="EH179" s="19"/>
      <c r="EI179" s="19"/>
      <c r="EJ179" s="19"/>
      <c r="EK179" s="19"/>
      <c r="EL179" s="19"/>
      <c r="EM179" s="19"/>
      <c r="EN179" s="19"/>
      <c r="EO179" s="19"/>
      <c r="EP179" s="17"/>
      <c r="EQ179" s="23"/>
      <c r="ER179" s="23" t="str">
        <f t="shared" si="1"/>
        <v/>
      </c>
      <c r="ES179" s="19"/>
      <c r="ET179" s="19" t="str">
        <f t="shared" si="2"/>
        <v/>
      </c>
      <c r="EU179" s="19"/>
      <c r="EV179" s="19"/>
      <c r="EW179" s="19"/>
      <c r="EX179" s="19"/>
      <c r="EY179" s="19"/>
      <c r="EZ179" s="19"/>
      <c r="FA179" s="19"/>
      <c r="FB179" s="19"/>
    </row>
    <row r="180" ht="15.75" customHeight="1">
      <c r="A180" s="19"/>
      <c r="F180" s="19"/>
      <c r="AH180" s="23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/>
      <c r="CK180" s="19"/>
      <c r="CL180" s="19"/>
      <c r="CM180" s="19"/>
      <c r="CN180" s="19"/>
      <c r="CO180" s="19"/>
      <c r="CP180" s="19"/>
      <c r="CQ180" s="19"/>
      <c r="CR180" s="19"/>
      <c r="CS180" s="19"/>
      <c r="CT180" s="19"/>
      <c r="CU180" s="19"/>
      <c r="CV180" s="19"/>
      <c r="CW180" s="19"/>
      <c r="CX180" s="19"/>
      <c r="CY180" s="19"/>
      <c r="CZ180" s="19"/>
      <c r="DA180" s="19"/>
      <c r="DB180" s="19"/>
      <c r="DC180" s="19"/>
      <c r="DD180" s="19"/>
      <c r="DE180" s="19"/>
      <c r="DF180" s="19"/>
      <c r="DG180" s="19"/>
      <c r="DH180" s="19"/>
      <c r="DI180" s="19"/>
      <c r="DJ180" s="19"/>
      <c r="DK180" s="19"/>
      <c r="DL180" s="19"/>
      <c r="DM180" s="19"/>
      <c r="DN180" s="19"/>
      <c r="DO180" s="19"/>
      <c r="DP180" s="19"/>
      <c r="DQ180" s="19"/>
      <c r="DR180" s="19"/>
      <c r="DS180" s="19"/>
      <c r="DT180" s="19"/>
      <c r="DU180" s="19"/>
      <c r="DV180" s="19"/>
      <c r="DW180" s="19"/>
      <c r="DX180" s="19"/>
      <c r="DY180" s="19"/>
      <c r="DZ180" s="19"/>
      <c r="EA180" s="19"/>
      <c r="EB180" s="19"/>
      <c r="EC180" s="19"/>
      <c r="ED180" s="19"/>
      <c r="EE180" s="19"/>
      <c r="EF180" s="19"/>
      <c r="EG180" s="19"/>
      <c r="EH180" s="19"/>
      <c r="EI180" s="19"/>
      <c r="EJ180" s="19"/>
      <c r="EK180" s="19"/>
      <c r="EL180" s="19"/>
      <c r="EM180" s="19"/>
      <c r="EN180" s="19"/>
      <c r="EO180" s="19"/>
      <c r="EP180" s="17"/>
      <c r="EQ180" s="23"/>
      <c r="ER180" s="23" t="str">
        <f t="shared" si="1"/>
        <v/>
      </c>
      <c r="ES180" s="19"/>
      <c r="ET180" s="19" t="str">
        <f t="shared" si="2"/>
        <v/>
      </c>
      <c r="EU180" s="19"/>
      <c r="EV180" s="19"/>
      <c r="EW180" s="19"/>
      <c r="EX180" s="19"/>
      <c r="EY180" s="19"/>
      <c r="EZ180" s="19"/>
      <c r="FA180" s="19"/>
      <c r="FB180" s="19"/>
    </row>
    <row r="181" ht="15.75" customHeight="1">
      <c r="A181" s="19"/>
      <c r="F181" s="19"/>
      <c r="AH181" s="23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/>
      <c r="CK181" s="19"/>
      <c r="CL181" s="19"/>
      <c r="CM181" s="19"/>
      <c r="CN181" s="19"/>
      <c r="CO181" s="19"/>
      <c r="CP181" s="19"/>
      <c r="CQ181" s="19"/>
      <c r="CR181" s="19"/>
      <c r="CS181" s="19"/>
      <c r="CT181" s="19"/>
      <c r="CU181" s="19"/>
      <c r="CV181" s="19"/>
      <c r="CW181" s="19"/>
      <c r="CX181" s="19"/>
      <c r="CY181" s="19"/>
      <c r="CZ181" s="19"/>
      <c r="DA181" s="19"/>
      <c r="DB181" s="19"/>
      <c r="DC181" s="19"/>
      <c r="DD181" s="19"/>
      <c r="DE181" s="19"/>
      <c r="DF181" s="19"/>
      <c r="DG181" s="19"/>
      <c r="DH181" s="19"/>
      <c r="DI181" s="19"/>
      <c r="DJ181" s="19"/>
      <c r="DK181" s="19"/>
      <c r="DL181" s="19"/>
      <c r="DM181" s="19"/>
      <c r="DN181" s="19"/>
      <c r="DO181" s="19"/>
      <c r="DP181" s="19"/>
      <c r="DQ181" s="19"/>
      <c r="DR181" s="19"/>
      <c r="DS181" s="19"/>
      <c r="DT181" s="19"/>
      <c r="DU181" s="19"/>
      <c r="DV181" s="19"/>
      <c r="DW181" s="19"/>
      <c r="DX181" s="19"/>
      <c r="DY181" s="19"/>
      <c r="DZ181" s="19"/>
      <c r="EA181" s="19"/>
      <c r="EB181" s="19"/>
      <c r="EC181" s="19"/>
      <c r="ED181" s="19"/>
      <c r="EE181" s="19"/>
      <c r="EF181" s="19"/>
      <c r="EG181" s="19"/>
      <c r="EH181" s="19"/>
      <c r="EI181" s="19"/>
      <c r="EJ181" s="19"/>
      <c r="EK181" s="19"/>
      <c r="EL181" s="19"/>
      <c r="EM181" s="19"/>
      <c r="EN181" s="19"/>
      <c r="EO181" s="19"/>
      <c r="EP181" s="17"/>
      <c r="EQ181" s="23"/>
      <c r="ER181" s="23" t="str">
        <f t="shared" si="1"/>
        <v/>
      </c>
      <c r="ES181" s="19"/>
      <c r="ET181" s="19" t="str">
        <f t="shared" si="2"/>
        <v/>
      </c>
      <c r="EU181" s="19"/>
      <c r="EV181" s="19"/>
      <c r="EW181" s="19"/>
      <c r="EX181" s="19"/>
      <c r="EY181" s="19"/>
      <c r="EZ181" s="19"/>
      <c r="FA181" s="19"/>
      <c r="FB181" s="19"/>
    </row>
    <row r="182" ht="15.75" customHeight="1">
      <c r="A182" s="19"/>
      <c r="F182" s="19"/>
      <c r="AH182" s="23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  <c r="CL182" s="19"/>
      <c r="CM182" s="19"/>
      <c r="CN182" s="19"/>
      <c r="CO182" s="19"/>
      <c r="CP182" s="19"/>
      <c r="CQ182" s="19"/>
      <c r="CR182" s="19"/>
      <c r="CS182" s="19"/>
      <c r="CT182" s="19"/>
      <c r="CU182" s="19"/>
      <c r="CV182" s="19"/>
      <c r="CW182" s="19"/>
      <c r="CX182" s="19"/>
      <c r="CY182" s="19"/>
      <c r="CZ182" s="19"/>
      <c r="DA182" s="19"/>
      <c r="DB182" s="19"/>
      <c r="DC182" s="19"/>
      <c r="DD182" s="19"/>
      <c r="DE182" s="19"/>
      <c r="DF182" s="19"/>
      <c r="DG182" s="19"/>
      <c r="DH182" s="19"/>
      <c r="DI182" s="19"/>
      <c r="DJ182" s="19"/>
      <c r="DK182" s="19"/>
      <c r="DL182" s="19"/>
      <c r="DM182" s="19"/>
      <c r="DN182" s="19"/>
      <c r="DO182" s="19"/>
      <c r="DP182" s="19"/>
      <c r="DQ182" s="19"/>
      <c r="DR182" s="19"/>
      <c r="DS182" s="19"/>
      <c r="DT182" s="19"/>
      <c r="DU182" s="19"/>
      <c r="DV182" s="19"/>
      <c r="DW182" s="19"/>
      <c r="DX182" s="19"/>
      <c r="DY182" s="19"/>
      <c r="DZ182" s="19"/>
      <c r="EA182" s="19"/>
      <c r="EB182" s="19"/>
      <c r="EC182" s="19"/>
      <c r="ED182" s="19"/>
      <c r="EE182" s="19"/>
      <c r="EF182" s="19"/>
      <c r="EG182" s="19"/>
      <c r="EH182" s="19"/>
      <c r="EI182" s="19"/>
      <c r="EJ182" s="19"/>
      <c r="EK182" s="19"/>
      <c r="EL182" s="19"/>
      <c r="EM182" s="19"/>
      <c r="EN182" s="19"/>
      <c r="EO182" s="19"/>
      <c r="EP182" s="17"/>
      <c r="EQ182" s="23"/>
      <c r="ER182" s="23" t="str">
        <f t="shared" si="1"/>
        <v/>
      </c>
      <c r="ES182" s="19"/>
      <c r="ET182" s="19" t="str">
        <f t="shared" si="2"/>
        <v/>
      </c>
      <c r="EU182" s="19"/>
      <c r="EV182" s="19"/>
      <c r="EW182" s="19"/>
      <c r="EX182" s="19"/>
      <c r="EY182" s="19"/>
      <c r="EZ182" s="19"/>
      <c r="FA182" s="19"/>
      <c r="FB182" s="19"/>
    </row>
    <row r="183" ht="15.75" customHeight="1">
      <c r="A183" s="19"/>
      <c r="F183" s="19"/>
      <c r="AH183" s="23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  <c r="CD183" s="19"/>
      <c r="CE183" s="19"/>
      <c r="CF183" s="19"/>
      <c r="CG183" s="19"/>
      <c r="CH183" s="19"/>
      <c r="CI183" s="19"/>
      <c r="CJ183" s="19"/>
      <c r="CK183" s="19"/>
      <c r="CL183" s="19"/>
      <c r="CM183" s="19"/>
      <c r="CN183" s="19"/>
      <c r="CO183" s="19"/>
      <c r="CP183" s="19"/>
      <c r="CQ183" s="19"/>
      <c r="CR183" s="19"/>
      <c r="CS183" s="19"/>
      <c r="CT183" s="19"/>
      <c r="CU183" s="19"/>
      <c r="CV183" s="19"/>
      <c r="CW183" s="19"/>
      <c r="CX183" s="19"/>
      <c r="CY183" s="19"/>
      <c r="CZ183" s="19"/>
      <c r="DA183" s="19"/>
      <c r="DB183" s="19"/>
      <c r="DC183" s="19"/>
      <c r="DD183" s="19"/>
      <c r="DE183" s="19"/>
      <c r="DF183" s="19"/>
      <c r="DG183" s="19"/>
      <c r="DH183" s="19"/>
      <c r="DI183" s="19"/>
      <c r="DJ183" s="19"/>
      <c r="DK183" s="19"/>
      <c r="DL183" s="19"/>
      <c r="DM183" s="19"/>
      <c r="DN183" s="19"/>
      <c r="DO183" s="19"/>
      <c r="DP183" s="19"/>
      <c r="DQ183" s="19"/>
      <c r="DR183" s="19"/>
      <c r="DS183" s="19"/>
      <c r="DT183" s="19"/>
      <c r="DU183" s="19"/>
      <c r="DV183" s="19"/>
      <c r="DW183" s="19"/>
      <c r="DX183" s="19"/>
      <c r="DY183" s="19"/>
      <c r="DZ183" s="19"/>
      <c r="EA183" s="19"/>
      <c r="EB183" s="19"/>
      <c r="EC183" s="19"/>
      <c r="ED183" s="19"/>
      <c r="EE183" s="19"/>
      <c r="EF183" s="19"/>
      <c r="EG183" s="19"/>
      <c r="EH183" s="19"/>
      <c r="EI183" s="19"/>
      <c r="EJ183" s="19"/>
      <c r="EK183" s="19"/>
      <c r="EL183" s="19"/>
      <c r="EM183" s="19"/>
      <c r="EN183" s="19"/>
      <c r="EO183" s="19"/>
      <c r="EP183" s="17"/>
      <c r="EQ183" s="23"/>
      <c r="ER183" s="23" t="str">
        <f t="shared" si="1"/>
        <v/>
      </c>
      <c r="ES183" s="19"/>
      <c r="ET183" s="19" t="str">
        <f t="shared" si="2"/>
        <v/>
      </c>
      <c r="EU183" s="19"/>
      <c r="EV183" s="19"/>
      <c r="EW183" s="19"/>
      <c r="EX183" s="19"/>
      <c r="EY183" s="19"/>
      <c r="EZ183" s="19"/>
      <c r="FA183" s="19"/>
      <c r="FB183" s="19"/>
    </row>
    <row r="184" ht="15.75" customHeight="1">
      <c r="A184" s="19"/>
      <c r="F184" s="19"/>
      <c r="AH184" s="23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/>
      <c r="CK184" s="19"/>
      <c r="CL184" s="19"/>
      <c r="CM184" s="19"/>
      <c r="CN184" s="19"/>
      <c r="CO184" s="19"/>
      <c r="CP184" s="19"/>
      <c r="CQ184" s="19"/>
      <c r="CR184" s="19"/>
      <c r="CS184" s="19"/>
      <c r="CT184" s="19"/>
      <c r="CU184" s="19"/>
      <c r="CV184" s="19"/>
      <c r="CW184" s="19"/>
      <c r="CX184" s="19"/>
      <c r="CY184" s="19"/>
      <c r="CZ184" s="19"/>
      <c r="DA184" s="19"/>
      <c r="DB184" s="19"/>
      <c r="DC184" s="19"/>
      <c r="DD184" s="19"/>
      <c r="DE184" s="19"/>
      <c r="DF184" s="19"/>
      <c r="DG184" s="19"/>
      <c r="DH184" s="19"/>
      <c r="DI184" s="19"/>
      <c r="DJ184" s="19"/>
      <c r="DK184" s="19"/>
      <c r="DL184" s="19"/>
      <c r="DM184" s="19"/>
      <c r="DN184" s="19"/>
      <c r="DO184" s="19"/>
      <c r="DP184" s="19"/>
      <c r="DQ184" s="19"/>
      <c r="DR184" s="19"/>
      <c r="DS184" s="19"/>
      <c r="DT184" s="19"/>
      <c r="DU184" s="19"/>
      <c r="DV184" s="19"/>
      <c r="DW184" s="19"/>
      <c r="DX184" s="19"/>
      <c r="DY184" s="19"/>
      <c r="DZ184" s="19"/>
      <c r="EA184" s="19"/>
      <c r="EB184" s="19"/>
      <c r="EC184" s="19"/>
      <c r="ED184" s="19"/>
      <c r="EE184" s="19"/>
      <c r="EF184" s="19"/>
      <c r="EG184" s="19"/>
      <c r="EH184" s="19"/>
      <c r="EI184" s="19"/>
      <c r="EJ184" s="19"/>
      <c r="EK184" s="19"/>
      <c r="EL184" s="19"/>
      <c r="EM184" s="19"/>
      <c r="EN184" s="19"/>
      <c r="EO184" s="19"/>
      <c r="EP184" s="17"/>
      <c r="EQ184" s="23"/>
      <c r="ER184" s="23" t="str">
        <f t="shared" si="1"/>
        <v/>
      </c>
      <c r="ES184" s="19"/>
      <c r="ET184" s="19" t="str">
        <f t="shared" si="2"/>
        <v/>
      </c>
      <c r="EU184" s="19"/>
      <c r="EV184" s="19"/>
      <c r="EW184" s="19"/>
      <c r="EX184" s="19"/>
      <c r="EY184" s="19"/>
      <c r="EZ184" s="19"/>
      <c r="FA184" s="19"/>
      <c r="FB184" s="19"/>
    </row>
    <row r="185" ht="15.75" customHeight="1">
      <c r="A185" s="19"/>
      <c r="F185" s="19"/>
      <c r="AH185" s="23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  <c r="CD185" s="19"/>
      <c r="CE185" s="19"/>
      <c r="CF185" s="19"/>
      <c r="CG185" s="19"/>
      <c r="CH185" s="19"/>
      <c r="CI185" s="19"/>
      <c r="CJ185" s="19"/>
      <c r="CK185" s="19"/>
      <c r="CL185" s="19"/>
      <c r="CM185" s="19"/>
      <c r="CN185" s="19"/>
      <c r="CO185" s="19"/>
      <c r="CP185" s="19"/>
      <c r="CQ185" s="19"/>
      <c r="CR185" s="19"/>
      <c r="CS185" s="19"/>
      <c r="CT185" s="19"/>
      <c r="CU185" s="19"/>
      <c r="CV185" s="19"/>
      <c r="CW185" s="19"/>
      <c r="CX185" s="19"/>
      <c r="CY185" s="19"/>
      <c r="CZ185" s="19"/>
      <c r="DA185" s="19"/>
      <c r="DB185" s="19"/>
      <c r="DC185" s="19"/>
      <c r="DD185" s="19"/>
      <c r="DE185" s="19"/>
      <c r="DF185" s="19"/>
      <c r="DG185" s="19"/>
      <c r="DH185" s="19"/>
      <c r="DI185" s="19"/>
      <c r="DJ185" s="19"/>
      <c r="DK185" s="19"/>
      <c r="DL185" s="19"/>
      <c r="DM185" s="19"/>
      <c r="DN185" s="19"/>
      <c r="DO185" s="19"/>
      <c r="DP185" s="19"/>
      <c r="DQ185" s="19"/>
      <c r="DR185" s="19"/>
      <c r="DS185" s="19"/>
      <c r="DT185" s="19"/>
      <c r="DU185" s="19"/>
      <c r="DV185" s="19"/>
      <c r="DW185" s="19"/>
      <c r="DX185" s="19"/>
      <c r="DY185" s="19"/>
      <c r="DZ185" s="19"/>
      <c r="EA185" s="19"/>
      <c r="EB185" s="19"/>
      <c r="EC185" s="19"/>
      <c r="ED185" s="19"/>
      <c r="EE185" s="19"/>
      <c r="EF185" s="19"/>
      <c r="EG185" s="19"/>
      <c r="EH185" s="19"/>
      <c r="EI185" s="19"/>
      <c r="EJ185" s="19"/>
      <c r="EK185" s="19"/>
      <c r="EL185" s="19"/>
      <c r="EM185" s="19"/>
      <c r="EN185" s="19"/>
      <c r="EO185" s="19"/>
      <c r="EP185" s="17"/>
      <c r="EQ185" s="23"/>
      <c r="ER185" s="23" t="str">
        <f t="shared" si="1"/>
        <v/>
      </c>
      <c r="ES185" s="19"/>
      <c r="ET185" s="19" t="str">
        <f t="shared" si="2"/>
        <v/>
      </c>
      <c r="EU185" s="19"/>
      <c r="EV185" s="19"/>
      <c r="EW185" s="19"/>
      <c r="EX185" s="19"/>
      <c r="EY185" s="19"/>
      <c r="EZ185" s="19"/>
      <c r="FA185" s="19"/>
      <c r="FB185" s="19"/>
    </row>
    <row r="186" ht="15.75" customHeight="1">
      <c r="A186" s="19"/>
      <c r="F186" s="19"/>
      <c r="AH186" s="23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  <c r="CD186" s="19"/>
      <c r="CE186" s="19"/>
      <c r="CF186" s="19"/>
      <c r="CG186" s="19"/>
      <c r="CH186" s="19"/>
      <c r="CI186" s="19"/>
      <c r="CJ186" s="19"/>
      <c r="CK186" s="19"/>
      <c r="CL186" s="19"/>
      <c r="CM186" s="19"/>
      <c r="CN186" s="19"/>
      <c r="CO186" s="19"/>
      <c r="CP186" s="19"/>
      <c r="CQ186" s="19"/>
      <c r="CR186" s="19"/>
      <c r="CS186" s="19"/>
      <c r="CT186" s="19"/>
      <c r="CU186" s="19"/>
      <c r="CV186" s="19"/>
      <c r="CW186" s="19"/>
      <c r="CX186" s="19"/>
      <c r="CY186" s="19"/>
      <c r="CZ186" s="19"/>
      <c r="DA186" s="19"/>
      <c r="DB186" s="19"/>
      <c r="DC186" s="19"/>
      <c r="DD186" s="19"/>
      <c r="DE186" s="19"/>
      <c r="DF186" s="19"/>
      <c r="DG186" s="19"/>
      <c r="DH186" s="19"/>
      <c r="DI186" s="19"/>
      <c r="DJ186" s="19"/>
      <c r="DK186" s="19"/>
      <c r="DL186" s="19"/>
      <c r="DM186" s="19"/>
      <c r="DN186" s="19"/>
      <c r="DO186" s="19"/>
      <c r="DP186" s="19"/>
      <c r="DQ186" s="19"/>
      <c r="DR186" s="19"/>
      <c r="DS186" s="19"/>
      <c r="DT186" s="19"/>
      <c r="DU186" s="19"/>
      <c r="DV186" s="19"/>
      <c r="DW186" s="19"/>
      <c r="DX186" s="19"/>
      <c r="DY186" s="19"/>
      <c r="DZ186" s="19"/>
      <c r="EA186" s="19"/>
      <c r="EB186" s="19"/>
      <c r="EC186" s="19"/>
      <c r="ED186" s="19"/>
      <c r="EE186" s="19"/>
      <c r="EF186" s="19"/>
      <c r="EG186" s="19"/>
      <c r="EH186" s="19"/>
      <c r="EI186" s="19"/>
      <c r="EJ186" s="19"/>
      <c r="EK186" s="19"/>
      <c r="EL186" s="19"/>
      <c r="EM186" s="19"/>
      <c r="EN186" s="19"/>
      <c r="EO186" s="19"/>
      <c r="EP186" s="17"/>
      <c r="EQ186" s="23"/>
      <c r="ER186" s="23" t="str">
        <f t="shared" si="1"/>
        <v/>
      </c>
      <c r="ES186" s="19"/>
      <c r="ET186" s="19" t="str">
        <f t="shared" si="2"/>
        <v/>
      </c>
      <c r="EU186" s="19"/>
      <c r="EV186" s="19"/>
      <c r="EW186" s="19"/>
      <c r="EX186" s="19"/>
      <c r="EY186" s="19"/>
      <c r="EZ186" s="19"/>
      <c r="FA186" s="19"/>
      <c r="FB186" s="19"/>
    </row>
    <row r="187" ht="15.75" customHeight="1">
      <c r="A187" s="19"/>
      <c r="F187" s="19"/>
      <c r="AH187" s="23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  <c r="CD187" s="19"/>
      <c r="CE187" s="19"/>
      <c r="CF187" s="19"/>
      <c r="CG187" s="19"/>
      <c r="CH187" s="19"/>
      <c r="CI187" s="19"/>
      <c r="CJ187" s="19"/>
      <c r="CK187" s="19"/>
      <c r="CL187" s="19"/>
      <c r="CM187" s="19"/>
      <c r="CN187" s="19"/>
      <c r="CO187" s="19"/>
      <c r="CP187" s="19"/>
      <c r="CQ187" s="19"/>
      <c r="CR187" s="19"/>
      <c r="CS187" s="19"/>
      <c r="CT187" s="19"/>
      <c r="CU187" s="19"/>
      <c r="CV187" s="19"/>
      <c r="CW187" s="19"/>
      <c r="CX187" s="19"/>
      <c r="CY187" s="19"/>
      <c r="CZ187" s="19"/>
      <c r="DA187" s="19"/>
      <c r="DB187" s="19"/>
      <c r="DC187" s="19"/>
      <c r="DD187" s="19"/>
      <c r="DE187" s="19"/>
      <c r="DF187" s="19"/>
      <c r="DG187" s="19"/>
      <c r="DH187" s="19"/>
      <c r="DI187" s="19"/>
      <c r="DJ187" s="19"/>
      <c r="DK187" s="19"/>
      <c r="DL187" s="19"/>
      <c r="DM187" s="19"/>
      <c r="DN187" s="19"/>
      <c r="DO187" s="19"/>
      <c r="DP187" s="19"/>
      <c r="DQ187" s="19"/>
      <c r="DR187" s="19"/>
      <c r="DS187" s="19"/>
      <c r="DT187" s="19"/>
      <c r="DU187" s="19"/>
      <c r="DV187" s="19"/>
      <c r="DW187" s="19"/>
      <c r="DX187" s="19"/>
      <c r="DY187" s="19"/>
      <c r="DZ187" s="19"/>
      <c r="EA187" s="19"/>
      <c r="EB187" s="19"/>
      <c r="EC187" s="19"/>
      <c r="ED187" s="19"/>
      <c r="EE187" s="19"/>
      <c r="EF187" s="19"/>
      <c r="EG187" s="19"/>
      <c r="EH187" s="19"/>
      <c r="EI187" s="19"/>
      <c r="EJ187" s="19"/>
      <c r="EK187" s="19"/>
      <c r="EL187" s="19"/>
      <c r="EM187" s="19"/>
      <c r="EN187" s="19"/>
      <c r="EO187" s="19"/>
      <c r="EP187" s="17"/>
      <c r="EQ187" s="23"/>
      <c r="ER187" s="23" t="str">
        <f t="shared" si="1"/>
        <v/>
      </c>
      <c r="ES187" s="19"/>
      <c r="ET187" s="19" t="str">
        <f t="shared" si="2"/>
        <v/>
      </c>
      <c r="EU187" s="19"/>
      <c r="EV187" s="19"/>
      <c r="EW187" s="19"/>
      <c r="EX187" s="19"/>
      <c r="EY187" s="19"/>
      <c r="EZ187" s="19"/>
      <c r="FA187" s="19"/>
      <c r="FB187" s="19"/>
    </row>
    <row r="188" ht="15.75" customHeight="1">
      <c r="A188" s="19"/>
      <c r="F188" s="19"/>
      <c r="AH188" s="23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  <c r="CD188" s="19"/>
      <c r="CE188" s="19"/>
      <c r="CF188" s="19"/>
      <c r="CG188" s="19"/>
      <c r="CH188" s="19"/>
      <c r="CI188" s="19"/>
      <c r="CJ188" s="19"/>
      <c r="CK188" s="19"/>
      <c r="CL188" s="19"/>
      <c r="CM188" s="19"/>
      <c r="CN188" s="19"/>
      <c r="CO188" s="19"/>
      <c r="CP188" s="19"/>
      <c r="CQ188" s="19"/>
      <c r="CR188" s="19"/>
      <c r="CS188" s="19"/>
      <c r="CT188" s="19"/>
      <c r="CU188" s="19"/>
      <c r="CV188" s="19"/>
      <c r="CW188" s="19"/>
      <c r="CX188" s="19"/>
      <c r="CY188" s="19"/>
      <c r="CZ188" s="19"/>
      <c r="DA188" s="19"/>
      <c r="DB188" s="19"/>
      <c r="DC188" s="19"/>
      <c r="DD188" s="19"/>
      <c r="DE188" s="19"/>
      <c r="DF188" s="19"/>
      <c r="DG188" s="19"/>
      <c r="DH188" s="19"/>
      <c r="DI188" s="19"/>
      <c r="DJ188" s="19"/>
      <c r="DK188" s="19"/>
      <c r="DL188" s="19"/>
      <c r="DM188" s="19"/>
      <c r="DN188" s="19"/>
      <c r="DO188" s="19"/>
      <c r="DP188" s="19"/>
      <c r="DQ188" s="19"/>
      <c r="DR188" s="19"/>
      <c r="DS188" s="19"/>
      <c r="DT188" s="19"/>
      <c r="DU188" s="19"/>
      <c r="DV188" s="19"/>
      <c r="DW188" s="19"/>
      <c r="DX188" s="19"/>
      <c r="DY188" s="19"/>
      <c r="DZ188" s="19"/>
      <c r="EA188" s="19"/>
      <c r="EB188" s="19"/>
      <c r="EC188" s="19"/>
      <c r="ED188" s="19"/>
      <c r="EE188" s="19"/>
      <c r="EF188" s="19"/>
      <c r="EG188" s="19"/>
      <c r="EH188" s="19"/>
      <c r="EI188" s="19"/>
      <c r="EJ188" s="19"/>
      <c r="EK188" s="19"/>
      <c r="EL188" s="19"/>
      <c r="EM188" s="19"/>
      <c r="EN188" s="19"/>
      <c r="EO188" s="19"/>
      <c r="EP188" s="17"/>
      <c r="EQ188" s="23"/>
      <c r="ER188" s="23" t="str">
        <f t="shared" si="1"/>
        <v/>
      </c>
      <c r="ES188" s="19"/>
      <c r="ET188" s="19" t="str">
        <f t="shared" si="2"/>
        <v/>
      </c>
      <c r="EU188" s="19"/>
      <c r="EV188" s="19"/>
      <c r="EW188" s="19"/>
      <c r="EX188" s="19"/>
      <c r="EY188" s="19"/>
      <c r="EZ188" s="19"/>
      <c r="FA188" s="19"/>
      <c r="FB188" s="19"/>
    </row>
    <row r="189" ht="15.75" customHeight="1">
      <c r="A189" s="19"/>
      <c r="F189" s="19"/>
      <c r="AH189" s="23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  <c r="CD189" s="19"/>
      <c r="CE189" s="19"/>
      <c r="CF189" s="19"/>
      <c r="CG189" s="19"/>
      <c r="CH189" s="19"/>
      <c r="CI189" s="19"/>
      <c r="CJ189" s="19"/>
      <c r="CK189" s="19"/>
      <c r="CL189" s="19"/>
      <c r="CM189" s="19"/>
      <c r="CN189" s="19"/>
      <c r="CO189" s="19"/>
      <c r="CP189" s="19"/>
      <c r="CQ189" s="19"/>
      <c r="CR189" s="19"/>
      <c r="CS189" s="19"/>
      <c r="CT189" s="19"/>
      <c r="CU189" s="19"/>
      <c r="CV189" s="19"/>
      <c r="CW189" s="19"/>
      <c r="CX189" s="19"/>
      <c r="CY189" s="19"/>
      <c r="CZ189" s="19"/>
      <c r="DA189" s="19"/>
      <c r="DB189" s="19"/>
      <c r="DC189" s="19"/>
      <c r="DD189" s="19"/>
      <c r="DE189" s="19"/>
      <c r="DF189" s="19"/>
      <c r="DG189" s="19"/>
      <c r="DH189" s="19"/>
      <c r="DI189" s="19"/>
      <c r="DJ189" s="19"/>
      <c r="DK189" s="19"/>
      <c r="DL189" s="19"/>
      <c r="DM189" s="19"/>
      <c r="DN189" s="19"/>
      <c r="DO189" s="19"/>
      <c r="DP189" s="19"/>
      <c r="DQ189" s="19"/>
      <c r="DR189" s="19"/>
      <c r="DS189" s="19"/>
      <c r="DT189" s="19"/>
      <c r="DU189" s="19"/>
      <c r="DV189" s="19"/>
      <c r="DW189" s="19"/>
      <c r="DX189" s="19"/>
      <c r="DY189" s="19"/>
      <c r="DZ189" s="19"/>
      <c r="EA189" s="19"/>
      <c r="EB189" s="19"/>
      <c r="EC189" s="19"/>
      <c r="ED189" s="19"/>
      <c r="EE189" s="19"/>
      <c r="EF189" s="19"/>
      <c r="EG189" s="19"/>
      <c r="EH189" s="19"/>
      <c r="EI189" s="19"/>
      <c r="EJ189" s="19"/>
      <c r="EK189" s="19"/>
      <c r="EL189" s="19"/>
      <c r="EM189" s="19"/>
      <c r="EN189" s="19"/>
      <c r="EO189" s="19"/>
      <c r="EP189" s="17"/>
      <c r="EQ189" s="23"/>
      <c r="ER189" s="23" t="str">
        <f t="shared" si="1"/>
        <v/>
      </c>
      <c r="ES189" s="19"/>
      <c r="ET189" s="19" t="str">
        <f t="shared" si="2"/>
        <v/>
      </c>
      <c r="EU189" s="19"/>
      <c r="EV189" s="19"/>
      <c r="EW189" s="19"/>
      <c r="EX189" s="19"/>
      <c r="EY189" s="19"/>
      <c r="EZ189" s="19"/>
      <c r="FA189" s="19"/>
      <c r="FB189" s="19"/>
    </row>
    <row r="190" ht="15.75" customHeight="1">
      <c r="A190" s="19"/>
      <c r="F190" s="19"/>
      <c r="AH190" s="23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  <c r="CD190" s="19"/>
      <c r="CE190" s="19"/>
      <c r="CF190" s="19"/>
      <c r="CG190" s="19"/>
      <c r="CH190" s="19"/>
      <c r="CI190" s="19"/>
      <c r="CJ190" s="19"/>
      <c r="CK190" s="19"/>
      <c r="CL190" s="19"/>
      <c r="CM190" s="19"/>
      <c r="CN190" s="19"/>
      <c r="CO190" s="19"/>
      <c r="CP190" s="19"/>
      <c r="CQ190" s="19"/>
      <c r="CR190" s="19"/>
      <c r="CS190" s="19"/>
      <c r="CT190" s="19"/>
      <c r="CU190" s="19"/>
      <c r="CV190" s="19"/>
      <c r="CW190" s="19"/>
      <c r="CX190" s="19"/>
      <c r="CY190" s="19"/>
      <c r="CZ190" s="19"/>
      <c r="DA190" s="19"/>
      <c r="DB190" s="19"/>
      <c r="DC190" s="19"/>
      <c r="DD190" s="19"/>
      <c r="DE190" s="19"/>
      <c r="DF190" s="19"/>
      <c r="DG190" s="19"/>
      <c r="DH190" s="19"/>
      <c r="DI190" s="19"/>
      <c r="DJ190" s="19"/>
      <c r="DK190" s="19"/>
      <c r="DL190" s="19"/>
      <c r="DM190" s="19"/>
      <c r="DN190" s="19"/>
      <c r="DO190" s="19"/>
      <c r="DP190" s="19"/>
      <c r="DQ190" s="19"/>
      <c r="DR190" s="19"/>
      <c r="DS190" s="19"/>
      <c r="DT190" s="19"/>
      <c r="DU190" s="19"/>
      <c r="DV190" s="19"/>
      <c r="DW190" s="19"/>
      <c r="DX190" s="19"/>
      <c r="DY190" s="19"/>
      <c r="DZ190" s="19"/>
      <c r="EA190" s="19"/>
      <c r="EB190" s="19"/>
      <c r="EC190" s="19"/>
      <c r="ED190" s="19"/>
      <c r="EE190" s="19"/>
      <c r="EF190" s="19"/>
      <c r="EG190" s="19"/>
      <c r="EH190" s="19"/>
      <c r="EI190" s="19"/>
      <c r="EJ190" s="19"/>
      <c r="EK190" s="19"/>
      <c r="EL190" s="19"/>
      <c r="EM190" s="19"/>
      <c r="EN190" s="19"/>
      <c r="EO190" s="19"/>
      <c r="EP190" s="17"/>
      <c r="EQ190" s="23"/>
      <c r="ER190" s="23" t="str">
        <f t="shared" si="1"/>
        <v/>
      </c>
      <c r="ES190" s="19"/>
      <c r="ET190" s="19" t="str">
        <f t="shared" si="2"/>
        <v/>
      </c>
      <c r="EU190" s="19"/>
      <c r="EV190" s="19"/>
      <c r="EW190" s="19"/>
      <c r="EX190" s="19"/>
      <c r="EY190" s="19"/>
      <c r="EZ190" s="19"/>
      <c r="FA190" s="19"/>
      <c r="FB190" s="19"/>
    </row>
    <row r="191" ht="15.75" customHeight="1">
      <c r="A191" s="19"/>
      <c r="F191" s="19"/>
      <c r="AH191" s="23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/>
      <c r="CK191" s="19"/>
      <c r="CL191" s="19"/>
      <c r="CM191" s="19"/>
      <c r="CN191" s="19"/>
      <c r="CO191" s="19"/>
      <c r="CP191" s="19"/>
      <c r="CQ191" s="19"/>
      <c r="CR191" s="19"/>
      <c r="CS191" s="19"/>
      <c r="CT191" s="19"/>
      <c r="CU191" s="19"/>
      <c r="CV191" s="19"/>
      <c r="CW191" s="19"/>
      <c r="CX191" s="19"/>
      <c r="CY191" s="19"/>
      <c r="CZ191" s="19"/>
      <c r="DA191" s="19"/>
      <c r="DB191" s="19"/>
      <c r="DC191" s="19"/>
      <c r="DD191" s="19"/>
      <c r="DE191" s="19"/>
      <c r="DF191" s="19"/>
      <c r="DG191" s="19"/>
      <c r="DH191" s="19"/>
      <c r="DI191" s="19"/>
      <c r="DJ191" s="19"/>
      <c r="DK191" s="19"/>
      <c r="DL191" s="19"/>
      <c r="DM191" s="19"/>
      <c r="DN191" s="19"/>
      <c r="DO191" s="19"/>
      <c r="DP191" s="19"/>
      <c r="DQ191" s="19"/>
      <c r="DR191" s="19"/>
      <c r="DS191" s="19"/>
      <c r="DT191" s="19"/>
      <c r="DU191" s="19"/>
      <c r="DV191" s="19"/>
      <c r="DW191" s="19"/>
      <c r="DX191" s="19"/>
      <c r="DY191" s="19"/>
      <c r="DZ191" s="19"/>
      <c r="EA191" s="19"/>
      <c r="EB191" s="19"/>
      <c r="EC191" s="19"/>
      <c r="ED191" s="19"/>
      <c r="EE191" s="19"/>
      <c r="EF191" s="19"/>
      <c r="EG191" s="19"/>
      <c r="EH191" s="19"/>
      <c r="EI191" s="19"/>
      <c r="EJ191" s="19"/>
      <c r="EK191" s="19"/>
      <c r="EL191" s="19"/>
      <c r="EM191" s="19"/>
      <c r="EN191" s="19"/>
      <c r="EO191" s="19"/>
      <c r="EP191" s="17"/>
      <c r="EQ191" s="23"/>
      <c r="ER191" s="23" t="str">
        <f t="shared" si="1"/>
        <v/>
      </c>
      <c r="ES191" s="19"/>
      <c r="ET191" s="19" t="str">
        <f t="shared" si="2"/>
        <v/>
      </c>
      <c r="EU191" s="19"/>
      <c r="EV191" s="19"/>
      <c r="EW191" s="19"/>
      <c r="EX191" s="19"/>
      <c r="EY191" s="19"/>
      <c r="EZ191" s="19"/>
      <c r="FA191" s="19"/>
      <c r="FB191" s="19"/>
    </row>
    <row r="192" ht="15.75" customHeight="1">
      <c r="A192" s="19"/>
      <c r="F192" s="19"/>
      <c r="AH192" s="23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/>
      <c r="CK192" s="19"/>
      <c r="CL192" s="19"/>
      <c r="CM192" s="19"/>
      <c r="CN192" s="19"/>
      <c r="CO192" s="19"/>
      <c r="CP192" s="19"/>
      <c r="CQ192" s="19"/>
      <c r="CR192" s="19"/>
      <c r="CS192" s="19"/>
      <c r="CT192" s="19"/>
      <c r="CU192" s="19"/>
      <c r="CV192" s="19"/>
      <c r="CW192" s="19"/>
      <c r="CX192" s="19"/>
      <c r="CY192" s="19"/>
      <c r="CZ192" s="19"/>
      <c r="DA192" s="19"/>
      <c r="DB192" s="19"/>
      <c r="DC192" s="19"/>
      <c r="DD192" s="19"/>
      <c r="DE192" s="19"/>
      <c r="DF192" s="19"/>
      <c r="DG192" s="19"/>
      <c r="DH192" s="19"/>
      <c r="DI192" s="19"/>
      <c r="DJ192" s="19"/>
      <c r="DK192" s="19"/>
      <c r="DL192" s="19"/>
      <c r="DM192" s="19"/>
      <c r="DN192" s="19"/>
      <c r="DO192" s="19"/>
      <c r="DP192" s="19"/>
      <c r="DQ192" s="19"/>
      <c r="DR192" s="19"/>
      <c r="DS192" s="19"/>
      <c r="DT192" s="19"/>
      <c r="DU192" s="19"/>
      <c r="DV192" s="19"/>
      <c r="DW192" s="19"/>
      <c r="DX192" s="19"/>
      <c r="DY192" s="19"/>
      <c r="DZ192" s="19"/>
      <c r="EA192" s="19"/>
      <c r="EB192" s="19"/>
      <c r="EC192" s="19"/>
      <c r="ED192" s="19"/>
      <c r="EE192" s="19"/>
      <c r="EF192" s="19"/>
      <c r="EG192" s="19"/>
      <c r="EH192" s="19"/>
      <c r="EI192" s="19"/>
      <c r="EJ192" s="19"/>
      <c r="EK192" s="19"/>
      <c r="EL192" s="19"/>
      <c r="EM192" s="19"/>
      <c r="EN192" s="19"/>
      <c r="EO192" s="19"/>
      <c r="EP192" s="17"/>
      <c r="EQ192" s="23"/>
      <c r="ER192" s="23" t="str">
        <f t="shared" si="1"/>
        <v/>
      </c>
      <c r="ES192" s="19"/>
      <c r="ET192" s="19" t="str">
        <f t="shared" si="2"/>
        <v/>
      </c>
      <c r="EU192" s="19"/>
      <c r="EV192" s="19"/>
      <c r="EW192" s="19"/>
      <c r="EX192" s="19"/>
      <c r="EY192" s="19"/>
      <c r="EZ192" s="19"/>
      <c r="FA192" s="19"/>
      <c r="FB192" s="19"/>
    </row>
    <row r="193" ht="15.75" customHeight="1">
      <c r="A193" s="19"/>
      <c r="F193" s="19"/>
      <c r="AH193" s="23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  <c r="CL193" s="19"/>
      <c r="CM193" s="19"/>
      <c r="CN193" s="19"/>
      <c r="CO193" s="19"/>
      <c r="CP193" s="19"/>
      <c r="CQ193" s="19"/>
      <c r="CR193" s="19"/>
      <c r="CS193" s="19"/>
      <c r="CT193" s="19"/>
      <c r="CU193" s="19"/>
      <c r="CV193" s="19"/>
      <c r="CW193" s="19"/>
      <c r="CX193" s="19"/>
      <c r="CY193" s="19"/>
      <c r="CZ193" s="19"/>
      <c r="DA193" s="19"/>
      <c r="DB193" s="19"/>
      <c r="DC193" s="19"/>
      <c r="DD193" s="19"/>
      <c r="DE193" s="19"/>
      <c r="DF193" s="19"/>
      <c r="DG193" s="19"/>
      <c r="DH193" s="19"/>
      <c r="DI193" s="19"/>
      <c r="DJ193" s="19"/>
      <c r="DK193" s="19"/>
      <c r="DL193" s="19"/>
      <c r="DM193" s="19"/>
      <c r="DN193" s="19"/>
      <c r="DO193" s="19"/>
      <c r="DP193" s="19"/>
      <c r="DQ193" s="19"/>
      <c r="DR193" s="19"/>
      <c r="DS193" s="19"/>
      <c r="DT193" s="19"/>
      <c r="DU193" s="19"/>
      <c r="DV193" s="19"/>
      <c r="DW193" s="19"/>
      <c r="DX193" s="19"/>
      <c r="DY193" s="19"/>
      <c r="DZ193" s="19"/>
      <c r="EA193" s="19"/>
      <c r="EB193" s="19"/>
      <c r="EC193" s="19"/>
      <c r="ED193" s="19"/>
      <c r="EE193" s="19"/>
      <c r="EF193" s="19"/>
      <c r="EG193" s="19"/>
      <c r="EH193" s="19"/>
      <c r="EI193" s="19"/>
      <c r="EJ193" s="19"/>
      <c r="EK193" s="19"/>
      <c r="EL193" s="19"/>
      <c r="EM193" s="19"/>
      <c r="EN193" s="19"/>
      <c r="EO193" s="19"/>
      <c r="EP193" s="17"/>
      <c r="EQ193" s="23"/>
      <c r="ER193" s="23" t="str">
        <f t="shared" si="1"/>
        <v/>
      </c>
      <c r="ES193" s="19"/>
      <c r="ET193" s="19" t="str">
        <f t="shared" si="2"/>
        <v/>
      </c>
      <c r="EU193" s="19"/>
      <c r="EV193" s="19"/>
      <c r="EW193" s="19"/>
      <c r="EX193" s="19"/>
      <c r="EY193" s="19"/>
      <c r="EZ193" s="19"/>
      <c r="FA193" s="19"/>
      <c r="FB193" s="19"/>
    </row>
    <row r="194" ht="15.75" customHeight="1">
      <c r="A194" s="19"/>
      <c r="F194" s="19"/>
      <c r="AH194" s="23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  <c r="CD194" s="19"/>
      <c r="CE194" s="19"/>
      <c r="CF194" s="19"/>
      <c r="CG194" s="19"/>
      <c r="CH194" s="19"/>
      <c r="CI194" s="19"/>
      <c r="CJ194" s="19"/>
      <c r="CK194" s="19"/>
      <c r="CL194" s="19"/>
      <c r="CM194" s="19"/>
      <c r="CN194" s="19"/>
      <c r="CO194" s="19"/>
      <c r="CP194" s="19"/>
      <c r="CQ194" s="19"/>
      <c r="CR194" s="19"/>
      <c r="CS194" s="19"/>
      <c r="CT194" s="19"/>
      <c r="CU194" s="19"/>
      <c r="CV194" s="19"/>
      <c r="CW194" s="19"/>
      <c r="CX194" s="19"/>
      <c r="CY194" s="19"/>
      <c r="CZ194" s="19"/>
      <c r="DA194" s="19"/>
      <c r="DB194" s="19"/>
      <c r="DC194" s="19"/>
      <c r="DD194" s="19"/>
      <c r="DE194" s="19"/>
      <c r="DF194" s="19"/>
      <c r="DG194" s="19"/>
      <c r="DH194" s="19"/>
      <c r="DI194" s="19"/>
      <c r="DJ194" s="19"/>
      <c r="DK194" s="19"/>
      <c r="DL194" s="19"/>
      <c r="DM194" s="19"/>
      <c r="DN194" s="19"/>
      <c r="DO194" s="19"/>
      <c r="DP194" s="19"/>
      <c r="DQ194" s="19"/>
      <c r="DR194" s="19"/>
      <c r="DS194" s="19"/>
      <c r="DT194" s="19"/>
      <c r="DU194" s="19"/>
      <c r="DV194" s="19"/>
      <c r="DW194" s="19"/>
      <c r="DX194" s="19"/>
      <c r="DY194" s="19"/>
      <c r="DZ194" s="19"/>
      <c r="EA194" s="19"/>
      <c r="EB194" s="19"/>
      <c r="EC194" s="19"/>
      <c r="ED194" s="19"/>
      <c r="EE194" s="19"/>
      <c r="EF194" s="19"/>
      <c r="EG194" s="19"/>
      <c r="EH194" s="19"/>
      <c r="EI194" s="19"/>
      <c r="EJ194" s="19"/>
      <c r="EK194" s="19"/>
      <c r="EL194" s="19"/>
      <c r="EM194" s="19"/>
      <c r="EN194" s="19"/>
      <c r="EO194" s="19"/>
      <c r="EP194" s="17"/>
      <c r="EQ194" s="23"/>
      <c r="ER194" s="23" t="str">
        <f t="shared" si="1"/>
        <v/>
      </c>
      <c r="ES194" s="19"/>
      <c r="ET194" s="19" t="str">
        <f t="shared" si="2"/>
        <v/>
      </c>
      <c r="EU194" s="19"/>
      <c r="EV194" s="19"/>
      <c r="EW194" s="19"/>
      <c r="EX194" s="19"/>
      <c r="EY194" s="19"/>
      <c r="EZ194" s="19"/>
      <c r="FA194" s="19"/>
      <c r="FB194" s="19"/>
    </row>
    <row r="195" ht="15.75" customHeight="1">
      <c r="A195" s="19"/>
      <c r="F195" s="19"/>
      <c r="AH195" s="23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  <c r="CD195" s="19"/>
      <c r="CE195" s="19"/>
      <c r="CF195" s="19"/>
      <c r="CG195" s="19"/>
      <c r="CH195" s="19"/>
      <c r="CI195" s="19"/>
      <c r="CJ195" s="19"/>
      <c r="CK195" s="19"/>
      <c r="CL195" s="19"/>
      <c r="CM195" s="19"/>
      <c r="CN195" s="19"/>
      <c r="CO195" s="19"/>
      <c r="CP195" s="19"/>
      <c r="CQ195" s="19"/>
      <c r="CR195" s="19"/>
      <c r="CS195" s="19"/>
      <c r="CT195" s="19"/>
      <c r="CU195" s="19"/>
      <c r="CV195" s="19"/>
      <c r="CW195" s="19"/>
      <c r="CX195" s="19"/>
      <c r="CY195" s="19"/>
      <c r="CZ195" s="19"/>
      <c r="DA195" s="19"/>
      <c r="DB195" s="19"/>
      <c r="DC195" s="19"/>
      <c r="DD195" s="19"/>
      <c r="DE195" s="19"/>
      <c r="DF195" s="19"/>
      <c r="DG195" s="19"/>
      <c r="DH195" s="19"/>
      <c r="DI195" s="19"/>
      <c r="DJ195" s="19"/>
      <c r="DK195" s="19"/>
      <c r="DL195" s="19"/>
      <c r="DM195" s="19"/>
      <c r="DN195" s="19"/>
      <c r="DO195" s="19"/>
      <c r="DP195" s="19"/>
      <c r="DQ195" s="19"/>
      <c r="DR195" s="19"/>
      <c r="DS195" s="19"/>
      <c r="DT195" s="19"/>
      <c r="DU195" s="19"/>
      <c r="DV195" s="19"/>
      <c r="DW195" s="19"/>
      <c r="DX195" s="19"/>
      <c r="DY195" s="19"/>
      <c r="DZ195" s="19"/>
      <c r="EA195" s="19"/>
      <c r="EB195" s="19"/>
      <c r="EC195" s="19"/>
      <c r="ED195" s="19"/>
      <c r="EE195" s="19"/>
      <c r="EF195" s="19"/>
      <c r="EG195" s="19"/>
      <c r="EH195" s="19"/>
      <c r="EI195" s="19"/>
      <c r="EJ195" s="19"/>
      <c r="EK195" s="19"/>
      <c r="EL195" s="19"/>
      <c r="EM195" s="19"/>
      <c r="EN195" s="19"/>
      <c r="EO195" s="19"/>
      <c r="EP195" s="17"/>
      <c r="EQ195" s="23"/>
      <c r="ER195" s="23" t="str">
        <f t="shared" si="1"/>
        <v/>
      </c>
      <c r="ES195" s="19"/>
      <c r="ET195" s="19" t="str">
        <f t="shared" si="2"/>
        <v/>
      </c>
      <c r="EU195" s="19"/>
      <c r="EV195" s="19"/>
      <c r="EW195" s="19"/>
      <c r="EX195" s="19"/>
      <c r="EY195" s="19"/>
      <c r="EZ195" s="19"/>
      <c r="FA195" s="19"/>
      <c r="FB195" s="19"/>
    </row>
    <row r="196" ht="15.75" customHeight="1">
      <c r="A196" s="19"/>
      <c r="F196" s="19"/>
      <c r="AH196" s="23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  <c r="CD196" s="19"/>
      <c r="CE196" s="19"/>
      <c r="CF196" s="19"/>
      <c r="CG196" s="19"/>
      <c r="CH196" s="19"/>
      <c r="CI196" s="19"/>
      <c r="CJ196" s="19"/>
      <c r="CK196" s="19"/>
      <c r="CL196" s="19"/>
      <c r="CM196" s="19"/>
      <c r="CN196" s="19"/>
      <c r="CO196" s="19"/>
      <c r="CP196" s="19"/>
      <c r="CQ196" s="19"/>
      <c r="CR196" s="19"/>
      <c r="CS196" s="19"/>
      <c r="CT196" s="19"/>
      <c r="CU196" s="19"/>
      <c r="CV196" s="19"/>
      <c r="CW196" s="19"/>
      <c r="CX196" s="19"/>
      <c r="CY196" s="19"/>
      <c r="CZ196" s="19"/>
      <c r="DA196" s="19"/>
      <c r="DB196" s="19"/>
      <c r="DC196" s="19"/>
      <c r="DD196" s="19"/>
      <c r="DE196" s="19"/>
      <c r="DF196" s="19"/>
      <c r="DG196" s="19"/>
      <c r="DH196" s="19"/>
      <c r="DI196" s="19"/>
      <c r="DJ196" s="19"/>
      <c r="DK196" s="19"/>
      <c r="DL196" s="19"/>
      <c r="DM196" s="19"/>
      <c r="DN196" s="19"/>
      <c r="DO196" s="19"/>
      <c r="DP196" s="19"/>
      <c r="DQ196" s="19"/>
      <c r="DR196" s="19"/>
      <c r="DS196" s="19"/>
      <c r="DT196" s="19"/>
      <c r="DU196" s="19"/>
      <c r="DV196" s="19"/>
      <c r="DW196" s="19"/>
      <c r="DX196" s="19"/>
      <c r="DY196" s="19"/>
      <c r="DZ196" s="19"/>
      <c r="EA196" s="19"/>
      <c r="EB196" s="19"/>
      <c r="EC196" s="19"/>
      <c r="ED196" s="19"/>
      <c r="EE196" s="19"/>
      <c r="EF196" s="19"/>
      <c r="EG196" s="19"/>
      <c r="EH196" s="19"/>
      <c r="EI196" s="19"/>
      <c r="EJ196" s="19"/>
      <c r="EK196" s="19"/>
      <c r="EL196" s="19"/>
      <c r="EM196" s="19"/>
      <c r="EN196" s="19"/>
      <c r="EO196" s="19"/>
      <c r="EP196" s="17"/>
      <c r="EQ196" s="23"/>
      <c r="ER196" s="23" t="str">
        <f t="shared" si="1"/>
        <v/>
      </c>
      <c r="ES196" s="19"/>
      <c r="ET196" s="19" t="str">
        <f t="shared" si="2"/>
        <v/>
      </c>
      <c r="EU196" s="19"/>
      <c r="EV196" s="19"/>
      <c r="EW196" s="19"/>
      <c r="EX196" s="19"/>
      <c r="EY196" s="19"/>
      <c r="EZ196" s="19"/>
      <c r="FA196" s="19"/>
      <c r="FB196" s="19"/>
    </row>
    <row r="197" ht="15.75" customHeight="1">
      <c r="A197" s="19"/>
      <c r="F197" s="19"/>
      <c r="AH197" s="23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  <c r="CD197" s="19"/>
      <c r="CE197" s="19"/>
      <c r="CF197" s="19"/>
      <c r="CG197" s="19"/>
      <c r="CH197" s="19"/>
      <c r="CI197" s="19"/>
      <c r="CJ197" s="19"/>
      <c r="CK197" s="19"/>
      <c r="CL197" s="19"/>
      <c r="CM197" s="19"/>
      <c r="CN197" s="19"/>
      <c r="CO197" s="19"/>
      <c r="CP197" s="19"/>
      <c r="CQ197" s="19"/>
      <c r="CR197" s="19"/>
      <c r="CS197" s="19"/>
      <c r="CT197" s="19"/>
      <c r="CU197" s="19"/>
      <c r="CV197" s="19"/>
      <c r="CW197" s="19"/>
      <c r="CX197" s="19"/>
      <c r="CY197" s="19"/>
      <c r="CZ197" s="19"/>
      <c r="DA197" s="19"/>
      <c r="DB197" s="19"/>
      <c r="DC197" s="19"/>
      <c r="DD197" s="19"/>
      <c r="DE197" s="19"/>
      <c r="DF197" s="19"/>
      <c r="DG197" s="19"/>
      <c r="DH197" s="19"/>
      <c r="DI197" s="19"/>
      <c r="DJ197" s="19"/>
      <c r="DK197" s="19"/>
      <c r="DL197" s="19"/>
      <c r="DM197" s="19"/>
      <c r="DN197" s="19"/>
      <c r="DO197" s="19"/>
      <c r="DP197" s="19"/>
      <c r="DQ197" s="19"/>
      <c r="DR197" s="19"/>
      <c r="DS197" s="19"/>
      <c r="DT197" s="19"/>
      <c r="DU197" s="19"/>
      <c r="DV197" s="19"/>
      <c r="DW197" s="19"/>
      <c r="DX197" s="19"/>
      <c r="DY197" s="19"/>
      <c r="DZ197" s="19"/>
      <c r="EA197" s="19"/>
      <c r="EB197" s="19"/>
      <c r="EC197" s="19"/>
      <c r="ED197" s="19"/>
      <c r="EE197" s="19"/>
      <c r="EF197" s="19"/>
      <c r="EG197" s="19"/>
      <c r="EH197" s="19"/>
      <c r="EI197" s="19"/>
      <c r="EJ197" s="19"/>
      <c r="EK197" s="19"/>
      <c r="EL197" s="19"/>
      <c r="EM197" s="19"/>
      <c r="EN197" s="19"/>
      <c r="EO197" s="19"/>
      <c r="EP197" s="17"/>
      <c r="EQ197" s="23"/>
      <c r="ER197" s="23" t="str">
        <f t="shared" si="1"/>
        <v/>
      </c>
      <c r="ES197" s="19"/>
      <c r="ET197" s="19" t="str">
        <f t="shared" si="2"/>
        <v/>
      </c>
      <c r="EU197" s="19"/>
      <c r="EV197" s="19"/>
      <c r="EW197" s="19"/>
      <c r="EX197" s="19"/>
      <c r="EY197" s="19"/>
      <c r="EZ197" s="19"/>
      <c r="FA197" s="19"/>
      <c r="FB197" s="19"/>
    </row>
    <row r="198" ht="15.75" customHeight="1">
      <c r="A198" s="19"/>
      <c r="F198" s="19"/>
      <c r="AH198" s="23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  <c r="CD198" s="19"/>
      <c r="CE198" s="19"/>
      <c r="CF198" s="19"/>
      <c r="CG198" s="19"/>
      <c r="CH198" s="19"/>
      <c r="CI198" s="19"/>
      <c r="CJ198" s="19"/>
      <c r="CK198" s="19"/>
      <c r="CL198" s="19"/>
      <c r="CM198" s="19"/>
      <c r="CN198" s="19"/>
      <c r="CO198" s="19"/>
      <c r="CP198" s="19"/>
      <c r="CQ198" s="19"/>
      <c r="CR198" s="19"/>
      <c r="CS198" s="19"/>
      <c r="CT198" s="19"/>
      <c r="CU198" s="19"/>
      <c r="CV198" s="19"/>
      <c r="CW198" s="19"/>
      <c r="CX198" s="19"/>
      <c r="CY198" s="19"/>
      <c r="CZ198" s="19"/>
      <c r="DA198" s="19"/>
      <c r="DB198" s="19"/>
      <c r="DC198" s="19"/>
      <c r="DD198" s="19"/>
      <c r="DE198" s="19"/>
      <c r="DF198" s="19"/>
      <c r="DG198" s="19"/>
      <c r="DH198" s="19"/>
      <c r="DI198" s="19"/>
      <c r="DJ198" s="19"/>
      <c r="DK198" s="19"/>
      <c r="DL198" s="19"/>
      <c r="DM198" s="19"/>
      <c r="DN198" s="19"/>
      <c r="DO198" s="19"/>
      <c r="DP198" s="19"/>
      <c r="DQ198" s="19"/>
      <c r="DR198" s="19"/>
      <c r="DS198" s="19"/>
      <c r="DT198" s="19"/>
      <c r="DU198" s="19"/>
      <c r="DV198" s="19"/>
      <c r="DW198" s="19"/>
      <c r="DX198" s="19"/>
      <c r="DY198" s="19"/>
      <c r="DZ198" s="19"/>
      <c r="EA198" s="19"/>
      <c r="EB198" s="19"/>
      <c r="EC198" s="19"/>
      <c r="ED198" s="19"/>
      <c r="EE198" s="19"/>
      <c r="EF198" s="19"/>
      <c r="EG198" s="19"/>
      <c r="EH198" s="19"/>
      <c r="EI198" s="19"/>
      <c r="EJ198" s="19"/>
      <c r="EK198" s="19"/>
      <c r="EL198" s="19"/>
      <c r="EM198" s="19"/>
      <c r="EN198" s="19"/>
      <c r="EO198" s="19"/>
      <c r="EP198" s="17"/>
      <c r="EQ198" s="23"/>
      <c r="ER198" s="23" t="str">
        <f t="shared" si="1"/>
        <v/>
      </c>
      <c r="ES198" s="19"/>
      <c r="ET198" s="19" t="str">
        <f t="shared" si="2"/>
        <v/>
      </c>
      <c r="EU198" s="19"/>
      <c r="EV198" s="19"/>
      <c r="EW198" s="19"/>
      <c r="EX198" s="19"/>
      <c r="EY198" s="19"/>
      <c r="EZ198" s="19"/>
      <c r="FA198" s="19"/>
      <c r="FB198" s="19"/>
    </row>
    <row r="199" ht="15.75" customHeight="1">
      <c r="A199" s="19"/>
      <c r="F199" s="19"/>
      <c r="AH199" s="23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  <c r="CD199" s="19"/>
      <c r="CE199" s="19"/>
      <c r="CF199" s="19"/>
      <c r="CG199" s="19"/>
      <c r="CH199" s="19"/>
      <c r="CI199" s="19"/>
      <c r="CJ199" s="19"/>
      <c r="CK199" s="19"/>
      <c r="CL199" s="19"/>
      <c r="CM199" s="19"/>
      <c r="CN199" s="19"/>
      <c r="CO199" s="19"/>
      <c r="CP199" s="19"/>
      <c r="CQ199" s="19"/>
      <c r="CR199" s="19"/>
      <c r="CS199" s="19"/>
      <c r="CT199" s="19"/>
      <c r="CU199" s="19"/>
      <c r="CV199" s="19"/>
      <c r="CW199" s="19"/>
      <c r="CX199" s="19"/>
      <c r="CY199" s="19"/>
      <c r="CZ199" s="19"/>
      <c r="DA199" s="19"/>
      <c r="DB199" s="19"/>
      <c r="DC199" s="19"/>
      <c r="DD199" s="19"/>
      <c r="DE199" s="19"/>
      <c r="DF199" s="19"/>
      <c r="DG199" s="19"/>
      <c r="DH199" s="19"/>
      <c r="DI199" s="19"/>
      <c r="DJ199" s="19"/>
      <c r="DK199" s="19"/>
      <c r="DL199" s="19"/>
      <c r="DM199" s="19"/>
      <c r="DN199" s="19"/>
      <c r="DO199" s="19"/>
      <c r="DP199" s="19"/>
      <c r="DQ199" s="19"/>
      <c r="DR199" s="19"/>
      <c r="DS199" s="19"/>
      <c r="DT199" s="19"/>
      <c r="DU199" s="19"/>
      <c r="DV199" s="19"/>
      <c r="DW199" s="19"/>
      <c r="DX199" s="19"/>
      <c r="DY199" s="19"/>
      <c r="DZ199" s="19"/>
      <c r="EA199" s="19"/>
      <c r="EB199" s="19"/>
      <c r="EC199" s="19"/>
      <c r="ED199" s="19"/>
      <c r="EE199" s="19"/>
      <c r="EF199" s="19"/>
      <c r="EG199" s="19"/>
      <c r="EH199" s="19"/>
      <c r="EI199" s="19"/>
      <c r="EJ199" s="19"/>
      <c r="EK199" s="19"/>
      <c r="EL199" s="19"/>
      <c r="EM199" s="19"/>
      <c r="EN199" s="19"/>
      <c r="EO199" s="19"/>
      <c r="EP199" s="17"/>
      <c r="EQ199" s="23"/>
      <c r="ER199" s="23" t="str">
        <f t="shared" si="1"/>
        <v/>
      </c>
      <c r="ES199" s="19"/>
      <c r="ET199" s="19" t="str">
        <f t="shared" si="2"/>
        <v/>
      </c>
      <c r="EU199" s="19"/>
      <c r="EV199" s="19"/>
      <c r="EW199" s="19"/>
      <c r="EX199" s="19"/>
      <c r="EY199" s="19"/>
      <c r="EZ199" s="19"/>
      <c r="FA199" s="19"/>
      <c r="FB199" s="19"/>
    </row>
    <row r="200" ht="15.75" customHeight="1">
      <c r="A200" s="19"/>
      <c r="F200" s="19"/>
      <c r="AH200" s="23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  <c r="CD200" s="19"/>
      <c r="CE200" s="19"/>
      <c r="CF200" s="19"/>
      <c r="CG200" s="19"/>
      <c r="CH200" s="19"/>
      <c r="CI200" s="19"/>
      <c r="CJ200" s="19"/>
      <c r="CK200" s="19"/>
      <c r="CL200" s="19"/>
      <c r="CM200" s="19"/>
      <c r="CN200" s="19"/>
      <c r="CO200" s="19"/>
      <c r="CP200" s="19"/>
      <c r="CQ200" s="19"/>
      <c r="CR200" s="19"/>
      <c r="CS200" s="19"/>
      <c r="CT200" s="19"/>
      <c r="CU200" s="19"/>
      <c r="CV200" s="19"/>
      <c r="CW200" s="19"/>
      <c r="CX200" s="19"/>
      <c r="CY200" s="19"/>
      <c r="CZ200" s="19"/>
      <c r="DA200" s="19"/>
      <c r="DB200" s="19"/>
      <c r="DC200" s="19"/>
      <c r="DD200" s="19"/>
      <c r="DE200" s="19"/>
      <c r="DF200" s="19"/>
      <c r="DG200" s="19"/>
      <c r="DH200" s="19"/>
      <c r="DI200" s="19"/>
      <c r="DJ200" s="19"/>
      <c r="DK200" s="19"/>
      <c r="DL200" s="19"/>
      <c r="DM200" s="19"/>
      <c r="DN200" s="19"/>
      <c r="DO200" s="19"/>
      <c r="DP200" s="19"/>
      <c r="DQ200" s="19"/>
      <c r="DR200" s="19"/>
      <c r="DS200" s="19"/>
      <c r="DT200" s="19"/>
      <c r="DU200" s="19"/>
      <c r="DV200" s="19"/>
      <c r="DW200" s="19"/>
      <c r="DX200" s="19"/>
      <c r="DY200" s="19"/>
      <c r="DZ200" s="19"/>
      <c r="EA200" s="19"/>
      <c r="EB200" s="19"/>
      <c r="EC200" s="19"/>
      <c r="ED200" s="19"/>
      <c r="EE200" s="19"/>
      <c r="EF200" s="19"/>
      <c r="EG200" s="19"/>
      <c r="EH200" s="19"/>
      <c r="EI200" s="19"/>
      <c r="EJ200" s="19"/>
      <c r="EK200" s="19"/>
      <c r="EL200" s="19"/>
      <c r="EM200" s="19"/>
      <c r="EN200" s="19"/>
      <c r="EO200" s="19"/>
      <c r="EP200" s="17"/>
      <c r="EQ200" s="23"/>
      <c r="ER200" s="23" t="str">
        <f t="shared" si="1"/>
        <v/>
      </c>
      <c r="ES200" s="19"/>
      <c r="ET200" s="19" t="str">
        <f t="shared" si="2"/>
        <v/>
      </c>
      <c r="EU200" s="19"/>
      <c r="EV200" s="19"/>
      <c r="EW200" s="19"/>
      <c r="EX200" s="19"/>
      <c r="EY200" s="19"/>
      <c r="EZ200" s="19"/>
      <c r="FA200" s="19"/>
      <c r="FB200" s="19"/>
    </row>
    <row r="201" ht="15.75" customHeight="1">
      <c r="A201" s="19"/>
      <c r="F201" s="19"/>
      <c r="AH201" s="23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/>
      <c r="CK201" s="19"/>
      <c r="CL201" s="19"/>
      <c r="CM201" s="19"/>
      <c r="CN201" s="19"/>
      <c r="CO201" s="19"/>
      <c r="CP201" s="19"/>
      <c r="CQ201" s="19"/>
      <c r="CR201" s="19"/>
      <c r="CS201" s="19"/>
      <c r="CT201" s="19"/>
      <c r="CU201" s="19"/>
      <c r="CV201" s="19"/>
      <c r="CW201" s="19"/>
      <c r="CX201" s="19"/>
      <c r="CY201" s="19"/>
      <c r="CZ201" s="19"/>
      <c r="DA201" s="19"/>
      <c r="DB201" s="19"/>
      <c r="DC201" s="19"/>
      <c r="DD201" s="19"/>
      <c r="DE201" s="19"/>
      <c r="DF201" s="19"/>
      <c r="DG201" s="19"/>
      <c r="DH201" s="19"/>
      <c r="DI201" s="19"/>
      <c r="DJ201" s="19"/>
      <c r="DK201" s="19"/>
      <c r="DL201" s="19"/>
      <c r="DM201" s="19"/>
      <c r="DN201" s="19"/>
      <c r="DO201" s="19"/>
      <c r="DP201" s="19"/>
      <c r="DQ201" s="19"/>
      <c r="DR201" s="19"/>
      <c r="DS201" s="19"/>
      <c r="DT201" s="19"/>
      <c r="DU201" s="19"/>
      <c r="DV201" s="19"/>
      <c r="DW201" s="19"/>
      <c r="DX201" s="19"/>
      <c r="DY201" s="19"/>
      <c r="DZ201" s="19"/>
      <c r="EA201" s="19"/>
      <c r="EB201" s="19"/>
      <c r="EC201" s="19"/>
      <c r="ED201" s="19"/>
      <c r="EE201" s="19"/>
      <c r="EF201" s="19"/>
      <c r="EG201" s="19"/>
      <c r="EH201" s="19"/>
      <c r="EI201" s="19"/>
      <c r="EJ201" s="19"/>
      <c r="EK201" s="19"/>
      <c r="EL201" s="19"/>
      <c r="EM201" s="19"/>
      <c r="EN201" s="19"/>
      <c r="EO201" s="19"/>
      <c r="EP201" s="17"/>
      <c r="EQ201" s="23"/>
      <c r="ER201" s="23" t="str">
        <f t="shared" si="1"/>
        <v/>
      </c>
      <c r="ES201" s="19"/>
      <c r="ET201" s="19" t="str">
        <f t="shared" si="2"/>
        <v/>
      </c>
      <c r="EU201" s="19"/>
      <c r="EV201" s="19"/>
      <c r="EW201" s="19"/>
      <c r="EX201" s="19"/>
      <c r="EY201" s="19"/>
      <c r="EZ201" s="19"/>
      <c r="FA201" s="19"/>
      <c r="FB201" s="19"/>
    </row>
    <row r="202" ht="15.75" customHeight="1">
      <c r="A202" s="19"/>
      <c r="F202" s="19"/>
      <c r="AH202" s="23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  <c r="CD202" s="19"/>
      <c r="CE202" s="19"/>
      <c r="CF202" s="19"/>
      <c r="CG202" s="19"/>
      <c r="CH202" s="19"/>
      <c r="CI202" s="19"/>
      <c r="CJ202" s="19"/>
      <c r="CK202" s="19"/>
      <c r="CL202" s="19"/>
      <c r="CM202" s="19"/>
      <c r="CN202" s="19"/>
      <c r="CO202" s="19"/>
      <c r="CP202" s="19"/>
      <c r="CQ202" s="19"/>
      <c r="CR202" s="19"/>
      <c r="CS202" s="19"/>
      <c r="CT202" s="19"/>
      <c r="CU202" s="19"/>
      <c r="CV202" s="19"/>
      <c r="CW202" s="19"/>
      <c r="CX202" s="19"/>
      <c r="CY202" s="19"/>
      <c r="CZ202" s="19"/>
      <c r="DA202" s="19"/>
      <c r="DB202" s="19"/>
      <c r="DC202" s="19"/>
      <c r="DD202" s="19"/>
      <c r="DE202" s="19"/>
      <c r="DF202" s="19"/>
      <c r="DG202" s="19"/>
      <c r="DH202" s="19"/>
      <c r="DI202" s="19"/>
      <c r="DJ202" s="19"/>
      <c r="DK202" s="19"/>
      <c r="DL202" s="19"/>
      <c r="DM202" s="19"/>
      <c r="DN202" s="19"/>
      <c r="DO202" s="19"/>
      <c r="DP202" s="19"/>
      <c r="DQ202" s="19"/>
      <c r="DR202" s="19"/>
      <c r="DS202" s="19"/>
      <c r="DT202" s="19"/>
      <c r="DU202" s="19"/>
      <c r="DV202" s="19"/>
      <c r="DW202" s="19"/>
      <c r="DX202" s="19"/>
      <c r="DY202" s="19"/>
      <c r="DZ202" s="19"/>
      <c r="EA202" s="19"/>
      <c r="EB202" s="19"/>
      <c r="EC202" s="19"/>
      <c r="ED202" s="19"/>
      <c r="EE202" s="19"/>
      <c r="EF202" s="19"/>
      <c r="EG202" s="19"/>
      <c r="EH202" s="19"/>
      <c r="EI202" s="19"/>
      <c r="EJ202" s="19"/>
      <c r="EK202" s="19"/>
      <c r="EL202" s="19"/>
      <c r="EM202" s="19"/>
      <c r="EN202" s="19"/>
      <c r="EO202" s="19"/>
      <c r="EP202" s="17"/>
      <c r="EQ202" s="23"/>
      <c r="ER202" s="23" t="str">
        <f t="shared" si="1"/>
        <v/>
      </c>
      <c r="ES202" s="19"/>
      <c r="ET202" s="19" t="str">
        <f t="shared" si="2"/>
        <v/>
      </c>
      <c r="EU202" s="19"/>
      <c r="EV202" s="19"/>
      <c r="EW202" s="19"/>
      <c r="EX202" s="19"/>
      <c r="EY202" s="19"/>
      <c r="EZ202" s="19"/>
      <c r="FA202" s="19"/>
      <c r="FB202" s="19"/>
    </row>
    <row r="203" ht="15.75" customHeight="1">
      <c r="A203" s="19"/>
      <c r="F203" s="19"/>
      <c r="AH203" s="23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  <c r="CD203" s="19"/>
      <c r="CE203" s="19"/>
      <c r="CF203" s="19"/>
      <c r="CG203" s="19"/>
      <c r="CH203" s="19"/>
      <c r="CI203" s="19"/>
      <c r="CJ203" s="19"/>
      <c r="CK203" s="19"/>
      <c r="CL203" s="19"/>
      <c r="CM203" s="19"/>
      <c r="CN203" s="19"/>
      <c r="CO203" s="19"/>
      <c r="CP203" s="19"/>
      <c r="CQ203" s="19"/>
      <c r="CR203" s="19"/>
      <c r="CS203" s="19"/>
      <c r="CT203" s="19"/>
      <c r="CU203" s="19"/>
      <c r="CV203" s="19"/>
      <c r="CW203" s="19"/>
      <c r="CX203" s="19"/>
      <c r="CY203" s="19"/>
      <c r="CZ203" s="19"/>
      <c r="DA203" s="19"/>
      <c r="DB203" s="19"/>
      <c r="DC203" s="19"/>
      <c r="DD203" s="19"/>
      <c r="DE203" s="19"/>
      <c r="DF203" s="19"/>
      <c r="DG203" s="19"/>
      <c r="DH203" s="19"/>
      <c r="DI203" s="19"/>
      <c r="DJ203" s="19"/>
      <c r="DK203" s="19"/>
      <c r="DL203" s="19"/>
      <c r="DM203" s="19"/>
      <c r="DN203" s="19"/>
      <c r="DO203" s="19"/>
      <c r="DP203" s="19"/>
      <c r="DQ203" s="19"/>
      <c r="DR203" s="19"/>
      <c r="DS203" s="19"/>
      <c r="DT203" s="19"/>
      <c r="DU203" s="19"/>
      <c r="DV203" s="19"/>
      <c r="DW203" s="19"/>
      <c r="DX203" s="19"/>
      <c r="DY203" s="19"/>
      <c r="DZ203" s="19"/>
      <c r="EA203" s="19"/>
      <c r="EB203" s="19"/>
      <c r="EC203" s="19"/>
      <c r="ED203" s="19"/>
      <c r="EE203" s="19"/>
      <c r="EF203" s="19"/>
      <c r="EG203" s="19"/>
      <c r="EH203" s="19"/>
      <c r="EI203" s="19"/>
      <c r="EJ203" s="19"/>
      <c r="EK203" s="19"/>
      <c r="EL203" s="19"/>
      <c r="EM203" s="19"/>
      <c r="EN203" s="19"/>
      <c r="EO203" s="19"/>
      <c r="EP203" s="17"/>
      <c r="EQ203" s="23"/>
      <c r="ER203" s="23" t="str">
        <f t="shared" si="1"/>
        <v/>
      </c>
      <c r="ES203" s="19"/>
      <c r="ET203" s="19" t="str">
        <f t="shared" si="2"/>
        <v/>
      </c>
      <c r="EU203" s="19"/>
      <c r="EV203" s="19"/>
      <c r="EW203" s="19"/>
      <c r="EX203" s="19"/>
      <c r="EY203" s="19"/>
      <c r="EZ203" s="19"/>
      <c r="FA203" s="19"/>
      <c r="FB203" s="19"/>
    </row>
    <row r="204" ht="15.75" customHeight="1">
      <c r="A204" s="19"/>
      <c r="F204" s="19"/>
      <c r="AH204" s="23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  <c r="CL204" s="19"/>
      <c r="CM204" s="19"/>
      <c r="CN204" s="19"/>
      <c r="CO204" s="19"/>
      <c r="CP204" s="19"/>
      <c r="CQ204" s="19"/>
      <c r="CR204" s="19"/>
      <c r="CS204" s="19"/>
      <c r="CT204" s="19"/>
      <c r="CU204" s="19"/>
      <c r="CV204" s="19"/>
      <c r="CW204" s="19"/>
      <c r="CX204" s="19"/>
      <c r="CY204" s="19"/>
      <c r="CZ204" s="19"/>
      <c r="DA204" s="19"/>
      <c r="DB204" s="19"/>
      <c r="DC204" s="19"/>
      <c r="DD204" s="19"/>
      <c r="DE204" s="19"/>
      <c r="DF204" s="19"/>
      <c r="DG204" s="19"/>
      <c r="DH204" s="19"/>
      <c r="DI204" s="19"/>
      <c r="DJ204" s="19"/>
      <c r="DK204" s="19"/>
      <c r="DL204" s="19"/>
      <c r="DM204" s="19"/>
      <c r="DN204" s="19"/>
      <c r="DO204" s="19"/>
      <c r="DP204" s="19"/>
      <c r="DQ204" s="19"/>
      <c r="DR204" s="19"/>
      <c r="DS204" s="19"/>
      <c r="DT204" s="19"/>
      <c r="DU204" s="19"/>
      <c r="DV204" s="19"/>
      <c r="DW204" s="19"/>
      <c r="DX204" s="19"/>
      <c r="DY204" s="19"/>
      <c r="DZ204" s="19"/>
      <c r="EA204" s="19"/>
      <c r="EB204" s="19"/>
      <c r="EC204" s="19"/>
      <c r="ED204" s="19"/>
      <c r="EE204" s="19"/>
      <c r="EF204" s="19"/>
      <c r="EG204" s="19"/>
      <c r="EH204" s="19"/>
      <c r="EI204" s="19"/>
      <c r="EJ204" s="19"/>
      <c r="EK204" s="19"/>
      <c r="EL204" s="19"/>
      <c r="EM204" s="19"/>
      <c r="EN204" s="19"/>
      <c r="EO204" s="19"/>
      <c r="EP204" s="17"/>
      <c r="EQ204" s="23"/>
      <c r="ER204" s="23" t="str">
        <f t="shared" si="1"/>
        <v/>
      </c>
      <c r="ES204" s="19"/>
      <c r="ET204" s="19" t="str">
        <f t="shared" si="2"/>
        <v/>
      </c>
      <c r="EU204" s="19"/>
      <c r="EV204" s="19"/>
      <c r="EW204" s="19"/>
      <c r="EX204" s="19"/>
      <c r="EY204" s="19"/>
      <c r="EZ204" s="19"/>
      <c r="FA204" s="19"/>
      <c r="FB204" s="19"/>
    </row>
    <row r="205" ht="15.75" customHeight="1">
      <c r="A205" s="19"/>
      <c r="F205" s="19"/>
      <c r="AH205" s="23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  <c r="CD205" s="19"/>
      <c r="CE205" s="19"/>
      <c r="CF205" s="19"/>
      <c r="CG205" s="19"/>
      <c r="CH205" s="19"/>
      <c r="CI205" s="19"/>
      <c r="CJ205" s="19"/>
      <c r="CK205" s="19"/>
      <c r="CL205" s="19"/>
      <c r="CM205" s="19"/>
      <c r="CN205" s="19"/>
      <c r="CO205" s="19"/>
      <c r="CP205" s="19"/>
      <c r="CQ205" s="19"/>
      <c r="CR205" s="19"/>
      <c r="CS205" s="19"/>
      <c r="CT205" s="19"/>
      <c r="CU205" s="19"/>
      <c r="CV205" s="19"/>
      <c r="CW205" s="19"/>
      <c r="CX205" s="19"/>
      <c r="CY205" s="19"/>
      <c r="CZ205" s="19"/>
      <c r="DA205" s="19"/>
      <c r="DB205" s="19"/>
      <c r="DC205" s="19"/>
      <c r="DD205" s="19"/>
      <c r="DE205" s="19"/>
      <c r="DF205" s="19"/>
      <c r="DG205" s="19"/>
      <c r="DH205" s="19"/>
      <c r="DI205" s="19"/>
      <c r="DJ205" s="19"/>
      <c r="DK205" s="19"/>
      <c r="DL205" s="19"/>
      <c r="DM205" s="19"/>
      <c r="DN205" s="19"/>
      <c r="DO205" s="19"/>
      <c r="DP205" s="19"/>
      <c r="DQ205" s="19"/>
      <c r="DR205" s="19"/>
      <c r="DS205" s="19"/>
      <c r="DT205" s="19"/>
      <c r="DU205" s="19"/>
      <c r="DV205" s="19"/>
      <c r="DW205" s="19"/>
      <c r="DX205" s="19"/>
      <c r="DY205" s="19"/>
      <c r="DZ205" s="19"/>
      <c r="EA205" s="19"/>
      <c r="EB205" s="19"/>
      <c r="EC205" s="19"/>
      <c r="ED205" s="19"/>
      <c r="EE205" s="19"/>
      <c r="EF205" s="19"/>
      <c r="EG205" s="19"/>
      <c r="EH205" s="19"/>
      <c r="EI205" s="19"/>
      <c r="EJ205" s="19"/>
      <c r="EK205" s="19"/>
      <c r="EL205" s="19"/>
      <c r="EM205" s="19"/>
      <c r="EN205" s="19"/>
      <c r="EO205" s="19"/>
      <c r="EP205" s="17"/>
      <c r="EQ205" s="23"/>
      <c r="ER205" s="23" t="str">
        <f t="shared" si="1"/>
        <v/>
      </c>
      <c r="ES205" s="19"/>
      <c r="ET205" s="19" t="str">
        <f t="shared" si="2"/>
        <v/>
      </c>
      <c r="EU205" s="19"/>
      <c r="EV205" s="19"/>
      <c r="EW205" s="19"/>
      <c r="EX205" s="19"/>
      <c r="EY205" s="19"/>
      <c r="EZ205" s="19"/>
      <c r="FA205" s="19"/>
      <c r="FB205" s="19"/>
    </row>
    <row r="206" ht="15.75" customHeight="1">
      <c r="A206" s="19"/>
      <c r="F206" s="19"/>
      <c r="AH206" s="23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  <c r="CD206" s="19"/>
      <c r="CE206" s="19"/>
      <c r="CF206" s="19"/>
      <c r="CG206" s="19"/>
      <c r="CH206" s="19"/>
      <c r="CI206" s="19"/>
      <c r="CJ206" s="19"/>
      <c r="CK206" s="19"/>
      <c r="CL206" s="19"/>
      <c r="CM206" s="19"/>
      <c r="CN206" s="19"/>
      <c r="CO206" s="19"/>
      <c r="CP206" s="19"/>
      <c r="CQ206" s="19"/>
      <c r="CR206" s="19"/>
      <c r="CS206" s="19"/>
      <c r="CT206" s="19"/>
      <c r="CU206" s="19"/>
      <c r="CV206" s="19"/>
      <c r="CW206" s="19"/>
      <c r="CX206" s="19"/>
      <c r="CY206" s="19"/>
      <c r="CZ206" s="19"/>
      <c r="DA206" s="19"/>
      <c r="DB206" s="19"/>
      <c r="DC206" s="19"/>
      <c r="DD206" s="19"/>
      <c r="DE206" s="19"/>
      <c r="DF206" s="19"/>
      <c r="DG206" s="19"/>
      <c r="DH206" s="19"/>
      <c r="DI206" s="19"/>
      <c r="DJ206" s="19"/>
      <c r="DK206" s="19"/>
      <c r="DL206" s="19"/>
      <c r="DM206" s="19"/>
      <c r="DN206" s="19"/>
      <c r="DO206" s="19"/>
      <c r="DP206" s="19"/>
      <c r="DQ206" s="19"/>
      <c r="DR206" s="19"/>
      <c r="DS206" s="19"/>
      <c r="DT206" s="19"/>
      <c r="DU206" s="19"/>
      <c r="DV206" s="19"/>
      <c r="DW206" s="19"/>
      <c r="DX206" s="19"/>
      <c r="DY206" s="19"/>
      <c r="DZ206" s="19"/>
      <c r="EA206" s="19"/>
      <c r="EB206" s="19"/>
      <c r="EC206" s="19"/>
      <c r="ED206" s="19"/>
      <c r="EE206" s="19"/>
      <c r="EF206" s="19"/>
      <c r="EG206" s="19"/>
      <c r="EH206" s="19"/>
      <c r="EI206" s="19"/>
      <c r="EJ206" s="19"/>
      <c r="EK206" s="19"/>
      <c r="EL206" s="19"/>
      <c r="EM206" s="19"/>
      <c r="EN206" s="19"/>
      <c r="EO206" s="19"/>
      <c r="EP206" s="17"/>
      <c r="EQ206" s="23"/>
      <c r="ER206" s="23" t="str">
        <f t="shared" si="1"/>
        <v/>
      </c>
      <c r="ES206" s="19"/>
      <c r="ET206" s="19" t="str">
        <f t="shared" si="2"/>
        <v/>
      </c>
      <c r="EU206" s="19"/>
      <c r="EV206" s="19"/>
      <c r="EW206" s="19"/>
      <c r="EX206" s="19"/>
      <c r="EY206" s="19"/>
      <c r="EZ206" s="19"/>
      <c r="FA206" s="19"/>
      <c r="FB206" s="19"/>
    </row>
    <row r="207" ht="15.75" customHeight="1">
      <c r="A207" s="19"/>
      <c r="F207" s="19"/>
      <c r="AH207" s="23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  <c r="CD207" s="19"/>
      <c r="CE207" s="19"/>
      <c r="CF207" s="19"/>
      <c r="CG207" s="19"/>
      <c r="CH207" s="19"/>
      <c r="CI207" s="19"/>
      <c r="CJ207" s="19"/>
      <c r="CK207" s="19"/>
      <c r="CL207" s="19"/>
      <c r="CM207" s="19"/>
      <c r="CN207" s="19"/>
      <c r="CO207" s="19"/>
      <c r="CP207" s="19"/>
      <c r="CQ207" s="19"/>
      <c r="CR207" s="19"/>
      <c r="CS207" s="19"/>
      <c r="CT207" s="19"/>
      <c r="CU207" s="19"/>
      <c r="CV207" s="19"/>
      <c r="CW207" s="19"/>
      <c r="CX207" s="19"/>
      <c r="CY207" s="19"/>
      <c r="CZ207" s="19"/>
      <c r="DA207" s="19"/>
      <c r="DB207" s="19"/>
      <c r="DC207" s="19"/>
      <c r="DD207" s="19"/>
      <c r="DE207" s="19"/>
      <c r="DF207" s="19"/>
      <c r="DG207" s="19"/>
      <c r="DH207" s="19"/>
      <c r="DI207" s="19"/>
      <c r="DJ207" s="19"/>
      <c r="DK207" s="19"/>
      <c r="DL207" s="19"/>
      <c r="DM207" s="19"/>
      <c r="DN207" s="19"/>
      <c r="DO207" s="19"/>
      <c r="DP207" s="19"/>
      <c r="DQ207" s="19"/>
      <c r="DR207" s="19"/>
      <c r="DS207" s="19"/>
      <c r="DT207" s="19"/>
      <c r="DU207" s="19"/>
      <c r="DV207" s="19"/>
      <c r="DW207" s="19"/>
      <c r="DX207" s="19"/>
      <c r="DY207" s="19"/>
      <c r="DZ207" s="19"/>
      <c r="EA207" s="19"/>
      <c r="EB207" s="19"/>
      <c r="EC207" s="19"/>
      <c r="ED207" s="19"/>
      <c r="EE207" s="19"/>
      <c r="EF207" s="19"/>
      <c r="EG207" s="19"/>
      <c r="EH207" s="19"/>
      <c r="EI207" s="19"/>
      <c r="EJ207" s="19"/>
      <c r="EK207" s="19"/>
      <c r="EL207" s="19"/>
      <c r="EM207" s="19"/>
      <c r="EN207" s="19"/>
      <c r="EO207" s="19"/>
      <c r="EP207" s="17"/>
      <c r="EQ207" s="23"/>
      <c r="ER207" s="23" t="str">
        <f t="shared" si="1"/>
        <v/>
      </c>
      <c r="ES207" s="19"/>
      <c r="ET207" s="19" t="str">
        <f t="shared" si="2"/>
        <v/>
      </c>
      <c r="EU207" s="19"/>
      <c r="EV207" s="19"/>
      <c r="EW207" s="19"/>
      <c r="EX207" s="19"/>
      <c r="EY207" s="19"/>
      <c r="EZ207" s="19"/>
      <c r="FA207" s="19"/>
      <c r="FB207" s="19"/>
    </row>
    <row r="208" ht="15.75" customHeight="1">
      <c r="A208" s="19"/>
      <c r="F208" s="19"/>
      <c r="AH208" s="23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  <c r="BD208" s="19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  <c r="BP208" s="19"/>
      <c r="BQ208" s="19"/>
      <c r="BR208" s="19"/>
      <c r="BS208" s="19"/>
      <c r="BT208" s="19"/>
      <c r="BU208" s="19"/>
      <c r="BV208" s="19"/>
      <c r="BW208" s="19"/>
      <c r="BX208" s="19"/>
      <c r="BY208" s="19"/>
      <c r="BZ208" s="19"/>
      <c r="CA208" s="19"/>
      <c r="CB208" s="19"/>
      <c r="CC208" s="19"/>
      <c r="CD208" s="19"/>
      <c r="CE208" s="19"/>
      <c r="CF208" s="19"/>
      <c r="CG208" s="19"/>
      <c r="CH208" s="19"/>
      <c r="CI208" s="19"/>
      <c r="CJ208" s="19"/>
      <c r="CK208" s="19"/>
      <c r="CL208" s="19"/>
      <c r="CM208" s="19"/>
      <c r="CN208" s="19"/>
      <c r="CO208" s="19"/>
      <c r="CP208" s="19"/>
      <c r="CQ208" s="19"/>
      <c r="CR208" s="19"/>
      <c r="CS208" s="19"/>
      <c r="CT208" s="19"/>
      <c r="CU208" s="19"/>
      <c r="CV208" s="19"/>
      <c r="CW208" s="19"/>
      <c r="CX208" s="19"/>
      <c r="CY208" s="19"/>
      <c r="CZ208" s="19"/>
      <c r="DA208" s="19"/>
      <c r="DB208" s="19"/>
      <c r="DC208" s="19"/>
      <c r="DD208" s="19"/>
      <c r="DE208" s="19"/>
      <c r="DF208" s="19"/>
      <c r="DG208" s="19"/>
      <c r="DH208" s="19"/>
      <c r="DI208" s="19"/>
      <c r="DJ208" s="19"/>
      <c r="DK208" s="19"/>
      <c r="DL208" s="19"/>
      <c r="DM208" s="19"/>
      <c r="DN208" s="19"/>
      <c r="DO208" s="19"/>
      <c r="DP208" s="19"/>
      <c r="DQ208" s="19"/>
      <c r="DR208" s="19"/>
      <c r="DS208" s="19"/>
      <c r="DT208" s="19"/>
      <c r="DU208" s="19"/>
      <c r="DV208" s="19"/>
      <c r="DW208" s="19"/>
      <c r="DX208" s="19"/>
      <c r="DY208" s="19"/>
      <c r="DZ208" s="19"/>
      <c r="EA208" s="19"/>
      <c r="EB208" s="19"/>
      <c r="EC208" s="19"/>
      <c r="ED208" s="19"/>
      <c r="EE208" s="19"/>
      <c r="EF208" s="19"/>
      <c r="EG208" s="19"/>
      <c r="EH208" s="19"/>
      <c r="EI208" s="19"/>
      <c r="EJ208" s="19"/>
      <c r="EK208" s="19"/>
      <c r="EL208" s="19"/>
      <c r="EM208" s="19"/>
      <c r="EN208" s="19"/>
      <c r="EO208" s="19"/>
      <c r="EP208" s="17"/>
      <c r="EQ208" s="23"/>
      <c r="ER208" s="23" t="str">
        <f t="shared" si="1"/>
        <v/>
      </c>
      <c r="ES208" s="19"/>
      <c r="ET208" s="19" t="str">
        <f t="shared" si="2"/>
        <v/>
      </c>
      <c r="EU208" s="19"/>
      <c r="EV208" s="19"/>
      <c r="EW208" s="19"/>
      <c r="EX208" s="19"/>
      <c r="EY208" s="19"/>
      <c r="EZ208" s="19"/>
      <c r="FA208" s="19"/>
      <c r="FB208" s="19"/>
    </row>
    <row r="209" ht="15.75" customHeight="1">
      <c r="A209" s="19"/>
      <c r="F209" s="19"/>
      <c r="AH209" s="23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  <c r="BD209" s="19"/>
      <c r="BE209" s="19"/>
      <c r="BF209" s="19"/>
      <c r="BG209" s="19"/>
      <c r="BH209" s="19"/>
      <c r="BI209" s="19"/>
      <c r="BJ209" s="19"/>
      <c r="BK209" s="19"/>
      <c r="BL209" s="19"/>
      <c r="BM209" s="19"/>
      <c r="BN209" s="19"/>
      <c r="BO209" s="19"/>
      <c r="BP209" s="19"/>
      <c r="BQ209" s="19"/>
      <c r="BR209" s="19"/>
      <c r="BS209" s="19"/>
      <c r="BT209" s="19"/>
      <c r="BU209" s="19"/>
      <c r="BV209" s="19"/>
      <c r="BW209" s="19"/>
      <c r="BX209" s="19"/>
      <c r="BY209" s="19"/>
      <c r="BZ209" s="19"/>
      <c r="CA209" s="19"/>
      <c r="CB209" s="19"/>
      <c r="CC209" s="19"/>
      <c r="CD209" s="19"/>
      <c r="CE209" s="19"/>
      <c r="CF209" s="19"/>
      <c r="CG209" s="19"/>
      <c r="CH209" s="19"/>
      <c r="CI209" s="19"/>
      <c r="CJ209" s="19"/>
      <c r="CK209" s="19"/>
      <c r="CL209" s="19"/>
      <c r="CM209" s="19"/>
      <c r="CN209" s="19"/>
      <c r="CO209" s="19"/>
      <c r="CP209" s="19"/>
      <c r="CQ209" s="19"/>
      <c r="CR209" s="19"/>
      <c r="CS209" s="19"/>
      <c r="CT209" s="19"/>
      <c r="CU209" s="19"/>
      <c r="CV209" s="19"/>
      <c r="CW209" s="19"/>
      <c r="CX209" s="19"/>
      <c r="CY209" s="19"/>
      <c r="CZ209" s="19"/>
      <c r="DA209" s="19"/>
      <c r="DB209" s="19"/>
      <c r="DC209" s="19"/>
      <c r="DD209" s="19"/>
      <c r="DE209" s="19"/>
      <c r="DF209" s="19"/>
      <c r="DG209" s="19"/>
      <c r="DH209" s="19"/>
      <c r="DI209" s="19"/>
      <c r="DJ209" s="19"/>
      <c r="DK209" s="19"/>
      <c r="DL209" s="19"/>
      <c r="DM209" s="19"/>
      <c r="DN209" s="19"/>
      <c r="DO209" s="19"/>
      <c r="DP209" s="19"/>
      <c r="DQ209" s="19"/>
      <c r="DR209" s="19"/>
      <c r="DS209" s="19"/>
      <c r="DT209" s="19"/>
      <c r="DU209" s="19"/>
      <c r="DV209" s="19"/>
      <c r="DW209" s="19"/>
      <c r="DX209" s="19"/>
      <c r="DY209" s="19"/>
      <c r="DZ209" s="19"/>
      <c r="EA209" s="19"/>
      <c r="EB209" s="19"/>
      <c r="EC209" s="19"/>
      <c r="ED209" s="19"/>
      <c r="EE209" s="19"/>
      <c r="EF209" s="19"/>
      <c r="EG209" s="19"/>
      <c r="EH209" s="19"/>
      <c r="EI209" s="19"/>
      <c r="EJ209" s="19"/>
      <c r="EK209" s="19"/>
      <c r="EL209" s="19"/>
      <c r="EM209" s="19"/>
      <c r="EN209" s="19"/>
      <c r="EO209" s="19"/>
      <c r="EP209" s="17"/>
      <c r="EQ209" s="23"/>
      <c r="ER209" s="23" t="str">
        <f t="shared" si="1"/>
        <v/>
      </c>
      <c r="ES209" s="19"/>
      <c r="ET209" s="19" t="str">
        <f t="shared" si="2"/>
        <v/>
      </c>
      <c r="EU209" s="19"/>
      <c r="EV209" s="19"/>
      <c r="EW209" s="19"/>
      <c r="EX209" s="19"/>
      <c r="EY209" s="19"/>
      <c r="EZ209" s="19"/>
      <c r="FA209" s="19"/>
      <c r="FB209" s="19"/>
    </row>
    <row r="210" ht="15.75" customHeight="1">
      <c r="A210" s="19"/>
      <c r="F210" s="19"/>
      <c r="AH210" s="23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  <c r="BD210" s="19"/>
      <c r="BE210" s="19"/>
      <c r="BF210" s="19"/>
      <c r="BG210" s="19"/>
      <c r="BH210" s="19"/>
      <c r="BI210" s="19"/>
      <c r="BJ210" s="19"/>
      <c r="BK210" s="19"/>
      <c r="BL210" s="19"/>
      <c r="BM210" s="19"/>
      <c r="BN210" s="19"/>
      <c r="BO210" s="19"/>
      <c r="BP210" s="19"/>
      <c r="BQ210" s="19"/>
      <c r="BR210" s="19"/>
      <c r="BS210" s="19"/>
      <c r="BT210" s="19"/>
      <c r="BU210" s="19"/>
      <c r="BV210" s="19"/>
      <c r="BW210" s="19"/>
      <c r="BX210" s="19"/>
      <c r="BY210" s="19"/>
      <c r="BZ210" s="19"/>
      <c r="CA210" s="19"/>
      <c r="CB210" s="19"/>
      <c r="CC210" s="19"/>
      <c r="CD210" s="19"/>
      <c r="CE210" s="19"/>
      <c r="CF210" s="19"/>
      <c r="CG210" s="19"/>
      <c r="CH210" s="19"/>
      <c r="CI210" s="19"/>
      <c r="CJ210" s="19"/>
      <c r="CK210" s="19"/>
      <c r="CL210" s="19"/>
      <c r="CM210" s="19"/>
      <c r="CN210" s="19"/>
      <c r="CO210" s="19"/>
      <c r="CP210" s="19"/>
      <c r="CQ210" s="19"/>
      <c r="CR210" s="19"/>
      <c r="CS210" s="19"/>
      <c r="CT210" s="19"/>
      <c r="CU210" s="19"/>
      <c r="CV210" s="19"/>
      <c r="CW210" s="19"/>
      <c r="CX210" s="19"/>
      <c r="CY210" s="19"/>
      <c r="CZ210" s="19"/>
      <c r="DA210" s="19"/>
      <c r="DB210" s="19"/>
      <c r="DC210" s="19"/>
      <c r="DD210" s="19"/>
      <c r="DE210" s="19"/>
      <c r="DF210" s="19"/>
      <c r="DG210" s="19"/>
      <c r="DH210" s="19"/>
      <c r="DI210" s="19"/>
      <c r="DJ210" s="19"/>
      <c r="DK210" s="19"/>
      <c r="DL210" s="19"/>
      <c r="DM210" s="19"/>
      <c r="DN210" s="19"/>
      <c r="DO210" s="19"/>
      <c r="DP210" s="19"/>
      <c r="DQ210" s="19"/>
      <c r="DR210" s="19"/>
      <c r="DS210" s="19"/>
      <c r="DT210" s="19"/>
      <c r="DU210" s="19"/>
      <c r="DV210" s="19"/>
      <c r="DW210" s="19"/>
      <c r="DX210" s="19"/>
      <c r="DY210" s="19"/>
      <c r="DZ210" s="19"/>
      <c r="EA210" s="19"/>
      <c r="EB210" s="19"/>
      <c r="EC210" s="19"/>
      <c r="ED210" s="19"/>
      <c r="EE210" s="19"/>
      <c r="EF210" s="19"/>
      <c r="EG210" s="19"/>
      <c r="EH210" s="19"/>
      <c r="EI210" s="19"/>
      <c r="EJ210" s="19"/>
      <c r="EK210" s="19"/>
      <c r="EL210" s="19"/>
      <c r="EM210" s="19"/>
      <c r="EN210" s="19"/>
      <c r="EO210" s="19"/>
      <c r="EP210" s="17"/>
      <c r="EQ210" s="23"/>
      <c r="ER210" s="23" t="str">
        <f t="shared" si="1"/>
        <v/>
      </c>
      <c r="ES210" s="19"/>
      <c r="ET210" s="19" t="str">
        <f t="shared" si="2"/>
        <v/>
      </c>
      <c r="EU210" s="19"/>
      <c r="EV210" s="19"/>
      <c r="EW210" s="19"/>
      <c r="EX210" s="19"/>
      <c r="EY210" s="19"/>
      <c r="EZ210" s="19"/>
      <c r="FA210" s="19"/>
      <c r="FB210" s="19"/>
    </row>
    <row r="211" ht="15.75" customHeight="1">
      <c r="A211" s="19"/>
      <c r="F211" s="19"/>
      <c r="AH211" s="23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  <c r="BD211" s="19"/>
      <c r="BE211" s="19"/>
      <c r="BF211" s="19"/>
      <c r="BG211" s="19"/>
      <c r="BH211" s="19"/>
      <c r="BI211" s="19"/>
      <c r="BJ211" s="19"/>
      <c r="BK211" s="19"/>
      <c r="BL211" s="19"/>
      <c r="BM211" s="19"/>
      <c r="BN211" s="19"/>
      <c r="BO211" s="19"/>
      <c r="BP211" s="19"/>
      <c r="BQ211" s="19"/>
      <c r="BR211" s="19"/>
      <c r="BS211" s="19"/>
      <c r="BT211" s="19"/>
      <c r="BU211" s="19"/>
      <c r="BV211" s="19"/>
      <c r="BW211" s="19"/>
      <c r="BX211" s="19"/>
      <c r="BY211" s="19"/>
      <c r="BZ211" s="19"/>
      <c r="CA211" s="19"/>
      <c r="CB211" s="19"/>
      <c r="CC211" s="19"/>
      <c r="CD211" s="19"/>
      <c r="CE211" s="19"/>
      <c r="CF211" s="19"/>
      <c r="CG211" s="19"/>
      <c r="CH211" s="19"/>
      <c r="CI211" s="19"/>
      <c r="CJ211" s="19"/>
      <c r="CK211" s="19"/>
      <c r="CL211" s="19"/>
      <c r="CM211" s="19"/>
      <c r="CN211" s="19"/>
      <c r="CO211" s="19"/>
      <c r="CP211" s="19"/>
      <c r="CQ211" s="19"/>
      <c r="CR211" s="19"/>
      <c r="CS211" s="19"/>
      <c r="CT211" s="19"/>
      <c r="CU211" s="19"/>
      <c r="CV211" s="19"/>
      <c r="CW211" s="19"/>
      <c r="CX211" s="19"/>
      <c r="CY211" s="19"/>
      <c r="CZ211" s="19"/>
      <c r="DA211" s="19"/>
      <c r="DB211" s="19"/>
      <c r="DC211" s="19"/>
      <c r="DD211" s="19"/>
      <c r="DE211" s="19"/>
      <c r="DF211" s="19"/>
      <c r="DG211" s="19"/>
      <c r="DH211" s="19"/>
      <c r="DI211" s="19"/>
      <c r="DJ211" s="19"/>
      <c r="DK211" s="19"/>
      <c r="DL211" s="19"/>
      <c r="DM211" s="19"/>
      <c r="DN211" s="19"/>
      <c r="DO211" s="19"/>
      <c r="DP211" s="19"/>
      <c r="DQ211" s="19"/>
      <c r="DR211" s="19"/>
      <c r="DS211" s="19"/>
      <c r="DT211" s="19"/>
      <c r="DU211" s="19"/>
      <c r="DV211" s="19"/>
      <c r="DW211" s="19"/>
      <c r="DX211" s="19"/>
      <c r="DY211" s="19"/>
      <c r="DZ211" s="19"/>
      <c r="EA211" s="19"/>
      <c r="EB211" s="19"/>
      <c r="EC211" s="19"/>
      <c r="ED211" s="19"/>
      <c r="EE211" s="19"/>
      <c r="EF211" s="19"/>
      <c r="EG211" s="19"/>
      <c r="EH211" s="19"/>
      <c r="EI211" s="19"/>
      <c r="EJ211" s="19"/>
      <c r="EK211" s="19"/>
      <c r="EL211" s="19"/>
      <c r="EM211" s="19"/>
      <c r="EN211" s="19"/>
      <c r="EO211" s="19"/>
      <c r="EP211" s="17"/>
      <c r="EQ211" s="23"/>
      <c r="ER211" s="23" t="str">
        <f t="shared" si="1"/>
        <v/>
      </c>
      <c r="ES211" s="19"/>
      <c r="ET211" s="19" t="str">
        <f t="shared" si="2"/>
        <v/>
      </c>
      <c r="EU211" s="19"/>
      <c r="EV211" s="19"/>
      <c r="EW211" s="19"/>
      <c r="EX211" s="19"/>
      <c r="EY211" s="19"/>
      <c r="EZ211" s="19"/>
      <c r="FA211" s="19"/>
      <c r="FB211" s="19"/>
    </row>
    <row r="212" ht="15.75" customHeight="1">
      <c r="A212" s="19"/>
      <c r="F212" s="19"/>
      <c r="AH212" s="23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  <c r="BD212" s="19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  <c r="BP212" s="19"/>
      <c r="BQ212" s="19"/>
      <c r="BR212" s="19"/>
      <c r="BS212" s="19"/>
      <c r="BT212" s="19"/>
      <c r="BU212" s="19"/>
      <c r="BV212" s="19"/>
      <c r="BW212" s="19"/>
      <c r="BX212" s="19"/>
      <c r="BY212" s="19"/>
      <c r="BZ212" s="19"/>
      <c r="CA212" s="19"/>
      <c r="CB212" s="19"/>
      <c r="CC212" s="19"/>
      <c r="CD212" s="19"/>
      <c r="CE212" s="19"/>
      <c r="CF212" s="19"/>
      <c r="CG212" s="19"/>
      <c r="CH212" s="19"/>
      <c r="CI212" s="19"/>
      <c r="CJ212" s="19"/>
      <c r="CK212" s="19"/>
      <c r="CL212" s="19"/>
      <c r="CM212" s="19"/>
      <c r="CN212" s="19"/>
      <c r="CO212" s="19"/>
      <c r="CP212" s="19"/>
      <c r="CQ212" s="19"/>
      <c r="CR212" s="19"/>
      <c r="CS212" s="19"/>
      <c r="CT212" s="19"/>
      <c r="CU212" s="19"/>
      <c r="CV212" s="19"/>
      <c r="CW212" s="19"/>
      <c r="CX212" s="19"/>
      <c r="CY212" s="19"/>
      <c r="CZ212" s="19"/>
      <c r="DA212" s="19"/>
      <c r="DB212" s="19"/>
      <c r="DC212" s="19"/>
      <c r="DD212" s="19"/>
      <c r="DE212" s="19"/>
      <c r="DF212" s="19"/>
      <c r="DG212" s="19"/>
      <c r="DH212" s="19"/>
      <c r="DI212" s="19"/>
      <c r="DJ212" s="19"/>
      <c r="DK212" s="19"/>
      <c r="DL212" s="19"/>
      <c r="DM212" s="19"/>
      <c r="DN212" s="19"/>
      <c r="DO212" s="19"/>
      <c r="DP212" s="19"/>
      <c r="DQ212" s="19"/>
      <c r="DR212" s="19"/>
      <c r="DS212" s="19"/>
      <c r="DT212" s="19"/>
      <c r="DU212" s="19"/>
      <c r="DV212" s="19"/>
      <c r="DW212" s="19"/>
      <c r="DX212" s="19"/>
      <c r="DY212" s="19"/>
      <c r="DZ212" s="19"/>
      <c r="EA212" s="19"/>
      <c r="EB212" s="19"/>
      <c r="EC212" s="19"/>
      <c r="ED212" s="19"/>
      <c r="EE212" s="19"/>
      <c r="EF212" s="19"/>
      <c r="EG212" s="19"/>
      <c r="EH212" s="19"/>
      <c r="EI212" s="19"/>
      <c r="EJ212" s="19"/>
      <c r="EK212" s="19"/>
      <c r="EL212" s="19"/>
      <c r="EM212" s="19"/>
      <c r="EN212" s="19"/>
      <c r="EO212" s="19"/>
      <c r="EP212" s="17"/>
      <c r="EQ212" s="23"/>
      <c r="ER212" s="23" t="str">
        <f t="shared" si="1"/>
        <v/>
      </c>
      <c r="ES212" s="19"/>
      <c r="ET212" s="19" t="str">
        <f t="shared" si="2"/>
        <v/>
      </c>
      <c r="EU212" s="19"/>
      <c r="EV212" s="19"/>
      <c r="EW212" s="19"/>
      <c r="EX212" s="19"/>
      <c r="EY212" s="19"/>
      <c r="EZ212" s="19"/>
      <c r="FA212" s="19"/>
      <c r="FB212" s="19"/>
    </row>
    <row r="213" ht="15.75" customHeight="1">
      <c r="A213" s="19"/>
      <c r="F213" s="19"/>
      <c r="AH213" s="23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  <c r="BD213" s="19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  <c r="BP213" s="19"/>
      <c r="BQ213" s="19"/>
      <c r="BR213" s="19"/>
      <c r="BS213" s="19"/>
      <c r="BT213" s="19"/>
      <c r="BU213" s="19"/>
      <c r="BV213" s="19"/>
      <c r="BW213" s="19"/>
      <c r="BX213" s="19"/>
      <c r="BY213" s="19"/>
      <c r="BZ213" s="19"/>
      <c r="CA213" s="19"/>
      <c r="CB213" s="19"/>
      <c r="CC213" s="19"/>
      <c r="CD213" s="19"/>
      <c r="CE213" s="19"/>
      <c r="CF213" s="19"/>
      <c r="CG213" s="19"/>
      <c r="CH213" s="19"/>
      <c r="CI213" s="19"/>
      <c r="CJ213" s="19"/>
      <c r="CK213" s="19"/>
      <c r="CL213" s="19"/>
      <c r="CM213" s="19"/>
      <c r="CN213" s="19"/>
      <c r="CO213" s="19"/>
      <c r="CP213" s="19"/>
      <c r="CQ213" s="19"/>
      <c r="CR213" s="19"/>
      <c r="CS213" s="19"/>
      <c r="CT213" s="19"/>
      <c r="CU213" s="19"/>
      <c r="CV213" s="19"/>
      <c r="CW213" s="19"/>
      <c r="CX213" s="19"/>
      <c r="CY213" s="19"/>
      <c r="CZ213" s="19"/>
      <c r="DA213" s="19"/>
      <c r="DB213" s="19"/>
      <c r="DC213" s="19"/>
      <c r="DD213" s="19"/>
      <c r="DE213" s="19"/>
      <c r="DF213" s="19"/>
      <c r="DG213" s="19"/>
      <c r="DH213" s="19"/>
      <c r="DI213" s="19"/>
      <c r="DJ213" s="19"/>
      <c r="DK213" s="19"/>
      <c r="DL213" s="19"/>
      <c r="DM213" s="19"/>
      <c r="DN213" s="19"/>
      <c r="DO213" s="19"/>
      <c r="DP213" s="19"/>
      <c r="DQ213" s="19"/>
      <c r="DR213" s="19"/>
      <c r="DS213" s="19"/>
      <c r="DT213" s="19"/>
      <c r="DU213" s="19"/>
      <c r="DV213" s="19"/>
      <c r="DW213" s="19"/>
      <c r="DX213" s="19"/>
      <c r="DY213" s="19"/>
      <c r="DZ213" s="19"/>
      <c r="EA213" s="19"/>
      <c r="EB213" s="19"/>
      <c r="EC213" s="19"/>
      <c r="ED213" s="19"/>
      <c r="EE213" s="19"/>
      <c r="EF213" s="19"/>
      <c r="EG213" s="19"/>
      <c r="EH213" s="19"/>
      <c r="EI213" s="19"/>
      <c r="EJ213" s="19"/>
      <c r="EK213" s="19"/>
      <c r="EL213" s="19"/>
      <c r="EM213" s="19"/>
      <c r="EN213" s="19"/>
      <c r="EO213" s="19"/>
      <c r="EP213" s="17"/>
      <c r="EQ213" s="23"/>
      <c r="ER213" s="23" t="str">
        <f t="shared" si="1"/>
        <v/>
      </c>
      <c r="ES213" s="19"/>
      <c r="ET213" s="19" t="str">
        <f t="shared" si="2"/>
        <v/>
      </c>
      <c r="EU213" s="19"/>
      <c r="EV213" s="19"/>
      <c r="EW213" s="19"/>
      <c r="EX213" s="19"/>
      <c r="EY213" s="19"/>
      <c r="EZ213" s="19"/>
      <c r="FA213" s="19"/>
      <c r="FB213" s="19"/>
    </row>
    <row r="214" ht="15.75" customHeight="1">
      <c r="A214" s="19"/>
      <c r="F214" s="19"/>
      <c r="AH214" s="23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  <c r="BD214" s="19"/>
      <c r="BE214" s="19"/>
      <c r="BF214" s="19"/>
      <c r="BG214" s="19"/>
      <c r="BH214" s="19"/>
      <c r="BI214" s="19"/>
      <c r="BJ214" s="19"/>
      <c r="BK214" s="19"/>
      <c r="BL214" s="19"/>
      <c r="BM214" s="19"/>
      <c r="BN214" s="19"/>
      <c r="BO214" s="19"/>
      <c r="BP214" s="19"/>
      <c r="BQ214" s="19"/>
      <c r="BR214" s="19"/>
      <c r="BS214" s="19"/>
      <c r="BT214" s="19"/>
      <c r="BU214" s="19"/>
      <c r="BV214" s="19"/>
      <c r="BW214" s="19"/>
      <c r="BX214" s="19"/>
      <c r="BY214" s="19"/>
      <c r="BZ214" s="19"/>
      <c r="CA214" s="19"/>
      <c r="CB214" s="19"/>
      <c r="CC214" s="19"/>
      <c r="CD214" s="19"/>
      <c r="CE214" s="19"/>
      <c r="CF214" s="19"/>
      <c r="CG214" s="19"/>
      <c r="CH214" s="19"/>
      <c r="CI214" s="19"/>
      <c r="CJ214" s="19"/>
      <c r="CK214" s="19"/>
      <c r="CL214" s="19"/>
      <c r="CM214" s="19"/>
      <c r="CN214" s="19"/>
      <c r="CO214" s="19"/>
      <c r="CP214" s="19"/>
      <c r="CQ214" s="19"/>
      <c r="CR214" s="19"/>
      <c r="CS214" s="19"/>
      <c r="CT214" s="19"/>
      <c r="CU214" s="19"/>
      <c r="CV214" s="19"/>
      <c r="CW214" s="19"/>
      <c r="CX214" s="19"/>
      <c r="CY214" s="19"/>
      <c r="CZ214" s="19"/>
      <c r="DA214" s="19"/>
      <c r="DB214" s="19"/>
      <c r="DC214" s="19"/>
      <c r="DD214" s="19"/>
      <c r="DE214" s="19"/>
      <c r="DF214" s="19"/>
      <c r="DG214" s="19"/>
      <c r="DH214" s="19"/>
      <c r="DI214" s="19"/>
      <c r="DJ214" s="19"/>
      <c r="DK214" s="19"/>
      <c r="DL214" s="19"/>
      <c r="DM214" s="19"/>
      <c r="DN214" s="19"/>
      <c r="DO214" s="19"/>
      <c r="DP214" s="19"/>
      <c r="DQ214" s="19"/>
      <c r="DR214" s="19"/>
      <c r="DS214" s="19"/>
      <c r="DT214" s="19"/>
      <c r="DU214" s="19"/>
      <c r="DV214" s="19"/>
      <c r="DW214" s="19"/>
      <c r="DX214" s="19"/>
      <c r="DY214" s="19"/>
      <c r="DZ214" s="19"/>
      <c r="EA214" s="19"/>
      <c r="EB214" s="19"/>
      <c r="EC214" s="19"/>
      <c r="ED214" s="19"/>
      <c r="EE214" s="19"/>
      <c r="EF214" s="19"/>
      <c r="EG214" s="19"/>
      <c r="EH214" s="19"/>
      <c r="EI214" s="19"/>
      <c r="EJ214" s="19"/>
      <c r="EK214" s="19"/>
      <c r="EL214" s="19"/>
      <c r="EM214" s="19"/>
      <c r="EN214" s="19"/>
      <c r="EO214" s="19"/>
      <c r="EP214" s="17"/>
      <c r="EQ214" s="23"/>
      <c r="ER214" s="23" t="str">
        <f t="shared" si="1"/>
        <v/>
      </c>
      <c r="ES214" s="19"/>
      <c r="ET214" s="19" t="str">
        <f t="shared" si="2"/>
        <v/>
      </c>
      <c r="EU214" s="19"/>
      <c r="EV214" s="19"/>
      <c r="EW214" s="19"/>
      <c r="EX214" s="19"/>
      <c r="EY214" s="19"/>
      <c r="EZ214" s="19"/>
      <c r="FA214" s="19"/>
      <c r="FB214" s="19"/>
    </row>
    <row r="215" ht="15.75" customHeight="1">
      <c r="A215" s="19"/>
      <c r="F215" s="19"/>
      <c r="AH215" s="23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  <c r="BD215" s="19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  <c r="BP215" s="19"/>
      <c r="BQ215" s="19"/>
      <c r="BR215" s="19"/>
      <c r="BS215" s="19"/>
      <c r="BT215" s="19"/>
      <c r="BU215" s="19"/>
      <c r="BV215" s="19"/>
      <c r="BW215" s="19"/>
      <c r="BX215" s="19"/>
      <c r="BY215" s="19"/>
      <c r="BZ215" s="19"/>
      <c r="CA215" s="19"/>
      <c r="CB215" s="19"/>
      <c r="CC215" s="19"/>
      <c r="CD215" s="19"/>
      <c r="CE215" s="19"/>
      <c r="CF215" s="19"/>
      <c r="CG215" s="19"/>
      <c r="CH215" s="19"/>
      <c r="CI215" s="19"/>
      <c r="CJ215" s="19"/>
      <c r="CK215" s="19"/>
      <c r="CL215" s="19"/>
      <c r="CM215" s="19"/>
      <c r="CN215" s="19"/>
      <c r="CO215" s="19"/>
      <c r="CP215" s="19"/>
      <c r="CQ215" s="19"/>
      <c r="CR215" s="19"/>
      <c r="CS215" s="19"/>
      <c r="CT215" s="19"/>
      <c r="CU215" s="19"/>
      <c r="CV215" s="19"/>
      <c r="CW215" s="19"/>
      <c r="CX215" s="19"/>
      <c r="CY215" s="19"/>
      <c r="CZ215" s="19"/>
      <c r="DA215" s="19"/>
      <c r="DB215" s="19"/>
      <c r="DC215" s="19"/>
      <c r="DD215" s="19"/>
      <c r="DE215" s="19"/>
      <c r="DF215" s="19"/>
      <c r="DG215" s="19"/>
      <c r="DH215" s="19"/>
      <c r="DI215" s="19"/>
      <c r="DJ215" s="19"/>
      <c r="DK215" s="19"/>
      <c r="DL215" s="19"/>
      <c r="DM215" s="19"/>
      <c r="DN215" s="19"/>
      <c r="DO215" s="19"/>
      <c r="DP215" s="19"/>
      <c r="DQ215" s="19"/>
      <c r="DR215" s="19"/>
      <c r="DS215" s="19"/>
      <c r="DT215" s="19"/>
      <c r="DU215" s="19"/>
      <c r="DV215" s="19"/>
      <c r="DW215" s="19"/>
      <c r="DX215" s="19"/>
      <c r="DY215" s="19"/>
      <c r="DZ215" s="19"/>
      <c r="EA215" s="19"/>
      <c r="EB215" s="19"/>
      <c r="EC215" s="19"/>
      <c r="ED215" s="19"/>
      <c r="EE215" s="19"/>
      <c r="EF215" s="19"/>
      <c r="EG215" s="19"/>
      <c r="EH215" s="19"/>
      <c r="EI215" s="19"/>
      <c r="EJ215" s="19"/>
      <c r="EK215" s="19"/>
      <c r="EL215" s="19"/>
      <c r="EM215" s="19"/>
      <c r="EN215" s="19"/>
      <c r="EO215" s="19"/>
      <c r="EP215" s="17"/>
      <c r="EQ215" s="23"/>
      <c r="ER215" s="23" t="str">
        <f t="shared" si="1"/>
        <v/>
      </c>
      <c r="ES215" s="19"/>
      <c r="ET215" s="19" t="str">
        <f t="shared" si="2"/>
        <v/>
      </c>
      <c r="EU215" s="19"/>
      <c r="EV215" s="19"/>
      <c r="EW215" s="19"/>
      <c r="EX215" s="19"/>
      <c r="EY215" s="19"/>
      <c r="EZ215" s="19"/>
      <c r="FA215" s="19"/>
      <c r="FB215" s="19"/>
    </row>
    <row r="216" ht="15.75" customHeight="1">
      <c r="A216" s="19"/>
      <c r="F216" s="19"/>
      <c r="AH216" s="23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  <c r="BD216" s="19"/>
      <c r="BE216" s="19"/>
      <c r="BF216" s="19"/>
      <c r="BG216" s="19"/>
      <c r="BH216" s="19"/>
      <c r="BI216" s="19"/>
      <c r="BJ216" s="19"/>
      <c r="BK216" s="19"/>
      <c r="BL216" s="19"/>
      <c r="BM216" s="19"/>
      <c r="BN216" s="19"/>
      <c r="BO216" s="19"/>
      <c r="BP216" s="19"/>
      <c r="BQ216" s="19"/>
      <c r="BR216" s="19"/>
      <c r="BS216" s="19"/>
      <c r="BT216" s="19"/>
      <c r="BU216" s="19"/>
      <c r="BV216" s="19"/>
      <c r="BW216" s="19"/>
      <c r="BX216" s="19"/>
      <c r="BY216" s="19"/>
      <c r="BZ216" s="19"/>
      <c r="CA216" s="19"/>
      <c r="CB216" s="19"/>
      <c r="CC216" s="19"/>
      <c r="CD216" s="19"/>
      <c r="CE216" s="19"/>
      <c r="CF216" s="19"/>
      <c r="CG216" s="19"/>
      <c r="CH216" s="19"/>
      <c r="CI216" s="19"/>
      <c r="CJ216" s="19"/>
      <c r="CK216" s="19"/>
      <c r="CL216" s="19"/>
      <c r="CM216" s="19"/>
      <c r="CN216" s="19"/>
      <c r="CO216" s="19"/>
      <c r="CP216" s="19"/>
      <c r="CQ216" s="19"/>
      <c r="CR216" s="19"/>
      <c r="CS216" s="19"/>
      <c r="CT216" s="19"/>
      <c r="CU216" s="19"/>
      <c r="CV216" s="19"/>
      <c r="CW216" s="19"/>
      <c r="CX216" s="19"/>
      <c r="CY216" s="19"/>
      <c r="CZ216" s="19"/>
      <c r="DA216" s="19"/>
      <c r="DB216" s="19"/>
      <c r="DC216" s="19"/>
      <c r="DD216" s="19"/>
      <c r="DE216" s="19"/>
      <c r="DF216" s="19"/>
      <c r="DG216" s="19"/>
      <c r="DH216" s="19"/>
      <c r="DI216" s="19"/>
      <c r="DJ216" s="19"/>
      <c r="DK216" s="19"/>
      <c r="DL216" s="19"/>
      <c r="DM216" s="19"/>
      <c r="DN216" s="19"/>
      <c r="DO216" s="19"/>
      <c r="DP216" s="19"/>
      <c r="DQ216" s="19"/>
      <c r="DR216" s="19"/>
      <c r="DS216" s="19"/>
      <c r="DT216" s="19"/>
      <c r="DU216" s="19"/>
      <c r="DV216" s="19"/>
      <c r="DW216" s="19"/>
      <c r="DX216" s="19"/>
      <c r="DY216" s="19"/>
      <c r="DZ216" s="19"/>
      <c r="EA216" s="19"/>
      <c r="EB216" s="19"/>
      <c r="EC216" s="19"/>
      <c r="ED216" s="19"/>
      <c r="EE216" s="19"/>
      <c r="EF216" s="19"/>
      <c r="EG216" s="19"/>
      <c r="EH216" s="19"/>
      <c r="EI216" s="19"/>
      <c r="EJ216" s="19"/>
      <c r="EK216" s="19"/>
      <c r="EL216" s="19"/>
      <c r="EM216" s="19"/>
      <c r="EN216" s="19"/>
      <c r="EO216" s="19"/>
      <c r="EP216" s="17"/>
      <c r="EQ216" s="23"/>
      <c r="ER216" s="23" t="str">
        <f t="shared" si="1"/>
        <v/>
      </c>
      <c r="ES216" s="19"/>
      <c r="ET216" s="19" t="str">
        <f t="shared" si="2"/>
        <v/>
      </c>
      <c r="EU216" s="19"/>
      <c r="EV216" s="19"/>
      <c r="EW216" s="19"/>
      <c r="EX216" s="19"/>
      <c r="EY216" s="19"/>
      <c r="EZ216" s="19"/>
      <c r="FA216" s="19"/>
      <c r="FB216" s="19"/>
    </row>
    <row r="217" ht="15.75" customHeight="1">
      <c r="A217" s="19"/>
      <c r="F217" s="19"/>
      <c r="AH217" s="23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  <c r="BD217" s="19"/>
      <c r="BE217" s="19"/>
      <c r="BF217" s="19"/>
      <c r="BG217" s="19"/>
      <c r="BH217" s="19"/>
      <c r="BI217" s="19"/>
      <c r="BJ217" s="19"/>
      <c r="BK217" s="19"/>
      <c r="BL217" s="19"/>
      <c r="BM217" s="19"/>
      <c r="BN217" s="19"/>
      <c r="BO217" s="19"/>
      <c r="BP217" s="19"/>
      <c r="BQ217" s="19"/>
      <c r="BR217" s="19"/>
      <c r="BS217" s="19"/>
      <c r="BT217" s="19"/>
      <c r="BU217" s="19"/>
      <c r="BV217" s="19"/>
      <c r="BW217" s="19"/>
      <c r="BX217" s="19"/>
      <c r="BY217" s="19"/>
      <c r="BZ217" s="19"/>
      <c r="CA217" s="19"/>
      <c r="CB217" s="19"/>
      <c r="CC217" s="19"/>
      <c r="CD217" s="19"/>
      <c r="CE217" s="19"/>
      <c r="CF217" s="19"/>
      <c r="CG217" s="19"/>
      <c r="CH217" s="19"/>
      <c r="CI217" s="19"/>
      <c r="CJ217" s="19"/>
      <c r="CK217" s="19"/>
      <c r="CL217" s="19"/>
      <c r="CM217" s="19"/>
      <c r="CN217" s="19"/>
      <c r="CO217" s="19"/>
      <c r="CP217" s="19"/>
      <c r="CQ217" s="19"/>
      <c r="CR217" s="19"/>
      <c r="CS217" s="19"/>
      <c r="CT217" s="19"/>
      <c r="CU217" s="19"/>
      <c r="CV217" s="19"/>
      <c r="CW217" s="19"/>
      <c r="CX217" s="19"/>
      <c r="CY217" s="19"/>
      <c r="CZ217" s="19"/>
      <c r="DA217" s="19"/>
      <c r="DB217" s="19"/>
      <c r="DC217" s="19"/>
      <c r="DD217" s="19"/>
      <c r="DE217" s="19"/>
      <c r="DF217" s="19"/>
      <c r="DG217" s="19"/>
      <c r="DH217" s="19"/>
      <c r="DI217" s="19"/>
      <c r="DJ217" s="19"/>
      <c r="DK217" s="19"/>
      <c r="DL217" s="19"/>
      <c r="DM217" s="19"/>
      <c r="DN217" s="19"/>
      <c r="DO217" s="19"/>
      <c r="DP217" s="19"/>
      <c r="DQ217" s="19"/>
      <c r="DR217" s="19"/>
      <c r="DS217" s="19"/>
      <c r="DT217" s="19"/>
      <c r="DU217" s="19"/>
      <c r="DV217" s="19"/>
      <c r="DW217" s="19"/>
      <c r="DX217" s="19"/>
      <c r="DY217" s="19"/>
      <c r="DZ217" s="19"/>
      <c r="EA217" s="19"/>
      <c r="EB217" s="19"/>
      <c r="EC217" s="19"/>
      <c r="ED217" s="19"/>
      <c r="EE217" s="19"/>
      <c r="EF217" s="19"/>
      <c r="EG217" s="19"/>
      <c r="EH217" s="19"/>
      <c r="EI217" s="19"/>
      <c r="EJ217" s="19"/>
      <c r="EK217" s="19"/>
      <c r="EL217" s="19"/>
      <c r="EM217" s="19"/>
      <c r="EN217" s="19"/>
      <c r="EO217" s="19"/>
      <c r="EP217" s="17"/>
      <c r="EQ217" s="23"/>
      <c r="ER217" s="23" t="str">
        <f t="shared" si="1"/>
        <v/>
      </c>
      <c r="ES217" s="19"/>
      <c r="ET217" s="19" t="str">
        <f t="shared" si="2"/>
        <v/>
      </c>
      <c r="EU217" s="19"/>
      <c r="EV217" s="19"/>
      <c r="EW217" s="19"/>
      <c r="EX217" s="19"/>
      <c r="EY217" s="19"/>
      <c r="EZ217" s="19"/>
      <c r="FA217" s="19"/>
      <c r="FB217" s="19"/>
    </row>
    <row r="218" ht="15.75" customHeight="1">
      <c r="A218" s="19"/>
      <c r="F218" s="19"/>
      <c r="AH218" s="23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  <c r="BD218" s="19"/>
      <c r="BE218" s="19"/>
      <c r="BF218" s="19"/>
      <c r="BG218" s="19"/>
      <c r="BH218" s="19"/>
      <c r="BI218" s="19"/>
      <c r="BJ218" s="19"/>
      <c r="BK218" s="19"/>
      <c r="BL218" s="19"/>
      <c r="BM218" s="19"/>
      <c r="BN218" s="19"/>
      <c r="BO218" s="19"/>
      <c r="BP218" s="19"/>
      <c r="BQ218" s="19"/>
      <c r="BR218" s="19"/>
      <c r="BS218" s="19"/>
      <c r="BT218" s="19"/>
      <c r="BU218" s="19"/>
      <c r="BV218" s="19"/>
      <c r="BW218" s="19"/>
      <c r="BX218" s="19"/>
      <c r="BY218" s="19"/>
      <c r="BZ218" s="19"/>
      <c r="CA218" s="19"/>
      <c r="CB218" s="19"/>
      <c r="CC218" s="19"/>
      <c r="CD218" s="19"/>
      <c r="CE218" s="19"/>
      <c r="CF218" s="19"/>
      <c r="CG218" s="19"/>
      <c r="CH218" s="19"/>
      <c r="CI218" s="19"/>
      <c r="CJ218" s="19"/>
      <c r="CK218" s="19"/>
      <c r="CL218" s="19"/>
      <c r="CM218" s="19"/>
      <c r="CN218" s="19"/>
      <c r="CO218" s="19"/>
      <c r="CP218" s="19"/>
      <c r="CQ218" s="19"/>
      <c r="CR218" s="19"/>
      <c r="CS218" s="19"/>
      <c r="CT218" s="19"/>
      <c r="CU218" s="19"/>
      <c r="CV218" s="19"/>
      <c r="CW218" s="19"/>
      <c r="CX218" s="19"/>
      <c r="CY218" s="19"/>
      <c r="CZ218" s="19"/>
      <c r="DA218" s="19"/>
      <c r="DB218" s="19"/>
      <c r="DC218" s="19"/>
      <c r="DD218" s="19"/>
      <c r="DE218" s="19"/>
      <c r="DF218" s="19"/>
      <c r="DG218" s="19"/>
      <c r="DH218" s="19"/>
      <c r="DI218" s="19"/>
      <c r="DJ218" s="19"/>
      <c r="DK218" s="19"/>
      <c r="DL218" s="19"/>
      <c r="DM218" s="19"/>
      <c r="DN218" s="19"/>
      <c r="DO218" s="19"/>
      <c r="DP218" s="19"/>
      <c r="DQ218" s="19"/>
      <c r="DR218" s="19"/>
      <c r="DS218" s="19"/>
      <c r="DT218" s="19"/>
      <c r="DU218" s="19"/>
      <c r="DV218" s="19"/>
      <c r="DW218" s="19"/>
      <c r="DX218" s="19"/>
      <c r="DY218" s="19"/>
      <c r="DZ218" s="19"/>
      <c r="EA218" s="19"/>
      <c r="EB218" s="19"/>
      <c r="EC218" s="19"/>
      <c r="ED218" s="19"/>
      <c r="EE218" s="19"/>
      <c r="EF218" s="19"/>
      <c r="EG218" s="19"/>
      <c r="EH218" s="19"/>
      <c r="EI218" s="19"/>
      <c r="EJ218" s="19"/>
      <c r="EK218" s="19"/>
      <c r="EL218" s="19"/>
      <c r="EM218" s="19"/>
      <c r="EN218" s="19"/>
      <c r="EO218" s="19"/>
      <c r="EP218" s="17"/>
      <c r="EQ218" s="23"/>
      <c r="ER218" s="23" t="str">
        <f t="shared" si="1"/>
        <v/>
      </c>
      <c r="ES218" s="19"/>
      <c r="ET218" s="19" t="str">
        <f t="shared" si="2"/>
        <v/>
      </c>
      <c r="EU218" s="19"/>
      <c r="EV218" s="19"/>
      <c r="EW218" s="19"/>
      <c r="EX218" s="19"/>
      <c r="EY218" s="19"/>
      <c r="EZ218" s="19"/>
      <c r="FA218" s="19"/>
      <c r="FB218" s="19"/>
    </row>
    <row r="219" ht="15.75" customHeight="1">
      <c r="A219" s="19"/>
      <c r="F219" s="19"/>
      <c r="AH219" s="23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  <c r="BD219" s="19"/>
      <c r="BE219" s="19"/>
      <c r="BF219" s="19"/>
      <c r="BG219" s="19"/>
      <c r="BH219" s="19"/>
      <c r="BI219" s="19"/>
      <c r="BJ219" s="19"/>
      <c r="BK219" s="19"/>
      <c r="BL219" s="19"/>
      <c r="BM219" s="19"/>
      <c r="BN219" s="19"/>
      <c r="BO219" s="19"/>
      <c r="BP219" s="19"/>
      <c r="BQ219" s="19"/>
      <c r="BR219" s="19"/>
      <c r="BS219" s="19"/>
      <c r="BT219" s="19"/>
      <c r="BU219" s="19"/>
      <c r="BV219" s="19"/>
      <c r="BW219" s="19"/>
      <c r="BX219" s="19"/>
      <c r="BY219" s="19"/>
      <c r="BZ219" s="19"/>
      <c r="CA219" s="19"/>
      <c r="CB219" s="19"/>
      <c r="CC219" s="19"/>
      <c r="CD219" s="19"/>
      <c r="CE219" s="19"/>
      <c r="CF219" s="19"/>
      <c r="CG219" s="19"/>
      <c r="CH219" s="19"/>
      <c r="CI219" s="19"/>
      <c r="CJ219" s="19"/>
      <c r="CK219" s="19"/>
      <c r="CL219" s="19"/>
      <c r="CM219" s="19"/>
      <c r="CN219" s="19"/>
      <c r="CO219" s="19"/>
      <c r="CP219" s="19"/>
      <c r="CQ219" s="19"/>
      <c r="CR219" s="19"/>
      <c r="CS219" s="19"/>
      <c r="CT219" s="19"/>
      <c r="CU219" s="19"/>
      <c r="CV219" s="19"/>
      <c r="CW219" s="19"/>
      <c r="CX219" s="19"/>
      <c r="CY219" s="19"/>
      <c r="CZ219" s="19"/>
      <c r="DA219" s="19"/>
      <c r="DB219" s="19"/>
      <c r="DC219" s="19"/>
      <c r="DD219" s="19"/>
      <c r="DE219" s="19"/>
      <c r="DF219" s="19"/>
      <c r="DG219" s="19"/>
      <c r="DH219" s="19"/>
      <c r="DI219" s="19"/>
      <c r="DJ219" s="19"/>
      <c r="DK219" s="19"/>
      <c r="DL219" s="19"/>
      <c r="DM219" s="19"/>
      <c r="DN219" s="19"/>
      <c r="DO219" s="19"/>
      <c r="DP219" s="19"/>
      <c r="DQ219" s="19"/>
      <c r="DR219" s="19"/>
      <c r="DS219" s="19"/>
      <c r="DT219" s="19"/>
      <c r="DU219" s="19"/>
      <c r="DV219" s="19"/>
      <c r="DW219" s="19"/>
      <c r="DX219" s="19"/>
      <c r="DY219" s="19"/>
      <c r="DZ219" s="19"/>
      <c r="EA219" s="19"/>
      <c r="EB219" s="19"/>
      <c r="EC219" s="19"/>
      <c r="ED219" s="19"/>
      <c r="EE219" s="19"/>
      <c r="EF219" s="19"/>
      <c r="EG219" s="19"/>
      <c r="EH219" s="19"/>
      <c r="EI219" s="19"/>
      <c r="EJ219" s="19"/>
      <c r="EK219" s="19"/>
      <c r="EL219" s="19"/>
      <c r="EM219" s="19"/>
      <c r="EN219" s="19"/>
      <c r="EO219" s="19"/>
      <c r="EP219" s="17"/>
      <c r="EQ219" s="23"/>
      <c r="ER219" s="23" t="str">
        <f t="shared" si="1"/>
        <v/>
      </c>
      <c r="ES219" s="19"/>
      <c r="ET219" s="19" t="str">
        <f t="shared" si="2"/>
        <v/>
      </c>
      <c r="EU219" s="19"/>
      <c r="EV219" s="19"/>
      <c r="EW219" s="19"/>
      <c r="EX219" s="19"/>
      <c r="EY219" s="19"/>
      <c r="EZ219" s="19"/>
      <c r="FA219" s="19"/>
      <c r="FB219" s="19"/>
    </row>
    <row r="220" ht="15.75" customHeight="1">
      <c r="A220" s="19"/>
      <c r="F220" s="19"/>
      <c r="AH220" s="23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  <c r="BD220" s="19"/>
      <c r="BE220" s="19"/>
      <c r="BF220" s="19"/>
      <c r="BG220" s="19"/>
      <c r="BH220" s="19"/>
      <c r="BI220" s="19"/>
      <c r="BJ220" s="19"/>
      <c r="BK220" s="19"/>
      <c r="BL220" s="19"/>
      <c r="BM220" s="19"/>
      <c r="BN220" s="19"/>
      <c r="BO220" s="19"/>
      <c r="BP220" s="19"/>
      <c r="BQ220" s="19"/>
      <c r="BR220" s="19"/>
      <c r="BS220" s="19"/>
      <c r="BT220" s="19"/>
      <c r="BU220" s="19"/>
      <c r="BV220" s="19"/>
      <c r="BW220" s="19"/>
      <c r="BX220" s="19"/>
      <c r="BY220" s="19"/>
      <c r="BZ220" s="19"/>
      <c r="CA220" s="19"/>
      <c r="CB220" s="19"/>
      <c r="CC220" s="19"/>
      <c r="CD220" s="19"/>
      <c r="CE220" s="19"/>
      <c r="CF220" s="19"/>
      <c r="CG220" s="19"/>
      <c r="CH220" s="19"/>
      <c r="CI220" s="19"/>
      <c r="CJ220" s="19"/>
      <c r="CK220" s="19"/>
      <c r="CL220" s="19"/>
      <c r="CM220" s="19"/>
      <c r="CN220" s="19"/>
      <c r="CO220" s="19"/>
      <c r="CP220" s="19"/>
      <c r="CQ220" s="19"/>
      <c r="CR220" s="19"/>
      <c r="CS220" s="19"/>
      <c r="CT220" s="19"/>
      <c r="CU220" s="19"/>
      <c r="CV220" s="19"/>
      <c r="CW220" s="19"/>
      <c r="CX220" s="19"/>
      <c r="CY220" s="19"/>
      <c r="CZ220" s="19"/>
      <c r="DA220" s="19"/>
      <c r="DB220" s="19"/>
      <c r="DC220" s="19"/>
      <c r="DD220" s="19"/>
      <c r="DE220" s="19"/>
      <c r="DF220" s="19"/>
      <c r="DG220" s="19"/>
      <c r="DH220" s="19"/>
      <c r="DI220" s="19"/>
      <c r="DJ220" s="19"/>
      <c r="DK220" s="19"/>
      <c r="DL220" s="19"/>
      <c r="DM220" s="19"/>
      <c r="DN220" s="19"/>
      <c r="DO220" s="19"/>
      <c r="DP220" s="19"/>
      <c r="DQ220" s="19"/>
      <c r="DR220" s="19"/>
      <c r="DS220" s="19"/>
      <c r="DT220" s="19"/>
      <c r="DU220" s="19"/>
      <c r="DV220" s="19"/>
      <c r="DW220" s="19"/>
      <c r="DX220" s="19"/>
      <c r="DY220" s="19"/>
      <c r="DZ220" s="19"/>
      <c r="EA220" s="19"/>
      <c r="EB220" s="19"/>
      <c r="EC220" s="19"/>
      <c r="ED220" s="19"/>
      <c r="EE220" s="19"/>
      <c r="EF220" s="19"/>
      <c r="EG220" s="19"/>
      <c r="EH220" s="19"/>
      <c r="EI220" s="19"/>
      <c r="EJ220" s="19"/>
      <c r="EK220" s="19"/>
      <c r="EL220" s="19"/>
      <c r="EM220" s="19"/>
      <c r="EN220" s="19"/>
      <c r="EO220" s="19"/>
      <c r="EP220" s="17"/>
      <c r="EQ220" s="23"/>
      <c r="ER220" s="23" t="str">
        <f t="shared" si="1"/>
        <v/>
      </c>
      <c r="ES220" s="19"/>
      <c r="ET220" s="19" t="str">
        <f t="shared" si="2"/>
        <v/>
      </c>
      <c r="EU220" s="19"/>
      <c r="EV220" s="19"/>
      <c r="EW220" s="19"/>
      <c r="EX220" s="19"/>
      <c r="EY220" s="19"/>
      <c r="EZ220" s="19"/>
      <c r="FA220" s="19"/>
      <c r="FB220" s="19"/>
    </row>
    <row r="221" ht="15.75" customHeight="1">
      <c r="A221" s="19"/>
      <c r="F221" s="19"/>
      <c r="AH221" s="23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  <c r="BD221" s="19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  <c r="BP221" s="19"/>
      <c r="BQ221" s="19"/>
      <c r="BR221" s="19"/>
      <c r="BS221" s="19"/>
      <c r="BT221" s="19"/>
      <c r="BU221" s="19"/>
      <c r="BV221" s="19"/>
      <c r="BW221" s="19"/>
      <c r="BX221" s="19"/>
      <c r="BY221" s="19"/>
      <c r="BZ221" s="19"/>
      <c r="CA221" s="19"/>
      <c r="CB221" s="19"/>
      <c r="CC221" s="19"/>
      <c r="CD221" s="19"/>
      <c r="CE221" s="19"/>
      <c r="CF221" s="19"/>
      <c r="CG221" s="19"/>
      <c r="CH221" s="19"/>
      <c r="CI221" s="19"/>
      <c r="CJ221" s="19"/>
      <c r="CK221" s="19"/>
      <c r="CL221" s="19"/>
      <c r="CM221" s="19"/>
      <c r="CN221" s="19"/>
      <c r="CO221" s="19"/>
      <c r="CP221" s="19"/>
      <c r="CQ221" s="19"/>
      <c r="CR221" s="19"/>
      <c r="CS221" s="19"/>
      <c r="CT221" s="19"/>
      <c r="CU221" s="19"/>
      <c r="CV221" s="19"/>
      <c r="CW221" s="19"/>
      <c r="CX221" s="19"/>
      <c r="CY221" s="19"/>
      <c r="CZ221" s="19"/>
      <c r="DA221" s="19"/>
      <c r="DB221" s="19"/>
      <c r="DC221" s="19"/>
      <c r="DD221" s="19"/>
      <c r="DE221" s="19"/>
      <c r="DF221" s="19"/>
      <c r="DG221" s="19"/>
      <c r="DH221" s="19"/>
      <c r="DI221" s="19"/>
      <c r="DJ221" s="19"/>
      <c r="DK221" s="19"/>
      <c r="DL221" s="19"/>
      <c r="DM221" s="19"/>
      <c r="DN221" s="19"/>
      <c r="DO221" s="19"/>
      <c r="DP221" s="19"/>
      <c r="DQ221" s="19"/>
      <c r="DR221" s="19"/>
      <c r="DS221" s="19"/>
      <c r="DT221" s="19"/>
      <c r="DU221" s="19"/>
      <c r="DV221" s="19"/>
      <c r="DW221" s="19"/>
      <c r="DX221" s="19"/>
      <c r="DY221" s="19"/>
      <c r="DZ221" s="19"/>
      <c r="EA221" s="19"/>
      <c r="EB221" s="19"/>
      <c r="EC221" s="19"/>
      <c r="ED221" s="19"/>
      <c r="EE221" s="19"/>
      <c r="EF221" s="19"/>
      <c r="EG221" s="19"/>
      <c r="EH221" s="19"/>
      <c r="EI221" s="19"/>
      <c r="EJ221" s="19"/>
      <c r="EK221" s="19"/>
      <c r="EL221" s="19"/>
      <c r="EM221" s="19"/>
      <c r="EN221" s="19"/>
      <c r="EO221" s="19"/>
      <c r="EP221" s="17"/>
      <c r="EQ221" s="23"/>
      <c r="ER221" s="23" t="str">
        <f t="shared" si="1"/>
        <v/>
      </c>
      <c r="ES221" s="19"/>
      <c r="ET221" s="19" t="str">
        <f t="shared" si="2"/>
        <v/>
      </c>
      <c r="EU221" s="19"/>
      <c r="EV221" s="19"/>
      <c r="EW221" s="19"/>
      <c r="EX221" s="19"/>
      <c r="EY221" s="19"/>
      <c r="EZ221" s="19"/>
      <c r="FA221" s="19"/>
      <c r="FB221" s="19"/>
    </row>
    <row r="222" ht="15.75" customHeight="1">
      <c r="A222" s="19"/>
      <c r="F222" s="19"/>
      <c r="AH222" s="23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  <c r="BD222" s="19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  <c r="BP222" s="19"/>
      <c r="BQ222" s="19"/>
      <c r="BR222" s="19"/>
      <c r="BS222" s="19"/>
      <c r="BT222" s="19"/>
      <c r="BU222" s="19"/>
      <c r="BV222" s="19"/>
      <c r="BW222" s="19"/>
      <c r="BX222" s="19"/>
      <c r="BY222" s="19"/>
      <c r="BZ222" s="19"/>
      <c r="CA222" s="19"/>
      <c r="CB222" s="19"/>
      <c r="CC222" s="19"/>
      <c r="CD222" s="19"/>
      <c r="CE222" s="19"/>
      <c r="CF222" s="19"/>
      <c r="CG222" s="19"/>
      <c r="CH222" s="19"/>
      <c r="CI222" s="19"/>
      <c r="CJ222" s="19"/>
      <c r="CK222" s="19"/>
      <c r="CL222" s="19"/>
      <c r="CM222" s="19"/>
      <c r="CN222" s="19"/>
      <c r="CO222" s="19"/>
      <c r="CP222" s="19"/>
      <c r="CQ222" s="19"/>
      <c r="CR222" s="19"/>
      <c r="CS222" s="19"/>
      <c r="CT222" s="19"/>
      <c r="CU222" s="19"/>
      <c r="CV222" s="19"/>
      <c r="CW222" s="19"/>
      <c r="CX222" s="19"/>
      <c r="CY222" s="19"/>
      <c r="CZ222" s="19"/>
      <c r="DA222" s="19"/>
      <c r="DB222" s="19"/>
      <c r="DC222" s="19"/>
      <c r="DD222" s="19"/>
      <c r="DE222" s="19"/>
      <c r="DF222" s="19"/>
      <c r="DG222" s="19"/>
      <c r="DH222" s="19"/>
      <c r="DI222" s="19"/>
      <c r="DJ222" s="19"/>
      <c r="DK222" s="19"/>
      <c r="DL222" s="19"/>
      <c r="DM222" s="19"/>
      <c r="DN222" s="19"/>
      <c r="DO222" s="19"/>
      <c r="DP222" s="19"/>
      <c r="DQ222" s="19"/>
      <c r="DR222" s="19"/>
      <c r="DS222" s="19"/>
      <c r="DT222" s="19"/>
      <c r="DU222" s="19"/>
      <c r="DV222" s="19"/>
      <c r="DW222" s="19"/>
      <c r="DX222" s="19"/>
      <c r="DY222" s="19"/>
      <c r="DZ222" s="19"/>
      <c r="EA222" s="19"/>
      <c r="EB222" s="19"/>
      <c r="EC222" s="19"/>
      <c r="ED222" s="19"/>
      <c r="EE222" s="19"/>
      <c r="EF222" s="19"/>
      <c r="EG222" s="19"/>
      <c r="EH222" s="19"/>
      <c r="EI222" s="19"/>
      <c r="EJ222" s="19"/>
      <c r="EK222" s="19"/>
      <c r="EL222" s="19"/>
      <c r="EM222" s="19"/>
      <c r="EN222" s="19"/>
      <c r="EO222" s="19"/>
      <c r="EP222" s="17"/>
      <c r="EQ222" s="23"/>
      <c r="ER222" s="23" t="str">
        <f t="shared" si="1"/>
        <v/>
      </c>
      <c r="ES222" s="19"/>
      <c r="ET222" s="19" t="str">
        <f t="shared" si="2"/>
        <v/>
      </c>
      <c r="EU222" s="19"/>
      <c r="EV222" s="19"/>
      <c r="EW222" s="19"/>
      <c r="EX222" s="19"/>
      <c r="EY222" s="19"/>
      <c r="EZ222" s="19"/>
      <c r="FA222" s="19"/>
      <c r="FB222" s="19"/>
    </row>
    <row r="223" ht="15.75" customHeight="1">
      <c r="A223" s="19"/>
      <c r="F223" s="19"/>
      <c r="AH223" s="23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  <c r="BD223" s="19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  <c r="BP223" s="19"/>
      <c r="BQ223" s="19"/>
      <c r="BR223" s="19"/>
      <c r="BS223" s="19"/>
      <c r="BT223" s="19"/>
      <c r="BU223" s="19"/>
      <c r="BV223" s="19"/>
      <c r="BW223" s="19"/>
      <c r="BX223" s="19"/>
      <c r="BY223" s="19"/>
      <c r="BZ223" s="19"/>
      <c r="CA223" s="19"/>
      <c r="CB223" s="19"/>
      <c r="CC223" s="19"/>
      <c r="CD223" s="19"/>
      <c r="CE223" s="19"/>
      <c r="CF223" s="19"/>
      <c r="CG223" s="19"/>
      <c r="CH223" s="19"/>
      <c r="CI223" s="19"/>
      <c r="CJ223" s="19"/>
      <c r="CK223" s="19"/>
      <c r="CL223" s="19"/>
      <c r="CM223" s="19"/>
      <c r="CN223" s="19"/>
      <c r="CO223" s="19"/>
      <c r="CP223" s="19"/>
      <c r="CQ223" s="19"/>
      <c r="CR223" s="19"/>
      <c r="CS223" s="19"/>
      <c r="CT223" s="19"/>
      <c r="CU223" s="19"/>
      <c r="CV223" s="19"/>
      <c r="CW223" s="19"/>
      <c r="CX223" s="19"/>
      <c r="CY223" s="19"/>
      <c r="CZ223" s="19"/>
      <c r="DA223" s="19"/>
      <c r="DB223" s="19"/>
      <c r="DC223" s="19"/>
      <c r="DD223" s="19"/>
      <c r="DE223" s="19"/>
      <c r="DF223" s="19"/>
      <c r="DG223" s="19"/>
      <c r="DH223" s="19"/>
      <c r="DI223" s="19"/>
      <c r="DJ223" s="19"/>
      <c r="DK223" s="19"/>
      <c r="DL223" s="19"/>
      <c r="DM223" s="19"/>
      <c r="DN223" s="19"/>
      <c r="DO223" s="19"/>
      <c r="DP223" s="19"/>
      <c r="DQ223" s="19"/>
      <c r="DR223" s="19"/>
      <c r="DS223" s="19"/>
      <c r="DT223" s="19"/>
      <c r="DU223" s="19"/>
      <c r="DV223" s="19"/>
      <c r="DW223" s="19"/>
      <c r="DX223" s="19"/>
      <c r="DY223" s="19"/>
      <c r="DZ223" s="19"/>
      <c r="EA223" s="19"/>
      <c r="EB223" s="19"/>
      <c r="EC223" s="19"/>
      <c r="ED223" s="19"/>
      <c r="EE223" s="19"/>
      <c r="EF223" s="19"/>
      <c r="EG223" s="19"/>
      <c r="EH223" s="19"/>
      <c r="EI223" s="19"/>
      <c r="EJ223" s="19"/>
      <c r="EK223" s="19"/>
      <c r="EL223" s="19"/>
      <c r="EM223" s="19"/>
      <c r="EN223" s="19"/>
      <c r="EO223" s="19"/>
      <c r="EP223" s="17"/>
      <c r="EQ223" s="23"/>
      <c r="ER223" s="23" t="str">
        <f t="shared" si="1"/>
        <v/>
      </c>
      <c r="ES223" s="19"/>
      <c r="ET223" s="19" t="str">
        <f t="shared" si="2"/>
        <v/>
      </c>
      <c r="EU223" s="19"/>
      <c r="EV223" s="19"/>
      <c r="EW223" s="19"/>
      <c r="EX223" s="19"/>
      <c r="EY223" s="19"/>
      <c r="EZ223" s="19"/>
      <c r="FA223" s="19"/>
      <c r="FB223" s="19"/>
    </row>
    <row r="224" ht="15.75" customHeight="1">
      <c r="A224" s="19"/>
      <c r="F224" s="19"/>
      <c r="AH224" s="23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  <c r="BD224" s="19"/>
      <c r="BE224" s="19"/>
      <c r="BF224" s="19"/>
      <c r="BG224" s="19"/>
      <c r="BH224" s="19"/>
      <c r="BI224" s="19"/>
      <c r="BJ224" s="19"/>
      <c r="BK224" s="19"/>
      <c r="BL224" s="19"/>
      <c r="BM224" s="19"/>
      <c r="BN224" s="19"/>
      <c r="BO224" s="19"/>
      <c r="BP224" s="19"/>
      <c r="BQ224" s="19"/>
      <c r="BR224" s="19"/>
      <c r="BS224" s="19"/>
      <c r="BT224" s="19"/>
      <c r="BU224" s="19"/>
      <c r="BV224" s="19"/>
      <c r="BW224" s="19"/>
      <c r="BX224" s="19"/>
      <c r="BY224" s="19"/>
      <c r="BZ224" s="19"/>
      <c r="CA224" s="19"/>
      <c r="CB224" s="19"/>
      <c r="CC224" s="19"/>
      <c r="CD224" s="19"/>
      <c r="CE224" s="19"/>
      <c r="CF224" s="19"/>
      <c r="CG224" s="19"/>
      <c r="CH224" s="19"/>
      <c r="CI224" s="19"/>
      <c r="CJ224" s="19"/>
      <c r="CK224" s="19"/>
      <c r="CL224" s="19"/>
      <c r="CM224" s="19"/>
      <c r="CN224" s="19"/>
      <c r="CO224" s="19"/>
      <c r="CP224" s="19"/>
      <c r="CQ224" s="19"/>
      <c r="CR224" s="19"/>
      <c r="CS224" s="19"/>
      <c r="CT224" s="19"/>
      <c r="CU224" s="19"/>
      <c r="CV224" s="19"/>
      <c r="CW224" s="19"/>
      <c r="CX224" s="19"/>
      <c r="CY224" s="19"/>
      <c r="CZ224" s="19"/>
      <c r="DA224" s="19"/>
      <c r="DB224" s="19"/>
      <c r="DC224" s="19"/>
      <c r="DD224" s="19"/>
      <c r="DE224" s="19"/>
      <c r="DF224" s="19"/>
      <c r="DG224" s="19"/>
      <c r="DH224" s="19"/>
      <c r="DI224" s="19"/>
      <c r="DJ224" s="19"/>
      <c r="DK224" s="19"/>
      <c r="DL224" s="19"/>
      <c r="DM224" s="19"/>
      <c r="DN224" s="19"/>
      <c r="DO224" s="19"/>
      <c r="DP224" s="19"/>
      <c r="DQ224" s="19"/>
      <c r="DR224" s="19"/>
      <c r="DS224" s="19"/>
      <c r="DT224" s="19"/>
      <c r="DU224" s="19"/>
      <c r="DV224" s="19"/>
      <c r="DW224" s="19"/>
      <c r="DX224" s="19"/>
      <c r="DY224" s="19"/>
      <c r="DZ224" s="19"/>
      <c r="EA224" s="19"/>
      <c r="EB224" s="19"/>
      <c r="EC224" s="19"/>
      <c r="ED224" s="19"/>
      <c r="EE224" s="19"/>
      <c r="EF224" s="19"/>
      <c r="EG224" s="19"/>
      <c r="EH224" s="19"/>
      <c r="EI224" s="19"/>
      <c r="EJ224" s="19"/>
      <c r="EK224" s="19"/>
      <c r="EL224" s="19"/>
      <c r="EM224" s="19"/>
      <c r="EN224" s="19"/>
      <c r="EO224" s="19"/>
      <c r="EP224" s="17"/>
      <c r="EQ224" s="23"/>
      <c r="ER224" s="23" t="str">
        <f t="shared" si="1"/>
        <v/>
      </c>
      <c r="ES224" s="19"/>
      <c r="ET224" s="19" t="str">
        <f t="shared" si="2"/>
        <v/>
      </c>
      <c r="EU224" s="19"/>
      <c r="EV224" s="19"/>
      <c r="EW224" s="19"/>
      <c r="EX224" s="19"/>
      <c r="EY224" s="19"/>
      <c r="EZ224" s="19"/>
      <c r="FA224" s="19"/>
      <c r="FB224" s="19"/>
    </row>
    <row r="225" ht="15.75" customHeight="1">
      <c r="A225" s="19"/>
      <c r="F225" s="19"/>
      <c r="AH225" s="23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  <c r="BD225" s="19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  <c r="BP225" s="19"/>
      <c r="BQ225" s="19"/>
      <c r="BR225" s="19"/>
      <c r="BS225" s="19"/>
      <c r="BT225" s="19"/>
      <c r="BU225" s="19"/>
      <c r="BV225" s="19"/>
      <c r="BW225" s="19"/>
      <c r="BX225" s="19"/>
      <c r="BY225" s="19"/>
      <c r="BZ225" s="19"/>
      <c r="CA225" s="19"/>
      <c r="CB225" s="19"/>
      <c r="CC225" s="19"/>
      <c r="CD225" s="19"/>
      <c r="CE225" s="19"/>
      <c r="CF225" s="19"/>
      <c r="CG225" s="19"/>
      <c r="CH225" s="19"/>
      <c r="CI225" s="19"/>
      <c r="CJ225" s="19"/>
      <c r="CK225" s="19"/>
      <c r="CL225" s="19"/>
      <c r="CM225" s="19"/>
      <c r="CN225" s="19"/>
      <c r="CO225" s="19"/>
      <c r="CP225" s="19"/>
      <c r="CQ225" s="19"/>
      <c r="CR225" s="19"/>
      <c r="CS225" s="19"/>
      <c r="CT225" s="19"/>
      <c r="CU225" s="19"/>
      <c r="CV225" s="19"/>
      <c r="CW225" s="19"/>
      <c r="CX225" s="19"/>
      <c r="CY225" s="19"/>
      <c r="CZ225" s="19"/>
      <c r="DA225" s="19"/>
      <c r="DB225" s="19"/>
      <c r="DC225" s="19"/>
      <c r="DD225" s="19"/>
      <c r="DE225" s="19"/>
      <c r="DF225" s="19"/>
      <c r="DG225" s="19"/>
      <c r="DH225" s="19"/>
      <c r="DI225" s="19"/>
      <c r="DJ225" s="19"/>
      <c r="DK225" s="19"/>
      <c r="DL225" s="19"/>
      <c r="DM225" s="19"/>
      <c r="DN225" s="19"/>
      <c r="DO225" s="19"/>
      <c r="DP225" s="19"/>
      <c r="DQ225" s="19"/>
      <c r="DR225" s="19"/>
      <c r="DS225" s="19"/>
      <c r="DT225" s="19"/>
      <c r="DU225" s="19"/>
      <c r="DV225" s="19"/>
      <c r="DW225" s="19"/>
      <c r="DX225" s="19"/>
      <c r="DY225" s="19"/>
      <c r="DZ225" s="19"/>
      <c r="EA225" s="19"/>
      <c r="EB225" s="19"/>
      <c r="EC225" s="19"/>
      <c r="ED225" s="19"/>
      <c r="EE225" s="19"/>
      <c r="EF225" s="19"/>
      <c r="EG225" s="19"/>
      <c r="EH225" s="19"/>
      <c r="EI225" s="19"/>
      <c r="EJ225" s="19"/>
      <c r="EK225" s="19"/>
      <c r="EL225" s="19"/>
      <c r="EM225" s="19"/>
      <c r="EN225" s="19"/>
      <c r="EO225" s="19"/>
      <c r="EP225" s="17"/>
      <c r="EQ225" s="23"/>
      <c r="ER225" s="23" t="str">
        <f t="shared" si="1"/>
        <v/>
      </c>
      <c r="ES225" s="19"/>
      <c r="ET225" s="19" t="str">
        <f t="shared" si="2"/>
        <v/>
      </c>
      <c r="EU225" s="19"/>
      <c r="EV225" s="19"/>
      <c r="EW225" s="19"/>
      <c r="EX225" s="19"/>
      <c r="EY225" s="19"/>
      <c r="EZ225" s="19"/>
      <c r="FA225" s="19"/>
      <c r="FB225" s="19"/>
    </row>
    <row r="226" ht="15.75" customHeight="1">
      <c r="A226" s="19"/>
      <c r="F226" s="19"/>
      <c r="AH226" s="23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  <c r="BD226" s="19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  <c r="BP226" s="19"/>
      <c r="BQ226" s="19"/>
      <c r="BR226" s="19"/>
      <c r="BS226" s="19"/>
      <c r="BT226" s="19"/>
      <c r="BU226" s="19"/>
      <c r="BV226" s="19"/>
      <c r="BW226" s="19"/>
      <c r="BX226" s="19"/>
      <c r="BY226" s="19"/>
      <c r="BZ226" s="19"/>
      <c r="CA226" s="19"/>
      <c r="CB226" s="19"/>
      <c r="CC226" s="19"/>
      <c r="CD226" s="19"/>
      <c r="CE226" s="19"/>
      <c r="CF226" s="19"/>
      <c r="CG226" s="19"/>
      <c r="CH226" s="19"/>
      <c r="CI226" s="19"/>
      <c r="CJ226" s="19"/>
      <c r="CK226" s="19"/>
      <c r="CL226" s="19"/>
      <c r="CM226" s="19"/>
      <c r="CN226" s="19"/>
      <c r="CO226" s="19"/>
      <c r="CP226" s="19"/>
      <c r="CQ226" s="19"/>
      <c r="CR226" s="19"/>
      <c r="CS226" s="19"/>
      <c r="CT226" s="19"/>
      <c r="CU226" s="19"/>
      <c r="CV226" s="19"/>
      <c r="CW226" s="19"/>
      <c r="CX226" s="19"/>
      <c r="CY226" s="19"/>
      <c r="CZ226" s="19"/>
      <c r="DA226" s="19"/>
      <c r="DB226" s="19"/>
      <c r="DC226" s="19"/>
      <c r="DD226" s="19"/>
      <c r="DE226" s="19"/>
      <c r="DF226" s="19"/>
      <c r="DG226" s="19"/>
      <c r="DH226" s="19"/>
      <c r="DI226" s="19"/>
      <c r="DJ226" s="19"/>
      <c r="DK226" s="19"/>
      <c r="DL226" s="19"/>
      <c r="DM226" s="19"/>
      <c r="DN226" s="19"/>
      <c r="DO226" s="19"/>
      <c r="DP226" s="19"/>
      <c r="DQ226" s="19"/>
      <c r="DR226" s="19"/>
      <c r="DS226" s="19"/>
      <c r="DT226" s="19"/>
      <c r="DU226" s="19"/>
      <c r="DV226" s="19"/>
      <c r="DW226" s="19"/>
      <c r="DX226" s="19"/>
      <c r="DY226" s="19"/>
      <c r="DZ226" s="19"/>
      <c r="EA226" s="19"/>
      <c r="EB226" s="19"/>
      <c r="EC226" s="19"/>
      <c r="ED226" s="19"/>
      <c r="EE226" s="19"/>
      <c r="EF226" s="19"/>
      <c r="EG226" s="19"/>
      <c r="EH226" s="19"/>
      <c r="EI226" s="19"/>
      <c r="EJ226" s="19"/>
      <c r="EK226" s="19"/>
      <c r="EL226" s="19"/>
      <c r="EM226" s="19"/>
      <c r="EN226" s="19"/>
      <c r="EO226" s="19"/>
      <c r="EP226" s="17"/>
      <c r="EQ226" s="23"/>
      <c r="ER226" s="23" t="str">
        <f t="shared" si="1"/>
        <v/>
      </c>
      <c r="ES226" s="19"/>
      <c r="ET226" s="19" t="str">
        <f t="shared" si="2"/>
        <v/>
      </c>
      <c r="EU226" s="19"/>
      <c r="EV226" s="19"/>
      <c r="EW226" s="19"/>
      <c r="EX226" s="19"/>
      <c r="EY226" s="19"/>
      <c r="EZ226" s="19"/>
      <c r="FA226" s="19"/>
      <c r="FB226" s="19"/>
    </row>
    <row r="227" ht="15.75" customHeight="1">
      <c r="A227" s="19"/>
      <c r="F227" s="19"/>
      <c r="AH227" s="23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  <c r="BD227" s="19"/>
      <c r="BE227" s="19"/>
      <c r="BF227" s="19"/>
      <c r="BG227" s="19"/>
      <c r="BH227" s="19"/>
      <c r="BI227" s="19"/>
      <c r="BJ227" s="19"/>
      <c r="BK227" s="19"/>
      <c r="BL227" s="19"/>
      <c r="BM227" s="19"/>
      <c r="BN227" s="19"/>
      <c r="BO227" s="19"/>
      <c r="BP227" s="19"/>
      <c r="BQ227" s="19"/>
      <c r="BR227" s="19"/>
      <c r="BS227" s="19"/>
      <c r="BT227" s="19"/>
      <c r="BU227" s="19"/>
      <c r="BV227" s="19"/>
      <c r="BW227" s="19"/>
      <c r="BX227" s="19"/>
      <c r="BY227" s="19"/>
      <c r="BZ227" s="19"/>
      <c r="CA227" s="19"/>
      <c r="CB227" s="19"/>
      <c r="CC227" s="19"/>
      <c r="CD227" s="19"/>
      <c r="CE227" s="19"/>
      <c r="CF227" s="19"/>
      <c r="CG227" s="19"/>
      <c r="CH227" s="19"/>
      <c r="CI227" s="19"/>
      <c r="CJ227" s="19"/>
      <c r="CK227" s="19"/>
      <c r="CL227" s="19"/>
      <c r="CM227" s="19"/>
      <c r="CN227" s="19"/>
      <c r="CO227" s="19"/>
      <c r="CP227" s="19"/>
      <c r="CQ227" s="19"/>
      <c r="CR227" s="19"/>
      <c r="CS227" s="19"/>
      <c r="CT227" s="19"/>
      <c r="CU227" s="19"/>
      <c r="CV227" s="19"/>
      <c r="CW227" s="19"/>
      <c r="CX227" s="19"/>
      <c r="CY227" s="19"/>
      <c r="CZ227" s="19"/>
      <c r="DA227" s="19"/>
      <c r="DB227" s="19"/>
      <c r="DC227" s="19"/>
      <c r="DD227" s="19"/>
      <c r="DE227" s="19"/>
      <c r="DF227" s="19"/>
      <c r="DG227" s="19"/>
      <c r="DH227" s="19"/>
      <c r="DI227" s="19"/>
      <c r="DJ227" s="19"/>
      <c r="DK227" s="19"/>
      <c r="DL227" s="19"/>
      <c r="DM227" s="19"/>
      <c r="DN227" s="19"/>
      <c r="DO227" s="19"/>
      <c r="DP227" s="19"/>
      <c r="DQ227" s="19"/>
      <c r="DR227" s="19"/>
      <c r="DS227" s="19"/>
      <c r="DT227" s="19"/>
      <c r="DU227" s="19"/>
      <c r="DV227" s="19"/>
      <c r="DW227" s="19"/>
      <c r="DX227" s="19"/>
      <c r="DY227" s="19"/>
      <c r="DZ227" s="19"/>
      <c r="EA227" s="19"/>
      <c r="EB227" s="19"/>
      <c r="EC227" s="19"/>
      <c r="ED227" s="19"/>
      <c r="EE227" s="19"/>
      <c r="EF227" s="19"/>
      <c r="EG227" s="19"/>
      <c r="EH227" s="19"/>
      <c r="EI227" s="19"/>
      <c r="EJ227" s="19"/>
      <c r="EK227" s="19"/>
      <c r="EL227" s="19"/>
      <c r="EM227" s="19"/>
      <c r="EN227" s="19"/>
      <c r="EO227" s="19"/>
      <c r="EP227" s="17"/>
      <c r="EQ227" s="23"/>
      <c r="ER227" s="23" t="str">
        <f t="shared" si="1"/>
        <v/>
      </c>
      <c r="ES227" s="19"/>
      <c r="ET227" s="19" t="str">
        <f t="shared" si="2"/>
        <v/>
      </c>
      <c r="EU227" s="19"/>
      <c r="EV227" s="19"/>
      <c r="EW227" s="19"/>
      <c r="EX227" s="19"/>
      <c r="EY227" s="19"/>
      <c r="EZ227" s="19"/>
      <c r="FA227" s="19"/>
      <c r="FB227" s="19"/>
    </row>
    <row r="228" ht="15.75" customHeight="1">
      <c r="A228" s="19"/>
      <c r="F228" s="19"/>
      <c r="AH228" s="23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  <c r="BD228" s="19"/>
      <c r="BE228" s="19"/>
      <c r="BF228" s="19"/>
      <c r="BG228" s="19"/>
      <c r="BH228" s="19"/>
      <c r="BI228" s="19"/>
      <c r="BJ228" s="19"/>
      <c r="BK228" s="19"/>
      <c r="BL228" s="19"/>
      <c r="BM228" s="19"/>
      <c r="BN228" s="19"/>
      <c r="BO228" s="19"/>
      <c r="BP228" s="19"/>
      <c r="BQ228" s="19"/>
      <c r="BR228" s="19"/>
      <c r="BS228" s="19"/>
      <c r="BT228" s="19"/>
      <c r="BU228" s="19"/>
      <c r="BV228" s="19"/>
      <c r="BW228" s="19"/>
      <c r="BX228" s="19"/>
      <c r="BY228" s="19"/>
      <c r="BZ228" s="19"/>
      <c r="CA228" s="19"/>
      <c r="CB228" s="19"/>
      <c r="CC228" s="19"/>
      <c r="CD228" s="19"/>
      <c r="CE228" s="19"/>
      <c r="CF228" s="19"/>
      <c r="CG228" s="19"/>
      <c r="CH228" s="19"/>
      <c r="CI228" s="19"/>
      <c r="CJ228" s="19"/>
      <c r="CK228" s="19"/>
      <c r="CL228" s="19"/>
      <c r="CM228" s="19"/>
      <c r="CN228" s="19"/>
      <c r="CO228" s="19"/>
      <c r="CP228" s="19"/>
      <c r="CQ228" s="19"/>
      <c r="CR228" s="19"/>
      <c r="CS228" s="19"/>
      <c r="CT228" s="19"/>
      <c r="CU228" s="19"/>
      <c r="CV228" s="19"/>
      <c r="CW228" s="19"/>
      <c r="CX228" s="19"/>
      <c r="CY228" s="19"/>
      <c r="CZ228" s="19"/>
      <c r="DA228" s="19"/>
      <c r="DB228" s="19"/>
      <c r="DC228" s="19"/>
      <c r="DD228" s="19"/>
      <c r="DE228" s="19"/>
      <c r="DF228" s="19"/>
      <c r="DG228" s="19"/>
      <c r="DH228" s="19"/>
      <c r="DI228" s="19"/>
      <c r="DJ228" s="19"/>
      <c r="DK228" s="19"/>
      <c r="DL228" s="19"/>
      <c r="DM228" s="19"/>
      <c r="DN228" s="19"/>
      <c r="DO228" s="19"/>
      <c r="DP228" s="19"/>
      <c r="DQ228" s="19"/>
      <c r="DR228" s="19"/>
      <c r="DS228" s="19"/>
      <c r="DT228" s="19"/>
      <c r="DU228" s="19"/>
      <c r="DV228" s="19"/>
      <c r="DW228" s="19"/>
      <c r="DX228" s="19"/>
      <c r="DY228" s="19"/>
      <c r="DZ228" s="19"/>
      <c r="EA228" s="19"/>
      <c r="EB228" s="19"/>
      <c r="EC228" s="19"/>
      <c r="ED228" s="19"/>
      <c r="EE228" s="19"/>
      <c r="EF228" s="19"/>
      <c r="EG228" s="19"/>
      <c r="EH228" s="19"/>
      <c r="EI228" s="19"/>
      <c r="EJ228" s="19"/>
      <c r="EK228" s="19"/>
      <c r="EL228" s="19"/>
      <c r="EM228" s="19"/>
      <c r="EN228" s="19"/>
      <c r="EO228" s="19"/>
      <c r="EP228" s="17"/>
      <c r="EQ228" s="23"/>
      <c r="ER228" s="23" t="str">
        <f t="shared" si="1"/>
        <v/>
      </c>
      <c r="ES228" s="19"/>
      <c r="ET228" s="19" t="str">
        <f t="shared" si="2"/>
        <v/>
      </c>
      <c r="EU228" s="19"/>
      <c r="EV228" s="19"/>
      <c r="EW228" s="19"/>
      <c r="EX228" s="19"/>
      <c r="EY228" s="19"/>
      <c r="EZ228" s="19"/>
      <c r="FA228" s="19"/>
      <c r="FB228" s="19"/>
    </row>
    <row r="229" ht="15.75" customHeight="1">
      <c r="A229" s="19"/>
      <c r="F229" s="19"/>
      <c r="AH229" s="23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  <c r="BD229" s="19"/>
      <c r="BE229" s="19"/>
      <c r="BF229" s="19"/>
      <c r="BG229" s="19"/>
      <c r="BH229" s="19"/>
      <c r="BI229" s="19"/>
      <c r="BJ229" s="19"/>
      <c r="BK229" s="19"/>
      <c r="BL229" s="19"/>
      <c r="BM229" s="19"/>
      <c r="BN229" s="19"/>
      <c r="BO229" s="19"/>
      <c r="BP229" s="19"/>
      <c r="BQ229" s="19"/>
      <c r="BR229" s="19"/>
      <c r="BS229" s="19"/>
      <c r="BT229" s="19"/>
      <c r="BU229" s="19"/>
      <c r="BV229" s="19"/>
      <c r="BW229" s="19"/>
      <c r="BX229" s="19"/>
      <c r="BY229" s="19"/>
      <c r="BZ229" s="19"/>
      <c r="CA229" s="19"/>
      <c r="CB229" s="19"/>
      <c r="CC229" s="19"/>
      <c r="CD229" s="19"/>
      <c r="CE229" s="19"/>
      <c r="CF229" s="19"/>
      <c r="CG229" s="19"/>
      <c r="CH229" s="19"/>
      <c r="CI229" s="19"/>
      <c r="CJ229" s="19"/>
      <c r="CK229" s="19"/>
      <c r="CL229" s="19"/>
      <c r="CM229" s="19"/>
      <c r="CN229" s="19"/>
      <c r="CO229" s="19"/>
      <c r="CP229" s="19"/>
      <c r="CQ229" s="19"/>
      <c r="CR229" s="19"/>
      <c r="CS229" s="19"/>
      <c r="CT229" s="19"/>
      <c r="CU229" s="19"/>
      <c r="CV229" s="19"/>
      <c r="CW229" s="19"/>
      <c r="CX229" s="19"/>
      <c r="CY229" s="19"/>
      <c r="CZ229" s="19"/>
      <c r="DA229" s="19"/>
      <c r="DB229" s="19"/>
      <c r="DC229" s="19"/>
      <c r="DD229" s="19"/>
      <c r="DE229" s="19"/>
      <c r="DF229" s="19"/>
      <c r="DG229" s="19"/>
      <c r="DH229" s="19"/>
      <c r="DI229" s="19"/>
      <c r="DJ229" s="19"/>
      <c r="DK229" s="19"/>
      <c r="DL229" s="19"/>
      <c r="DM229" s="19"/>
      <c r="DN229" s="19"/>
      <c r="DO229" s="19"/>
      <c r="DP229" s="19"/>
      <c r="DQ229" s="19"/>
      <c r="DR229" s="19"/>
      <c r="DS229" s="19"/>
      <c r="DT229" s="19"/>
      <c r="DU229" s="19"/>
      <c r="DV229" s="19"/>
      <c r="DW229" s="19"/>
      <c r="DX229" s="19"/>
      <c r="DY229" s="19"/>
      <c r="DZ229" s="19"/>
      <c r="EA229" s="19"/>
      <c r="EB229" s="19"/>
      <c r="EC229" s="19"/>
      <c r="ED229" s="19"/>
      <c r="EE229" s="19"/>
      <c r="EF229" s="19"/>
      <c r="EG229" s="19"/>
      <c r="EH229" s="19"/>
      <c r="EI229" s="19"/>
      <c r="EJ229" s="19"/>
      <c r="EK229" s="19"/>
      <c r="EL229" s="19"/>
      <c r="EM229" s="19"/>
      <c r="EN229" s="19"/>
      <c r="EO229" s="19"/>
      <c r="EP229" s="17"/>
      <c r="EQ229" s="23"/>
      <c r="ER229" s="23" t="str">
        <f t="shared" si="1"/>
        <v/>
      </c>
      <c r="ES229" s="19"/>
      <c r="ET229" s="19" t="str">
        <f t="shared" si="2"/>
        <v/>
      </c>
      <c r="EU229" s="19"/>
      <c r="EV229" s="19"/>
      <c r="EW229" s="19"/>
      <c r="EX229" s="19"/>
      <c r="EY229" s="19"/>
      <c r="EZ229" s="19"/>
      <c r="FA229" s="19"/>
      <c r="FB229" s="19"/>
    </row>
    <row r="230" ht="15.75" customHeight="1">
      <c r="A230" s="19"/>
      <c r="F230" s="19"/>
      <c r="AH230" s="23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  <c r="BD230" s="19"/>
      <c r="BE230" s="19"/>
      <c r="BF230" s="19"/>
      <c r="BG230" s="19"/>
      <c r="BH230" s="19"/>
      <c r="BI230" s="19"/>
      <c r="BJ230" s="19"/>
      <c r="BK230" s="19"/>
      <c r="BL230" s="19"/>
      <c r="BM230" s="19"/>
      <c r="BN230" s="19"/>
      <c r="BO230" s="19"/>
      <c r="BP230" s="19"/>
      <c r="BQ230" s="19"/>
      <c r="BR230" s="19"/>
      <c r="BS230" s="19"/>
      <c r="BT230" s="19"/>
      <c r="BU230" s="19"/>
      <c r="BV230" s="19"/>
      <c r="BW230" s="19"/>
      <c r="BX230" s="19"/>
      <c r="BY230" s="19"/>
      <c r="BZ230" s="19"/>
      <c r="CA230" s="19"/>
      <c r="CB230" s="19"/>
      <c r="CC230" s="19"/>
      <c r="CD230" s="19"/>
      <c r="CE230" s="19"/>
      <c r="CF230" s="19"/>
      <c r="CG230" s="19"/>
      <c r="CH230" s="19"/>
      <c r="CI230" s="19"/>
      <c r="CJ230" s="19"/>
      <c r="CK230" s="19"/>
      <c r="CL230" s="19"/>
      <c r="CM230" s="19"/>
      <c r="CN230" s="19"/>
      <c r="CO230" s="19"/>
      <c r="CP230" s="19"/>
      <c r="CQ230" s="19"/>
      <c r="CR230" s="19"/>
      <c r="CS230" s="19"/>
      <c r="CT230" s="19"/>
      <c r="CU230" s="19"/>
      <c r="CV230" s="19"/>
      <c r="CW230" s="19"/>
      <c r="CX230" s="19"/>
      <c r="CY230" s="19"/>
      <c r="CZ230" s="19"/>
      <c r="DA230" s="19"/>
      <c r="DB230" s="19"/>
      <c r="DC230" s="19"/>
      <c r="DD230" s="19"/>
      <c r="DE230" s="19"/>
      <c r="DF230" s="19"/>
      <c r="DG230" s="19"/>
      <c r="DH230" s="19"/>
      <c r="DI230" s="19"/>
      <c r="DJ230" s="19"/>
      <c r="DK230" s="19"/>
      <c r="DL230" s="19"/>
      <c r="DM230" s="19"/>
      <c r="DN230" s="19"/>
      <c r="DO230" s="19"/>
      <c r="DP230" s="19"/>
      <c r="DQ230" s="19"/>
      <c r="DR230" s="19"/>
      <c r="DS230" s="19"/>
      <c r="DT230" s="19"/>
      <c r="DU230" s="19"/>
      <c r="DV230" s="19"/>
      <c r="DW230" s="19"/>
      <c r="DX230" s="19"/>
      <c r="DY230" s="19"/>
      <c r="DZ230" s="19"/>
      <c r="EA230" s="19"/>
      <c r="EB230" s="19"/>
      <c r="EC230" s="19"/>
      <c r="ED230" s="19"/>
      <c r="EE230" s="19"/>
      <c r="EF230" s="19"/>
      <c r="EG230" s="19"/>
      <c r="EH230" s="19"/>
      <c r="EI230" s="19"/>
      <c r="EJ230" s="19"/>
      <c r="EK230" s="19"/>
      <c r="EL230" s="19"/>
      <c r="EM230" s="19"/>
      <c r="EN230" s="19"/>
      <c r="EO230" s="19"/>
      <c r="EP230" s="17"/>
      <c r="EQ230" s="23"/>
      <c r="ER230" s="23" t="str">
        <f t="shared" si="1"/>
        <v/>
      </c>
      <c r="ES230" s="19"/>
      <c r="ET230" s="19" t="str">
        <f t="shared" si="2"/>
        <v/>
      </c>
      <c r="EU230" s="19"/>
      <c r="EV230" s="19"/>
      <c r="EW230" s="19"/>
      <c r="EX230" s="19"/>
      <c r="EY230" s="19"/>
      <c r="EZ230" s="19"/>
      <c r="FA230" s="19"/>
      <c r="FB230" s="19"/>
    </row>
    <row r="231" ht="15.75" customHeight="1">
      <c r="A231" s="19"/>
      <c r="F231" s="19"/>
      <c r="AH231" s="23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  <c r="BD231" s="19"/>
      <c r="BE231" s="19"/>
      <c r="BF231" s="19"/>
      <c r="BG231" s="19"/>
      <c r="BH231" s="19"/>
      <c r="BI231" s="19"/>
      <c r="BJ231" s="19"/>
      <c r="BK231" s="19"/>
      <c r="BL231" s="19"/>
      <c r="BM231" s="19"/>
      <c r="BN231" s="19"/>
      <c r="BO231" s="19"/>
      <c r="BP231" s="19"/>
      <c r="BQ231" s="19"/>
      <c r="BR231" s="19"/>
      <c r="BS231" s="19"/>
      <c r="BT231" s="19"/>
      <c r="BU231" s="19"/>
      <c r="BV231" s="19"/>
      <c r="BW231" s="19"/>
      <c r="BX231" s="19"/>
      <c r="BY231" s="19"/>
      <c r="BZ231" s="19"/>
      <c r="CA231" s="19"/>
      <c r="CB231" s="19"/>
      <c r="CC231" s="19"/>
      <c r="CD231" s="19"/>
      <c r="CE231" s="19"/>
      <c r="CF231" s="19"/>
      <c r="CG231" s="19"/>
      <c r="CH231" s="19"/>
      <c r="CI231" s="19"/>
      <c r="CJ231" s="19"/>
      <c r="CK231" s="19"/>
      <c r="CL231" s="19"/>
      <c r="CM231" s="19"/>
      <c r="CN231" s="19"/>
      <c r="CO231" s="19"/>
      <c r="CP231" s="19"/>
      <c r="CQ231" s="19"/>
      <c r="CR231" s="19"/>
      <c r="CS231" s="19"/>
      <c r="CT231" s="19"/>
      <c r="CU231" s="19"/>
      <c r="CV231" s="19"/>
      <c r="CW231" s="19"/>
      <c r="CX231" s="19"/>
      <c r="CY231" s="19"/>
      <c r="CZ231" s="19"/>
      <c r="DA231" s="19"/>
      <c r="DB231" s="19"/>
      <c r="DC231" s="19"/>
      <c r="DD231" s="19"/>
      <c r="DE231" s="19"/>
      <c r="DF231" s="19"/>
      <c r="DG231" s="19"/>
      <c r="DH231" s="19"/>
      <c r="DI231" s="19"/>
      <c r="DJ231" s="19"/>
      <c r="DK231" s="19"/>
      <c r="DL231" s="19"/>
      <c r="DM231" s="19"/>
      <c r="DN231" s="19"/>
      <c r="DO231" s="19"/>
      <c r="DP231" s="19"/>
      <c r="DQ231" s="19"/>
      <c r="DR231" s="19"/>
      <c r="DS231" s="19"/>
      <c r="DT231" s="19"/>
      <c r="DU231" s="19"/>
      <c r="DV231" s="19"/>
      <c r="DW231" s="19"/>
      <c r="DX231" s="19"/>
      <c r="DY231" s="19"/>
      <c r="DZ231" s="19"/>
      <c r="EA231" s="19"/>
      <c r="EB231" s="19"/>
      <c r="EC231" s="19"/>
      <c r="ED231" s="19"/>
      <c r="EE231" s="19"/>
      <c r="EF231" s="19"/>
      <c r="EG231" s="19"/>
      <c r="EH231" s="19"/>
      <c r="EI231" s="19"/>
      <c r="EJ231" s="19"/>
      <c r="EK231" s="19"/>
      <c r="EL231" s="19"/>
      <c r="EM231" s="19"/>
      <c r="EN231" s="19"/>
      <c r="EO231" s="19"/>
      <c r="EP231" s="17"/>
      <c r="EQ231" s="23"/>
      <c r="ER231" s="23" t="str">
        <f t="shared" si="1"/>
        <v/>
      </c>
      <c r="ES231" s="19"/>
      <c r="ET231" s="19" t="str">
        <f t="shared" si="2"/>
        <v/>
      </c>
      <c r="EU231" s="19"/>
      <c r="EV231" s="19"/>
      <c r="EW231" s="19"/>
      <c r="EX231" s="19"/>
      <c r="EY231" s="19"/>
      <c r="EZ231" s="19"/>
      <c r="FA231" s="19"/>
      <c r="FB231" s="19"/>
    </row>
    <row r="232" ht="15.75" customHeight="1">
      <c r="A232" s="19"/>
      <c r="F232" s="19"/>
      <c r="AH232" s="23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  <c r="BD232" s="19"/>
      <c r="BE232" s="19"/>
      <c r="BF232" s="19"/>
      <c r="BG232" s="19"/>
      <c r="BH232" s="19"/>
      <c r="BI232" s="19"/>
      <c r="BJ232" s="19"/>
      <c r="BK232" s="19"/>
      <c r="BL232" s="19"/>
      <c r="BM232" s="19"/>
      <c r="BN232" s="19"/>
      <c r="BO232" s="19"/>
      <c r="BP232" s="19"/>
      <c r="BQ232" s="19"/>
      <c r="BR232" s="19"/>
      <c r="BS232" s="19"/>
      <c r="BT232" s="19"/>
      <c r="BU232" s="19"/>
      <c r="BV232" s="19"/>
      <c r="BW232" s="19"/>
      <c r="BX232" s="19"/>
      <c r="BY232" s="19"/>
      <c r="BZ232" s="19"/>
      <c r="CA232" s="19"/>
      <c r="CB232" s="19"/>
      <c r="CC232" s="19"/>
      <c r="CD232" s="19"/>
      <c r="CE232" s="19"/>
      <c r="CF232" s="19"/>
      <c r="CG232" s="19"/>
      <c r="CH232" s="19"/>
      <c r="CI232" s="19"/>
      <c r="CJ232" s="19"/>
      <c r="CK232" s="19"/>
      <c r="CL232" s="19"/>
      <c r="CM232" s="19"/>
      <c r="CN232" s="19"/>
      <c r="CO232" s="19"/>
      <c r="CP232" s="19"/>
      <c r="CQ232" s="19"/>
      <c r="CR232" s="19"/>
      <c r="CS232" s="19"/>
      <c r="CT232" s="19"/>
      <c r="CU232" s="19"/>
      <c r="CV232" s="19"/>
      <c r="CW232" s="19"/>
      <c r="CX232" s="19"/>
      <c r="CY232" s="19"/>
      <c r="CZ232" s="19"/>
      <c r="DA232" s="19"/>
      <c r="DB232" s="19"/>
      <c r="DC232" s="19"/>
      <c r="DD232" s="19"/>
      <c r="DE232" s="19"/>
      <c r="DF232" s="19"/>
      <c r="DG232" s="19"/>
      <c r="DH232" s="19"/>
      <c r="DI232" s="19"/>
      <c r="DJ232" s="19"/>
      <c r="DK232" s="19"/>
      <c r="DL232" s="19"/>
      <c r="DM232" s="19"/>
      <c r="DN232" s="19"/>
      <c r="DO232" s="19"/>
      <c r="DP232" s="19"/>
      <c r="DQ232" s="19"/>
      <c r="DR232" s="19"/>
      <c r="DS232" s="19"/>
      <c r="DT232" s="19"/>
      <c r="DU232" s="19"/>
      <c r="DV232" s="19"/>
      <c r="DW232" s="19"/>
      <c r="DX232" s="19"/>
      <c r="DY232" s="19"/>
      <c r="DZ232" s="19"/>
      <c r="EA232" s="19"/>
      <c r="EB232" s="19"/>
      <c r="EC232" s="19"/>
      <c r="ED232" s="19"/>
      <c r="EE232" s="19"/>
      <c r="EF232" s="19"/>
      <c r="EG232" s="19"/>
      <c r="EH232" s="19"/>
      <c r="EI232" s="19"/>
      <c r="EJ232" s="19"/>
      <c r="EK232" s="19"/>
      <c r="EL232" s="19"/>
      <c r="EM232" s="19"/>
      <c r="EN232" s="19"/>
      <c r="EO232" s="19"/>
      <c r="EP232" s="17"/>
      <c r="EQ232" s="23"/>
      <c r="ER232" s="23" t="str">
        <f t="shared" si="1"/>
        <v/>
      </c>
      <c r="ES232" s="19"/>
      <c r="ET232" s="19" t="str">
        <f t="shared" si="2"/>
        <v/>
      </c>
      <c r="EU232" s="19"/>
      <c r="EV232" s="19"/>
      <c r="EW232" s="19"/>
      <c r="EX232" s="19"/>
      <c r="EY232" s="19"/>
      <c r="EZ232" s="19"/>
      <c r="FA232" s="19"/>
      <c r="FB232" s="19"/>
    </row>
    <row r="233" ht="15.75" customHeight="1">
      <c r="A233" s="19"/>
      <c r="F233" s="19"/>
      <c r="AH233" s="23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  <c r="BD233" s="19"/>
      <c r="BE233" s="19"/>
      <c r="BF233" s="19"/>
      <c r="BG233" s="19"/>
      <c r="BH233" s="19"/>
      <c r="BI233" s="19"/>
      <c r="BJ233" s="19"/>
      <c r="BK233" s="19"/>
      <c r="BL233" s="19"/>
      <c r="BM233" s="19"/>
      <c r="BN233" s="19"/>
      <c r="BO233" s="19"/>
      <c r="BP233" s="19"/>
      <c r="BQ233" s="19"/>
      <c r="BR233" s="19"/>
      <c r="BS233" s="19"/>
      <c r="BT233" s="19"/>
      <c r="BU233" s="19"/>
      <c r="BV233" s="19"/>
      <c r="BW233" s="19"/>
      <c r="BX233" s="19"/>
      <c r="BY233" s="19"/>
      <c r="BZ233" s="19"/>
      <c r="CA233" s="19"/>
      <c r="CB233" s="19"/>
      <c r="CC233" s="19"/>
      <c r="CD233" s="19"/>
      <c r="CE233" s="19"/>
      <c r="CF233" s="19"/>
      <c r="CG233" s="19"/>
      <c r="CH233" s="19"/>
      <c r="CI233" s="19"/>
      <c r="CJ233" s="19"/>
      <c r="CK233" s="19"/>
      <c r="CL233" s="19"/>
      <c r="CM233" s="19"/>
      <c r="CN233" s="19"/>
      <c r="CO233" s="19"/>
      <c r="CP233" s="19"/>
      <c r="CQ233" s="19"/>
      <c r="CR233" s="19"/>
      <c r="CS233" s="19"/>
      <c r="CT233" s="19"/>
      <c r="CU233" s="19"/>
      <c r="CV233" s="19"/>
      <c r="CW233" s="19"/>
      <c r="CX233" s="19"/>
      <c r="CY233" s="19"/>
      <c r="CZ233" s="19"/>
      <c r="DA233" s="19"/>
      <c r="DB233" s="19"/>
      <c r="DC233" s="19"/>
      <c r="DD233" s="19"/>
      <c r="DE233" s="19"/>
      <c r="DF233" s="19"/>
      <c r="DG233" s="19"/>
      <c r="DH233" s="19"/>
      <c r="DI233" s="19"/>
      <c r="DJ233" s="19"/>
      <c r="DK233" s="19"/>
      <c r="DL233" s="19"/>
      <c r="DM233" s="19"/>
      <c r="DN233" s="19"/>
      <c r="DO233" s="19"/>
      <c r="DP233" s="19"/>
      <c r="DQ233" s="19"/>
      <c r="DR233" s="19"/>
      <c r="DS233" s="19"/>
      <c r="DT233" s="19"/>
      <c r="DU233" s="19"/>
      <c r="DV233" s="19"/>
      <c r="DW233" s="19"/>
      <c r="DX233" s="19"/>
      <c r="DY233" s="19"/>
      <c r="DZ233" s="19"/>
      <c r="EA233" s="19"/>
      <c r="EB233" s="19"/>
      <c r="EC233" s="19"/>
      <c r="ED233" s="19"/>
      <c r="EE233" s="19"/>
      <c r="EF233" s="19"/>
      <c r="EG233" s="19"/>
      <c r="EH233" s="19"/>
      <c r="EI233" s="19"/>
      <c r="EJ233" s="19"/>
      <c r="EK233" s="19"/>
      <c r="EL233" s="19"/>
      <c r="EM233" s="19"/>
      <c r="EN233" s="19"/>
      <c r="EO233" s="19"/>
      <c r="EP233" s="17"/>
      <c r="EQ233" s="23"/>
      <c r="ER233" s="23" t="str">
        <f t="shared" si="1"/>
        <v/>
      </c>
      <c r="ES233" s="19"/>
      <c r="ET233" s="19" t="str">
        <f t="shared" si="2"/>
        <v/>
      </c>
      <c r="EU233" s="19"/>
      <c r="EV233" s="19"/>
      <c r="EW233" s="19"/>
      <c r="EX233" s="19"/>
      <c r="EY233" s="19"/>
      <c r="EZ233" s="19"/>
      <c r="FA233" s="19"/>
      <c r="FB233" s="19"/>
    </row>
    <row r="234" ht="15.75" customHeight="1">
      <c r="A234" s="19"/>
      <c r="F234" s="19"/>
      <c r="AH234" s="23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  <c r="BD234" s="19"/>
      <c r="BE234" s="19"/>
      <c r="BF234" s="19"/>
      <c r="BG234" s="19"/>
      <c r="BH234" s="19"/>
      <c r="BI234" s="19"/>
      <c r="BJ234" s="19"/>
      <c r="BK234" s="19"/>
      <c r="BL234" s="19"/>
      <c r="BM234" s="19"/>
      <c r="BN234" s="19"/>
      <c r="BO234" s="19"/>
      <c r="BP234" s="19"/>
      <c r="BQ234" s="19"/>
      <c r="BR234" s="19"/>
      <c r="BS234" s="19"/>
      <c r="BT234" s="19"/>
      <c r="BU234" s="19"/>
      <c r="BV234" s="19"/>
      <c r="BW234" s="19"/>
      <c r="BX234" s="19"/>
      <c r="BY234" s="19"/>
      <c r="BZ234" s="19"/>
      <c r="CA234" s="19"/>
      <c r="CB234" s="19"/>
      <c r="CC234" s="19"/>
      <c r="CD234" s="19"/>
      <c r="CE234" s="19"/>
      <c r="CF234" s="19"/>
      <c r="CG234" s="19"/>
      <c r="CH234" s="19"/>
      <c r="CI234" s="19"/>
      <c r="CJ234" s="19"/>
      <c r="CK234" s="19"/>
      <c r="CL234" s="19"/>
      <c r="CM234" s="19"/>
      <c r="CN234" s="19"/>
      <c r="CO234" s="19"/>
      <c r="CP234" s="19"/>
      <c r="CQ234" s="19"/>
      <c r="CR234" s="19"/>
      <c r="CS234" s="19"/>
      <c r="CT234" s="19"/>
      <c r="CU234" s="19"/>
      <c r="CV234" s="19"/>
      <c r="CW234" s="19"/>
      <c r="CX234" s="19"/>
      <c r="CY234" s="19"/>
      <c r="CZ234" s="19"/>
      <c r="DA234" s="19"/>
      <c r="DB234" s="19"/>
      <c r="DC234" s="19"/>
      <c r="DD234" s="19"/>
      <c r="DE234" s="19"/>
      <c r="DF234" s="19"/>
      <c r="DG234" s="19"/>
      <c r="DH234" s="19"/>
      <c r="DI234" s="19"/>
      <c r="DJ234" s="19"/>
      <c r="DK234" s="19"/>
      <c r="DL234" s="19"/>
      <c r="DM234" s="19"/>
      <c r="DN234" s="19"/>
      <c r="DO234" s="19"/>
      <c r="DP234" s="19"/>
      <c r="DQ234" s="19"/>
      <c r="DR234" s="19"/>
      <c r="DS234" s="19"/>
      <c r="DT234" s="19"/>
      <c r="DU234" s="19"/>
      <c r="DV234" s="19"/>
      <c r="DW234" s="19"/>
      <c r="DX234" s="19"/>
      <c r="DY234" s="19"/>
      <c r="DZ234" s="19"/>
      <c r="EA234" s="19"/>
      <c r="EB234" s="19"/>
      <c r="EC234" s="19"/>
      <c r="ED234" s="19"/>
      <c r="EE234" s="19"/>
      <c r="EF234" s="19"/>
      <c r="EG234" s="19"/>
      <c r="EH234" s="19"/>
      <c r="EI234" s="19"/>
      <c r="EJ234" s="19"/>
      <c r="EK234" s="19"/>
      <c r="EL234" s="19"/>
      <c r="EM234" s="19"/>
      <c r="EN234" s="19"/>
      <c r="EO234" s="19"/>
      <c r="EP234" s="17"/>
      <c r="EQ234" s="23"/>
      <c r="ER234" s="23" t="str">
        <f t="shared" si="1"/>
        <v/>
      </c>
      <c r="ES234" s="19"/>
      <c r="ET234" s="19" t="str">
        <f t="shared" si="2"/>
        <v/>
      </c>
      <c r="EU234" s="19"/>
      <c r="EV234" s="19"/>
      <c r="EW234" s="19"/>
      <c r="EX234" s="19"/>
      <c r="EY234" s="19"/>
      <c r="EZ234" s="19"/>
      <c r="FA234" s="19"/>
      <c r="FB234" s="19"/>
    </row>
    <row r="235" ht="15.75" customHeight="1">
      <c r="A235" s="19"/>
      <c r="F235" s="19"/>
      <c r="AH235" s="23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  <c r="BD235" s="19"/>
      <c r="BE235" s="19"/>
      <c r="BF235" s="19"/>
      <c r="BG235" s="19"/>
      <c r="BH235" s="19"/>
      <c r="BI235" s="19"/>
      <c r="BJ235" s="19"/>
      <c r="BK235" s="19"/>
      <c r="BL235" s="19"/>
      <c r="BM235" s="19"/>
      <c r="BN235" s="19"/>
      <c r="BO235" s="19"/>
      <c r="BP235" s="19"/>
      <c r="BQ235" s="19"/>
      <c r="BR235" s="19"/>
      <c r="BS235" s="19"/>
      <c r="BT235" s="19"/>
      <c r="BU235" s="19"/>
      <c r="BV235" s="19"/>
      <c r="BW235" s="19"/>
      <c r="BX235" s="19"/>
      <c r="BY235" s="19"/>
      <c r="BZ235" s="19"/>
      <c r="CA235" s="19"/>
      <c r="CB235" s="19"/>
      <c r="CC235" s="19"/>
      <c r="CD235" s="19"/>
      <c r="CE235" s="19"/>
      <c r="CF235" s="19"/>
      <c r="CG235" s="19"/>
      <c r="CH235" s="19"/>
      <c r="CI235" s="19"/>
      <c r="CJ235" s="19"/>
      <c r="CK235" s="19"/>
      <c r="CL235" s="19"/>
      <c r="CM235" s="19"/>
      <c r="CN235" s="19"/>
      <c r="CO235" s="19"/>
      <c r="CP235" s="19"/>
      <c r="CQ235" s="19"/>
      <c r="CR235" s="19"/>
      <c r="CS235" s="19"/>
      <c r="CT235" s="19"/>
      <c r="CU235" s="19"/>
      <c r="CV235" s="19"/>
      <c r="CW235" s="19"/>
      <c r="CX235" s="19"/>
      <c r="CY235" s="19"/>
      <c r="CZ235" s="19"/>
      <c r="DA235" s="19"/>
      <c r="DB235" s="19"/>
      <c r="DC235" s="19"/>
      <c r="DD235" s="19"/>
      <c r="DE235" s="19"/>
      <c r="DF235" s="19"/>
      <c r="DG235" s="19"/>
      <c r="DH235" s="19"/>
      <c r="DI235" s="19"/>
      <c r="DJ235" s="19"/>
      <c r="DK235" s="19"/>
      <c r="DL235" s="19"/>
      <c r="DM235" s="19"/>
      <c r="DN235" s="19"/>
      <c r="DO235" s="19"/>
      <c r="DP235" s="19"/>
      <c r="DQ235" s="19"/>
      <c r="DR235" s="19"/>
      <c r="DS235" s="19"/>
      <c r="DT235" s="19"/>
      <c r="DU235" s="19"/>
      <c r="DV235" s="19"/>
      <c r="DW235" s="19"/>
      <c r="DX235" s="19"/>
      <c r="DY235" s="19"/>
      <c r="DZ235" s="19"/>
      <c r="EA235" s="19"/>
      <c r="EB235" s="19"/>
      <c r="EC235" s="19"/>
      <c r="ED235" s="19"/>
      <c r="EE235" s="19"/>
      <c r="EF235" s="19"/>
      <c r="EG235" s="19"/>
      <c r="EH235" s="19"/>
      <c r="EI235" s="19"/>
      <c r="EJ235" s="19"/>
      <c r="EK235" s="19"/>
      <c r="EL235" s="19"/>
      <c r="EM235" s="19"/>
      <c r="EN235" s="19"/>
      <c r="EO235" s="19"/>
      <c r="EP235" s="17"/>
      <c r="EQ235" s="23"/>
      <c r="ER235" s="23" t="str">
        <f t="shared" si="1"/>
        <v/>
      </c>
      <c r="ES235" s="19"/>
      <c r="ET235" s="19" t="str">
        <f t="shared" si="2"/>
        <v/>
      </c>
      <c r="EU235" s="19"/>
      <c r="EV235" s="19"/>
      <c r="EW235" s="19"/>
      <c r="EX235" s="19"/>
      <c r="EY235" s="19"/>
      <c r="EZ235" s="19"/>
      <c r="FA235" s="19"/>
      <c r="FB235" s="19"/>
    </row>
    <row r="236" ht="15.75" customHeight="1">
      <c r="A236" s="19"/>
      <c r="F236" s="19"/>
      <c r="AH236" s="23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  <c r="BD236" s="19"/>
      <c r="BE236" s="19"/>
      <c r="BF236" s="19"/>
      <c r="BG236" s="19"/>
      <c r="BH236" s="19"/>
      <c r="BI236" s="19"/>
      <c r="BJ236" s="19"/>
      <c r="BK236" s="19"/>
      <c r="BL236" s="19"/>
      <c r="BM236" s="19"/>
      <c r="BN236" s="19"/>
      <c r="BO236" s="19"/>
      <c r="BP236" s="19"/>
      <c r="BQ236" s="19"/>
      <c r="BR236" s="19"/>
      <c r="BS236" s="19"/>
      <c r="BT236" s="19"/>
      <c r="BU236" s="19"/>
      <c r="BV236" s="19"/>
      <c r="BW236" s="19"/>
      <c r="BX236" s="19"/>
      <c r="BY236" s="19"/>
      <c r="BZ236" s="19"/>
      <c r="CA236" s="19"/>
      <c r="CB236" s="19"/>
      <c r="CC236" s="19"/>
      <c r="CD236" s="19"/>
      <c r="CE236" s="19"/>
      <c r="CF236" s="19"/>
      <c r="CG236" s="19"/>
      <c r="CH236" s="19"/>
      <c r="CI236" s="19"/>
      <c r="CJ236" s="19"/>
      <c r="CK236" s="19"/>
      <c r="CL236" s="19"/>
      <c r="CM236" s="19"/>
      <c r="CN236" s="19"/>
      <c r="CO236" s="19"/>
      <c r="CP236" s="19"/>
      <c r="CQ236" s="19"/>
      <c r="CR236" s="19"/>
      <c r="CS236" s="19"/>
      <c r="CT236" s="19"/>
      <c r="CU236" s="19"/>
      <c r="CV236" s="19"/>
      <c r="CW236" s="19"/>
      <c r="CX236" s="19"/>
      <c r="CY236" s="19"/>
      <c r="CZ236" s="19"/>
      <c r="DA236" s="19"/>
      <c r="DB236" s="19"/>
      <c r="DC236" s="19"/>
      <c r="DD236" s="19"/>
      <c r="DE236" s="19"/>
      <c r="DF236" s="19"/>
      <c r="DG236" s="19"/>
      <c r="DH236" s="19"/>
      <c r="DI236" s="19"/>
      <c r="DJ236" s="19"/>
      <c r="DK236" s="19"/>
      <c r="DL236" s="19"/>
      <c r="DM236" s="19"/>
      <c r="DN236" s="19"/>
      <c r="DO236" s="19"/>
      <c r="DP236" s="19"/>
      <c r="DQ236" s="19"/>
      <c r="DR236" s="19"/>
      <c r="DS236" s="19"/>
      <c r="DT236" s="19"/>
      <c r="DU236" s="19"/>
      <c r="DV236" s="19"/>
      <c r="DW236" s="19"/>
      <c r="DX236" s="19"/>
      <c r="DY236" s="19"/>
      <c r="DZ236" s="19"/>
      <c r="EA236" s="19"/>
      <c r="EB236" s="19"/>
      <c r="EC236" s="19"/>
      <c r="ED236" s="19"/>
      <c r="EE236" s="19"/>
      <c r="EF236" s="19"/>
      <c r="EG236" s="19"/>
      <c r="EH236" s="19"/>
      <c r="EI236" s="19"/>
      <c r="EJ236" s="19"/>
      <c r="EK236" s="19"/>
      <c r="EL236" s="19"/>
      <c r="EM236" s="19"/>
      <c r="EN236" s="19"/>
      <c r="EO236" s="19"/>
      <c r="EP236" s="17"/>
      <c r="EQ236" s="23"/>
      <c r="ER236" s="23" t="str">
        <f t="shared" si="1"/>
        <v/>
      </c>
      <c r="ES236" s="19"/>
      <c r="ET236" s="19" t="str">
        <f t="shared" si="2"/>
        <v/>
      </c>
      <c r="EU236" s="19"/>
      <c r="EV236" s="19"/>
      <c r="EW236" s="19"/>
      <c r="EX236" s="19"/>
      <c r="EY236" s="19"/>
      <c r="EZ236" s="19"/>
      <c r="FA236" s="19"/>
      <c r="FB236" s="19"/>
    </row>
    <row r="237" ht="15.75" customHeight="1">
      <c r="A237" s="19"/>
      <c r="F237" s="19"/>
      <c r="AH237" s="23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  <c r="BD237" s="19"/>
      <c r="BE237" s="19"/>
      <c r="BF237" s="19"/>
      <c r="BG237" s="19"/>
      <c r="BH237" s="19"/>
      <c r="BI237" s="19"/>
      <c r="BJ237" s="19"/>
      <c r="BK237" s="19"/>
      <c r="BL237" s="19"/>
      <c r="BM237" s="19"/>
      <c r="BN237" s="19"/>
      <c r="BO237" s="19"/>
      <c r="BP237" s="19"/>
      <c r="BQ237" s="19"/>
      <c r="BR237" s="19"/>
      <c r="BS237" s="19"/>
      <c r="BT237" s="19"/>
      <c r="BU237" s="19"/>
      <c r="BV237" s="19"/>
      <c r="BW237" s="19"/>
      <c r="BX237" s="19"/>
      <c r="BY237" s="19"/>
      <c r="BZ237" s="19"/>
      <c r="CA237" s="19"/>
      <c r="CB237" s="19"/>
      <c r="CC237" s="19"/>
      <c r="CD237" s="19"/>
      <c r="CE237" s="19"/>
      <c r="CF237" s="19"/>
      <c r="CG237" s="19"/>
      <c r="CH237" s="19"/>
      <c r="CI237" s="19"/>
      <c r="CJ237" s="19"/>
      <c r="CK237" s="19"/>
      <c r="CL237" s="19"/>
      <c r="CM237" s="19"/>
      <c r="CN237" s="19"/>
      <c r="CO237" s="19"/>
      <c r="CP237" s="19"/>
      <c r="CQ237" s="19"/>
      <c r="CR237" s="19"/>
      <c r="CS237" s="19"/>
      <c r="CT237" s="19"/>
      <c r="CU237" s="19"/>
      <c r="CV237" s="19"/>
      <c r="CW237" s="19"/>
      <c r="CX237" s="19"/>
      <c r="CY237" s="19"/>
      <c r="CZ237" s="19"/>
      <c r="DA237" s="19"/>
      <c r="DB237" s="19"/>
      <c r="DC237" s="19"/>
      <c r="DD237" s="19"/>
      <c r="DE237" s="19"/>
      <c r="DF237" s="19"/>
      <c r="DG237" s="19"/>
      <c r="DH237" s="19"/>
      <c r="DI237" s="19"/>
      <c r="DJ237" s="19"/>
      <c r="DK237" s="19"/>
      <c r="DL237" s="19"/>
      <c r="DM237" s="19"/>
      <c r="DN237" s="19"/>
      <c r="DO237" s="19"/>
      <c r="DP237" s="19"/>
      <c r="DQ237" s="19"/>
      <c r="DR237" s="19"/>
      <c r="DS237" s="19"/>
      <c r="DT237" s="19"/>
      <c r="DU237" s="19"/>
      <c r="DV237" s="19"/>
      <c r="DW237" s="19"/>
      <c r="DX237" s="19"/>
      <c r="DY237" s="19"/>
      <c r="DZ237" s="19"/>
      <c r="EA237" s="19"/>
      <c r="EB237" s="19"/>
      <c r="EC237" s="19"/>
      <c r="ED237" s="19"/>
      <c r="EE237" s="19"/>
      <c r="EF237" s="19"/>
      <c r="EG237" s="19"/>
      <c r="EH237" s="19"/>
      <c r="EI237" s="19"/>
      <c r="EJ237" s="19"/>
      <c r="EK237" s="19"/>
      <c r="EL237" s="19"/>
      <c r="EM237" s="19"/>
      <c r="EN237" s="19"/>
      <c r="EO237" s="19"/>
      <c r="EP237" s="17"/>
      <c r="EQ237" s="23"/>
      <c r="ER237" s="23" t="str">
        <f t="shared" si="1"/>
        <v/>
      </c>
      <c r="ES237" s="19"/>
      <c r="ET237" s="19" t="str">
        <f t="shared" si="2"/>
        <v/>
      </c>
      <c r="EU237" s="19"/>
      <c r="EV237" s="19"/>
      <c r="EW237" s="19"/>
      <c r="EX237" s="19"/>
      <c r="EY237" s="19"/>
      <c r="EZ237" s="19"/>
      <c r="FA237" s="19"/>
      <c r="FB237" s="19"/>
    </row>
    <row r="238" ht="15.75" customHeight="1">
      <c r="A238" s="19"/>
      <c r="F238" s="19"/>
      <c r="AH238" s="23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  <c r="BD238" s="19"/>
      <c r="BE238" s="19"/>
      <c r="BF238" s="19"/>
      <c r="BG238" s="19"/>
      <c r="BH238" s="19"/>
      <c r="BI238" s="19"/>
      <c r="BJ238" s="19"/>
      <c r="BK238" s="19"/>
      <c r="BL238" s="19"/>
      <c r="BM238" s="19"/>
      <c r="BN238" s="19"/>
      <c r="BO238" s="19"/>
      <c r="BP238" s="19"/>
      <c r="BQ238" s="19"/>
      <c r="BR238" s="19"/>
      <c r="BS238" s="19"/>
      <c r="BT238" s="19"/>
      <c r="BU238" s="19"/>
      <c r="BV238" s="19"/>
      <c r="BW238" s="19"/>
      <c r="BX238" s="19"/>
      <c r="BY238" s="19"/>
      <c r="BZ238" s="19"/>
      <c r="CA238" s="19"/>
      <c r="CB238" s="19"/>
      <c r="CC238" s="19"/>
      <c r="CD238" s="19"/>
      <c r="CE238" s="19"/>
      <c r="CF238" s="19"/>
      <c r="CG238" s="19"/>
      <c r="CH238" s="19"/>
      <c r="CI238" s="19"/>
      <c r="CJ238" s="19"/>
      <c r="CK238" s="19"/>
      <c r="CL238" s="19"/>
      <c r="CM238" s="19"/>
      <c r="CN238" s="19"/>
      <c r="CO238" s="19"/>
      <c r="CP238" s="19"/>
      <c r="CQ238" s="19"/>
      <c r="CR238" s="19"/>
      <c r="CS238" s="19"/>
      <c r="CT238" s="19"/>
      <c r="CU238" s="19"/>
      <c r="CV238" s="19"/>
      <c r="CW238" s="19"/>
      <c r="CX238" s="19"/>
      <c r="CY238" s="19"/>
      <c r="CZ238" s="19"/>
      <c r="DA238" s="19"/>
      <c r="DB238" s="19"/>
      <c r="DC238" s="19"/>
      <c r="DD238" s="19"/>
      <c r="DE238" s="19"/>
      <c r="DF238" s="19"/>
      <c r="DG238" s="19"/>
      <c r="DH238" s="19"/>
      <c r="DI238" s="19"/>
      <c r="DJ238" s="19"/>
      <c r="DK238" s="19"/>
      <c r="DL238" s="19"/>
      <c r="DM238" s="19"/>
      <c r="DN238" s="19"/>
      <c r="DO238" s="19"/>
      <c r="DP238" s="19"/>
      <c r="DQ238" s="19"/>
      <c r="DR238" s="19"/>
      <c r="DS238" s="19"/>
      <c r="DT238" s="19"/>
      <c r="DU238" s="19"/>
      <c r="DV238" s="19"/>
      <c r="DW238" s="19"/>
      <c r="DX238" s="19"/>
      <c r="DY238" s="19"/>
      <c r="DZ238" s="19"/>
      <c r="EA238" s="19"/>
      <c r="EB238" s="19"/>
      <c r="EC238" s="19"/>
      <c r="ED238" s="19"/>
      <c r="EE238" s="19"/>
      <c r="EF238" s="19"/>
      <c r="EG238" s="19"/>
      <c r="EH238" s="19"/>
      <c r="EI238" s="19"/>
      <c r="EJ238" s="19"/>
      <c r="EK238" s="19"/>
      <c r="EL238" s="19"/>
      <c r="EM238" s="19"/>
      <c r="EN238" s="19"/>
      <c r="EO238" s="19"/>
      <c r="EP238" s="17"/>
      <c r="EQ238" s="23"/>
      <c r="ER238" s="23" t="str">
        <f t="shared" si="1"/>
        <v/>
      </c>
      <c r="ES238" s="19"/>
      <c r="ET238" s="19" t="str">
        <f t="shared" si="2"/>
        <v/>
      </c>
      <c r="EU238" s="19"/>
      <c r="EV238" s="19"/>
      <c r="EW238" s="19"/>
      <c r="EX238" s="19"/>
      <c r="EY238" s="19"/>
      <c r="EZ238" s="19"/>
      <c r="FA238" s="19"/>
      <c r="FB238" s="19"/>
    </row>
    <row r="239" ht="15.75" customHeight="1">
      <c r="A239" s="19"/>
      <c r="F239" s="19"/>
      <c r="AH239" s="23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  <c r="BD239" s="19"/>
      <c r="BE239" s="19"/>
      <c r="BF239" s="19"/>
      <c r="BG239" s="19"/>
      <c r="BH239" s="19"/>
      <c r="BI239" s="19"/>
      <c r="BJ239" s="19"/>
      <c r="BK239" s="19"/>
      <c r="BL239" s="19"/>
      <c r="BM239" s="19"/>
      <c r="BN239" s="19"/>
      <c r="BO239" s="19"/>
      <c r="BP239" s="19"/>
      <c r="BQ239" s="19"/>
      <c r="BR239" s="19"/>
      <c r="BS239" s="19"/>
      <c r="BT239" s="19"/>
      <c r="BU239" s="19"/>
      <c r="BV239" s="19"/>
      <c r="BW239" s="19"/>
      <c r="BX239" s="19"/>
      <c r="BY239" s="19"/>
      <c r="BZ239" s="19"/>
      <c r="CA239" s="19"/>
      <c r="CB239" s="19"/>
      <c r="CC239" s="19"/>
      <c r="CD239" s="19"/>
      <c r="CE239" s="19"/>
      <c r="CF239" s="19"/>
      <c r="CG239" s="19"/>
      <c r="CH239" s="19"/>
      <c r="CI239" s="19"/>
      <c r="CJ239" s="19"/>
      <c r="CK239" s="19"/>
      <c r="CL239" s="19"/>
      <c r="CM239" s="19"/>
      <c r="CN239" s="19"/>
      <c r="CO239" s="19"/>
      <c r="CP239" s="19"/>
      <c r="CQ239" s="19"/>
      <c r="CR239" s="19"/>
      <c r="CS239" s="19"/>
      <c r="CT239" s="19"/>
      <c r="CU239" s="19"/>
      <c r="CV239" s="19"/>
      <c r="CW239" s="19"/>
      <c r="CX239" s="19"/>
      <c r="CY239" s="19"/>
      <c r="CZ239" s="19"/>
      <c r="DA239" s="19"/>
      <c r="DB239" s="19"/>
      <c r="DC239" s="19"/>
      <c r="DD239" s="19"/>
      <c r="DE239" s="19"/>
      <c r="DF239" s="19"/>
      <c r="DG239" s="19"/>
      <c r="DH239" s="19"/>
      <c r="DI239" s="19"/>
      <c r="DJ239" s="19"/>
      <c r="DK239" s="19"/>
      <c r="DL239" s="19"/>
      <c r="DM239" s="19"/>
      <c r="DN239" s="19"/>
      <c r="DO239" s="19"/>
      <c r="DP239" s="19"/>
      <c r="DQ239" s="19"/>
      <c r="DR239" s="19"/>
      <c r="DS239" s="19"/>
      <c r="DT239" s="19"/>
      <c r="DU239" s="19"/>
      <c r="DV239" s="19"/>
      <c r="DW239" s="19"/>
      <c r="DX239" s="19"/>
      <c r="DY239" s="19"/>
      <c r="DZ239" s="19"/>
      <c r="EA239" s="19"/>
      <c r="EB239" s="19"/>
      <c r="EC239" s="19"/>
      <c r="ED239" s="19"/>
      <c r="EE239" s="19"/>
      <c r="EF239" s="19"/>
      <c r="EG239" s="19"/>
      <c r="EH239" s="19"/>
      <c r="EI239" s="19"/>
      <c r="EJ239" s="19"/>
      <c r="EK239" s="19"/>
      <c r="EL239" s="19"/>
      <c r="EM239" s="19"/>
      <c r="EN239" s="19"/>
      <c r="EO239" s="19"/>
      <c r="EP239" s="17"/>
      <c r="EQ239" s="23"/>
      <c r="ER239" s="23" t="str">
        <f t="shared" si="1"/>
        <v/>
      </c>
      <c r="ES239" s="19"/>
      <c r="ET239" s="19" t="str">
        <f t="shared" si="2"/>
        <v/>
      </c>
      <c r="EU239" s="19"/>
      <c r="EV239" s="19"/>
      <c r="EW239" s="19"/>
      <c r="EX239" s="19"/>
      <c r="EY239" s="19"/>
      <c r="EZ239" s="19"/>
      <c r="FA239" s="19"/>
      <c r="FB239" s="19"/>
    </row>
    <row r="240" ht="15.75" customHeight="1">
      <c r="A240" s="19"/>
      <c r="F240" s="19"/>
      <c r="AH240" s="23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  <c r="BD240" s="19"/>
      <c r="BE240" s="19"/>
      <c r="BF240" s="19"/>
      <c r="BG240" s="19"/>
      <c r="BH240" s="19"/>
      <c r="BI240" s="19"/>
      <c r="BJ240" s="19"/>
      <c r="BK240" s="19"/>
      <c r="BL240" s="19"/>
      <c r="BM240" s="19"/>
      <c r="BN240" s="19"/>
      <c r="BO240" s="19"/>
      <c r="BP240" s="19"/>
      <c r="BQ240" s="19"/>
      <c r="BR240" s="19"/>
      <c r="BS240" s="19"/>
      <c r="BT240" s="19"/>
      <c r="BU240" s="19"/>
      <c r="BV240" s="19"/>
      <c r="BW240" s="19"/>
      <c r="BX240" s="19"/>
      <c r="BY240" s="19"/>
      <c r="BZ240" s="19"/>
      <c r="CA240" s="19"/>
      <c r="CB240" s="19"/>
      <c r="CC240" s="19"/>
      <c r="CD240" s="19"/>
      <c r="CE240" s="19"/>
      <c r="CF240" s="19"/>
      <c r="CG240" s="19"/>
      <c r="CH240" s="19"/>
      <c r="CI240" s="19"/>
      <c r="CJ240" s="19"/>
      <c r="CK240" s="19"/>
      <c r="CL240" s="19"/>
      <c r="CM240" s="19"/>
      <c r="CN240" s="19"/>
      <c r="CO240" s="19"/>
      <c r="CP240" s="19"/>
      <c r="CQ240" s="19"/>
      <c r="CR240" s="19"/>
      <c r="CS240" s="19"/>
      <c r="CT240" s="19"/>
      <c r="CU240" s="19"/>
      <c r="CV240" s="19"/>
      <c r="CW240" s="19"/>
      <c r="CX240" s="19"/>
      <c r="CY240" s="19"/>
      <c r="CZ240" s="19"/>
      <c r="DA240" s="19"/>
      <c r="DB240" s="19"/>
      <c r="DC240" s="19"/>
      <c r="DD240" s="19"/>
      <c r="DE240" s="19"/>
      <c r="DF240" s="19"/>
      <c r="DG240" s="19"/>
      <c r="DH240" s="19"/>
      <c r="DI240" s="19"/>
      <c r="DJ240" s="19"/>
      <c r="DK240" s="19"/>
      <c r="DL240" s="19"/>
      <c r="DM240" s="19"/>
      <c r="DN240" s="19"/>
      <c r="DO240" s="19"/>
      <c r="DP240" s="19"/>
      <c r="DQ240" s="19"/>
      <c r="DR240" s="19"/>
      <c r="DS240" s="19"/>
      <c r="DT240" s="19"/>
      <c r="DU240" s="19"/>
      <c r="DV240" s="19"/>
      <c r="DW240" s="19"/>
      <c r="DX240" s="19"/>
      <c r="DY240" s="19"/>
      <c r="DZ240" s="19"/>
      <c r="EA240" s="19"/>
      <c r="EB240" s="19"/>
      <c r="EC240" s="19"/>
      <c r="ED240" s="19"/>
      <c r="EE240" s="19"/>
      <c r="EF240" s="19"/>
      <c r="EG240" s="19"/>
      <c r="EH240" s="19"/>
      <c r="EI240" s="19"/>
      <c r="EJ240" s="19"/>
      <c r="EK240" s="19"/>
      <c r="EL240" s="19"/>
      <c r="EM240" s="19"/>
      <c r="EN240" s="19"/>
      <c r="EO240" s="19"/>
      <c r="EP240" s="17"/>
      <c r="EQ240" s="23"/>
      <c r="ER240" s="23" t="str">
        <f t="shared" si="1"/>
        <v/>
      </c>
      <c r="ES240" s="19"/>
      <c r="ET240" s="19" t="str">
        <f t="shared" si="2"/>
        <v/>
      </c>
      <c r="EU240" s="19"/>
      <c r="EV240" s="19"/>
      <c r="EW240" s="19"/>
      <c r="EX240" s="19"/>
      <c r="EY240" s="19"/>
      <c r="EZ240" s="19"/>
      <c r="FA240" s="19"/>
      <c r="FB240" s="19"/>
    </row>
    <row r="241" ht="15.75" customHeight="1">
      <c r="A241" s="19"/>
      <c r="F241" s="19"/>
      <c r="AH241" s="23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  <c r="BD241" s="19"/>
      <c r="BE241" s="19"/>
      <c r="BF241" s="19"/>
      <c r="BG241" s="19"/>
      <c r="BH241" s="19"/>
      <c r="BI241" s="19"/>
      <c r="BJ241" s="19"/>
      <c r="BK241" s="19"/>
      <c r="BL241" s="19"/>
      <c r="BM241" s="19"/>
      <c r="BN241" s="19"/>
      <c r="BO241" s="19"/>
      <c r="BP241" s="19"/>
      <c r="BQ241" s="19"/>
      <c r="BR241" s="19"/>
      <c r="BS241" s="19"/>
      <c r="BT241" s="19"/>
      <c r="BU241" s="19"/>
      <c r="BV241" s="19"/>
      <c r="BW241" s="19"/>
      <c r="BX241" s="19"/>
      <c r="BY241" s="19"/>
      <c r="BZ241" s="19"/>
      <c r="CA241" s="19"/>
      <c r="CB241" s="19"/>
      <c r="CC241" s="19"/>
      <c r="CD241" s="19"/>
      <c r="CE241" s="19"/>
      <c r="CF241" s="19"/>
      <c r="CG241" s="19"/>
      <c r="CH241" s="19"/>
      <c r="CI241" s="19"/>
      <c r="CJ241" s="19"/>
      <c r="CK241" s="19"/>
      <c r="CL241" s="19"/>
      <c r="CM241" s="19"/>
      <c r="CN241" s="19"/>
      <c r="CO241" s="19"/>
      <c r="CP241" s="19"/>
      <c r="CQ241" s="19"/>
      <c r="CR241" s="19"/>
      <c r="CS241" s="19"/>
      <c r="CT241" s="19"/>
      <c r="CU241" s="19"/>
      <c r="CV241" s="19"/>
      <c r="CW241" s="19"/>
      <c r="CX241" s="19"/>
      <c r="CY241" s="19"/>
      <c r="CZ241" s="19"/>
      <c r="DA241" s="19"/>
      <c r="DB241" s="19"/>
      <c r="DC241" s="19"/>
      <c r="DD241" s="19"/>
      <c r="DE241" s="19"/>
      <c r="DF241" s="19"/>
      <c r="DG241" s="19"/>
      <c r="DH241" s="19"/>
      <c r="DI241" s="19"/>
      <c r="DJ241" s="19"/>
      <c r="DK241" s="19"/>
      <c r="DL241" s="19"/>
      <c r="DM241" s="19"/>
      <c r="DN241" s="19"/>
      <c r="DO241" s="19"/>
      <c r="DP241" s="19"/>
      <c r="DQ241" s="19"/>
      <c r="DR241" s="19"/>
      <c r="DS241" s="19"/>
      <c r="DT241" s="19"/>
      <c r="DU241" s="19"/>
      <c r="DV241" s="19"/>
      <c r="DW241" s="19"/>
      <c r="DX241" s="19"/>
      <c r="DY241" s="19"/>
      <c r="DZ241" s="19"/>
      <c r="EA241" s="19"/>
      <c r="EB241" s="19"/>
      <c r="EC241" s="19"/>
      <c r="ED241" s="19"/>
      <c r="EE241" s="19"/>
      <c r="EF241" s="19"/>
      <c r="EG241" s="19"/>
      <c r="EH241" s="19"/>
      <c r="EI241" s="19"/>
      <c r="EJ241" s="19"/>
      <c r="EK241" s="19"/>
      <c r="EL241" s="19"/>
      <c r="EM241" s="19"/>
      <c r="EN241" s="19"/>
      <c r="EO241" s="19"/>
      <c r="EP241" s="17"/>
      <c r="EQ241" s="23"/>
      <c r="ER241" s="23" t="str">
        <f t="shared" si="1"/>
        <v/>
      </c>
      <c r="ES241" s="19"/>
      <c r="ET241" s="19" t="str">
        <f t="shared" si="2"/>
        <v/>
      </c>
      <c r="EU241" s="19"/>
      <c r="EV241" s="19"/>
      <c r="EW241" s="19"/>
      <c r="EX241" s="19"/>
      <c r="EY241" s="19"/>
      <c r="EZ241" s="19"/>
      <c r="FA241" s="19"/>
      <c r="FB241" s="19"/>
    </row>
    <row r="242" ht="15.75" customHeight="1">
      <c r="A242" s="19"/>
      <c r="F242" s="19"/>
      <c r="AH242" s="23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  <c r="BD242" s="19"/>
      <c r="BE242" s="19"/>
      <c r="BF242" s="19"/>
      <c r="BG242" s="19"/>
      <c r="BH242" s="19"/>
      <c r="BI242" s="19"/>
      <c r="BJ242" s="19"/>
      <c r="BK242" s="19"/>
      <c r="BL242" s="19"/>
      <c r="BM242" s="19"/>
      <c r="BN242" s="19"/>
      <c r="BO242" s="19"/>
      <c r="BP242" s="19"/>
      <c r="BQ242" s="19"/>
      <c r="BR242" s="19"/>
      <c r="BS242" s="19"/>
      <c r="BT242" s="19"/>
      <c r="BU242" s="19"/>
      <c r="BV242" s="19"/>
      <c r="BW242" s="19"/>
      <c r="BX242" s="19"/>
      <c r="BY242" s="19"/>
      <c r="BZ242" s="19"/>
      <c r="CA242" s="19"/>
      <c r="CB242" s="19"/>
      <c r="CC242" s="19"/>
      <c r="CD242" s="19"/>
      <c r="CE242" s="19"/>
      <c r="CF242" s="19"/>
      <c r="CG242" s="19"/>
      <c r="CH242" s="19"/>
      <c r="CI242" s="19"/>
      <c r="CJ242" s="19"/>
      <c r="CK242" s="19"/>
      <c r="CL242" s="19"/>
      <c r="CM242" s="19"/>
      <c r="CN242" s="19"/>
      <c r="CO242" s="19"/>
      <c r="CP242" s="19"/>
      <c r="CQ242" s="19"/>
      <c r="CR242" s="19"/>
      <c r="CS242" s="19"/>
      <c r="CT242" s="19"/>
      <c r="CU242" s="19"/>
      <c r="CV242" s="19"/>
      <c r="CW242" s="19"/>
      <c r="CX242" s="19"/>
      <c r="CY242" s="19"/>
      <c r="CZ242" s="19"/>
      <c r="DA242" s="19"/>
      <c r="DB242" s="19"/>
      <c r="DC242" s="19"/>
      <c r="DD242" s="19"/>
      <c r="DE242" s="19"/>
      <c r="DF242" s="19"/>
      <c r="DG242" s="19"/>
      <c r="DH242" s="19"/>
      <c r="DI242" s="19"/>
      <c r="DJ242" s="19"/>
      <c r="DK242" s="19"/>
      <c r="DL242" s="19"/>
      <c r="DM242" s="19"/>
      <c r="DN242" s="19"/>
      <c r="DO242" s="19"/>
      <c r="DP242" s="19"/>
      <c r="DQ242" s="19"/>
      <c r="DR242" s="19"/>
      <c r="DS242" s="19"/>
      <c r="DT242" s="19"/>
      <c r="DU242" s="19"/>
      <c r="DV242" s="19"/>
      <c r="DW242" s="19"/>
      <c r="DX242" s="19"/>
      <c r="DY242" s="19"/>
      <c r="DZ242" s="19"/>
      <c r="EA242" s="19"/>
      <c r="EB242" s="19"/>
      <c r="EC242" s="19"/>
      <c r="ED242" s="19"/>
      <c r="EE242" s="19"/>
      <c r="EF242" s="19"/>
      <c r="EG242" s="19"/>
      <c r="EH242" s="19"/>
      <c r="EI242" s="19"/>
      <c r="EJ242" s="19"/>
      <c r="EK242" s="19"/>
      <c r="EL242" s="19"/>
      <c r="EM242" s="19"/>
      <c r="EN242" s="19"/>
      <c r="EO242" s="19"/>
      <c r="EP242" s="17"/>
      <c r="EQ242" s="23"/>
      <c r="ER242" s="23" t="str">
        <f t="shared" si="1"/>
        <v/>
      </c>
      <c r="ES242" s="19"/>
      <c r="ET242" s="19" t="str">
        <f t="shared" si="2"/>
        <v/>
      </c>
      <c r="EU242" s="19"/>
      <c r="EV242" s="19"/>
      <c r="EW242" s="19"/>
      <c r="EX242" s="19"/>
      <c r="EY242" s="19"/>
      <c r="EZ242" s="19"/>
      <c r="FA242" s="19"/>
      <c r="FB242" s="19"/>
    </row>
    <row r="243" ht="15.75" customHeight="1">
      <c r="A243" s="19"/>
      <c r="F243" s="19"/>
      <c r="AH243" s="23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  <c r="BD243" s="19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  <c r="BP243" s="19"/>
      <c r="BQ243" s="19"/>
      <c r="BR243" s="19"/>
      <c r="BS243" s="19"/>
      <c r="BT243" s="19"/>
      <c r="BU243" s="19"/>
      <c r="BV243" s="19"/>
      <c r="BW243" s="19"/>
      <c r="BX243" s="19"/>
      <c r="BY243" s="19"/>
      <c r="BZ243" s="19"/>
      <c r="CA243" s="19"/>
      <c r="CB243" s="19"/>
      <c r="CC243" s="19"/>
      <c r="CD243" s="19"/>
      <c r="CE243" s="19"/>
      <c r="CF243" s="19"/>
      <c r="CG243" s="19"/>
      <c r="CH243" s="19"/>
      <c r="CI243" s="19"/>
      <c r="CJ243" s="19"/>
      <c r="CK243" s="19"/>
      <c r="CL243" s="19"/>
      <c r="CM243" s="19"/>
      <c r="CN243" s="19"/>
      <c r="CO243" s="19"/>
      <c r="CP243" s="19"/>
      <c r="CQ243" s="19"/>
      <c r="CR243" s="19"/>
      <c r="CS243" s="19"/>
      <c r="CT243" s="19"/>
      <c r="CU243" s="19"/>
      <c r="CV243" s="19"/>
      <c r="CW243" s="19"/>
      <c r="CX243" s="19"/>
      <c r="CY243" s="19"/>
      <c r="CZ243" s="19"/>
      <c r="DA243" s="19"/>
      <c r="DB243" s="19"/>
      <c r="DC243" s="19"/>
      <c r="DD243" s="19"/>
      <c r="DE243" s="19"/>
      <c r="DF243" s="19"/>
      <c r="DG243" s="19"/>
      <c r="DH243" s="19"/>
      <c r="DI243" s="19"/>
      <c r="DJ243" s="19"/>
      <c r="DK243" s="19"/>
      <c r="DL243" s="19"/>
      <c r="DM243" s="19"/>
      <c r="DN243" s="19"/>
      <c r="DO243" s="19"/>
      <c r="DP243" s="19"/>
      <c r="DQ243" s="19"/>
      <c r="DR243" s="19"/>
      <c r="DS243" s="19"/>
      <c r="DT243" s="19"/>
      <c r="DU243" s="19"/>
      <c r="DV243" s="19"/>
      <c r="DW243" s="19"/>
      <c r="DX243" s="19"/>
      <c r="DY243" s="19"/>
      <c r="DZ243" s="19"/>
      <c r="EA243" s="19"/>
      <c r="EB243" s="19"/>
      <c r="EC243" s="19"/>
      <c r="ED243" s="19"/>
      <c r="EE243" s="19"/>
      <c r="EF243" s="19"/>
      <c r="EG243" s="19"/>
      <c r="EH243" s="19"/>
      <c r="EI243" s="19"/>
      <c r="EJ243" s="19"/>
      <c r="EK243" s="19"/>
      <c r="EL243" s="19"/>
      <c r="EM243" s="19"/>
      <c r="EN243" s="19"/>
      <c r="EO243" s="19"/>
      <c r="EP243" s="17"/>
      <c r="EQ243" s="23"/>
      <c r="ER243" s="23" t="str">
        <f t="shared" si="1"/>
        <v/>
      </c>
      <c r="ES243" s="19"/>
      <c r="ET243" s="19" t="str">
        <f t="shared" si="2"/>
        <v/>
      </c>
      <c r="EU243" s="19"/>
      <c r="EV243" s="19"/>
      <c r="EW243" s="19"/>
      <c r="EX243" s="19"/>
      <c r="EY243" s="19"/>
      <c r="EZ243" s="19"/>
      <c r="FA243" s="19"/>
      <c r="FB243" s="19"/>
    </row>
    <row r="244" ht="15.75" customHeight="1">
      <c r="A244" s="19"/>
      <c r="F244" s="19"/>
      <c r="AH244" s="23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  <c r="BD244" s="19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  <c r="BP244" s="19"/>
      <c r="BQ244" s="19"/>
      <c r="BR244" s="19"/>
      <c r="BS244" s="19"/>
      <c r="BT244" s="19"/>
      <c r="BU244" s="19"/>
      <c r="BV244" s="19"/>
      <c r="BW244" s="19"/>
      <c r="BX244" s="19"/>
      <c r="BY244" s="19"/>
      <c r="BZ244" s="19"/>
      <c r="CA244" s="19"/>
      <c r="CB244" s="19"/>
      <c r="CC244" s="19"/>
      <c r="CD244" s="19"/>
      <c r="CE244" s="19"/>
      <c r="CF244" s="19"/>
      <c r="CG244" s="19"/>
      <c r="CH244" s="19"/>
      <c r="CI244" s="19"/>
      <c r="CJ244" s="19"/>
      <c r="CK244" s="19"/>
      <c r="CL244" s="19"/>
      <c r="CM244" s="19"/>
      <c r="CN244" s="19"/>
      <c r="CO244" s="19"/>
      <c r="CP244" s="19"/>
      <c r="CQ244" s="19"/>
      <c r="CR244" s="19"/>
      <c r="CS244" s="19"/>
      <c r="CT244" s="19"/>
      <c r="CU244" s="19"/>
      <c r="CV244" s="19"/>
      <c r="CW244" s="19"/>
      <c r="CX244" s="19"/>
      <c r="CY244" s="19"/>
      <c r="CZ244" s="19"/>
      <c r="DA244" s="19"/>
      <c r="DB244" s="19"/>
      <c r="DC244" s="19"/>
      <c r="DD244" s="19"/>
      <c r="DE244" s="19"/>
      <c r="DF244" s="19"/>
      <c r="DG244" s="19"/>
      <c r="DH244" s="19"/>
      <c r="DI244" s="19"/>
      <c r="DJ244" s="19"/>
      <c r="DK244" s="19"/>
      <c r="DL244" s="19"/>
      <c r="DM244" s="19"/>
      <c r="DN244" s="19"/>
      <c r="DO244" s="19"/>
      <c r="DP244" s="19"/>
      <c r="DQ244" s="19"/>
      <c r="DR244" s="19"/>
      <c r="DS244" s="19"/>
      <c r="DT244" s="19"/>
      <c r="DU244" s="19"/>
      <c r="DV244" s="19"/>
      <c r="DW244" s="19"/>
      <c r="DX244" s="19"/>
      <c r="DY244" s="19"/>
      <c r="DZ244" s="19"/>
      <c r="EA244" s="19"/>
      <c r="EB244" s="19"/>
      <c r="EC244" s="19"/>
      <c r="ED244" s="19"/>
      <c r="EE244" s="19"/>
      <c r="EF244" s="19"/>
      <c r="EG244" s="19"/>
      <c r="EH244" s="19"/>
      <c r="EI244" s="19"/>
      <c r="EJ244" s="19"/>
      <c r="EK244" s="19"/>
      <c r="EL244" s="19"/>
      <c r="EM244" s="19"/>
      <c r="EN244" s="19"/>
      <c r="EO244" s="19"/>
      <c r="EP244" s="17"/>
      <c r="EQ244" s="23"/>
      <c r="ER244" s="23" t="str">
        <f t="shared" si="1"/>
        <v/>
      </c>
      <c r="ES244" s="19"/>
      <c r="ET244" s="19" t="str">
        <f t="shared" si="2"/>
        <v/>
      </c>
      <c r="EU244" s="19"/>
      <c r="EV244" s="19"/>
      <c r="EW244" s="19"/>
      <c r="EX244" s="19"/>
      <c r="EY244" s="19"/>
      <c r="EZ244" s="19"/>
      <c r="FA244" s="19"/>
      <c r="FB244" s="19"/>
    </row>
    <row r="245" ht="15.75" customHeight="1">
      <c r="A245" s="19"/>
      <c r="F245" s="19"/>
      <c r="AH245" s="23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  <c r="BD245" s="19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  <c r="BP245" s="19"/>
      <c r="BQ245" s="19"/>
      <c r="BR245" s="19"/>
      <c r="BS245" s="19"/>
      <c r="BT245" s="19"/>
      <c r="BU245" s="19"/>
      <c r="BV245" s="19"/>
      <c r="BW245" s="19"/>
      <c r="BX245" s="19"/>
      <c r="BY245" s="19"/>
      <c r="BZ245" s="19"/>
      <c r="CA245" s="19"/>
      <c r="CB245" s="19"/>
      <c r="CC245" s="19"/>
      <c r="CD245" s="19"/>
      <c r="CE245" s="19"/>
      <c r="CF245" s="19"/>
      <c r="CG245" s="19"/>
      <c r="CH245" s="19"/>
      <c r="CI245" s="19"/>
      <c r="CJ245" s="19"/>
      <c r="CK245" s="19"/>
      <c r="CL245" s="19"/>
      <c r="CM245" s="19"/>
      <c r="CN245" s="19"/>
      <c r="CO245" s="19"/>
      <c r="CP245" s="19"/>
      <c r="CQ245" s="19"/>
      <c r="CR245" s="19"/>
      <c r="CS245" s="19"/>
      <c r="CT245" s="19"/>
      <c r="CU245" s="19"/>
      <c r="CV245" s="19"/>
      <c r="CW245" s="19"/>
      <c r="CX245" s="19"/>
      <c r="CY245" s="19"/>
      <c r="CZ245" s="19"/>
      <c r="DA245" s="19"/>
      <c r="DB245" s="19"/>
      <c r="DC245" s="19"/>
      <c r="DD245" s="19"/>
      <c r="DE245" s="19"/>
      <c r="DF245" s="19"/>
      <c r="DG245" s="19"/>
      <c r="DH245" s="19"/>
      <c r="DI245" s="19"/>
      <c r="DJ245" s="19"/>
      <c r="DK245" s="19"/>
      <c r="DL245" s="19"/>
      <c r="DM245" s="19"/>
      <c r="DN245" s="19"/>
      <c r="DO245" s="19"/>
      <c r="DP245" s="19"/>
      <c r="DQ245" s="19"/>
      <c r="DR245" s="19"/>
      <c r="DS245" s="19"/>
      <c r="DT245" s="19"/>
      <c r="DU245" s="19"/>
      <c r="DV245" s="19"/>
      <c r="DW245" s="19"/>
      <c r="DX245" s="19"/>
      <c r="DY245" s="19"/>
      <c r="DZ245" s="19"/>
      <c r="EA245" s="19"/>
      <c r="EB245" s="19"/>
      <c r="EC245" s="19"/>
      <c r="ED245" s="19"/>
      <c r="EE245" s="19"/>
      <c r="EF245" s="19"/>
      <c r="EG245" s="19"/>
      <c r="EH245" s="19"/>
      <c r="EI245" s="19"/>
      <c r="EJ245" s="19"/>
      <c r="EK245" s="19"/>
      <c r="EL245" s="19"/>
      <c r="EM245" s="19"/>
      <c r="EN245" s="19"/>
      <c r="EO245" s="19"/>
      <c r="EP245" s="17"/>
      <c r="EQ245" s="23"/>
      <c r="ER245" s="23" t="str">
        <f t="shared" si="1"/>
        <v/>
      </c>
      <c r="ES245" s="19"/>
      <c r="ET245" s="19" t="str">
        <f t="shared" si="2"/>
        <v/>
      </c>
      <c r="EU245" s="19"/>
      <c r="EV245" s="19"/>
      <c r="EW245" s="19"/>
      <c r="EX245" s="19"/>
      <c r="EY245" s="19"/>
      <c r="EZ245" s="19"/>
      <c r="FA245" s="19"/>
      <c r="FB245" s="19"/>
    </row>
    <row r="246" ht="15.75" customHeight="1">
      <c r="A246" s="19"/>
      <c r="F246" s="19"/>
      <c r="AH246" s="23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  <c r="BD246" s="19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  <c r="BP246" s="19"/>
      <c r="BQ246" s="19"/>
      <c r="BR246" s="19"/>
      <c r="BS246" s="19"/>
      <c r="BT246" s="19"/>
      <c r="BU246" s="19"/>
      <c r="BV246" s="19"/>
      <c r="BW246" s="19"/>
      <c r="BX246" s="19"/>
      <c r="BY246" s="19"/>
      <c r="BZ246" s="19"/>
      <c r="CA246" s="19"/>
      <c r="CB246" s="19"/>
      <c r="CC246" s="19"/>
      <c r="CD246" s="19"/>
      <c r="CE246" s="19"/>
      <c r="CF246" s="19"/>
      <c r="CG246" s="19"/>
      <c r="CH246" s="19"/>
      <c r="CI246" s="19"/>
      <c r="CJ246" s="19"/>
      <c r="CK246" s="19"/>
      <c r="CL246" s="19"/>
      <c r="CM246" s="19"/>
      <c r="CN246" s="19"/>
      <c r="CO246" s="19"/>
      <c r="CP246" s="19"/>
      <c r="CQ246" s="19"/>
      <c r="CR246" s="19"/>
      <c r="CS246" s="19"/>
      <c r="CT246" s="19"/>
      <c r="CU246" s="19"/>
      <c r="CV246" s="19"/>
      <c r="CW246" s="19"/>
      <c r="CX246" s="19"/>
      <c r="CY246" s="19"/>
      <c r="CZ246" s="19"/>
      <c r="DA246" s="19"/>
      <c r="DB246" s="19"/>
      <c r="DC246" s="19"/>
      <c r="DD246" s="19"/>
      <c r="DE246" s="19"/>
      <c r="DF246" s="19"/>
      <c r="DG246" s="19"/>
      <c r="DH246" s="19"/>
      <c r="DI246" s="19"/>
      <c r="DJ246" s="19"/>
      <c r="DK246" s="19"/>
      <c r="DL246" s="19"/>
      <c r="DM246" s="19"/>
      <c r="DN246" s="19"/>
      <c r="DO246" s="19"/>
      <c r="DP246" s="19"/>
      <c r="DQ246" s="19"/>
      <c r="DR246" s="19"/>
      <c r="DS246" s="19"/>
      <c r="DT246" s="19"/>
      <c r="DU246" s="19"/>
      <c r="DV246" s="19"/>
      <c r="DW246" s="19"/>
      <c r="DX246" s="19"/>
      <c r="DY246" s="19"/>
      <c r="DZ246" s="19"/>
      <c r="EA246" s="19"/>
      <c r="EB246" s="19"/>
      <c r="EC246" s="19"/>
      <c r="ED246" s="19"/>
      <c r="EE246" s="19"/>
      <c r="EF246" s="19"/>
      <c r="EG246" s="19"/>
      <c r="EH246" s="19"/>
      <c r="EI246" s="19"/>
      <c r="EJ246" s="19"/>
      <c r="EK246" s="19"/>
      <c r="EL246" s="19"/>
      <c r="EM246" s="19"/>
      <c r="EN246" s="19"/>
      <c r="EO246" s="19"/>
      <c r="EP246" s="17"/>
      <c r="EQ246" s="23"/>
      <c r="ER246" s="23" t="str">
        <f t="shared" si="1"/>
        <v/>
      </c>
      <c r="ES246" s="19"/>
      <c r="ET246" s="19" t="str">
        <f t="shared" si="2"/>
        <v/>
      </c>
      <c r="EU246" s="19"/>
      <c r="EV246" s="19"/>
      <c r="EW246" s="19"/>
      <c r="EX246" s="19"/>
      <c r="EY246" s="19"/>
      <c r="EZ246" s="19"/>
      <c r="FA246" s="19"/>
      <c r="FB246" s="19"/>
    </row>
    <row r="247" ht="15.75" customHeight="1">
      <c r="A247" s="19"/>
      <c r="F247" s="19"/>
      <c r="AH247" s="23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  <c r="BD247" s="19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  <c r="BP247" s="19"/>
      <c r="BQ247" s="19"/>
      <c r="BR247" s="19"/>
      <c r="BS247" s="19"/>
      <c r="BT247" s="19"/>
      <c r="BU247" s="19"/>
      <c r="BV247" s="19"/>
      <c r="BW247" s="19"/>
      <c r="BX247" s="19"/>
      <c r="BY247" s="19"/>
      <c r="BZ247" s="19"/>
      <c r="CA247" s="19"/>
      <c r="CB247" s="19"/>
      <c r="CC247" s="19"/>
      <c r="CD247" s="19"/>
      <c r="CE247" s="19"/>
      <c r="CF247" s="19"/>
      <c r="CG247" s="19"/>
      <c r="CH247" s="19"/>
      <c r="CI247" s="19"/>
      <c r="CJ247" s="19"/>
      <c r="CK247" s="19"/>
      <c r="CL247" s="19"/>
      <c r="CM247" s="19"/>
      <c r="CN247" s="19"/>
      <c r="CO247" s="19"/>
      <c r="CP247" s="19"/>
      <c r="CQ247" s="19"/>
      <c r="CR247" s="19"/>
      <c r="CS247" s="19"/>
      <c r="CT247" s="19"/>
      <c r="CU247" s="19"/>
      <c r="CV247" s="19"/>
      <c r="CW247" s="19"/>
      <c r="CX247" s="19"/>
      <c r="CY247" s="19"/>
      <c r="CZ247" s="19"/>
      <c r="DA247" s="19"/>
      <c r="DB247" s="19"/>
      <c r="DC247" s="19"/>
      <c r="DD247" s="19"/>
      <c r="DE247" s="19"/>
      <c r="DF247" s="19"/>
      <c r="DG247" s="19"/>
      <c r="DH247" s="19"/>
      <c r="DI247" s="19"/>
      <c r="DJ247" s="19"/>
      <c r="DK247" s="19"/>
      <c r="DL247" s="19"/>
      <c r="DM247" s="19"/>
      <c r="DN247" s="19"/>
      <c r="DO247" s="19"/>
      <c r="DP247" s="19"/>
      <c r="DQ247" s="19"/>
      <c r="DR247" s="19"/>
      <c r="DS247" s="19"/>
      <c r="DT247" s="19"/>
      <c r="DU247" s="19"/>
      <c r="DV247" s="19"/>
      <c r="DW247" s="19"/>
      <c r="DX247" s="19"/>
      <c r="DY247" s="19"/>
      <c r="DZ247" s="19"/>
      <c r="EA247" s="19"/>
      <c r="EB247" s="19"/>
      <c r="EC247" s="19"/>
      <c r="ED247" s="19"/>
      <c r="EE247" s="19"/>
      <c r="EF247" s="19"/>
      <c r="EG247" s="19"/>
      <c r="EH247" s="19"/>
      <c r="EI247" s="19"/>
      <c r="EJ247" s="19"/>
      <c r="EK247" s="19"/>
      <c r="EL247" s="19"/>
      <c r="EM247" s="19"/>
      <c r="EN247" s="19"/>
      <c r="EO247" s="19"/>
      <c r="EP247" s="17"/>
      <c r="EQ247" s="23"/>
      <c r="ER247" s="23" t="str">
        <f t="shared" si="1"/>
        <v/>
      </c>
      <c r="ES247" s="19"/>
      <c r="ET247" s="19" t="str">
        <f t="shared" si="2"/>
        <v/>
      </c>
      <c r="EU247" s="19"/>
      <c r="EV247" s="19"/>
      <c r="EW247" s="19"/>
      <c r="EX247" s="19"/>
      <c r="EY247" s="19"/>
      <c r="EZ247" s="19"/>
      <c r="FA247" s="19"/>
      <c r="FB247" s="19"/>
    </row>
    <row r="248" ht="15.75" customHeight="1">
      <c r="A248" s="19"/>
      <c r="F248" s="19"/>
      <c r="AH248" s="23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  <c r="BD248" s="19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  <c r="BP248" s="19"/>
      <c r="BQ248" s="19"/>
      <c r="BR248" s="19"/>
      <c r="BS248" s="19"/>
      <c r="BT248" s="19"/>
      <c r="BU248" s="19"/>
      <c r="BV248" s="19"/>
      <c r="BW248" s="19"/>
      <c r="BX248" s="19"/>
      <c r="BY248" s="19"/>
      <c r="BZ248" s="19"/>
      <c r="CA248" s="19"/>
      <c r="CB248" s="19"/>
      <c r="CC248" s="19"/>
      <c r="CD248" s="19"/>
      <c r="CE248" s="19"/>
      <c r="CF248" s="19"/>
      <c r="CG248" s="19"/>
      <c r="CH248" s="19"/>
      <c r="CI248" s="19"/>
      <c r="CJ248" s="19"/>
      <c r="CK248" s="19"/>
      <c r="CL248" s="19"/>
      <c r="CM248" s="19"/>
      <c r="CN248" s="19"/>
      <c r="CO248" s="19"/>
      <c r="CP248" s="19"/>
      <c r="CQ248" s="19"/>
      <c r="CR248" s="19"/>
      <c r="CS248" s="19"/>
      <c r="CT248" s="19"/>
      <c r="CU248" s="19"/>
      <c r="CV248" s="19"/>
      <c r="CW248" s="19"/>
      <c r="CX248" s="19"/>
      <c r="CY248" s="19"/>
      <c r="CZ248" s="19"/>
      <c r="DA248" s="19"/>
      <c r="DB248" s="19"/>
      <c r="DC248" s="19"/>
      <c r="DD248" s="19"/>
      <c r="DE248" s="19"/>
      <c r="DF248" s="19"/>
      <c r="DG248" s="19"/>
      <c r="DH248" s="19"/>
      <c r="DI248" s="19"/>
      <c r="DJ248" s="19"/>
      <c r="DK248" s="19"/>
      <c r="DL248" s="19"/>
      <c r="DM248" s="19"/>
      <c r="DN248" s="19"/>
      <c r="DO248" s="19"/>
      <c r="DP248" s="19"/>
      <c r="DQ248" s="19"/>
      <c r="DR248" s="19"/>
      <c r="DS248" s="19"/>
      <c r="DT248" s="19"/>
      <c r="DU248" s="19"/>
      <c r="DV248" s="19"/>
      <c r="DW248" s="19"/>
      <c r="DX248" s="19"/>
      <c r="DY248" s="19"/>
      <c r="DZ248" s="19"/>
      <c r="EA248" s="19"/>
      <c r="EB248" s="19"/>
      <c r="EC248" s="19"/>
      <c r="ED248" s="19"/>
      <c r="EE248" s="19"/>
      <c r="EF248" s="19"/>
      <c r="EG248" s="19"/>
      <c r="EH248" s="19"/>
      <c r="EI248" s="19"/>
      <c r="EJ248" s="19"/>
      <c r="EK248" s="19"/>
      <c r="EL248" s="19"/>
      <c r="EM248" s="19"/>
      <c r="EN248" s="19"/>
      <c r="EO248" s="19"/>
      <c r="EP248" s="17"/>
      <c r="EQ248" s="23"/>
      <c r="ER248" s="23" t="str">
        <f t="shared" si="1"/>
        <v/>
      </c>
      <c r="ES248" s="19"/>
      <c r="ET248" s="19" t="str">
        <f t="shared" si="2"/>
        <v/>
      </c>
      <c r="EU248" s="19"/>
      <c r="EV248" s="19"/>
      <c r="EW248" s="19"/>
      <c r="EX248" s="19"/>
      <c r="EY248" s="19"/>
      <c r="EZ248" s="19"/>
      <c r="FA248" s="19"/>
      <c r="FB248" s="19"/>
    </row>
    <row r="249" ht="15.75" customHeight="1">
      <c r="A249" s="19"/>
      <c r="F249" s="19"/>
      <c r="AH249" s="23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  <c r="BD249" s="19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  <c r="BP249" s="19"/>
      <c r="BQ249" s="19"/>
      <c r="BR249" s="19"/>
      <c r="BS249" s="19"/>
      <c r="BT249" s="19"/>
      <c r="BU249" s="19"/>
      <c r="BV249" s="19"/>
      <c r="BW249" s="19"/>
      <c r="BX249" s="19"/>
      <c r="BY249" s="19"/>
      <c r="BZ249" s="19"/>
      <c r="CA249" s="19"/>
      <c r="CB249" s="19"/>
      <c r="CC249" s="19"/>
      <c r="CD249" s="19"/>
      <c r="CE249" s="19"/>
      <c r="CF249" s="19"/>
      <c r="CG249" s="19"/>
      <c r="CH249" s="19"/>
      <c r="CI249" s="19"/>
      <c r="CJ249" s="19"/>
      <c r="CK249" s="19"/>
      <c r="CL249" s="19"/>
      <c r="CM249" s="19"/>
      <c r="CN249" s="19"/>
      <c r="CO249" s="19"/>
      <c r="CP249" s="19"/>
      <c r="CQ249" s="19"/>
      <c r="CR249" s="19"/>
      <c r="CS249" s="19"/>
      <c r="CT249" s="19"/>
      <c r="CU249" s="19"/>
      <c r="CV249" s="19"/>
      <c r="CW249" s="19"/>
      <c r="CX249" s="19"/>
      <c r="CY249" s="19"/>
      <c r="CZ249" s="19"/>
      <c r="DA249" s="19"/>
      <c r="DB249" s="19"/>
      <c r="DC249" s="19"/>
      <c r="DD249" s="19"/>
      <c r="DE249" s="19"/>
      <c r="DF249" s="19"/>
      <c r="DG249" s="19"/>
      <c r="DH249" s="19"/>
      <c r="DI249" s="19"/>
      <c r="DJ249" s="19"/>
      <c r="DK249" s="19"/>
      <c r="DL249" s="19"/>
      <c r="DM249" s="19"/>
      <c r="DN249" s="19"/>
      <c r="DO249" s="19"/>
      <c r="DP249" s="19"/>
      <c r="DQ249" s="19"/>
      <c r="DR249" s="19"/>
      <c r="DS249" s="19"/>
      <c r="DT249" s="19"/>
      <c r="DU249" s="19"/>
      <c r="DV249" s="19"/>
      <c r="DW249" s="19"/>
      <c r="DX249" s="19"/>
      <c r="DY249" s="19"/>
      <c r="DZ249" s="19"/>
      <c r="EA249" s="19"/>
      <c r="EB249" s="19"/>
      <c r="EC249" s="19"/>
      <c r="ED249" s="19"/>
      <c r="EE249" s="19"/>
      <c r="EF249" s="19"/>
      <c r="EG249" s="19"/>
      <c r="EH249" s="19"/>
      <c r="EI249" s="19"/>
      <c r="EJ249" s="19"/>
      <c r="EK249" s="19"/>
      <c r="EL249" s="19"/>
      <c r="EM249" s="19"/>
      <c r="EN249" s="19"/>
      <c r="EO249" s="19"/>
      <c r="EP249" s="17"/>
      <c r="EQ249" s="23"/>
      <c r="ER249" s="23" t="str">
        <f t="shared" si="1"/>
        <v/>
      </c>
      <c r="ES249" s="19"/>
      <c r="ET249" s="19" t="str">
        <f t="shared" si="2"/>
        <v/>
      </c>
      <c r="EU249" s="19"/>
      <c r="EV249" s="19"/>
      <c r="EW249" s="19"/>
      <c r="EX249" s="19"/>
      <c r="EY249" s="19"/>
      <c r="EZ249" s="19"/>
      <c r="FA249" s="19"/>
      <c r="FB249" s="19"/>
    </row>
    <row r="250" ht="15.75" customHeight="1">
      <c r="A250" s="19"/>
      <c r="F250" s="19"/>
      <c r="AH250" s="23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  <c r="BD250" s="19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  <c r="BP250" s="19"/>
      <c r="BQ250" s="19"/>
      <c r="BR250" s="19"/>
      <c r="BS250" s="19"/>
      <c r="BT250" s="19"/>
      <c r="BU250" s="19"/>
      <c r="BV250" s="19"/>
      <c r="BW250" s="19"/>
      <c r="BX250" s="19"/>
      <c r="BY250" s="19"/>
      <c r="BZ250" s="19"/>
      <c r="CA250" s="19"/>
      <c r="CB250" s="19"/>
      <c r="CC250" s="19"/>
      <c r="CD250" s="19"/>
      <c r="CE250" s="19"/>
      <c r="CF250" s="19"/>
      <c r="CG250" s="19"/>
      <c r="CH250" s="19"/>
      <c r="CI250" s="19"/>
      <c r="CJ250" s="19"/>
      <c r="CK250" s="19"/>
      <c r="CL250" s="19"/>
      <c r="CM250" s="19"/>
      <c r="CN250" s="19"/>
      <c r="CO250" s="19"/>
      <c r="CP250" s="19"/>
      <c r="CQ250" s="19"/>
      <c r="CR250" s="19"/>
      <c r="CS250" s="19"/>
      <c r="CT250" s="19"/>
      <c r="CU250" s="19"/>
      <c r="CV250" s="19"/>
      <c r="CW250" s="19"/>
      <c r="CX250" s="19"/>
      <c r="CY250" s="19"/>
      <c r="CZ250" s="19"/>
      <c r="DA250" s="19"/>
      <c r="DB250" s="19"/>
      <c r="DC250" s="19"/>
      <c r="DD250" s="19"/>
      <c r="DE250" s="19"/>
      <c r="DF250" s="19"/>
      <c r="DG250" s="19"/>
      <c r="DH250" s="19"/>
      <c r="DI250" s="19"/>
      <c r="DJ250" s="19"/>
      <c r="DK250" s="19"/>
      <c r="DL250" s="19"/>
      <c r="DM250" s="19"/>
      <c r="DN250" s="19"/>
      <c r="DO250" s="19"/>
      <c r="DP250" s="19"/>
      <c r="DQ250" s="19"/>
      <c r="DR250" s="19"/>
      <c r="DS250" s="19"/>
      <c r="DT250" s="19"/>
      <c r="DU250" s="19"/>
      <c r="DV250" s="19"/>
      <c r="DW250" s="19"/>
      <c r="DX250" s="19"/>
      <c r="DY250" s="19"/>
      <c r="DZ250" s="19"/>
      <c r="EA250" s="19"/>
      <c r="EB250" s="19"/>
      <c r="EC250" s="19"/>
      <c r="ED250" s="19"/>
      <c r="EE250" s="19"/>
      <c r="EF250" s="19"/>
      <c r="EG250" s="19"/>
      <c r="EH250" s="19"/>
      <c r="EI250" s="19"/>
      <c r="EJ250" s="19"/>
      <c r="EK250" s="19"/>
      <c r="EL250" s="19"/>
      <c r="EM250" s="19"/>
      <c r="EN250" s="19"/>
      <c r="EO250" s="19"/>
      <c r="EP250" s="17"/>
      <c r="EQ250" s="23"/>
      <c r="ER250" s="23" t="str">
        <f t="shared" si="1"/>
        <v/>
      </c>
      <c r="ES250" s="19"/>
      <c r="ET250" s="19" t="str">
        <f t="shared" si="2"/>
        <v/>
      </c>
      <c r="EU250" s="19"/>
      <c r="EV250" s="19"/>
      <c r="EW250" s="19"/>
      <c r="EX250" s="19"/>
      <c r="EY250" s="19"/>
      <c r="EZ250" s="19"/>
      <c r="FA250" s="19"/>
      <c r="FB250" s="19"/>
    </row>
    <row r="251" ht="15.75" customHeight="1">
      <c r="A251" s="19"/>
      <c r="F251" s="19"/>
      <c r="AH251" s="23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  <c r="BD251" s="19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  <c r="BP251" s="19"/>
      <c r="BQ251" s="19"/>
      <c r="BR251" s="19"/>
      <c r="BS251" s="19"/>
      <c r="BT251" s="19"/>
      <c r="BU251" s="19"/>
      <c r="BV251" s="19"/>
      <c r="BW251" s="19"/>
      <c r="BX251" s="19"/>
      <c r="BY251" s="19"/>
      <c r="BZ251" s="19"/>
      <c r="CA251" s="19"/>
      <c r="CB251" s="19"/>
      <c r="CC251" s="19"/>
      <c r="CD251" s="19"/>
      <c r="CE251" s="19"/>
      <c r="CF251" s="19"/>
      <c r="CG251" s="19"/>
      <c r="CH251" s="19"/>
      <c r="CI251" s="19"/>
      <c r="CJ251" s="19"/>
      <c r="CK251" s="19"/>
      <c r="CL251" s="19"/>
      <c r="CM251" s="19"/>
      <c r="CN251" s="19"/>
      <c r="CO251" s="19"/>
      <c r="CP251" s="19"/>
      <c r="CQ251" s="19"/>
      <c r="CR251" s="19"/>
      <c r="CS251" s="19"/>
      <c r="CT251" s="19"/>
      <c r="CU251" s="19"/>
      <c r="CV251" s="19"/>
      <c r="CW251" s="19"/>
      <c r="CX251" s="19"/>
      <c r="CY251" s="19"/>
      <c r="CZ251" s="19"/>
      <c r="DA251" s="19"/>
      <c r="DB251" s="19"/>
      <c r="DC251" s="19"/>
      <c r="DD251" s="19"/>
      <c r="DE251" s="19"/>
      <c r="DF251" s="19"/>
      <c r="DG251" s="19"/>
      <c r="DH251" s="19"/>
      <c r="DI251" s="19"/>
      <c r="DJ251" s="19"/>
      <c r="DK251" s="19"/>
      <c r="DL251" s="19"/>
      <c r="DM251" s="19"/>
      <c r="DN251" s="19"/>
      <c r="DO251" s="19"/>
      <c r="DP251" s="19"/>
      <c r="DQ251" s="19"/>
      <c r="DR251" s="19"/>
      <c r="DS251" s="19"/>
      <c r="DT251" s="19"/>
      <c r="DU251" s="19"/>
      <c r="DV251" s="19"/>
      <c r="DW251" s="19"/>
      <c r="DX251" s="19"/>
      <c r="DY251" s="19"/>
      <c r="DZ251" s="19"/>
      <c r="EA251" s="19"/>
      <c r="EB251" s="19"/>
      <c r="EC251" s="19"/>
      <c r="ED251" s="19"/>
      <c r="EE251" s="19"/>
      <c r="EF251" s="19"/>
      <c r="EG251" s="19"/>
      <c r="EH251" s="19"/>
      <c r="EI251" s="19"/>
      <c r="EJ251" s="19"/>
      <c r="EK251" s="19"/>
      <c r="EL251" s="19"/>
      <c r="EM251" s="19"/>
      <c r="EN251" s="19"/>
      <c r="EO251" s="19"/>
      <c r="EP251" s="17"/>
      <c r="EQ251" s="23"/>
      <c r="ER251" s="23" t="str">
        <f t="shared" si="1"/>
        <v/>
      </c>
      <c r="ES251" s="19"/>
      <c r="ET251" s="19" t="str">
        <f t="shared" si="2"/>
        <v/>
      </c>
      <c r="EU251" s="19"/>
      <c r="EV251" s="19"/>
      <c r="EW251" s="19"/>
      <c r="EX251" s="19"/>
      <c r="EY251" s="19"/>
      <c r="EZ251" s="19"/>
      <c r="FA251" s="19"/>
      <c r="FB251" s="19"/>
    </row>
    <row r="252" ht="15.75" customHeight="1">
      <c r="A252" s="19"/>
      <c r="F252" s="19"/>
      <c r="AH252" s="23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  <c r="BD252" s="19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  <c r="BP252" s="19"/>
      <c r="BQ252" s="19"/>
      <c r="BR252" s="19"/>
      <c r="BS252" s="19"/>
      <c r="BT252" s="19"/>
      <c r="BU252" s="19"/>
      <c r="BV252" s="19"/>
      <c r="BW252" s="19"/>
      <c r="BX252" s="19"/>
      <c r="BY252" s="19"/>
      <c r="BZ252" s="19"/>
      <c r="CA252" s="19"/>
      <c r="CB252" s="19"/>
      <c r="CC252" s="19"/>
      <c r="CD252" s="19"/>
      <c r="CE252" s="19"/>
      <c r="CF252" s="19"/>
      <c r="CG252" s="19"/>
      <c r="CH252" s="19"/>
      <c r="CI252" s="19"/>
      <c r="CJ252" s="19"/>
      <c r="CK252" s="19"/>
      <c r="CL252" s="19"/>
      <c r="CM252" s="19"/>
      <c r="CN252" s="19"/>
      <c r="CO252" s="19"/>
      <c r="CP252" s="19"/>
      <c r="CQ252" s="19"/>
      <c r="CR252" s="19"/>
      <c r="CS252" s="19"/>
      <c r="CT252" s="19"/>
      <c r="CU252" s="19"/>
      <c r="CV252" s="19"/>
      <c r="CW252" s="19"/>
      <c r="CX252" s="19"/>
      <c r="CY252" s="19"/>
      <c r="CZ252" s="19"/>
      <c r="DA252" s="19"/>
      <c r="DB252" s="19"/>
      <c r="DC252" s="19"/>
      <c r="DD252" s="19"/>
      <c r="DE252" s="19"/>
      <c r="DF252" s="19"/>
      <c r="DG252" s="19"/>
      <c r="DH252" s="19"/>
      <c r="DI252" s="19"/>
      <c r="DJ252" s="19"/>
      <c r="DK252" s="19"/>
      <c r="DL252" s="19"/>
      <c r="DM252" s="19"/>
      <c r="DN252" s="19"/>
      <c r="DO252" s="19"/>
      <c r="DP252" s="19"/>
      <c r="DQ252" s="19"/>
      <c r="DR252" s="19"/>
      <c r="DS252" s="19"/>
      <c r="DT252" s="19"/>
      <c r="DU252" s="19"/>
      <c r="DV252" s="19"/>
      <c r="DW252" s="19"/>
      <c r="DX252" s="19"/>
      <c r="DY252" s="19"/>
      <c r="DZ252" s="19"/>
      <c r="EA252" s="19"/>
      <c r="EB252" s="19"/>
      <c r="EC252" s="19"/>
      <c r="ED252" s="19"/>
      <c r="EE252" s="19"/>
      <c r="EF252" s="19"/>
      <c r="EG252" s="19"/>
      <c r="EH252" s="19"/>
      <c r="EI252" s="19"/>
      <c r="EJ252" s="19"/>
      <c r="EK252" s="19"/>
      <c r="EL252" s="19"/>
      <c r="EM252" s="19"/>
      <c r="EN252" s="19"/>
      <c r="EO252" s="19"/>
      <c r="EP252" s="17"/>
      <c r="EQ252" s="23"/>
      <c r="ER252" s="23" t="str">
        <f t="shared" si="1"/>
        <v/>
      </c>
      <c r="ES252" s="19"/>
      <c r="ET252" s="19" t="str">
        <f t="shared" si="2"/>
        <v/>
      </c>
      <c r="EU252" s="19"/>
      <c r="EV252" s="19"/>
      <c r="EW252" s="19"/>
      <c r="EX252" s="19"/>
      <c r="EY252" s="19"/>
      <c r="EZ252" s="19"/>
      <c r="FA252" s="19"/>
      <c r="FB252" s="19"/>
    </row>
    <row r="253" ht="15.75" customHeight="1">
      <c r="A253" s="19"/>
      <c r="F253" s="19"/>
      <c r="AH253" s="23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  <c r="BD253" s="19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  <c r="BP253" s="19"/>
      <c r="BQ253" s="19"/>
      <c r="BR253" s="19"/>
      <c r="BS253" s="19"/>
      <c r="BT253" s="19"/>
      <c r="BU253" s="19"/>
      <c r="BV253" s="19"/>
      <c r="BW253" s="19"/>
      <c r="BX253" s="19"/>
      <c r="BY253" s="19"/>
      <c r="BZ253" s="19"/>
      <c r="CA253" s="19"/>
      <c r="CB253" s="19"/>
      <c r="CC253" s="19"/>
      <c r="CD253" s="19"/>
      <c r="CE253" s="19"/>
      <c r="CF253" s="19"/>
      <c r="CG253" s="19"/>
      <c r="CH253" s="19"/>
      <c r="CI253" s="19"/>
      <c r="CJ253" s="19"/>
      <c r="CK253" s="19"/>
      <c r="CL253" s="19"/>
      <c r="CM253" s="19"/>
      <c r="CN253" s="19"/>
      <c r="CO253" s="19"/>
      <c r="CP253" s="19"/>
      <c r="CQ253" s="19"/>
      <c r="CR253" s="19"/>
      <c r="CS253" s="19"/>
      <c r="CT253" s="19"/>
      <c r="CU253" s="19"/>
      <c r="CV253" s="19"/>
      <c r="CW253" s="19"/>
      <c r="CX253" s="19"/>
      <c r="CY253" s="19"/>
      <c r="CZ253" s="19"/>
      <c r="DA253" s="19"/>
      <c r="DB253" s="19"/>
      <c r="DC253" s="19"/>
      <c r="DD253" s="19"/>
      <c r="DE253" s="19"/>
      <c r="DF253" s="19"/>
      <c r="DG253" s="19"/>
      <c r="DH253" s="19"/>
      <c r="DI253" s="19"/>
      <c r="DJ253" s="19"/>
      <c r="DK253" s="19"/>
      <c r="DL253" s="19"/>
      <c r="DM253" s="19"/>
      <c r="DN253" s="19"/>
      <c r="DO253" s="19"/>
      <c r="DP253" s="19"/>
      <c r="DQ253" s="19"/>
      <c r="DR253" s="19"/>
      <c r="DS253" s="19"/>
      <c r="DT253" s="19"/>
      <c r="DU253" s="19"/>
      <c r="DV253" s="19"/>
      <c r="DW253" s="19"/>
      <c r="DX253" s="19"/>
      <c r="DY253" s="19"/>
      <c r="DZ253" s="19"/>
      <c r="EA253" s="19"/>
      <c r="EB253" s="19"/>
      <c r="EC253" s="19"/>
      <c r="ED253" s="19"/>
      <c r="EE253" s="19"/>
      <c r="EF253" s="19"/>
      <c r="EG253" s="19"/>
      <c r="EH253" s="19"/>
      <c r="EI253" s="19"/>
      <c r="EJ253" s="19"/>
      <c r="EK253" s="19"/>
      <c r="EL253" s="19"/>
      <c r="EM253" s="19"/>
      <c r="EN253" s="19"/>
      <c r="EO253" s="19"/>
      <c r="EP253" s="17"/>
      <c r="EQ253" s="23"/>
      <c r="ER253" s="23" t="str">
        <f t="shared" si="1"/>
        <v/>
      </c>
      <c r="ES253" s="19"/>
      <c r="ET253" s="19" t="str">
        <f t="shared" si="2"/>
        <v/>
      </c>
      <c r="EU253" s="19"/>
      <c r="EV253" s="19"/>
      <c r="EW253" s="19"/>
      <c r="EX253" s="19"/>
      <c r="EY253" s="19"/>
      <c r="EZ253" s="19"/>
      <c r="FA253" s="19"/>
      <c r="FB253" s="19"/>
    </row>
    <row r="254" ht="15.75" customHeight="1">
      <c r="A254" s="19"/>
      <c r="F254" s="19"/>
      <c r="AH254" s="23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  <c r="BD254" s="19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  <c r="BP254" s="19"/>
      <c r="BQ254" s="19"/>
      <c r="BR254" s="19"/>
      <c r="BS254" s="19"/>
      <c r="BT254" s="19"/>
      <c r="BU254" s="19"/>
      <c r="BV254" s="19"/>
      <c r="BW254" s="19"/>
      <c r="BX254" s="19"/>
      <c r="BY254" s="19"/>
      <c r="BZ254" s="19"/>
      <c r="CA254" s="19"/>
      <c r="CB254" s="19"/>
      <c r="CC254" s="19"/>
      <c r="CD254" s="19"/>
      <c r="CE254" s="19"/>
      <c r="CF254" s="19"/>
      <c r="CG254" s="19"/>
      <c r="CH254" s="19"/>
      <c r="CI254" s="19"/>
      <c r="CJ254" s="19"/>
      <c r="CK254" s="19"/>
      <c r="CL254" s="19"/>
      <c r="CM254" s="19"/>
      <c r="CN254" s="19"/>
      <c r="CO254" s="19"/>
      <c r="CP254" s="19"/>
      <c r="CQ254" s="19"/>
      <c r="CR254" s="19"/>
      <c r="CS254" s="19"/>
      <c r="CT254" s="19"/>
      <c r="CU254" s="19"/>
      <c r="CV254" s="19"/>
      <c r="CW254" s="19"/>
      <c r="CX254" s="19"/>
      <c r="CY254" s="19"/>
      <c r="CZ254" s="19"/>
      <c r="DA254" s="19"/>
      <c r="DB254" s="19"/>
      <c r="DC254" s="19"/>
      <c r="DD254" s="19"/>
      <c r="DE254" s="19"/>
      <c r="DF254" s="19"/>
      <c r="DG254" s="19"/>
      <c r="DH254" s="19"/>
      <c r="DI254" s="19"/>
      <c r="DJ254" s="19"/>
      <c r="DK254" s="19"/>
      <c r="DL254" s="19"/>
      <c r="DM254" s="19"/>
      <c r="DN254" s="19"/>
      <c r="DO254" s="19"/>
      <c r="DP254" s="19"/>
      <c r="DQ254" s="19"/>
      <c r="DR254" s="19"/>
      <c r="DS254" s="19"/>
      <c r="DT254" s="19"/>
      <c r="DU254" s="19"/>
      <c r="DV254" s="19"/>
      <c r="DW254" s="19"/>
      <c r="DX254" s="19"/>
      <c r="DY254" s="19"/>
      <c r="DZ254" s="19"/>
      <c r="EA254" s="19"/>
      <c r="EB254" s="19"/>
      <c r="EC254" s="19"/>
      <c r="ED254" s="19"/>
      <c r="EE254" s="19"/>
      <c r="EF254" s="19"/>
      <c r="EG254" s="19"/>
      <c r="EH254" s="19"/>
      <c r="EI254" s="19"/>
      <c r="EJ254" s="19"/>
      <c r="EK254" s="19"/>
      <c r="EL254" s="19"/>
      <c r="EM254" s="19"/>
      <c r="EN254" s="19"/>
      <c r="EO254" s="19"/>
      <c r="EP254" s="17"/>
      <c r="EQ254" s="23"/>
      <c r="ER254" s="23" t="str">
        <f t="shared" si="1"/>
        <v/>
      </c>
      <c r="ES254" s="19"/>
      <c r="ET254" s="19" t="str">
        <f t="shared" si="2"/>
        <v/>
      </c>
      <c r="EU254" s="19"/>
      <c r="EV254" s="19"/>
      <c r="EW254" s="19"/>
      <c r="EX254" s="19"/>
      <c r="EY254" s="19"/>
      <c r="EZ254" s="19"/>
      <c r="FA254" s="19"/>
      <c r="FB254" s="19"/>
    </row>
    <row r="255" ht="15.75" customHeight="1">
      <c r="A255" s="19"/>
      <c r="F255" s="19"/>
      <c r="AH255" s="23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  <c r="BD255" s="19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  <c r="BP255" s="19"/>
      <c r="BQ255" s="19"/>
      <c r="BR255" s="19"/>
      <c r="BS255" s="19"/>
      <c r="BT255" s="19"/>
      <c r="BU255" s="19"/>
      <c r="BV255" s="19"/>
      <c r="BW255" s="19"/>
      <c r="BX255" s="19"/>
      <c r="BY255" s="19"/>
      <c r="BZ255" s="19"/>
      <c r="CA255" s="19"/>
      <c r="CB255" s="19"/>
      <c r="CC255" s="19"/>
      <c r="CD255" s="19"/>
      <c r="CE255" s="19"/>
      <c r="CF255" s="19"/>
      <c r="CG255" s="19"/>
      <c r="CH255" s="19"/>
      <c r="CI255" s="19"/>
      <c r="CJ255" s="19"/>
      <c r="CK255" s="19"/>
      <c r="CL255" s="19"/>
      <c r="CM255" s="19"/>
      <c r="CN255" s="19"/>
      <c r="CO255" s="19"/>
      <c r="CP255" s="19"/>
      <c r="CQ255" s="19"/>
      <c r="CR255" s="19"/>
      <c r="CS255" s="19"/>
      <c r="CT255" s="19"/>
      <c r="CU255" s="19"/>
      <c r="CV255" s="19"/>
      <c r="CW255" s="19"/>
      <c r="CX255" s="19"/>
      <c r="CY255" s="19"/>
      <c r="CZ255" s="19"/>
      <c r="DA255" s="19"/>
      <c r="DB255" s="19"/>
      <c r="DC255" s="19"/>
      <c r="DD255" s="19"/>
      <c r="DE255" s="19"/>
      <c r="DF255" s="19"/>
      <c r="DG255" s="19"/>
      <c r="DH255" s="19"/>
      <c r="DI255" s="19"/>
      <c r="DJ255" s="19"/>
      <c r="DK255" s="19"/>
      <c r="DL255" s="19"/>
      <c r="DM255" s="19"/>
      <c r="DN255" s="19"/>
      <c r="DO255" s="19"/>
      <c r="DP255" s="19"/>
      <c r="DQ255" s="19"/>
      <c r="DR255" s="19"/>
      <c r="DS255" s="19"/>
      <c r="DT255" s="19"/>
      <c r="DU255" s="19"/>
      <c r="DV255" s="19"/>
      <c r="DW255" s="19"/>
      <c r="DX255" s="19"/>
      <c r="DY255" s="19"/>
      <c r="DZ255" s="19"/>
      <c r="EA255" s="19"/>
      <c r="EB255" s="19"/>
      <c r="EC255" s="19"/>
      <c r="ED255" s="19"/>
      <c r="EE255" s="19"/>
      <c r="EF255" s="19"/>
      <c r="EG255" s="19"/>
      <c r="EH255" s="19"/>
      <c r="EI255" s="19"/>
      <c r="EJ255" s="19"/>
      <c r="EK255" s="19"/>
      <c r="EL255" s="19"/>
      <c r="EM255" s="19"/>
      <c r="EN255" s="19"/>
      <c r="EO255" s="19"/>
      <c r="EP255" s="17"/>
      <c r="EQ255" s="23"/>
      <c r="ER255" s="23" t="str">
        <f t="shared" si="1"/>
        <v/>
      </c>
      <c r="ES255" s="19"/>
      <c r="ET255" s="19" t="str">
        <f t="shared" si="2"/>
        <v/>
      </c>
      <c r="EU255" s="19"/>
      <c r="EV255" s="19"/>
      <c r="EW255" s="19"/>
      <c r="EX255" s="19"/>
      <c r="EY255" s="19"/>
      <c r="EZ255" s="19"/>
      <c r="FA255" s="19"/>
      <c r="FB255" s="19"/>
    </row>
    <row r="256" ht="15.75" customHeight="1">
      <c r="A256" s="19"/>
      <c r="F256" s="19"/>
      <c r="AH256" s="23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  <c r="BD256" s="19"/>
      <c r="BE256" s="19"/>
      <c r="BF256" s="19"/>
      <c r="BG256" s="19"/>
      <c r="BH256" s="19"/>
      <c r="BI256" s="19"/>
      <c r="BJ256" s="19"/>
      <c r="BK256" s="19"/>
      <c r="BL256" s="19"/>
      <c r="BM256" s="19"/>
      <c r="BN256" s="19"/>
      <c r="BO256" s="19"/>
      <c r="BP256" s="19"/>
      <c r="BQ256" s="19"/>
      <c r="BR256" s="19"/>
      <c r="BS256" s="19"/>
      <c r="BT256" s="19"/>
      <c r="BU256" s="19"/>
      <c r="BV256" s="19"/>
      <c r="BW256" s="19"/>
      <c r="BX256" s="19"/>
      <c r="BY256" s="19"/>
      <c r="BZ256" s="19"/>
      <c r="CA256" s="19"/>
      <c r="CB256" s="19"/>
      <c r="CC256" s="19"/>
      <c r="CD256" s="19"/>
      <c r="CE256" s="19"/>
      <c r="CF256" s="19"/>
      <c r="CG256" s="19"/>
      <c r="CH256" s="19"/>
      <c r="CI256" s="19"/>
      <c r="CJ256" s="19"/>
      <c r="CK256" s="19"/>
      <c r="CL256" s="19"/>
      <c r="CM256" s="19"/>
      <c r="CN256" s="19"/>
      <c r="CO256" s="19"/>
      <c r="CP256" s="19"/>
      <c r="CQ256" s="19"/>
      <c r="CR256" s="19"/>
      <c r="CS256" s="19"/>
      <c r="CT256" s="19"/>
      <c r="CU256" s="19"/>
      <c r="CV256" s="19"/>
      <c r="CW256" s="19"/>
      <c r="CX256" s="19"/>
      <c r="CY256" s="19"/>
      <c r="CZ256" s="19"/>
      <c r="DA256" s="19"/>
      <c r="DB256" s="19"/>
      <c r="DC256" s="19"/>
      <c r="DD256" s="19"/>
      <c r="DE256" s="19"/>
      <c r="DF256" s="19"/>
      <c r="DG256" s="19"/>
      <c r="DH256" s="19"/>
      <c r="DI256" s="19"/>
      <c r="DJ256" s="19"/>
      <c r="DK256" s="19"/>
      <c r="DL256" s="19"/>
      <c r="DM256" s="19"/>
      <c r="DN256" s="19"/>
      <c r="DO256" s="19"/>
      <c r="DP256" s="19"/>
      <c r="DQ256" s="19"/>
      <c r="DR256" s="19"/>
      <c r="DS256" s="19"/>
      <c r="DT256" s="19"/>
      <c r="DU256" s="19"/>
      <c r="DV256" s="19"/>
      <c r="DW256" s="19"/>
      <c r="DX256" s="19"/>
      <c r="DY256" s="19"/>
      <c r="DZ256" s="19"/>
      <c r="EA256" s="19"/>
      <c r="EB256" s="19"/>
      <c r="EC256" s="19"/>
      <c r="ED256" s="19"/>
      <c r="EE256" s="19"/>
      <c r="EF256" s="19"/>
      <c r="EG256" s="19"/>
      <c r="EH256" s="19"/>
      <c r="EI256" s="19"/>
      <c r="EJ256" s="19"/>
      <c r="EK256" s="19"/>
      <c r="EL256" s="19"/>
      <c r="EM256" s="19"/>
      <c r="EN256" s="19"/>
      <c r="EO256" s="19"/>
      <c r="EP256" s="17"/>
      <c r="EQ256" s="23"/>
      <c r="ER256" s="23" t="str">
        <f t="shared" si="1"/>
        <v/>
      </c>
      <c r="ES256" s="19"/>
      <c r="ET256" s="19" t="str">
        <f t="shared" si="2"/>
        <v/>
      </c>
      <c r="EU256" s="19"/>
      <c r="EV256" s="19"/>
      <c r="EW256" s="19"/>
      <c r="EX256" s="19"/>
      <c r="EY256" s="19"/>
      <c r="EZ256" s="19"/>
      <c r="FA256" s="19"/>
      <c r="FB256" s="19"/>
    </row>
    <row r="257" ht="15.75" customHeight="1">
      <c r="A257" s="19"/>
      <c r="F257" s="19"/>
      <c r="AH257" s="23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  <c r="BD257" s="19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  <c r="BP257" s="19"/>
      <c r="BQ257" s="19"/>
      <c r="BR257" s="19"/>
      <c r="BS257" s="19"/>
      <c r="BT257" s="19"/>
      <c r="BU257" s="19"/>
      <c r="BV257" s="19"/>
      <c r="BW257" s="19"/>
      <c r="BX257" s="19"/>
      <c r="BY257" s="19"/>
      <c r="BZ257" s="19"/>
      <c r="CA257" s="19"/>
      <c r="CB257" s="19"/>
      <c r="CC257" s="19"/>
      <c r="CD257" s="19"/>
      <c r="CE257" s="19"/>
      <c r="CF257" s="19"/>
      <c r="CG257" s="19"/>
      <c r="CH257" s="19"/>
      <c r="CI257" s="19"/>
      <c r="CJ257" s="19"/>
      <c r="CK257" s="19"/>
      <c r="CL257" s="19"/>
      <c r="CM257" s="19"/>
      <c r="CN257" s="19"/>
      <c r="CO257" s="19"/>
      <c r="CP257" s="19"/>
      <c r="CQ257" s="19"/>
      <c r="CR257" s="19"/>
      <c r="CS257" s="19"/>
      <c r="CT257" s="19"/>
      <c r="CU257" s="19"/>
      <c r="CV257" s="19"/>
      <c r="CW257" s="19"/>
      <c r="CX257" s="19"/>
      <c r="CY257" s="19"/>
      <c r="CZ257" s="19"/>
      <c r="DA257" s="19"/>
      <c r="DB257" s="19"/>
      <c r="DC257" s="19"/>
      <c r="DD257" s="19"/>
      <c r="DE257" s="19"/>
      <c r="DF257" s="19"/>
      <c r="DG257" s="19"/>
      <c r="DH257" s="19"/>
      <c r="DI257" s="19"/>
      <c r="DJ257" s="19"/>
      <c r="DK257" s="19"/>
      <c r="DL257" s="19"/>
      <c r="DM257" s="19"/>
      <c r="DN257" s="19"/>
      <c r="DO257" s="19"/>
      <c r="DP257" s="19"/>
      <c r="DQ257" s="19"/>
      <c r="DR257" s="19"/>
      <c r="DS257" s="19"/>
      <c r="DT257" s="19"/>
      <c r="DU257" s="19"/>
      <c r="DV257" s="19"/>
      <c r="DW257" s="19"/>
      <c r="DX257" s="19"/>
      <c r="DY257" s="19"/>
      <c r="DZ257" s="19"/>
      <c r="EA257" s="19"/>
      <c r="EB257" s="19"/>
      <c r="EC257" s="19"/>
      <c r="ED257" s="19"/>
      <c r="EE257" s="19"/>
      <c r="EF257" s="19"/>
      <c r="EG257" s="19"/>
      <c r="EH257" s="19"/>
      <c r="EI257" s="19"/>
      <c r="EJ257" s="19"/>
      <c r="EK257" s="19"/>
      <c r="EL257" s="19"/>
      <c r="EM257" s="19"/>
      <c r="EN257" s="19"/>
      <c r="EO257" s="19"/>
      <c r="EP257" s="17"/>
      <c r="EQ257" s="23"/>
      <c r="ER257" s="23" t="str">
        <f t="shared" si="1"/>
        <v/>
      </c>
      <c r="ES257" s="19"/>
      <c r="ET257" s="19" t="str">
        <f t="shared" si="2"/>
        <v/>
      </c>
      <c r="EU257" s="19"/>
      <c r="EV257" s="19"/>
      <c r="EW257" s="19"/>
      <c r="EX257" s="19"/>
      <c r="EY257" s="19"/>
      <c r="EZ257" s="19"/>
      <c r="FA257" s="19"/>
      <c r="FB257" s="19"/>
    </row>
    <row r="258" ht="15.75" customHeight="1">
      <c r="A258" s="19"/>
      <c r="F258" s="19"/>
      <c r="AH258" s="23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  <c r="BD258" s="19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  <c r="BP258" s="19"/>
      <c r="BQ258" s="19"/>
      <c r="BR258" s="19"/>
      <c r="BS258" s="19"/>
      <c r="BT258" s="19"/>
      <c r="BU258" s="19"/>
      <c r="BV258" s="19"/>
      <c r="BW258" s="19"/>
      <c r="BX258" s="19"/>
      <c r="BY258" s="19"/>
      <c r="BZ258" s="19"/>
      <c r="CA258" s="19"/>
      <c r="CB258" s="19"/>
      <c r="CC258" s="19"/>
      <c r="CD258" s="19"/>
      <c r="CE258" s="19"/>
      <c r="CF258" s="19"/>
      <c r="CG258" s="19"/>
      <c r="CH258" s="19"/>
      <c r="CI258" s="19"/>
      <c r="CJ258" s="19"/>
      <c r="CK258" s="19"/>
      <c r="CL258" s="19"/>
      <c r="CM258" s="19"/>
      <c r="CN258" s="19"/>
      <c r="CO258" s="19"/>
      <c r="CP258" s="19"/>
      <c r="CQ258" s="19"/>
      <c r="CR258" s="19"/>
      <c r="CS258" s="19"/>
      <c r="CT258" s="19"/>
      <c r="CU258" s="19"/>
      <c r="CV258" s="19"/>
      <c r="CW258" s="19"/>
      <c r="CX258" s="19"/>
      <c r="CY258" s="19"/>
      <c r="CZ258" s="19"/>
      <c r="DA258" s="19"/>
      <c r="DB258" s="19"/>
      <c r="DC258" s="19"/>
      <c r="DD258" s="19"/>
      <c r="DE258" s="19"/>
      <c r="DF258" s="19"/>
      <c r="DG258" s="19"/>
      <c r="DH258" s="19"/>
      <c r="DI258" s="19"/>
      <c r="DJ258" s="19"/>
      <c r="DK258" s="19"/>
      <c r="DL258" s="19"/>
      <c r="DM258" s="19"/>
      <c r="DN258" s="19"/>
      <c r="DO258" s="19"/>
      <c r="DP258" s="19"/>
      <c r="DQ258" s="19"/>
      <c r="DR258" s="19"/>
      <c r="DS258" s="19"/>
      <c r="DT258" s="19"/>
      <c r="DU258" s="19"/>
      <c r="DV258" s="19"/>
      <c r="DW258" s="19"/>
      <c r="DX258" s="19"/>
      <c r="DY258" s="19"/>
      <c r="DZ258" s="19"/>
      <c r="EA258" s="19"/>
      <c r="EB258" s="19"/>
      <c r="EC258" s="19"/>
      <c r="ED258" s="19"/>
      <c r="EE258" s="19"/>
      <c r="EF258" s="19"/>
      <c r="EG258" s="19"/>
      <c r="EH258" s="19"/>
      <c r="EI258" s="19"/>
      <c r="EJ258" s="19"/>
      <c r="EK258" s="19"/>
      <c r="EL258" s="19"/>
      <c r="EM258" s="19"/>
      <c r="EN258" s="19"/>
      <c r="EO258" s="19"/>
      <c r="EP258" s="17"/>
      <c r="EQ258" s="23"/>
      <c r="ER258" s="23" t="str">
        <f t="shared" si="1"/>
        <v/>
      </c>
      <c r="ES258" s="19"/>
      <c r="ET258" s="19" t="str">
        <f t="shared" si="2"/>
        <v/>
      </c>
      <c r="EU258" s="19"/>
      <c r="EV258" s="19"/>
      <c r="EW258" s="19"/>
      <c r="EX258" s="19"/>
      <c r="EY258" s="19"/>
      <c r="EZ258" s="19"/>
      <c r="FA258" s="19"/>
      <c r="FB258" s="19"/>
    </row>
    <row r="259" ht="15.75" customHeight="1">
      <c r="A259" s="19"/>
      <c r="F259" s="19"/>
      <c r="AH259" s="23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  <c r="BD259" s="19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  <c r="BP259" s="19"/>
      <c r="BQ259" s="19"/>
      <c r="BR259" s="19"/>
      <c r="BS259" s="19"/>
      <c r="BT259" s="19"/>
      <c r="BU259" s="19"/>
      <c r="BV259" s="19"/>
      <c r="BW259" s="19"/>
      <c r="BX259" s="19"/>
      <c r="BY259" s="19"/>
      <c r="BZ259" s="19"/>
      <c r="CA259" s="19"/>
      <c r="CB259" s="19"/>
      <c r="CC259" s="19"/>
      <c r="CD259" s="19"/>
      <c r="CE259" s="19"/>
      <c r="CF259" s="19"/>
      <c r="CG259" s="19"/>
      <c r="CH259" s="19"/>
      <c r="CI259" s="19"/>
      <c r="CJ259" s="19"/>
      <c r="CK259" s="19"/>
      <c r="CL259" s="19"/>
      <c r="CM259" s="19"/>
      <c r="CN259" s="19"/>
      <c r="CO259" s="19"/>
      <c r="CP259" s="19"/>
      <c r="CQ259" s="19"/>
      <c r="CR259" s="19"/>
      <c r="CS259" s="19"/>
      <c r="CT259" s="19"/>
      <c r="CU259" s="19"/>
      <c r="CV259" s="19"/>
      <c r="CW259" s="19"/>
      <c r="CX259" s="19"/>
      <c r="CY259" s="19"/>
      <c r="CZ259" s="19"/>
      <c r="DA259" s="19"/>
      <c r="DB259" s="19"/>
      <c r="DC259" s="19"/>
      <c r="DD259" s="19"/>
      <c r="DE259" s="19"/>
      <c r="DF259" s="19"/>
      <c r="DG259" s="19"/>
      <c r="DH259" s="19"/>
      <c r="DI259" s="19"/>
      <c r="DJ259" s="19"/>
      <c r="DK259" s="19"/>
      <c r="DL259" s="19"/>
      <c r="DM259" s="19"/>
      <c r="DN259" s="19"/>
      <c r="DO259" s="19"/>
      <c r="DP259" s="19"/>
      <c r="DQ259" s="19"/>
      <c r="DR259" s="19"/>
      <c r="DS259" s="19"/>
      <c r="DT259" s="19"/>
      <c r="DU259" s="19"/>
      <c r="DV259" s="19"/>
      <c r="DW259" s="19"/>
      <c r="DX259" s="19"/>
      <c r="DY259" s="19"/>
      <c r="DZ259" s="19"/>
      <c r="EA259" s="19"/>
      <c r="EB259" s="19"/>
      <c r="EC259" s="19"/>
      <c r="ED259" s="19"/>
      <c r="EE259" s="19"/>
      <c r="EF259" s="19"/>
      <c r="EG259" s="19"/>
      <c r="EH259" s="19"/>
      <c r="EI259" s="19"/>
      <c r="EJ259" s="19"/>
      <c r="EK259" s="19"/>
      <c r="EL259" s="19"/>
      <c r="EM259" s="19"/>
      <c r="EN259" s="19"/>
      <c r="EO259" s="19"/>
      <c r="EP259" s="17"/>
      <c r="EQ259" s="23"/>
      <c r="ER259" s="23" t="str">
        <f t="shared" si="1"/>
        <v/>
      </c>
      <c r="ES259" s="19"/>
      <c r="ET259" s="19" t="str">
        <f t="shared" si="2"/>
        <v/>
      </c>
      <c r="EU259" s="19"/>
      <c r="EV259" s="19"/>
      <c r="EW259" s="19"/>
      <c r="EX259" s="19"/>
      <c r="EY259" s="19"/>
      <c r="EZ259" s="19"/>
      <c r="FA259" s="19"/>
      <c r="FB259" s="19"/>
    </row>
    <row r="260" ht="15.75" customHeight="1">
      <c r="A260" s="19"/>
      <c r="F260" s="19"/>
      <c r="AH260" s="23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  <c r="BD260" s="19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  <c r="BP260" s="19"/>
      <c r="BQ260" s="19"/>
      <c r="BR260" s="19"/>
      <c r="BS260" s="19"/>
      <c r="BT260" s="19"/>
      <c r="BU260" s="19"/>
      <c r="BV260" s="19"/>
      <c r="BW260" s="19"/>
      <c r="BX260" s="19"/>
      <c r="BY260" s="19"/>
      <c r="BZ260" s="19"/>
      <c r="CA260" s="19"/>
      <c r="CB260" s="19"/>
      <c r="CC260" s="19"/>
      <c r="CD260" s="19"/>
      <c r="CE260" s="19"/>
      <c r="CF260" s="19"/>
      <c r="CG260" s="19"/>
      <c r="CH260" s="19"/>
      <c r="CI260" s="19"/>
      <c r="CJ260" s="19"/>
      <c r="CK260" s="19"/>
      <c r="CL260" s="19"/>
      <c r="CM260" s="19"/>
      <c r="CN260" s="19"/>
      <c r="CO260" s="19"/>
      <c r="CP260" s="19"/>
      <c r="CQ260" s="19"/>
      <c r="CR260" s="19"/>
      <c r="CS260" s="19"/>
      <c r="CT260" s="19"/>
      <c r="CU260" s="19"/>
      <c r="CV260" s="19"/>
      <c r="CW260" s="19"/>
      <c r="CX260" s="19"/>
      <c r="CY260" s="19"/>
      <c r="CZ260" s="19"/>
      <c r="DA260" s="19"/>
      <c r="DB260" s="19"/>
      <c r="DC260" s="19"/>
      <c r="DD260" s="19"/>
      <c r="DE260" s="19"/>
      <c r="DF260" s="19"/>
      <c r="DG260" s="19"/>
      <c r="DH260" s="19"/>
      <c r="DI260" s="19"/>
      <c r="DJ260" s="19"/>
      <c r="DK260" s="19"/>
      <c r="DL260" s="19"/>
      <c r="DM260" s="19"/>
      <c r="DN260" s="19"/>
      <c r="DO260" s="19"/>
      <c r="DP260" s="19"/>
      <c r="DQ260" s="19"/>
      <c r="DR260" s="19"/>
      <c r="DS260" s="19"/>
      <c r="DT260" s="19"/>
      <c r="DU260" s="19"/>
      <c r="DV260" s="19"/>
      <c r="DW260" s="19"/>
      <c r="DX260" s="19"/>
      <c r="DY260" s="19"/>
      <c r="DZ260" s="19"/>
      <c r="EA260" s="19"/>
      <c r="EB260" s="19"/>
      <c r="EC260" s="19"/>
      <c r="ED260" s="19"/>
      <c r="EE260" s="19"/>
      <c r="EF260" s="19"/>
      <c r="EG260" s="19"/>
      <c r="EH260" s="19"/>
      <c r="EI260" s="19"/>
      <c r="EJ260" s="19"/>
      <c r="EK260" s="19"/>
      <c r="EL260" s="19"/>
      <c r="EM260" s="19"/>
      <c r="EN260" s="19"/>
      <c r="EO260" s="19"/>
      <c r="EP260" s="17"/>
      <c r="EQ260" s="23"/>
      <c r="ER260" s="23" t="str">
        <f t="shared" si="1"/>
        <v/>
      </c>
      <c r="ES260" s="19"/>
      <c r="ET260" s="19" t="str">
        <f t="shared" si="2"/>
        <v/>
      </c>
      <c r="EU260" s="19"/>
      <c r="EV260" s="19"/>
      <c r="EW260" s="19"/>
      <c r="EX260" s="19"/>
      <c r="EY260" s="19"/>
      <c r="EZ260" s="19"/>
      <c r="FA260" s="19"/>
      <c r="FB260" s="19"/>
    </row>
    <row r="261" ht="15.75" customHeight="1">
      <c r="A261" s="19"/>
      <c r="F261" s="19"/>
      <c r="AH261" s="23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  <c r="BD261" s="19"/>
      <c r="BE261" s="19"/>
      <c r="BF261" s="19"/>
      <c r="BG261" s="19"/>
      <c r="BH261" s="19"/>
      <c r="BI261" s="19"/>
      <c r="BJ261" s="19"/>
      <c r="BK261" s="19"/>
      <c r="BL261" s="19"/>
      <c r="BM261" s="19"/>
      <c r="BN261" s="19"/>
      <c r="BO261" s="19"/>
      <c r="BP261" s="19"/>
      <c r="BQ261" s="19"/>
      <c r="BR261" s="19"/>
      <c r="BS261" s="19"/>
      <c r="BT261" s="19"/>
      <c r="BU261" s="19"/>
      <c r="BV261" s="19"/>
      <c r="BW261" s="19"/>
      <c r="BX261" s="19"/>
      <c r="BY261" s="19"/>
      <c r="BZ261" s="19"/>
      <c r="CA261" s="19"/>
      <c r="CB261" s="19"/>
      <c r="CC261" s="19"/>
      <c r="CD261" s="19"/>
      <c r="CE261" s="19"/>
      <c r="CF261" s="19"/>
      <c r="CG261" s="19"/>
      <c r="CH261" s="19"/>
      <c r="CI261" s="19"/>
      <c r="CJ261" s="19"/>
      <c r="CK261" s="19"/>
      <c r="CL261" s="19"/>
      <c r="CM261" s="19"/>
      <c r="CN261" s="19"/>
      <c r="CO261" s="19"/>
      <c r="CP261" s="19"/>
      <c r="CQ261" s="19"/>
      <c r="CR261" s="19"/>
      <c r="CS261" s="19"/>
      <c r="CT261" s="19"/>
      <c r="CU261" s="19"/>
      <c r="CV261" s="19"/>
      <c r="CW261" s="19"/>
      <c r="CX261" s="19"/>
      <c r="CY261" s="19"/>
      <c r="CZ261" s="19"/>
      <c r="DA261" s="19"/>
      <c r="DB261" s="19"/>
      <c r="DC261" s="19"/>
      <c r="DD261" s="19"/>
      <c r="DE261" s="19"/>
      <c r="DF261" s="19"/>
      <c r="DG261" s="19"/>
      <c r="DH261" s="19"/>
      <c r="DI261" s="19"/>
      <c r="DJ261" s="19"/>
      <c r="DK261" s="19"/>
      <c r="DL261" s="19"/>
      <c r="DM261" s="19"/>
      <c r="DN261" s="19"/>
      <c r="DO261" s="19"/>
      <c r="DP261" s="19"/>
      <c r="DQ261" s="19"/>
      <c r="DR261" s="19"/>
      <c r="DS261" s="19"/>
      <c r="DT261" s="19"/>
      <c r="DU261" s="19"/>
      <c r="DV261" s="19"/>
      <c r="DW261" s="19"/>
      <c r="DX261" s="19"/>
      <c r="DY261" s="19"/>
      <c r="DZ261" s="19"/>
      <c r="EA261" s="19"/>
      <c r="EB261" s="19"/>
      <c r="EC261" s="19"/>
      <c r="ED261" s="19"/>
      <c r="EE261" s="19"/>
      <c r="EF261" s="19"/>
      <c r="EG261" s="19"/>
      <c r="EH261" s="19"/>
      <c r="EI261" s="19"/>
      <c r="EJ261" s="19"/>
      <c r="EK261" s="19"/>
      <c r="EL261" s="19"/>
      <c r="EM261" s="19"/>
      <c r="EN261" s="19"/>
      <c r="EO261" s="19"/>
      <c r="EP261" s="17"/>
      <c r="EQ261" s="23"/>
      <c r="ER261" s="23" t="str">
        <f t="shared" si="1"/>
        <v/>
      </c>
      <c r="ES261" s="19"/>
      <c r="ET261" s="19" t="str">
        <f t="shared" si="2"/>
        <v/>
      </c>
      <c r="EU261" s="19"/>
      <c r="EV261" s="19"/>
      <c r="EW261" s="19"/>
      <c r="EX261" s="19"/>
      <c r="EY261" s="19"/>
      <c r="EZ261" s="19"/>
      <c r="FA261" s="19"/>
      <c r="FB261" s="19"/>
    </row>
    <row r="262" ht="15.75" customHeight="1">
      <c r="A262" s="19"/>
      <c r="F262" s="19"/>
      <c r="AH262" s="23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  <c r="BD262" s="19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  <c r="BP262" s="19"/>
      <c r="BQ262" s="19"/>
      <c r="BR262" s="19"/>
      <c r="BS262" s="19"/>
      <c r="BT262" s="19"/>
      <c r="BU262" s="19"/>
      <c r="BV262" s="19"/>
      <c r="BW262" s="19"/>
      <c r="BX262" s="19"/>
      <c r="BY262" s="19"/>
      <c r="BZ262" s="19"/>
      <c r="CA262" s="19"/>
      <c r="CB262" s="19"/>
      <c r="CC262" s="19"/>
      <c r="CD262" s="19"/>
      <c r="CE262" s="19"/>
      <c r="CF262" s="19"/>
      <c r="CG262" s="19"/>
      <c r="CH262" s="19"/>
      <c r="CI262" s="19"/>
      <c r="CJ262" s="19"/>
      <c r="CK262" s="19"/>
      <c r="CL262" s="19"/>
      <c r="CM262" s="19"/>
      <c r="CN262" s="19"/>
      <c r="CO262" s="19"/>
      <c r="CP262" s="19"/>
      <c r="CQ262" s="19"/>
      <c r="CR262" s="19"/>
      <c r="CS262" s="19"/>
      <c r="CT262" s="19"/>
      <c r="CU262" s="19"/>
      <c r="CV262" s="19"/>
      <c r="CW262" s="19"/>
      <c r="CX262" s="19"/>
      <c r="CY262" s="19"/>
      <c r="CZ262" s="19"/>
      <c r="DA262" s="19"/>
      <c r="DB262" s="19"/>
      <c r="DC262" s="19"/>
      <c r="DD262" s="19"/>
      <c r="DE262" s="19"/>
      <c r="DF262" s="19"/>
      <c r="DG262" s="19"/>
      <c r="DH262" s="19"/>
      <c r="DI262" s="19"/>
      <c r="DJ262" s="19"/>
      <c r="DK262" s="19"/>
      <c r="DL262" s="19"/>
      <c r="DM262" s="19"/>
      <c r="DN262" s="19"/>
      <c r="DO262" s="19"/>
      <c r="DP262" s="19"/>
      <c r="DQ262" s="19"/>
      <c r="DR262" s="19"/>
      <c r="DS262" s="19"/>
      <c r="DT262" s="19"/>
      <c r="DU262" s="19"/>
      <c r="DV262" s="19"/>
      <c r="DW262" s="19"/>
      <c r="DX262" s="19"/>
      <c r="DY262" s="19"/>
      <c r="DZ262" s="19"/>
      <c r="EA262" s="19"/>
      <c r="EB262" s="19"/>
      <c r="EC262" s="19"/>
      <c r="ED262" s="19"/>
      <c r="EE262" s="19"/>
      <c r="EF262" s="19"/>
      <c r="EG262" s="19"/>
      <c r="EH262" s="19"/>
      <c r="EI262" s="19"/>
      <c r="EJ262" s="19"/>
      <c r="EK262" s="19"/>
      <c r="EL262" s="19"/>
      <c r="EM262" s="19"/>
      <c r="EN262" s="19"/>
      <c r="EO262" s="19"/>
      <c r="EP262" s="17"/>
      <c r="EQ262" s="23"/>
      <c r="ER262" s="23" t="str">
        <f t="shared" si="1"/>
        <v/>
      </c>
      <c r="ES262" s="19"/>
      <c r="ET262" s="19" t="str">
        <f t="shared" si="2"/>
        <v/>
      </c>
      <c r="EU262" s="19"/>
      <c r="EV262" s="19"/>
      <c r="EW262" s="19"/>
      <c r="EX262" s="19"/>
      <c r="EY262" s="19"/>
      <c r="EZ262" s="19"/>
      <c r="FA262" s="19"/>
      <c r="FB262" s="19"/>
    </row>
    <row r="263" ht="15.75" customHeight="1">
      <c r="A263" s="19"/>
      <c r="F263" s="19"/>
      <c r="AH263" s="23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  <c r="BD263" s="19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  <c r="BP263" s="19"/>
      <c r="BQ263" s="19"/>
      <c r="BR263" s="19"/>
      <c r="BS263" s="19"/>
      <c r="BT263" s="19"/>
      <c r="BU263" s="19"/>
      <c r="BV263" s="19"/>
      <c r="BW263" s="19"/>
      <c r="BX263" s="19"/>
      <c r="BY263" s="19"/>
      <c r="BZ263" s="19"/>
      <c r="CA263" s="19"/>
      <c r="CB263" s="19"/>
      <c r="CC263" s="19"/>
      <c r="CD263" s="19"/>
      <c r="CE263" s="19"/>
      <c r="CF263" s="19"/>
      <c r="CG263" s="19"/>
      <c r="CH263" s="19"/>
      <c r="CI263" s="19"/>
      <c r="CJ263" s="19"/>
      <c r="CK263" s="19"/>
      <c r="CL263" s="19"/>
      <c r="CM263" s="19"/>
      <c r="CN263" s="19"/>
      <c r="CO263" s="19"/>
      <c r="CP263" s="19"/>
      <c r="CQ263" s="19"/>
      <c r="CR263" s="19"/>
      <c r="CS263" s="19"/>
      <c r="CT263" s="19"/>
      <c r="CU263" s="19"/>
      <c r="CV263" s="19"/>
      <c r="CW263" s="19"/>
      <c r="CX263" s="19"/>
      <c r="CY263" s="19"/>
      <c r="CZ263" s="19"/>
      <c r="DA263" s="19"/>
      <c r="DB263" s="19"/>
      <c r="DC263" s="19"/>
      <c r="DD263" s="19"/>
      <c r="DE263" s="19"/>
      <c r="DF263" s="19"/>
      <c r="DG263" s="19"/>
      <c r="DH263" s="19"/>
      <c r="DI263" s="19"/>
      <c r="DJ263" s="19"/>
      <c r="DK263" s="19"/>
      <c r="DL263" s="19"/>
      <c r="DM263" s="19"/>
      <c r="DN263" s="19"/>
      <c r="DO263" s="19"/>
      <c r="DP263" s="19"/>
      <c r="DQ263" s="19"/>
      <c r="DR263" s="19"/>
      <c r="DS263" s="19"/>
      <c r="DT263" s="19"/>
      <c r="DU263" s="19"/>
      <c r="DV263" s="19"/>
      <c r="DW263" s="19"/>
      <c r="DX263" s="19"/>
      <c r="DY263" s="19"/>
      <c r="DZ263" s="19"/>
      <c r="EA263" s="19"/>
      <c r="EB263" s="19"/>
      <c r="EC263" s="19"/>
      <c r="ED263" s="19"/>
      <c r="EE263" s="19"/>
      <c r="EF263" s="19"/>
      <c r="EG263" s="19"/>
      <c r="EH263" s="19"/>
      <c r="EI263" s="19"/>
      <c r="EJ263" s="19"/>
      <c r="EK263" s="19"/>
      <c r="EL263" s="19"/>
      <c r="EM263" s="19"/>
      <c r="EN263" s="19"/>
      <c r="EO263" s="19"/>
      <c r="EP263" s="17"/>
      <c r="EQ263" s="23"/>
      <c r="ER263" s="23" t="str">
        <f t="shared" si="1"/>
        <v/>
      </c>
      <c r="ES263" s="19"/>
      <c r="ET263" s="19" t="str">
        <f t="shared" si="2"/>
        <v/>
      </c>
      <c r="EU263" s="19"/>
      <c r="EV263" s="19"/>
      <c r="EW263" s="19"/>
      <c r="EX263" s="19"/>
      <c r="EY263" s="19"/>
      <c r="EZ263" s="19"/>
      <c r="FA263" s="19"/>
      <c r="FB263" s="19"/>
    </row>
    <row r="264" ht="15.75" customHeight="1">
      <c r="A264" s="19"/>
      <c r="F264" s="19"/>
      <c r="AH264" s="23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  <c r="BD264" s="19"/>
      <c r="BE264" s="19"/>
      <c r="BF264" s="19"/>
      <c r="BG264" s="19"/>
      <c r="BH264" s="19"/>
      <c r="BI264" s="19"/>
      <c r="BJ264" s="19"/>
      <c r="BK264" s="19"/>
      <c r="BL264" s="19"/>
      <c r="BM264" s="19"/>
      <c r="BN264" s="19"/>
      <c r="BO264" s="19"/>
      <c r="BP264" s="19"/>
      <c r="BQ264" s="19"/>
      <c r="BR264" s="19"/>
      <c r="BS264" s="19"/>
      <c r="BT264" s="19"/>
      <c r="BU264" s="19"/>
      <c r="BV264" s="19"/>
      <c r="BW264" s="19"/>
      <c r="BX264" s="19"/>
      <c r="BY264" s="19"/>
      <c r="BZ264" s="19"/>
      <c r="CA264" s="19"/>
      <c r="CB264" s="19"/>
      <c r="CC264" s="19"/>
      <c r="CD264" s="19"/>
      <c r="CE264" s="19"/>
      <c r="CF264" s="19"/>
      <c r="CG264" s="19"/>
      <c r="CH264" s="19"/>
      <c r="CI264" s="19"/>
      <c r="CJ264" s="19"/>
      <c r="CK264" s="19"/>
      <c r="CL264" s="19"/>
      <c r="CM264" s="19"/>
      <c r="CN264" s="19"/>
      <c r="CO264" s="19"/>
      <c r="CP264" s="19"/>
      <c r="CQ264" s="19"/>
      <c r="CR264" s="19"/>
      <c r="CS264" s="19"/>
      <c r="CT264" s="19"/>
      <c r="CU264" s="19"/>
      <c r="CV264" s="19"/>
      <c r="CW264" s="19"/>
      <c r="CX264" s="19"/>
      <c r="CY264" s="19"/>
      <c r="CZ264" s="19"/>
      <c r="DA264" s="19"/>
      <c r="DB264" s="19"/>
      <c r="DC264" s="19"/>
      <c r="DD264" s="19"/>
      <c r="DE264" s="19"/>
      <c r="DF264" s="19"/>
      <c r="DG264" s="19"/>
      <c r="DH264" s="19"/>
      <c r="DI264" s="19"/>
      <c r="DJ264" s="19"/>
      <c r="DK264" s="19"/>
      <c r="DL264" s="19"/>
      <c r="DM264" s="19"/>
      <c r="DN264" s="19"/>
      <c r="DO264" s="19"/>
      <c r="DP264" s="19"/>
      <c r="DQ264" s="19"/>
      <c r="DR264" s="19"/>
      <c r="DS264" s="19"/>
      <c r="DT264" s="19"/>
      <c r="DU264" s="19"/>
      <c r="DV264" s="19"/>
      <c r="DW264" s="19"/>
      <c r="DX264" s="19"/>
      <c r="DY264" s="19"/>
      <c r="DZ264" s="19"/>
      <c r="EA264" s="19"/>
      <c r="EB264" s="19"/>
      <c r="EC264" s="19"/>
      <c r="ED264" s="19"/>
      <c r="EE264" s="19"/>
      <c r="EF264" s="19"/>
      <c r="EG264" s="19"/>
      <c r="EH264" s="19"/>
      <c r="EI264" s="19"/>
      <c r="EJ264" s="19"/>
      <c r="EK264" s="19"/>
      <c r="EL264" s="19"/>
      <c r="EM264" s="19"/>
      <c r="EN264" s="19"/>
      <c r="EO264" s="19"/>
      <c r="EP264" s="17"/>
      <c r="EQ264" s="23"/>
      <c r="ER264" s="23" t="str">
        <f t="shared" si="1"/>
        <v/>
      </c>
      <c r="ES264" s="19"/>
      <c r="ET264" s="19" t="str">
        <f t="shared" si="2"/>
        <v/>
      </c>
      <c r="EU264" s="19"/>
      <c r="EV264" s="19"/>
      <c r="EW264" s="19"/>
      <c r="EX264" s="19"/>
      <c r="EY264" s="19"/>
      <c r="EZ264" s="19"/>
      <c r="FA264" s="19"/>
      <c r="FB264" s="19"/>
    </row>
    <row r="265" ht="15.75" customHeight="1">
      <c r="A265" s="19"/>
      <c r="F265" s="19"/>
      <c r="AH265" s="23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  <c r="BD265" s="19"/>
      <c r="BE265" s="19"/>
      <c r="BF265" s="19"/>
      <c r="BG265" s="19"/>
      <c r="BH265" s="19"/>
      <c r="BI265" s="19"/>
      <c r="BJ265" s="19"/>
      <c r="BK265" s="19"/>
      <c r="BL265" s="19"/>
      <c r="BM265" s="19"/>
      <c r="BN265" s="19"/>
      <c r="BO265" s="19"/>
      <c r="BP265" s="19"/>
      <c r="BQ265" s="19"/>
      <c r="BR265" s="19"/>
      <c r="BS265" s="19"/>
      <c r="BT265" s="19"/>
      <c r="BU265" s="19"/>
      <c r="BV265" s="19"/>
      <c r="BW265" s="19"/>
      <c r="BX265" s="19"/>
      <c r="BY265" s="19"/>
      <c r="BZ265" s="19"/>
      <c r="CA265" s="19"/>
      <c r="CB265" s="19"/>
      <c r="CC265" s="19"/>
      <c r="CD265" s="19"/>
      <c r="CE265" s="19"/>
      <c r="CF265" s="19"/>
      <c r="CG265" s="19"/>
      <c r="CH265" s="19"/>
      <c r="CI265" s="19"/>
      <c r="CJ265" s="19"/>
      <c r="CK265" s="19"/>
      <c r="CL265" s="19"/>
      <c r="CM265" s="19"/>
      <c r="CN265" s="19"/>
      <c r="CO265" s="19"/>
      <c r="CP265" s="19"/>
      <c r="CQ265" s="19"/>
      <c r="CR265" s="19"/>
      <c r="CS265" s="19"/>
      <c r="CT265" s="19"/>
      <c r="CU265" s="19"/>
      <c r="CV265" s="19"/>
      <c r="CW265" s="19"/>
      <c r="CX265" s="19"/>
      <c r="CY265" s="19"/>
      <c r="CZ265" s="19"/>
      <c r="DA265" s="19"/>
      <c r="DB265" s="19"/>
      <c r="DC265" s="19"/>
      <c r="DD265" s="19"/>
      <c r="DE265" s="19"/>
      <c r="DF265" s="19"/>
      <c r="DG265" s="19"/>
      <c r="DH265" s="19"/>
      <c r="DI265" s="19"/>
      <c r="DJ265" s="19"/>
      <c r="DK265" s="19"/>
      <c r="DL265" s="19"/>
      <c r="DM265" s="19"/>
      <c r="DN265" s="19"/>
      <c r="DO265" s="19"/>
      <c r="DP265" s="19"/>
      <c r="DQ265" s="19"/>
      <c r="DR265" s="19"/>
      <c r="DS265" s="19"/>
      <c r="DT265" s="19"/>
      <c r="DU265" s="19"/>
      <c r="DV265" s="19"/>
      <c r="DW265" s="19"/>
      <c r="DX265" s="19"/>
      <c r="DY265" s="19"/>
      <c r="DZ265" s="19"/>
      <c r="EA265" s="19"/>
      <c r="EB265" s="19"/>
      <c r="EC265" s="19"/>
      <c r="ED265" s="19"/>
      <c r="EE265" s="19"/>
      <c r="EF265" s="19"/>
      <c r="EG265" s="19"/>
      <c r="EH265" s="19"/>
      <c r="EI265" s="19"/>
      <c r="EJ265" s="19"/>
      <c r="EK265" s="19"/>
      <c r="EL265" s="19"/>
      <c r="EM265" s="19"/>
      <c r="EN265" s="19"/>
      <c r="EO265" s="19"/>
      <c r="EP265" s="17"/>
      <c r="EQ265" s="23"/>
      <c r="ER265" s="23" t="str">
        <f t="shared" si="1"/>
        <v/>
      </c>
      <c r="ES265" s="19"/>
      <c r="ET265" s="19" t="str">
        <f t="shared" si="2"/>
        <v/>
      </c>
      <c r="EU265" s="19"/>
      <c r="EV265" s="19"/>
      <c r="EW265" s="19"/>
      <c r="EX265" s="19"/>
      <c r="EY265" s="19"/>
      <c r="EZ265" s="19"/>
      <c r="FA265" s="19"/>
      <c r="FB265" s="19"/>
    </row>
    <row r="266" ht="15.75" customHeight="1">
      <c r="A266" s="19"/>
      <c r="F266" s="19"/>
      <c r="AH266" s="23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  <c r="BD266" s="19"/>
      <c r="BE266" s="19"/>
      <c r="BF266" s="19"/>
      <c r="BG266" s="19"/>
      <c r="BH266" s="19"/>
      <c r="BI266" s="19"/>
      <c r="BJ266" s="19"/>
      <c r="BK266" s="19"/>
      <c r="BL266" s="19"/>
      <c r="BM266" s="19"/>
      <c r="BN266" s="19"/>
      <c r="BO266" s="19"/>
      <c r="BP266" s="19"/>
      <c r="BQ266" s="19"/>
      <c r="BR266" s="19"/>
      <c r="BS266" s="19"/>
      <c r="BT266" s="19"/>
      <c r="BU266" s="19"/>
      <c r="BV266" s="19"/>
      <c r="BW266" s="19"/>
      <c r="BX266" s="19"/>
      <c r="BY266" s="19"/>
      <c r="BZ266" s="19"/>
      <c r="CA266" s="19"/>
      <c r="CB266" s="19"/>
      <c r="CC266" s="19"/>
      <c r="CD266" s="19"/>
      <c r="CE266" s="19"/>
      <c r="CF266" s="19"/>
      <c r="CG266" s="19"/>
      <c r="CH266" s="19"/>
      <c r="CI266" s="19"/>
      <c r="CJ266" s="19"/>
      <c r="CK266" s="19"/>
      <c r="CL266" s="19"/>
      <c r="CM266" s="19"/>
      <c r="CN266" s="19"/>
      <c r="CO266" s="19"/>
      <c r="CP266" s="19"/>
      <c r="CQ266" s="19"/>
      <c r="CR266" s="19"/>
      <c r="CS266" s="19"/>
      <c r="CT266" s="19"/>
      <c r="CU266" s="19"/>
      <c r="CV266" s="19"/>
      <c r="CW266" s="19"/>
      <c r="CX266" s="19"/>
      <c r="CY266" s="19"/>
      <c r="CZ266" s="19"/>
      <c r="DA266" s="19"/>
      <c r="DB266" s="19"/>
      <c r="DC266" s="19"/>
      <c r="DD266" s="19"/>
      <c r="DE266" s="19"/>
      <c r="DF266" s="19"/>
      <c r="DG266" s="19"/>
      <c r="DH266" s="19"/>
      <c r="DI266" s="19"/>
      <c r="DJ266" s="19"/>
      <c r="DK266" s="19"/>
      <c r="DL266" s="19"/>
      <c r="DM266" s="19"/>
      <c r="DN266" s="19"/>
      <c r="DO266" s="19"/>
      <c r="DP266" s="19"/>
      <c r="DQ266" s="19"/>
      <c r="DR266" s="19"/>
      <c r="DS266" s="19"/>
      <c r="DT266" s="19"/>
      <c r="DU266" s="19"/>
      <c r="DV266" s="19"/>
      <c r="DW266" s="19"/>
      <c r="DX266" s="19"/>
      <c r="DY266" s="19"/>
      <c r="DZ266" s="19"/>
      <c r="EA266" s="19"/>
      <c r="EB266" s="19"/>
      <c r="EC266" s="19"/>
      <c r="ED266" s="19"/>
      <c r="EE266" s="19"/>
      <c r="EF266" s="19"/>
      <c r="EG266" s="19"/>
      <c r="EH266" s="19"/>
      <c r="EI266" s="19"/>
      <c r="EJ266" s="19"/>
      <c r="EK266" s="19"/>
      <c r="EL266" s="19"/>
      <c r="EM266" s="19"/>
      <c r="EN266" s="19"/>
      <c r="EO266" s="19"/>
      <c r="EP266" s="17"/>
      <c r="EQ266" s="23"/>
      <c r="ER266" s="23" t="str">
        <f t="shared" si="1"/>
        <v/>
      </c>
      <c r="ES266" s="19"/>
      <c r="ET266" s="19" t="str">
        <f t="shared" si="2"/>
        <v/>
      </c>
      <c r="EU266" s="19"/>
      <c r="EV266" s="19"/>
      <c r="EW266" s="19"/>
      <c r="EX266" s="19"/>
      <c r="EY266" s="19"/>
      <c r="EZ266" s="19"/>
      <c r="FA266" s="19"/>
      <c r="FB266" s="19"/>
    </row>
    <row r="267" ht="15.75" customHeight="1">
      <c r="A267" s="19"/>
      <c r="F267" s="19"/>
      <c r="AH267" s="23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  <c r="BD267" s="19"/>
      <c r="BE267" s="19"/>
      <c r="BF267" s="19"/>
      <c r="BG267" s="19"/>
      <c r="BH267" s="19"/>
      <c r="BI267" s="19"/>
      <c r="BJ267" s="19"/>
      <c r="BK267" s="19"/>
      <c r="BL267" s="19"/>
      <c r="BM267" s="19"/>
      <c r="BN267" s="19"/>
      <c r="BO267" s="19"/>
      <c r="BP267" s="19"/>
      <c r="BQ267" s="19"/>
      <c r="BR267" s="19"/>
      <c r="BS267" s="19"/>
      <c r="BT267" s="19"/>
      <c r="BU267" s="19"/>
      <c r="BV267" s="19"/>
      <c r="BW267" s="19"/>
      <c r="BX267" s="19"/>
      <c r="BY267" s="19"/>
      <c r="BZ267" s="19"/>
      <c r="CA267" s="19"/>
      <c r="CB267" s="19"/>
      <c r="CC267" s="19"/>
      <c r="CD267" s="19"/>
      <c r="CE267" s="19"/>
      <c r="CF267" s="19"/>
      <c r="CG267" s="19"/>
      <c r="CH267" s="19"/>
      <c r="CI267" s="19"/>
      <c r="CJ267" s="19"/>
      <c r="CK267" s="19"/>
      <c r="CL267" s="19"/>
      <c r="CM267" s="19"/>
      <c r="CN267" s="19"/>
      <c r="CO267" s="19"/>
      <c r="CP267" s="19"/>
      <c r="CQ267" s="19"/>
      <c r="CR267" s="19"/>
      <c r="CS267" s="19"/>
      <c r="CT267" s="19"/>
      <c r="CU267" s="19"/>
      <c r="CV267" s="19"/>
      <c r="CW267" s="19"/>
      <c r="CX267" s="19"/>
      <c r="CY267" s="19"/>
      <c r="CZ267" s="19"/>
      <c r="DA267" s="19"/>
      <c r="DB267" s="19"/>
      <c r="DC267" s="19"/>
      <c r="DD267" s="19"/>
      <c r="DE267" s="19"/>
      <c r="DF267" s="19"/>
      <c r="DG267" s="19"/>
      <c r="DH267" s="19"/>
      <c r="DI267" s="19"/>
      <c r="DJ267" s="19"/>
      <c r="DK267" s="19"/>
      <c r="DL267" s="19"/>
      <c r="DM267" s="19"/>
      <c r="DN267" s="19"/>
      <c r="DO267" s="19"/>
      <c r="DP267" s="19"/>
      <c r="DQ267" s="19"/>
      <c r="DR267" s="19"/>
      <c r="DS267" s="19"/>
      <c r="DT267" s="19"/>
      <c r="DU267" s="19"/>
      <c r="DV267" s="19"/>
      <c r="DW267" s="19"/>
      <c r="DX267" s="19"/>
      <c r="DY267" s="19"/>
      <c r="DZ267" s="19"/>
      <c r="EA267" s="19"/>
      <c r="EB267" s="19"/>
      <c r="EC267" s="19"/>
      <c r="ED267" s="19"/>
      <c r="EE267" s="19"/>
      <c r="EF267" s="19"/>
      <c r="EG267" s="19"/>
      <c r="EH267" s="19"/>
      <c r="EI267" s="19"/>
      <c r="EJ267" s="19"/>
      <c r="EK267" s="19"/>
      <c r="EL267" s="19"/>
      <c r="EM267" s="19"/>
      <c r="EN267" s="19"/>
      <c r="EO267" s="19"/>
      <c r="EP267" s="17"/>
      <c r="EQ267" s="23"/>
      <c r="ER267" s="23" t="str">
        <f t="shared" si="1"/>
        <v/>
      </c>
      <c r="ES267" s="19"/>
      <c r="ET267" s="19" t="str">
        <f t="shared" si="2"/>
        <v/>
      </c>
      <c r="EU267" s="19"/>
      <c r="EV267" s="19"/>
      <c r="EW267" s="19"/>
      <c r="EX267" s="19"/>
      <c r="EY267" s="19"/>
      <c r="EZ267" s="19"/>
      <c r="FA267" s="19"/>
      <c r="FB267" s="19"/>
    </row>
    <row r="268" ht="15.75" customHeight="1">
      <c r="A268" s="19"/>
      <c r="F268" s="19"/>
      <c r="AH268" s="23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  <c r="BD268" s="19"/>
      <c r="BE268" s="19"/>
      <c r="BF268" s="19"/>
      <c r="BG268" s="19"/>
      <c r="BH268" s="19"/>
      <c r="BI268" s="19"/>
      <c r="BJ268" s="19"/>
      <c r="BK268" s="19"/>
      <c r="BL268" s="19"/>
      <c r="BM268" s="19"/>
      <c r="BN268" s="19"/>
      <c r="BO268" s="19"/>
      <c r="BP268" s="19"/>
      <c r="BQ268" s="19"/>
      <c r="BR268" s="19"/>
      <c r="BS268" s="19"/>
      <c r="BT268" s="19"/>
      <c r="BU268" s="19"/>
      <c r="BV268" s="19"/>
      <c r="BW268" s="19"/>
      <c r="BX268" s="19"/>
      <c r="BY268" s="19"/>
      <c r="BZ268" s="19"/>
      <c r="CA268" s="19"/>
      <c r="CB268" s="19"/>
      <c r="CC268" s="19"/>
      <c r="CD268" s="19"/>
      <c r="CE268" s="19"/>
      <c r="CF268" s="19"/>
      <c r="CG268" s="19"/>
      <c r="CH268" s="19"/>
      <c r="CI268" s="19"/>
      <c r="CJ268" s="19"/>
      <c r="CK268" s="19"/>
      <c r="CL268" s="19"/>
      <c r="CM268" s="19"/>
      <c r="CN268" s="19"/>
      <c r="CO268" s="19"/>
      <c r="CP268" s="19"/>
      <c r="CQ268" s="19"/>
      <c r="CR268" s="19"/>
      <c r="CS268" s="19"/>
      <c r="CT268" s="19"/>
      <c r="CU268" s="19"/>
      <c r="CV268" s="19"/>
      <c r="CW268" s="19"/>
      <c r="CX268" s="19"/>
      <c r="CY268" s="19"/>
      <c r="CZ268" s="19"/>
      <c r="DA268" s="19"/>
      <c r="DB268" s="19"/>
      <c r="DC268" s="19"/>
      <c r="DD268" s="19"/>
      <c r="DE268" s="19"/>
      <c r="DF268" s="19"/>
      <c r="DG268" s="19"/>
      <c r="DH268" s="19"/>
      <c r="DI268" s="19"/>
      <c r="DJ268" s="19"/>
      <c r="DK268" s="19"/>
      <c r="DL268" s="19"/>
      <c r="DM268" s="19"/>
      <c r="DN268" s="19"/>
      <c r="DO268" s="19"/>
      <c r="DP268" s="19"/>
      <c r="DQ268" s="19"/>
      <c r="DR268" s="19"/>
      <c r="DS268" s="19"/>
      <c r="DT268" s="19"/>
      <c r="DU268" s="19"/>
      <c r="DV268" s="19"/>
      <c r="DW268" s="19"/>
      <c r="DX268" s="19"/>
      <c r="DY268" s="19"/>
      <c r="DZ268" s="19"/>
      <c r="EA268" s="19"/>
      <c r="EB268" s="19"/>
      <c r="EC268" s="19"/>
      <c r="ED268" s="19"/>
      <c r="EE268" s="19"/>
      <c r="EF268" s="19"/>
      <c r="EG268" s="19"/>
      <c r="EH268" s="19"/>
      <c r="EI268" s="19"/>
      <c r="EJ268" s="19"/>
      <c r="EK268" s="19"/>
      <c r="EL268" s="19"/>
      <c r="EM268" s="19"/>
      <c r="EN268" s="19"/>
      <c r="EO268" s="19"/>
      <c r="EP268" s="17"/>
      <c r="EQ268" s="23"/>
      <c r="ER268" s="23" t="str">
        <f t="shared" si="1"/>
        <v/>
      </c>
      <c r="ES268" s="19"/>
      <c r="ET268" s="19" t="str">
        <f t="shared" si="2"/>
        <v/>
      </c>
      <c r="EU268" s="19"/>
      <c r="EV268" s="19"/>
      <c r="EW268" s="19"/>
      <c r="EX268" s="19"/>
      <c r="EY268" s="19"/>
      <c r="EZ268" s="19"/>
      <c r="FA268" s="19"/>
      <c r="FB268" s="19"/>
    </row>
    <row r="269" ht="15.75" customHeight="1">
      <c r="A269" s="19"/>
      <c r="F269" s="19"/>
      <c r="AH269" s="23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  <c r="BD269" s="19"/>
      <c r="BE269" s="19"/>
      <c r="BF269" s="19"/>
      <c r="BG269" s="19"/>
      <c r="BH269" s="19"/>
      <c r="BI269" s="19"/>
      <c r="BJ269" s="19"/>
      <c r="BK269" s="19"/>
      <c r="BL269" s="19"/>
      <c r="BM269" s="19"/>
      <c r="BN269" s="19"/>
      <c r="BO269" s="19"/>
      <c r="BP269" s="19"/>
      <c r="BQ269" s="19"/>
      <c r="BR269" s="19"/>
      <c r="BS269" s="19"/>
      <c r="BT269" s="19"/>
      <c r="BU269" s="19"/>
      <c r="BV269" s="19"/>
      <c r="BW269" s="19"/>
      <c r="BX269" s="19"/>
      <c r="BY269" s="19"/>
      <c r="BZ269" s="19"/>
      <c r="CA269" s="19"/>
      <c r="CB269" s="19"/>
      <c r="CC269" s="19"/>
      <c r="CD269" s="19"/>
      <c r="CE269" s="19"/>
      <c r="CF269" s="19"/>
      <c r="CG269" s="19"/>
      <c r="CH269" s="19"/>
      <c r="CI269" s="19"/>
      <c r="CJ269" s="19"/>
      <c r="CK269" s="19"/>
      <c r="CL269" s="19"/>
      <c r="CM269" s="19"/>
      <c r="CN269" s="19"/>
      <c r="CO269" s="19"/>
      <c r="CP269" s="19"/>
      <c r="CQ269" s="19"/>
      <c r="CR269" s="19"/>
      <c r="CS269" s="19"/>
      <c r="CT269" s="19"/>
      <c r="CU269" s="19"/>
      <c r="CV269" s="19"/>
      <c r="CW269" s="19"/>
      <c r="CX269" s="19"/>
      <c r="CY269" s="19"/>
      <c r="CZ269" s="19"/>
      <c r="DA269" s="19"/>
      <c r="DB269" s="19"/>
      <c r="DC269" s="19"/>
      <c r="DD269" s="19"/>
      <c r="DE269" s="19"/>
      <c r="DF269" s="19"/>
      <c r="DG269" s="19"/>
      <c r="DH269" s="19"/>
      <c r="DI269" s="19"/>
      <c r="DJ269" s="19"/>
      <c r="DK269" s="19"/>
      <c r="DL269" s="19"/>
      <c r="DM269" s="19"/>
      <c r="DN269" s="19"/>
      <c r="DO269" s="19"/>
      <c r="DP269" s="19"/>
      <c r="DQ269" s="19"/>
      <c r="DR269" s="19"/>
      <c r="DS269" s="19"/>
      <c r="DT269" s="19"/>
      <c r="DU269" s="19"/>
      <c r="DV269" s="19"/>
      <c r="DW269" s="19"/>
      <c r="DX269" s="19"/>
      <c r="DY269" s="19"/>
      <c r="DZ269" s="19"/>
      <c r="EA269" s="19"/>
      <c r="EB269" s="19"/>
      <c r="EC269" s="19"/>
      <c r="ED269" s="19"/>
      <c r="EE269" s="19"/>
      <c r="EF269" s="19"/>
      <c r="EG269" s="19"/>
      <c r="EH269" s="19"/>
      <c r="EI269" s="19"/>
      <c r="EJ269" s="19"/>
      <c r="EK269" s="19"/>
      <c r="EL269" s="19"/>
      <c r="EM269" s="19"/>
      <c r="EN269" s="19"/>
      <c r="EO269" s="19"/>
      <c r="EP269" s="17"/>
      <c r="EQ269" s="23"/>
      <c r="ER269" s="23" t="str">
        <f t="shared" si="1"/>
        <v/>
      </c>
      <c r="ES269" s="19"/>
      <c r="ET269" s="19" t="str">
        <f t="shared" si="2"/>
        <v/>
      </c>
      <c r="EU269" s="19"/>
      <c r="EV269" s="19"/>
      <c r="EW269" s="19"/>
      <c r="EX269" s="19"/>
      <c r="EY269" s="19"/>
      <c r="EZ269" s="19"/>
      <c r="FA269" s="19"/>
      <c r="FB269" s="19"/>
    </row>
    <row r="270" ht="15.75" customHeight="1">
      <c r="A270" s="19"/>
      <c r="F270" s="19"/>
      <c r="AH270" s="23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  <c r="BD270" s="19"/>
      <c r="BE270" s="19"/>
      <c r="BF270" s="19"/>
      <c r="BG270" s="19"/>
      <c r="BH270" s="19"/>
      <c r="BI270" s="19"/>
      <c r="BJ270" s="19"/>
      <c r="BK270" s="19"/>
      <c r="BL270" s="19"/>
      <c r="BM270" s="19"/>
      <c r="BN270" s="19"/>
      <c r="BO270" s="19"/>
      <c r="BP270" s="19"/>
      <c r="BQ270" s="19"/>
      <c r="BR270" s="19"/>
      <c r="BS270" s="19"/>
      <c r="BT270" s="19"/>
      <c r="BU270" s="19"/>
      <c r="BV270" s="19"/>
      <c r="BW270" s="19"/>
      <c r="BX270" s="19"/>
      <c r="BY270" s="19"/>
      <c r="BZ270" s="19"/>
      <c r="CA270" s="19"/>
      <c r="CB270" s="19"/>
      <c r="CC270" s="19"/>
      <c r="CD270" s="19"/>
      <c r="CE270" s="19"/>
      <c r="CF270" s="19"/>
      <c r="CG270" s="19"/>
      <c r="CH270" s="19"/>
      <c r="CI270" s="19"/>
      <c r="CJ270" s="19"/>
      <c r="CK270" s="19"/>
      <c r="CL270" s="19"/>
      <c r="CM270" s="19"/>
      <c r="CN270" s="19"/>
      <c r="CO270" s="19"/>
      <c r="CP270" s="19"/>
      <c r="CQ270" s="19"/>
      <c r="CR270" s="19"/>
      <c r="CS270" s="19"/>
      <c r="CT270" s="19"/>
      <c r="CU270" s="19"/>
      <c r="CV270" s="19"/>
      <c r="CW270" s="19"/>
      <c r="CX270" s="19"/>
      <c r="CY270" s="19"/>
      <c r="CZ270" s="19"/>
      <c r="DA270" s="19"/>
      <c r="DB270" s="19"/>
      <c r="DC270" s="19"/>
      <c r="DD270" s="19"/>
      <c r="DE270" s="19"/>
      <c r="DF270" s="19"/>
      <c r="DG270" s="19"/>
      <c r="DH270" s="19"/>
      <c r="DI270" s="19"/>
      <c r="DJ270" s="19"/>
      <c r="DK270" s="19"/>
      <c r="DL270" s="19"/>
      <c r="DM270" s="19"/>
      <c r="DN270" s="19"/>
      <c r="DO270" s="19"/>
      <c r="DP270" s="19"/>
      <c r="DQ270" s="19"/>
      <c r="DR270" s="19"/>
      <c r="DS270" s="19"/>
      <c r="DT270" s="19"/>
      <c r="DU270" s="19"/>
      <c r="DV270" s="19"/>
      <c r="DW270" s="19"/>
      <c r="DX270" s="19"/>
      <c r="DY270" s="19"/>
      <c r="DZ270" s="19"/>
      <c r="EA270" s="19"/>
      <c r="EB270" s="19"/>
      <c r="EC270" s="19"/>
      <c r="ED270" s="19"/>
      <c r="EE270" s="19"/>
      <c r="EF270" s="19"/>
      <c r="EG270" s="19"/>
      <c r="EH270" s="19"/>
      <c r="EI270" s="19"/>
      <c r="EJ270" s="19"/>
      <c r="EK270" s="19"/>
      <c r="EL270" s="19"/>
      <c r="EM270" s="19"/>
      <c r="EN270" s="19"/>
      <c r="EO270" s="19"/>
      <c r="EP270" s="17"/>
      <c r="EQ270" s="23"/>
      <c r="ER270" s="23" t="str">
        <f t="shared" si="1"/>
        <v/>
      </c>
      <c r="ES270" s="19"/>
      <c r="ET270" s="19" t="str">
        <f t="shared" si="2"/>
        <v/>
      </c>
      <c r="EU270" s="19"/>
      <c r="EV270" s="19"/>
      <c r="EW270" s="19"/>
      <c r="EX270" s="19"/>
      <c r="EY270" s="19"/>
      <c r="EZ270" s="19"/>
      <c r="FA270" s="19"/>
      <c r="FB270" s="19"/>
    </row>
    <row r="271" ht="15.75" customHeight="1">
      <c r="A271" s="19"/>
      <c r="F271" s="19"/>
      <c r="AH271" s="23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  <c r="BD271" s="19"/>
      <c r="BE271" s="19"/>
      <c r="BF271" s="19"/>
      <c r="BG271" s="19"/>
      <c r="BH271" s="19"/>
      <c r="BI271" s="19"/>
      <c r="BJ271" s="19"/>
      <c r="BK271" s="19"/>
      <c r="BL271" s="19"/>
      <c r="BM271" s="19"/>
      <c r="BN271" s="19"/>
      <c r="BO271" s="19"/>
      <c r="BP271" s="19"/>
      <c r="BQ271" s="19"/>
      <c r="BR271" s="19"/>
      <c r="BS271" s="19"/>
      <c r="BT271" s="19"/>
      <c r="BU271" s="19"/>
      <c r="BV271" s="19"/>
      <c r="BW271" s="19"/>
      <c r="BX271" s="19"/>
      <c r="BY271" s="19"/>
      <c r="BZ271" s="19"/>
      <c r="CA271" s="19"/>
      <c r="CB271" s="19"/>
      <c r="CC271" s="19"/>
      <c r="CD271" s="19"/>
      <c r="CE271" s="19"/>
      <c r="CF271" s="19"/>
      <c r="CG271" s="19"/>
      <c r="CH271" s="19"/>
      <c r="CI271" s="19"/>
      <c r="CJ271" s="19"/>
      <c r="CK271" s="19"/>
      <c r="CL271" s="19"/>
      <c r="CM271" s="19"/>
      <c r="CN271" s="19"/>
      <c r="CO271" s="19"/>
      <c r="CP271" s="19"/>
      <c r="CQ271" s="19"/>
      <c r="CR271" s="19"/>
      <c r="CS271" s="19"/>
      <c r="CT271" s="19"/>
      <c r="CU271" s="19"/>
      <c r="CV271" s="19"/>
      <c r="CW271" s="19"/>
      <c r="CX271" s="19"/>
      <c r="CY271" s="19"/>
      <c r="CZ271" s="19"/>
      <c r="DA271" s="19"/>
      <c r="DB271" s="19"/>
      <c r="DC271" s="19"/>
      <c r="DD271" s="19"/>
      <c r="DE271" s="19"/>
      <c r="DF271" s="19"/>
      <c r="DG271" s="19"/>
      <c r="DH271" s="19"/>
      <c r="DI271" s="19"/>
      <c r="DJ271" s="19"/>
      <c r="DK271" s="19"/>
      <c r="DL271" s="19"/>
      <c r="DM271" s="19"/>
      <c r="DN271" s="19"/>
      <c r="DO271" s="19"/>
      <c r="DP271" s="19"/>
      <c r="DQ271" s="19"/>
      <c r="DR271" s="19"/>
      <c r="DS271" s="19"/>
      <c r="DT271" s="19"/>
      <c r="DU271" s="19"/>
      <c r="DV271" s="19"/>
      <c r="DW271" s="19"/>
      <c r="DX271" s="19"/>
      <c r="DY271" s="19"/>
      <c r="DZ271" s="19"/>
      <c r="EA271" s="19"/>
      <c r="EB271" s="19"/>
      <c r="EC271" s="19"/>
      <c r="ED271" s="19"/>
      <c r="EE271" s="19"/>
      <c r="EF271" s="19"/>
      <c r="EG271" s="19"/>
      <c r="EH271" s="19"/>
      <c r="EI271" s="19"/>
      <c r="EJ271" s="19"/>
      <c r="EK271" s="19"/>
      <c r="EL271" s="19"/>
      <c r="EM271" s="19"/>
      <c r="EN271" s="19"/>
      <c r="EO271" s="19"/>
      <c r="EP271" s="17"/>
      <c r="EQ271" s="23"/>
      <c r="ER271" s="23" t="str">
        <f t="shared" si="1"/>
        <v/>
      </c>
      <c r="ES271" s="19"/>
      <c r="ET271" s="19" t="str">
        <f t="shared" si="2"/>
        <v/>
      </c>
      <c r="EU271" s="19"/>
      <c r="EV271" s="19"/>
      <c r="EW271" s="19"/>
      <c r="EX271" s="19"/>
      <c r="EY271" s="19"/>
      <c r="EZ271" s="19"/>
      <c r="FA271" s="19"/>
      <c r="FB271" s="19"/>
    </row>
    <row r="272" ht="15.75" customHeight="1">
      <c r="A272" s="19"/>
      <c r="F272" s="19"/>
      <c r="AH272" s="23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  <c r="BD272" s="19"/>
      <c r="BE272" s="19"/>
      <c r="BF272" s="19"/>
      <c r="BG272" s="19"/>
      <c r="BH272" s="19"/>
      <c r="BI272" s="19"/>
      <c r="BJ272" s="19"/>
      <c r="BK272" s="19"/>
      <c r="BL272" s="19"/>
      <c r="BM272" s="19"/>
      <c r="BN272" s="19"/>
      <c r="BO272" s="19"/>
      <c r="BP272" s="19"/>
      <c r="BQ272" s="19"/>
      <c r="BR272" s="19"/>
      <c r="BS272" s="19"/>
      <c r="BT272" s="19"/>
      <c r="BU272" s="19"/>
      <c r="BV272" s="19"/>
      <c r="BW272" s="19"/>
      <c r="BX272" s="19"/>
      <c r="BY272" s="19"/>
      <c r="BZ272" s="19"/>
      <c r="CA272" s="19"/>
      <c r="CB272" s="19"/>
      <c r="CC272" s="19"/>
      <c r="CD272" s="19"/>
      <c r="CE272" s="19"/>
      <c r="CF272" s="19"/>
      <c r="CG272" s="19"/>
      <c r="CH272" s="19"/>
      <c r="CI272" s="19"/>
      <c r="CJ272" s="19"/>
      <c r="CK272" s="19"/>
      <c r="CL272" s="19"/>
      <c r="CM272" s="19"/>
      <c r="CN272" s="19"/>
      <c r="CO272" s="19"/>
      <c r="CP272" s="19"/>
      <c r="CQ272" s="19"/>
      <c r="CR272" s="19"/>
      <c r="CS272" s="19"/>
      <c r="CT272" s="19"/>
      <c r="CU272" s="19"/>
      <c r="CV272" s="19"/>
      <c r="CW272" s="19"/>
      <c r="CX272" s="19"/>
      <c r="CY272" s="19"/>
      <c r="CZ272" s="19"/>
      <c r="DA272" s="19"/>
      <c r="DB272" s="19"/>
      <c r="DC272" s="19"/>
      <c r="DD272" s="19"/>
      <c r="DE272" s="19"/>
      <c r="DF272" s="19"/>
      <c r="DG272" s="19"/>
      <c r="DH272" s="19"/>
      <c r="DI272" s="19"/>
      <c r="DJ272" s="19"/>
      <c r="DK272" s="19"/>
      <c r="DL272" s="19"/>
      <c r="DM272" s="19"/>
      <c r="DN272" s="19"/>
      <c r="DO272" s="19"/>
      <c r="DP272" s="19"/>
      <c r="DQ272" s="19"/>
      <c r="DR272" s="19"/>
      <c r="DS272" s="19"/>
      <c r="DT272" s="19"/>
      <c r="DU272" s="19"/>
      <c r="DV272" s="19"/>
      <c r="DW272" s="19"/>
      <c r="DX272" s="19"/>
      <c r="DY272" s="19"/>
      <c r="DZ272" s="19"/>
      <c r="EA272" s="19"/>
      <c r="EB272" s="19"/>
      <c r="EC272" s="19"/>
      <c r="ED272" s="19"/>
      <c r="EE272" s="19"/>
      <c r="EF272" s="19"/>
      <c r="EG272" s="19"/>
      <c r="EH272" s="19"/>
      <c r="EI272" s="19"/>
      <c r="EJ272" s="19"/>
      <c r="EK272" s="19"/>
      <c r="EL272" s="19"/>
      <c r="EM272" s="19"/>
      <c r="EN272" s="19"/>
      <c r="EO272" s="19"/>
      <c r="EP272" s="17"/>
      <c r="EQ272" s="23"/>
      <c r="ER272" s="23" t="str">
        <f t="shared" si="1"/>
        <v/>
      </c>
      <c r="ES272" s="19"/>
      <c r="ET272" s="19" t="str">
        <f t="shared" si="2"/>
        <v/>
      </c>
      <c r="EU272" s="19"/>
      <c r="EV272" s="19"/>
      <c r="EW272" s="19"/>
      <c r="EX272" s="19"/>
      <c r="EY272" s="19"/>
      <c r="EZ272" s="19"/>
      <c r="FA272" s="19"/>
      <c r="FB272" s="19"/>
    </row>
    <row r="273" ht="15.75" customHeight="1">
      <c r="A273" s="19"/>
      <c r="F273" s="19"/>
      <c r="AH273" s="23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  <c r="BD273" s="19"/>
      <c r="BE273" s="19"/>
      <c r="BF273" s="19"/>
      <c r="BG273" s="19"/>
      <c r="BH273" s="19"/>
      <c r="BI273" s="19"/>
      <c r="BJ273" s="19"/>
      <c r="BK273" s="19"/>
      <c r="BL273" s="19"/>
      <c r="BM273" s="19"/>
      <c r="BN273" s="19"/>
      <c r="BO273" s="19"/>
      <c r="BP273" s="19"/>
      <c r="BQ273" s="19"/>
      <c r="BR273" s="19"/>
      <c r="BS273" s="19"/>
      <c r="BT273" s="19"/>
      <c r="BU273" s="19"/>
      <c r="BV273" s="19"/>
      <c r="BW273" s="19"/>
      <c r="BX273" s="19"/>
      <c r="BY273" s="19"/>
      <c r="BZ273" s="19"/>
      <c r="CA273" s="19"/>
      <c r="CB273" s="19"/>
      <c r="CC273" s="19"/>
      <c r="CD273" s="19"/>
      <c r="CE273" s="19"/>
      <c r="CF273" s="19"/>
      <c r="CG273" s="19"/>
      <c r="CH273" s="19"/>
      <c r="CI273" s="19"/>
      <c r="CJ273" s="19"/>
      <c r="CK273" s="19"/>
      <c r="CL273" s="19"/>
      <c r="CM273" s="19"/>
      <c r="CN273" s="19"/>
      <c r="CO273" s="19"/>
      <c r="CP273" s="19"/>
      <c r="CQ273" s="19"/>
      <c r="CR273" s="19"/>
      <c r="CS273" s="19"/>
      <c r="CT273" s="19"/>
      <c r="CU273" s="19"/>
      <c r="CV273" s="19"/>
      <c r="CW273" s="19"/>
      <c r="CX273" s="19"/>
      <c r="CY273" s="19"/>
      <c r="CZ273" s="19"/>
      <c r="DA273" s="19"/>
      <c r="DB273" s="19"/>
      <c r="DC273" s="19"/>
      <c r="DD273" s="19"/>
      <c r="DE273" s="19"/>
      <c r="DF273" s="19"/>
      <c r="DG273" s="19"/>
      <c r="DH273" s="19"/>
      <c r="DI273" s="19"/>
      <c r="DJ273" s="19"/>
      <c r="DK273" s="19"/>
      <c r="DL273" s="19"/>
      <c r="DM273" s="19"/>
      <c r="DN273" s="19"/>
      <c r="DO273" s="19"/>
      <c r="DP273" s="19"/>
      <c r="DQ273" s="19"/>
      <c r="DR273" s="19"/>
      <c r="DS273" s="19"/>
      <c r="DT273" s="19"/>
      <c r="DU273" s="19"/>
      <c r="DV273" s="19"/>
      <c r="DW273" s="19"/>
      <c r="DX273" s="19"/>
      <c r="DY273" s="19"/>
      <c r="DZ273" s="19"/>
      <c r="EA273" s="19"/>
      <c r="EB273" s="19"/>
      <c r="EC273" s="19"/>
      <c r="ED273" s="19"/>
      <c r="EE273" s="19"/>
      <c r="EF273" s="19"/>
      <c r="EG273" s="19"/>
      <c r="EH273" s="19"/>
      <c r="EI273" s="19"/>
      <c r="EJ273" s="19"/>
      <c r="EK273" s="19"/>
      <c r="EL273" s="19"/>
      <c r="EM273" s="19"/>
      <c r="EN273" s="19"/>
      <c r="EO273" s="19"/>
      <c r="EP273" s="17"/>
      <c r="EQ273" s="23"/>
      <c r="ER273" s="23" t="str">
        <f t="shared" si="1"/>
        <v/>
      </c>
      <c r="ES273" s="19"/>
      <c r="ET273" s="19" t="str">
        <f t="shared" si="2"/>
        <v/>
      </c>
      <c r="EU273" s="19"/>
      <c r="EV273" s="19"/>
      <c r="EW273" s="19"/>
      <c r="EX273" s="19"/>
      <c r="EY273" s="19"/>
      <c r="EZ273" s="19"/>
      <c r="FA273" s="19"/>
      <c r="FB273" s="19"/>
    </row>
    <row r="274" ht="15.75" customHeight="1">
      <c r="A274" s="19"/>
      <c r="F274" s="19"/>
      <c r="AH274" s="23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  <c r="BD274" s="19"/>
      <c r="BE274" s="19"/>
      <c r="BF274" s="19"/>
      <c r="BG274" s="19"/>
      <c r="BH274" s="19"/>
      <c r="BI274" s="19"/>
      <c r="BJ274" s="19"/>
      <c r="BK274" s="19"/>
      <c r="BL274" s="19"/>
      <c r="BM274" s="19"/>
      <c r="BN274" s="19"/>
      <c r="BO274" s="19"/>
      <c r="BP274" s="19"/>
      <c r="BQ274" s="19"/>
      <c r="BR274" s="19"/>
      <c r="BS274" s="19"/>
      <c r="BT274" s="19"/>
      <c r="BU274" s="19"/>
      <c r="BV274" s="19"/>
      <c r="BW274" s="19"/>
      <c r="BX274" s="19"/>
      <c r="BY274" s="19"/>
      <c r="BZ274" s="19"/>
      <c r="CA274" s="19"/>
      <c r="CB274" s="19"/>
      <c r="CC274" s="19"/>
      <c r="CD274" s="19"/>
      <c r="CE274" s="19"/>
      <c r="CF274" s="19"/>
      <c r="CG274" s="19"/>
      <c r="CH274" s="19"/>
      <c r="CI274" s="19"/>
      <c r="CJ274" s="19"/>
      <c r="CK274" s="19"/>
      <c r="CL274" s="19"/>
      <c r="CM274" s="19"/>
      <c r="CN274" s="19"/>
      <c r="CO274" s="19"/>
      <c r="CP274" s="19"/>
      <c r="CQ274" s="19"/>
      <c r="CR274" s="19"/>
      <c r="CS274" s="19"/>
      <c r="CT274" s="19"/>
      <c r="CU274" s="19"/>
      <c r="CV274" s="19"/>
      <c r="CW274" s="19"/>
      <c r="CX274" s="19"/>
      <c r="CY274" s="19"/>
      <c r="CZ274" s="19"/>
      <c r="DA274" s="19"/>
      <c r="DB274" s="19"/>
      <c r="DC274" s="19"/>
      <c r="DD274" s="19"/>
      <c r="DE274" s="19"/>
      <c r="DF274" s="19"/>
      <c r="DG274" s="19"/>
      <c r="DH274" s="19"/>
      <c r="DI274" s="19"/>
      <c r="DJ274" s="19"/>
      <c r="DK274" s="19"/>
      <c r="DL274" s="19"/>
      <c r="DM274" s="19"/>
      <c r="DN274" s="19"/>
      <c r="DO274" s="19"/>
      <c r="DP274" s="19"/>
      <c r="DQ274" s="19"/>
      <c r="DR274" s="19"/>
      <c r="DS274" s="19"/>
      <c r="DT274" s="19"/>
      <c r="DU274" s="19"/>
      <c r="DV274" s="19"/>
      <c r="DW274" s="19"/>
      <c r="DX274" s="19"/>
      <c r="DY274" s="19"/>
      <c r="DZ274" s="19"/>
      <c r="EA274" s="19"/>
      <c r="EB274" s="19"/>
      <c r="EC274" s="19"/>
      <c r="ED274" s="19"/>
      <c r="EE274" s="19"/>
      <c r="EF274" s="19"/>
      <c r="EG274" s="19"/>
      <c r="EH274" s="19"/>
      <c r="EI274" s="19"/>
      <c r="EJ274" s="19"/>
      <c r="EK274" s="19"/>
      <c r="EL274" s="19"/>
      <c r="EM274" s="19"/>
      <c r="EN274" s="19"/>
      <c r="EO274" s="19"/>
      <c r="EP274" s="17"/>
      <c r="EQ274" s="23"/>
      <c r="ER274" s="23" t="str">
        <f t="shared" si="1"/>
        <v/>
      </c>
      <c r="ES274" s="19"/>
      <c r="ET274" s="19" t="str">
        <f t="shared" si="2"/>
        <v/>
      </c>
      <c r="EU274" s="19"/>
      <c r="EV274" s="19"/>
      <c r="EW274" s="19"/>
      <c r="EX274" s="19"/>
      <c r="EY274" s="19"/>
      <c r="EZ274" s="19"/>
      <c r="FA274" s="19"/>
      <c r="FB274" s="19"/>
    </row>
    <row r="275" ht="15.75" customHeight="1">
      <c r="A275" s="19"/>
      <c r="F275" s="19"/>
      <c r="AH275" s="23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  <c r="BD275" s="19"/>
      <c r="BE275" s="19"/>
      <c r="BF275" s="19"/>
      <c r="BG275" s="19"/>
      <c r="BH275" s="19"/>
      <c r="BI275" s="19"/>
      <c r="BJ275" s="19"/>
      <c r="BK275" s="19"/>
      <c r="BL275" s="19"/>
      <c r="BM275" s="19"/>
      <c r="BN275" s="19"/>
      <c r="BO275" s="19"/>
      <c r="BP275" s="19"/>
      <c r="BQ275" s="19"/>
      <c r="BR275" s="19"/>
      <c r="BS275" s="19"/>
      <c r="BT275" s="19"/>
      <c r="BU275" s="19"/>
      <c r="BV275" s="19"/>
      <c r="BW275" s="19"/>
      <c r="BX275" s="19"/>
      <c r="BY275" s="19"/>
      <c r="BZ275" s="19"/>
      <c r="CA275" s="19"/>
      <c r="CB275" s="19"/>
      <c r="CC275" s="19"/>
      <c r="CD275" s="19"/>
      <c r="CE275" s="19"/>
      <c r="CF275" s="19"/>
      <c r="CG275" s="19"/>
      <c r="CH275" s="19"/>
      <c r="CI275" s="19"/>
      <c r="CJ275" s="19"/>
      <c r="CK275" s="19"/>
      <c r="CL275" s="19"/>
      <c r="CM275" s="19"/>
      <c r="CN275" s="19"/>
      <c r="CO275" s="19"/>
      <c r="CP275" s="19"/>
      <c r="CQ275" s="19"/>
      <c r="CR275" s="19"/>
      <c r="CS275" s="19"/>
      <c r="CT275" s="19"/>
      <c r="CU275" s="19"/>
      <c r="CV275" s="19"/>
      <c r="CW275" s="19"/>
      <c r="CX275" s="19"/>
      <c r="CY275" s="19"/>
      <c r="CZ275" s="19"/>
      <c r="DA275" s="19"/>
      <c r="DB275" s="19"/>
      <c r="DC275" s="19"/>
      <c r="DD275" s="19"/>
      <c r="DE275" s="19"/>
      <c r="DF275" s="19"/>
      <c r="DG275" s="19"/>
      <c r="DH275" s="19"/>
      <c r="DI275" s="19"/>
      <c r="DJ275" s="19"/>
      <c r="DK275" s="19"/>
      <c r="DL275" s="19"/>
      <c r="DM275" s="19"/>
      <c r="DN275" s="19"/>
      <c r="DO275" s="19"/>
      <c r="DP275" s="19"/>
      <c r="DQ275" s="19"/>
      <c r="DR275" s="19"/>
      <c r="DS275" s="19"/>
      <c r="DT275" s="19"/>
      <c r="DU275" s="19"/>
      <c r="DV275" s="19"/>
      <c r="DW275" s="19"/>
      <c r="DX275" s="19"/>
      <c r="DY275" s="19"/>
      <c r="DZ275" s="19"/>
      <c r="EA275" s="19"/>
      <c r="EB275" s="19"/>
      <c r="EC275" s="19"/>
      <c r="ED275" s="19"/>
      <c r="EE275" s="19"/>
      <c r="EF275" s="19"/>
      <c r="EG275" s="19"/>
      <c r="EH275" s="19"/>
      <c r="EI275" s="19"/>
      <c r="EJ275" s="19"/>
      <c r="EK275" s="19"/>
      <c r="EL275" s="19"/>
      <c r="EM275" s="19"/>
      <c r="EN275" s="19"/>
      <c r="EO275" s="19"/>
      <c r="EP275" s="17"/>
      <c r="EQ275" s="23"/>
      <c r="ER275" s="23" t="str">
        <f t="shared" si="1"/>
        <v/>
      </c>
      <c r="ES275" s="19"/>
      <c r="ET275" s="19" t="str">
        <f t="shared" si="2"/>
        <v/>
      </c>
      <c r="EU275" s="19"/>
      <c r="EV275" s="19"/>
      <c r="EW275" s="19"/>
      <c r="EX275" s="19"/>
      <c r="EY275" s="19"/>
      <c r="EZ275" s="19"/>
      <c r="FA275" s="19"/>
      <c r="FB275" s="19"/>
    </row>
    <row r="276" ht="15.75" customHeight="1">
      <c r="A276" s="19"/>
      <c r="F276" s="19"/>
      <c r="AH276" s="23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  <c r="BD276" s="19"/>
      <c r="BE276" s="19"/>
      <c r="BF276" s="19"/>
      <c r="BG276" s="19"/>
      <c r="BH276" s="19"/>
      <c r="BI276" s="19"/>
      <c r="BJ276" s="19"/>
      <c r="BK276" s="19"/>
      <c r="BL276" s="19"/>
      <c r="BM276" s="19"/>
      <c r="BN276" s="19"/>
      <c r="BO276" s="19"/>
      <c r="BP276" s="19"/>
      <c r="BQ276" s="19"/>
      <c r="BR276" s="19"/>
      <c r="BS276" s="19"/>
      <c r="BT276" s="19"/>
      <c r="BU276" s="19"/>
      <c r="BV276" s="19"/>
      <c r="BW276" s="19"/>
      <c r="BX276" s="19"/>
      <c r="BY276" s="19"/>
      <c r="BZ276" s="19"/>
      <c r="CA276" s="19"/>
      <c r="CB276" s="19"/>
      <c r="CC276" s="19"/>
      <c r="CD276" s="19"/>
      <c r="CE276" s="19"/>
      <c r="CF276" s="19"/>
      <c r="CG276" s="19"/>
      <c r="CH276" s="19"/>
      <c r="CI276" s="19"/>
      <c r="CJ276" s="19"/>
      <c r="CK276" s="19"/>
      <c r="CL276" s="19"/>
      <c r="CM276" s="19"/>
      <c r="CN276" s="19"/>
      <c r="CO276" s="19"/>
      <c r="CP276" s="19"/>
      <c r="CQ276" s="19"/>
      <c r="CR276" s="19"/>
      <c r="CS276" s="19"/>
      <c r="CT276" s="19"/>
      <c r="CU276" s="19"/>
      <c r="CV276" s="19"/>
      <c r="CW276" s="19"/>
      <c r="CX276" s="19"/>
      <c r="CY276" s="19"/>
      <c r="CZ276" s="19"/>
      <c r="DA276" s="19"/>
      <c r="DB276" s="19"/>
      <c r="DC276" s="19"/>
      <c r="DD276" s="19"/>
      <c r="DE276" s="19"/>
      <c r="DF276" s="19"/>
      <c r="DG276" s="19"/>
      <c r="DH276" s="19"/>
      <c r="DI276" s="19"/>
      <c r="DJ276" s="19"/>
      <c r="DK276" s="19"/>
      <c r="DL276" s="19"/>
      <c r="DM276" s="19"/>
      <c r="DN276" s="19"/>
      <c r="DO276" s="19"/>
      <c r="DP276" s="19"/>
      <c r="DQ276" s="19"/>
      <c r="DR276" s="19"/>
      <c r="DS276" s="19"/>
      <c r="DT276" s="19"/>
      <c r="DU276" s="19"/>
      <c r="DV276" s="19"/>
      <c r="DW276" s="19"/>
      <c r="DX276" s="19"/>
      <c r="DY276" s="19"/>
      <c r="DZ276" s="19"/>
      <c r="EA276" s="19"/>
      <c r="EB276" s="19"/>
      <c r="EC276" s="19"/>
      <c r="ED276" s="19"/>
      <c r="EE276" s="19"/>
      <c r="EF276" s="19"/>
      <c r="EG276" s="19"/>
      <c r="EH276" s="19"/>
      <c r="EI276" s="19"/>
      <c r="EJ276" s="19"/>
      <c r="EK276" s="19"/>
      <c r="EL276" s="19"/>
      <c r="EM276" s="19"/>
      <c r="EN276" s="19"/>
      <c r="EO276" s="19"/>
      <c r="EP276" s="17"/>
      <c r="EQ276" s="23"/>
      <c r="ER276" s="23" t="str">
        <f t="shared" si="1"/>
        <v/>
      </c>
      <c r="ES276" s="19"/>
      <c r="ET276" s="19" t="str">
        <f t="shared" si="2"/>
        <v/>
      </c>
      <c r="EU276" s="19"/>
      <c r="EV276" s="19"/>
      <c r="EW276" s="19"/>
      <c r="EX276" s="19"/>
      <c r="EY276" s="19"/>
      <c r="EZ276" s="19"/>
      <c r="FA276" s="19"/>
      <c r="FB276" s="19"/>
    </row>
    <row r="277" ht="15.75" customHeight="1">
      <c r="A277" s="19"/>
      <c r="F277" s="19"/>
      <c r="AH277" s="23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  <c r="BD277" s="19"/>
      <c r="BE277" s="19"/>
      <c r="BF277" s="19"/>
      <c r="BG277" s="19"/>
      <c r="BH277" s="19"/>
      <c r="BI277" s="19"/>
      <c r="BJ277" s="19"/>
      <c r="BK277" s="19"/>
      <c r="BL277" s="19"/>
      <c r="BM277" s="19"/>
      <c r="BN277" s="19"/>
      <c r="BO277" s="19"/>
      <c r="BP277" s="19"/>
      <c r="BQ277" s="19"/>
      <c r="BR277" s="19"/>
      <c r="BS277" s="19"/>
      <c r="BT277" s="19"/>
      <c r="BU277" s="19"/>
      <c r="BV277" s="19"/>
      <c r="BW277" s="19"/>
      <c r="BX277" s="19"/>
      <c r="BY277" s="19"/>
      <c r="BZ277" s="19"/>
      <c r="CA277" s="19"/>
      <c r="CB277" s="19"/>
      <c r="CC277" s="19"/>
      <c r="CD277" s="19"/>
      <c r="CE277" s="19"/>
      <c r="CF277" s="19"/>
      <c r="CG277" s="19"/>
      <c r="CH277" s="19"/>
      <c r="CI277" s="19"/>
      <c r="CJ277" s="19"/>
      <c r="CK277" s="19"/>
      <c r="CL277" s="19"/>
      <c r="CM277" s="19"/>
      <c r="CN277" s="19"/>
      <c r="CO277" s="19"/>
      <c r="CP277" s="19"/>
      <c r="CQ277" s="19"/>
      <c r="CR277" s="19"/>
      <c r="CS277" s="19"/>
      <c r="CT277" s="19"/>
      <c r="CU277" s="19"/>
      <c r="CV277" s="19"/>
      <c r="CW277" s="19"/>
      <c r="CX277" s="19"/>
      <c r="CY277" s="19"/>
      <c r="CZ277" s="19"/>
      <c r="DA277" s="19"/>
      <c r="DB277" s="19"/>
      <c r="DC277" s="19"/>
      <c r="DD277" s="19"/>
      <c r="DE277" s="19"/>
      <c r="DF277" s="19"/>
      <c r="DG277" s="19"/>
      <c r="DH277" s="19"/>
      <c r="DI277" s="19"/>
      <c r="DJ277" s="19"/>
      <c r="DK277" s="19"/>
      <c r="DL277" s="19"/>
      <c r="DM277" s="19"/>
      <c r="DN277" s="19"/>
      <c r="DO277" s="19"/>
      <c r="DP277" s="19"/>
      <c r="DQ277" s="19"/>
      <c r="DR277" s="19"/>
      <c r="DS277" s="19"/>
      <c r="DT277" s="19"/>
      <c r="DU277" s="19"/>
      <c r="DV277" s="19"/>
      <c r="DW277" s="19"/>
      <c r="DX277" s="19"/>
      <c r="DY277" s="19"/>
      <c r="DZ277" s="19"/>
      <c r="EA277" s="19"/>
      <c r="EB277" s="19"/>
      <c r="EC277" s="19"/>
      <c r="ED277" s="19"/>
      <c r="EE277" s="19"/>
      <c r="EF277" s="19"/>
      <c r="EG277" s="19"/>
      <c r="EH277" s="19"/>
      <c r="EI277" s="19"/>
      <c r="EJ277" s="19"/>
      <c r="EK277" s="19"/>
      <c r="EL277" s="19"/>
      <c r="EM277" s="19"/>
      <c r="EN277" s="19"/>
      <c r="EO277" s="19"/>
      <c r="EP277" s="17"/>
      <c r="EQ277" s="23"/>
      <c r="ER277" s="23" t="str">
        <f t="shared" si="1"/>
        <v/>
      </c>
      <c r="ES277" s="19"/>
      <c r="ET277" s="19" t="str">
        <f t="shared" si="2"/>
        <v/>
      </c>
      <c r="EU277" s="19"/>
      <c r="EV277" s="19"/>
      <c r="EW277" s="19"/>
      <c r="EX277" s="19"/>
      <c r="EY277" s="19"/>
      <c r="EZ277" s="19"/>
      <c r="FA277" s="19"/>
      <c r="FB277" s="19"/>
    </row>
    <row r="278" ht="15.75" customHeight="1">
      <c r="A278" s="19"/>
      <c r="F278" s="19"/>
      <c r="AH278" s="23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  <c r="BD278" s="19"/>
      <c r="BE278" s="19"/>
      <c r="BF278" s="19"/>
      <c r="BG278" s="19"/>
      <c r="BH278" s="19"/>
      <c r="BI278" s="19"/>
      <c r="BJ278" s="19"/>
      <c r="BK278" s="19"/>
      <c r="BL278" s="19"/>
      <c r="BM278" s="19"/>
      <c r="BN278" s="19"/>
      <c r="BO278" s="19"/>
      <c r="BP278" s="19"/>
      <c r="BQ278" s="19"/>
      <c r="BR278" s="19"/>
      <c r="BS278" s="19"/>
      <c r="BT278" s="19"/>
      <c r="BU278" s="19"/>
      <c r="BV278" s="19"/>
      <c r="BW278" s="19"/>
      <c r="BX278" s="19"/>
      <c r="BY278" s="19"/>
      <c r="BZ278" s="19"/>
      <c r="CA278" s="19"/>
      <c r="CB278" s="19"/>
      <c r="CC278" s="19"/>
      <c r="CD278" s="19"/>
      <c r="CE278" s="19"/>
      <c r="CF278" s="19"/>
      <c r="CG278" s="19"/>
      <c r="CH278" s="19"/>
      <c r="CI278" s="19"/>
      <c r="CJ278" s="19"/>
      <c r="CK278" s="19"/>
      <c r="CL278" s="19"/>
      <c r="CM278" s="19"/>
      <c r="CN278" s="19"/>
      <c r="CO278" s="19"/>
      <c r="CP278" s="19"/>
      <c r="CQ278" s="19"/>
      <c r="CR278" s="19"/>
      <c r="CS278" s="19"/>
      <c r="CT278" s="19"/>
      <c r="CU278" s="19"/>
      <c r="CV278" s="19"/>
      <c r="CW278" s="19"/>
      <c r="CX278" s="19"/>
      <c r="CY278" s="19"/>
      <c r="CZ278" s="19"/>
      <c r="DA278" s="19"/>
      <c r="DB278" s="19"/>
      <c r="DC278" s="19"/>
      <c r="DD278" s="19"/>
      <c r="DE278" s="19"/>
      <c r="DF278" s="19"/>
      <c r="DG278" s="19"/>
      <c r="DH278" s="19"/>
      <c r="DI278" s="19"/>
      <c r="DJ278" s="19"/>
      <c r="DK278" s="19"/>
      <c r="DL278" s="19"/>
      <c r="DM278" s="19"/>
      <c r="DN278" s="19"/>
      <c r="DO278" s="19"/>
      <c r="DP278" s="19"/>
      <c r="DQ278" s="19"/>
      <c r="DR278" s="19"/>
      <c r="DS278" s="19"/>
      <c r="DT278" s="19"/>
      <c r="DU278" s="19"/>
      <c r="DV278" s="19"/>
      <c r="DW278" s="19"/>
      <c r="DX278" s="19"/>
      <c r="DY278" s="19"/>
      <c r="DZ278" s="19"/>
      <c r="EA278" s="19"/>
      <c r="EB278" s="19"/>
      <c r="EC278" s="19"/>
      <c r="ED278" s="19"/>
      <c r="EE278" s="19"/>
      <c r="EF278" s="19"/>
      <c r="EG278" s="19"/>
      <c r="EH278" s="19"/>
      <c r="EI278" s="19"/>
      <c r="EJ278" s="19"/>
      <c r="EK278" s="19"/>
      <c r="EL278" s="19"/>
      <c r="EM278" s="19"/>
      <c r="EN278" s="19"/>
      <c r="EO278" s="19"/>
      <c r="EP278" s="17"/>
      <c r="EQ278" s="23"/>
      <c r="ER278" s="23" t="str">
        <f t="shared" si="1"/>
        <v/>
      </c>
      <c r="ES278" s="19"/>
      <c r="ET278" s="19" t="str">
        <f t="shared" si="2"/>
        <v/>
      </c>
      <c r="EU278" s="19"/>
      <c r="EV278" s="19"/>
      <c r="EW278" s="19"/>
      <c r="EX278" s="19"/>
      <c r="EY278" s="19"/>
      <c r="EZ278" s="19"/>
      <c r="FA278" s="19"/>
      <c r="FB278" s="19"/>
    </row>
    <row r="279" ht="15.75" customHeight="1">
      <c r="A279" s="19"/>
      <c r="F279" s="19"/>
      <c r="AH279" s="23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  <c r="BD279" s="19"/>
      <c r="BE279" s="19"/>
      <c r="BF279" s="19"/>
      <c r="BG279" s="19"/>
      <c r="BH279" s="19"/>
      <c r="BI279" s="19"/>
      <c r="BJ279" s="19"/>
      <c r="BK279" s="19"/>
      <c r="BL279" s="19"/>
      <c r="BM279" s="19"/>
      <c r="BN279" s="19"/>
      <c r="BO279" s="19"/>
      <c r="BP279" s="19"/>
      <c r="BQ279" s="19"/>
      <c r="BR279" s="19"/>
      <c r="BS279" s="19"/>
      <c r="BT279" s="19"/>
      <c r="BU279" s="19"/>
      <c r="BV279" s="19"/>
      <c r="BW279" s="19"/>
      <c r="BX279" s="19"/>
      <c r="BY279" s="19"/>
      <c r="BZ279" s="19"/>
      <c r="CA279" s="19"/>
      <c r="CB279" s="19"/>
      <c r="CC279" s="19"/>
      <c r="CD279" s="19"/>
      <c r="CE279" s="19"/>
      <c r="CF279" s="19"/>
      <c r="CG279" s="19"/>
      <c r="CH279" s="19"/>
      <c r="CI279" s="19"/>
      <c r="CJ279" s="19"/>
      <c r="CK279" s="19"/>
      <c r="CL279" s="19"/>
      <c r="CM279" s="19"/>
      <c r="CN279" s="19"/>
      <c r="CO279" s="19"/>
      <c r="CP279" s="19"/>
      <c r="CQ279" s="19"/>
      <c r="CR279" s="19"/>
      <c r="CS279" s="19"/>
      <c r="CT279" s="19"/>
      <c r="CU279" s="19"/>
      <c r="CV279" s="19"/>
      <c r="CW279" s="19"/>
      <c r="CX279" s="19"/>
      <c r="CY279" s="19"/>
      <c r="CZ279" s="19"/>
      <c r="DA279" s="19"/>
      <c r="DB279" s="19"/>
      <c r="DC279" s="19"/>
      <c r="DD279" s="19"/>
      <c r="DE279" s="19"/>
      <c r="DF279" s="19"/>
      <c r="DG279" s="19"/>
      <c r="DH279" s="19"/>
      <c r="DI279" s="19"/>
      <c r="DJ279" s="19"/>
      <c r="DK279" s="19"/>
      <c r="DL279" s="19"/>
      <c r="DM279" s="19"/>
      <c r="DN279" s="19"/>
      <c r="DO279" s="19"/>
      <c r="DP279" s="19"/>
      <c r="DQ279" s="19"/>
      <c r="DR279" s="19"/>
      <c r="DS279" s="19"/>
      <c r="DT279" s="19"/>
      <c r="DU279" s="19"/>
      <c r="DV279" s="19"/>
      <c r="DW279" s="19"/>
      <c r="DX279" s="19"/>
      <c r="DY279" s="19"/>
      <c r="DZ279" s="19"/>
      <c r="EA279" s="19"/>
      <c r="EB279" s="19"/>
      <c r="EC279" s="19"/>
      <c r="ED279" s="19"/>
      <c r="EE279" s="19"/>
      <c r="EF279" s="19"/>
      <c r="EG279" s="19"/>
      <c r="EH279" s="19"/>
      <c r="EI279" s="19"/>
      <c r="EJ279" s="19"/>
      <c r="EK279" s="19"/>
      <c r="EL279" s="19"/>
      <c r="EM279" s="19"/>
      <c r="EN279" s="19"/>
      <c r="EO279" s="19"/>
      <c r="EP279" s="17"/>
      <c r="EQ279" s="23"/>
      <c r="ER279" s="23" t="str">
        <f t="shared" si="1"/>
        <v/>
      </c>
      <c r="ES279" s="19"/>
      <c r="ET279" s="19" t="str">
        <f t="shared" si="2"/>
        <v/>
      </c>
      <c r="EU279" s="19"/>
      <c r="EV279" s="19"/>
      <c r="EW279" s="19"/>
      <c r="EX279" s="19"/>
      <c r="EY279" s="19"/>
      <c r="EZ279" s="19"/>
      <c r="FA279" s="19"/>
      <c r="FB279" s="19"/>
    </row>
    <row r="280" ht="15.75" customHeight="1">
      <c r="A280" s="19"/>
      <c r="F280" s="19"/>
      <c r="AH280" s="23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  <c r="BD280" s="19"/>
      <c r="BE280" s="19"/>
      <c r="BF280" s="19"/>
      <c r="BG280" s="19"/>
      <c r="BH280" s="19"/>
      <c r="BI280" s="19"/>
      <c r="BJ280" s="19"/>
      <c r="BK280" s="19"/>
      <c r="BL280" s="19"/>
      <c r="BM280" s="19"/>
      <c r="BN280" s="19"/>
      <c r="BO280" s="19"/>
      <c r="BP280" s="19"/>
      <c r="BQ280" s="19"/>
      <c r="BR280" s="19"/>
      <c r="BS280" s="19"/>
      <c r="BT280" s="19"/>
      <c r="BU280" s="19"/>
      <c r="BV280" s="19"/>
      <c r="BW280" s="19"/>
      <c r="BX280" s="19"/>
      <c r="BY280" s="19"/>
      <c r="BZ280" s="19"/>
      <c r="CA280" s="19"/>
      <c r="CB280" s="19"/>
      <c r="CC280" s="19"/>
      <c r="CD280" s="19"/>
      <c r="CE280" s="19"/>
      <c r="CF280" s="19"/>
      <c r="CG280" s="19"/>
      <c r="CH280" s="19"/>
      <c r="CI280" s="19"/>
      <c r="CJ280" s="19"/>
      <c r="CK280" s="19"/>
      <c r="CL280" s="19"/>
      <c r="CM280" s="19"/>
      <c r="CN280" s="19"/>
      <c r="CO280" s="19"/>
      <c r="CP280" s="19"/>
      <c r="CQ280" s="19"/>
      <c r="CR280" s="19"/>
      <c r="CS280" s="19"/>
      <c r="CT280" s="19"/>
      <c r="CU280" s="19"/>
      <c r="CV280" s="19"/>
      <c r="CW280" s="19"/>
      <c r="CX280" s="19"/>
      <c r="CY280" s="19"/>
      <c r="CZ280" s="19"/>
      <c r="DA280" s="19"/>
      <c r="DB280" s="19"/>
      <c r="DC280" s="19"/>
      <c r="DD280" s="19"/>
      <c r="DE280" s="19"/>
      <c r="DF280" s="19"/>
      <c r="DG280" s="19"/>
      <c r="DH280" s="19"/>
      <c r="DI280" s="19"/>
      <c r="DJ280" s="19"/>
      <c r="DK280" s="19"/>
      <c r="DL280" s="19"/>
      <c r="DM280" s="19"/>
      <c r="DN280" s="19"/>
      <c r="DO280" s="19"/>
      <c r="DP280" s="19"/>
      <c r="DQ280" s="19"/>
      <c r="DR280" s="19"/>
      <c r="DS280" s="19"/>
      <c r="DT280" s="19"/>
      <c r="DU280" s="19"/>
      <c r="DV280" s="19"/>
      <c r="DW280" s="19"/>
      <c r="DX280" s="19"/>
      <c r="DY280" s="19"/>
      <c r="DZ280" s="19"/>
      <c r="EA280" s="19"/>
      <c r="EB280" s="19"/>
      <c r="EC280" s="19"/>
      <c r="ED280" s="19"/>
      <c r="EE280" s="19"/>
      <c r="EF280" s="19"/>
      <c r="EG280" s="19"/>
      <c r="EH280" s="19"/>
      <c r="EI280" s="19"/>
      <c r="EJ280" s="19"/>
      <c r="EK280" s="19"/>
      <c r="EL280" s="19"/>
      <c r="EM280" s="19"/>
      <c r="EN280" s="19"/>
      <c r="EO280" s="19"/>
      <c r="EP280" s="17"/>
      <c r="EQ280" s="23"/>
      <c r="ER280" s="23" t="str">
        <f t="shared" si="1"/>
        <v/>
      </c>
      <c r="ES280" s="19"/>
      <c r="ET280" s="19" t="str">
        <f t="shared" si="2"/>
        <v/>
      </c>
      <c r="EU280" s="19"/>
      <c r="EV280" s="19"/>
      <c r="EW280" s="19"/>
      <c r="EX280" s="19"/>
      <c r="EY280" s="19"/>
      <c r="EZ280" s="19"/>
      <c r="FA280" s="19"/>
      <c r="FB280" s="19"/>
    </row>
    <row r="281" ht="15.75" customHeight="1">
      <c r="A281" s="19"/>
      <c r="F281" s="19"/>
      <c r="AH281" s="23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  <c r="BD281" s="19"/>
      <c r="BE281" s="19"/>
      <c r="BF281" s="19"/>
      <c r="BG281" s="19"/>
      <c r="BH281" s="19"/>
      <c r="BI281" s="19"/>
      <c r="BJ281" s="19"/>
      <c r="BK281" s="19"/>
      <c r="BL281" s="19"/>
      <c r="BM281" s="19"/>
      <c r="BN281" s="19"/>
      <c r="BO281" s="19"/>
      <c r="BP281" s="19"/>
      <c r="BQ281" s="19"/>
      <c r="BR281" s="19"/>
      <c r="BS281" s="19"/>
      <c r="BT281" s="19"/>
      <c r="BU281" s="19"/>
      <c r="BV281" s="19"/>
      <c r="BW281" s="19"/>
      <c r="BX281" s="19"/>
      <c r="BY281" s="19"/>
      <c r="BZ281" s="19"/>
      <c r="CA281" s="19"/>
      <c r="CB281" s="19"/>
      <c r="CC281" s="19"/>
      <c r="CD281" s="19"/>
      <c r="CE281" s="19"/>
      <c r="CF281" s="19"/>
      <c r="CG281" s="19"/>
      <c r="CH281" s="19"/>
      <c r="CI281" s="19"/>
      <c r="CJ281" s="19"/>
      <c r="CK281" s="19"/>
      <c r="CL281" s="19"/>
      <c r="CM281" s="19"/>
      <c r="CN281" s="19"/>
      <c r="CO281" s="19"/>
      <c r="CP281" s="19"/>
      <c r="CQ281" s="19"/>
      <c r="CR281" s="19"/>
      <c r="CS281" s="19"/>
      <c r="CT281" s="19"/>
      <c r="CU281" s="19"/>
      <c r="CV281" s="19"/>
      <c r="CW281" s="19"/>
      <c r="CX281" s="19"/>
      <c r="CY281" s="19"/>
      <c r="CZ281" s="19"/>
      <c r="DA281" s="19"/>
      <c r="DB281" s="19"/>
      <c r="DC281" s="19"/>
      <c r="DD281" s="19"/>
      <c r="DE281" s="19"/>
      <c r="DF281" s="19"/>
      <c r="DG281" s="19"/>
      <c r="DH281" s="19"/>
      <c r="DI281" s="19"/>
      <c r="DJ281" s="19"/>
      <c r="DK281" s="19"/>
      <c r="DL281" s="19"/>
      <c r="DM281" s="19"/>
      <c r="DN281" s="19"/>
      <c r="DO281" s="19"/>
      <c r="DP281" s="19"/>
      <c r="DQ281" s="19"/>
      <c r="DR281" s="19"/>
      <c r="DS281" s="19"/>
      <c r="DT281" s="19"/>
      <c r="DU281" s="19"/>
      <c r="DV281" s="19"/>
      <c r="DW281" s="19"/>
      <c r="DX281" s="19"/>
      <c r="DY281" s="19"/>
      <c r="DZ281" s="19"/>
      <c r="EA281" s="19"/>
      <c r="EB281" s="19"/>
      <c r="EC281" s="19"/>
      <c r="ED281" s="19"/>
      <c r="EE281" s="19"/>
      <c r="EF281" s="19"/>
      <c r="EG281" s="19"/>
      <c r="EH281" s="19"/>
      <c r="EI281" s="19"/>
      <c r="EJ281" s="19"/>
      <c r="EK281" s="19"/>
      <c r="EL281" s="19"/>
      <c r="EM281" s="19"/>
      <c r="EN281" s="19"/>
      <c r="EO281" s="19"/>
      <c r="EP281" s="17"/>
      <c r="EQ281" s="23"/>
      <c r="ER281" s="23" t="str">
        <f t="shared" si="1"/>
        <v/>
      </c>
      <c r="ES281" s="19"/>
      <c r="ET281" s="19" t="str">
        <f t="shared" si="2"/>
        <v/>
      </c>
      <c r="EU281" s="19"/>
      <c r="EV281" s="19"/>
      <c r="EW281" s="19"/>
      <c r="EX281" s="19"/>
      <c r="EY281" s="19"/>
      <c r="EZ281" s="19"/>
      <c r="FA281" s="19"/>
      <c r="FB281" s="19"/>
    </row>
    <row r="282" ht="15.75" customHeight="1">
      <c r="A282" s="19"/>
      <c r="F282" s="19"/>
      <c r="AH282" s="23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  <c r="BD282" s="19"/>
      <c r="BE282" s="19"/>
      <c r="BF282" s="19"/>
      <c r="BG282" s="19"/>
      <c r="BH282" s="19"/>
      <c r="BI282" s="19"/>
      <c r="BJ282" s="19"/>
      <c r="BK282" s="19"/>
      <c r="BL282" s="19"/>
      <c r="BM282" s="19"/>
      <c r="BN282" s="19"/>
      <c r="BO282" s="19"/>
      <c r="BP282" s="19"/>
      <c r="BQ282" s="19"/>
      <c r="BR282" s="19"/>
      <c r="BS282" s="19"/>
      <c r="BT282" s="19"/>
      <c r="BU282" s="19"/>
      <c r="BV282" s="19"/>
      <c r="BW282" s="19"/>
      <c r="BX282" s="19"/>
      <c r="BY282" s="19"/>
      <c r="BZ282" s="19"/>
      <c r="CA282" s="19"/>
      <c r="CB282" s="19"/>
      <c r="CC282" s="19"/>
      <c r="CD282" s="19"/>
      <c r="CE282" s="19"/>
      <c r="CF282" s="19"/>
      <c r="CG282" s="19"/>
      <c r="CH282" s="19"/>
      <c r="CI282" s="19"/>
      <c r="CJ282" s="19"/>
      <c r="CK282" s="19"/>
      <c r="CL282" s="19"/>
      <c r="CM282" s="19"/>
      <c r="CN282" s="19"/>
      <c r="CO282" s="19"/>
      <c r="CP282" s="19"/>
      <c r="CQ282" s="19"/>
      <c r="CR282" s="19"/>
      <c r="CS282" s="19"/>
      <c r="CT282" s="19"/>
      <c r="CU282" s="19"/>
      <c r="CV282" s="19"/>
      <c r="CW282" s="19"/>
      <c r="CX282" s="19"/>
      <c r="CY282" s="19"/>
      <c r="CZ282" s="19"/>
      <c r="DA282" s="19"/>
      <c r="DB282" s="19"/>
      <c r="DC282" s="19"/>
      <c r="DD282" s="19"/>
      <c r="DE282" s="19"/>
      <c r="DF282" s="19"/>
      <c r="DG282" s="19"/>
      <c r="DH282" s="19"/>
      <c r="DI282" s="19"/>
      <c r="DJ282" s="19"/>
      <c r="DK282" s="19"/>
      <c r="DL282" s="19"/>
      <c r="DM282" s="19"/>
      <c r="DN282" s="19"/>
      <c r="DO282" s="19"/>
      <c r="DP282" s="19"/>
      <c r="DQ282" s="19"/>
      <c r="DR282" s="19"/>
      <c r="DS282" s="19"/>
      <c r="DT282" s="19"/>
      <c r="DU282" s="19"/>
      <c r="DV282" s="19"/>
      <c r="DW282" s="19"/>
      <c r="DX282" s="19"/>
      <c r="DY282" s="19"/>
      <c r="DZ282" s="19"/>
      <c r="EA282" s="19"/>
      <c r="EB282" s="19"/>
      <c r="EC282" s="19"/>
      <c r="ED282" s="19"/>
      <c r="EE282" s="19"/>
      <c r="EF282" s="19"/>
      <c r="EG282" s="19"/>
      <c r="EH282" s="19"/>
      <c r="EI282" s="19"/>
      <c r="EJ282" s="19"/>
      <c r="EK282" s="19"/>
      <c r="EL282" s="19"/>
      <c r="EM282" s="19"/>
      <c r="EN282" s="19"/>
      <c r="EO282" s="19"/>
      <c r="EP282" s="17"/>
      <c r="EQ282" s="23"/>
      <c r="ER282" s="23" t="str">
        <f t="shared" si="1"/>
        <v/>
      </c>
      <c r="ES282" s="19"/>
      <c r="ET282" s="19" t="str">
        <f t="shared" si="2"/>
        <v/>
      </c>
      <c r="EU282" s="19"/>
      <c r="EV282" s="19"/>
      <c r="EW282" s="19"/>
      <c r="EX282" s="19"/>
      <c r="EY282" s="19"/>
      <c r="EZ282" s="19"/>
      <c r="FA282" s="19"/>
      <c r="FB282" s="19"/>
    </row>
    <row r="283" ht="15.75" customHeight="1">
      <c r="A283" s="19"/>
      <c r="F283" s="19"/>
      <c r="AH283" s="23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  <c r="BD283" s="19"/>
      <c r="BE283" s="19"/>
      <c r="BF283" s="19"/>
      <c r="BG283" s="19"/>
      <c r="BH283" s="19"/>
      <c r="BI283" s="19"/>
      <c r="BJ283" s="19"/>
      <c r="BK283" s="19"/>
      <c r="BL283" s="19"/>
      <c r="BM283" s="19"/>
      <c r="BN283" s="19"/>
      <c r="BO283" s="19"/>
      <c r="BP283" s="19"/>
      <c r="BQ283" s="19"/>
      <c r="BR283" s="19"/>
      <c r="BS283" s="19"/>
      <c r="BT283" s="19"/>
      <c r="BU283" s="19"/>
      <c r="BV283" s="19"/>
      <c r="BW283" s="19"/>
      <c r="BX283" s="19"/>
      <c r="BY283" s="19"/>
      <c r="BZ283" s="19"/>
      <c r="CA283" s="19"/>
      <c r="CB283" s="19"/>
      <c r="CC283" s="19"/>
      <c r="CD283" s="19"/>
      <c r="CE283" s="19"/>
      <c r="CF283" s="19"/>
      <c r="CG283" s="19"/>
      <c r="CH283" s="19"/>
      <c r="CI283" s="19"/>
      <c r="CJ283" s="19"/>
      <c r="CK283" s="19"/>
      <c r="CL283" s="19"/>
      <c r="CM283" s="19"/>
      <c r="CN283" s="19"/>
      <c r="CO283" s="19"/>
      <c r="CP283" s="19"/>
      <c r="CQ283" s="19"/>
      <c r="CR283" s="19"/>
      <c r="CS283" s="19"/>
      <c r="CT283" s="19"/>
      <c r="CU283" s="19"/>
      <c r="CV283" s="19"/>
      <c r="CW283" s="19"/>
      <c r="CX283" s="19"/>
      <c r="CY283" s="19"/>
      <c r="CZ283" s="19"/>
      <c r="DA283" s="19"/>
      <c r="DB283" s="19"/>
      <c r="DC283" s="19"/>
      <c r="DD283" s="19"/>
      <c r="DE283" s="19"/>
      <c r="DF283" s="19"/>
      <c r="DG283" s="19"/>
      <c r="DH283" s="19"/>
      <c r="DI283" s="19"/>
      <c r="DJ283" s="19"/>
      <c r="DK283" s="19"/>
      <c r="DL283" s="19"/>
      <c r="DM283" s="19"/>
      <c r="DN283" s="19"/>
      <c r="DO283" s="19"/>
      <c r="DP283" s="19"/>
      <c r="DQ283" s="19"/>
      <c r="DR283" s="19"/>
      <c r="DS283" s="19"/>
      <c r="DT283" s="19"/>
      <c r="DU283" s="19"/>
      <c r="DV283" s="19"/>
      <c r="DW283" s="19"/>
      <c r="DX283" s="19"/>
      <c r="DY283" s="19"/>
      <c r="DZ283" s="19"/>
      <c r="EA283" s="19"/>
      <c r="EB283" s="19"/>
      <c r="EC283" s="19"/>
      <c r="ED283" s="19"/>
      <c r="EE283" s="19"/>
      <c r="EF283" s="19"/>
      <c r="EG283" s="19"/>
      <c r="EH283" s="19"/>
      <c r="EI283" s="19"/>
      <c r="EJ283" s="19"/>
      <c r="EK283" s="19"/>
      <c r="EL283" s="19"/>
      <c r="EM283" s="19"/>
      <c r="EN283" s="19"/>
      <c r="EO283" s="19"/>
      <c r="EP283" s="17"/>
      <c r="EQ283" s="23"/>
      <c r="ER283" s="23" t="str">
        <f t="shared" si="1"/>
        <v/>
      </c>
      <c r="ES283" s="19"/>
      <c r="ET283" s="19" t="str">
        <f t="shared" si="2"/>
        <v/>
      </c>
      <c r="EU283" s="19"/>
      <c r="EV283" s="19"/>
      <c r="EW283" s="19"/>
      <c r="EX283" s="19"/>
      <c r="EY283" s="19"/>
      <c r="EZ283" s="19"/>
      <c r="FA283" s="19"/>
      <c r="FB283" s="19"/>
    </row>
    <row r="284" ht="15.75" customHeight="1">
      <c r="A284" s="19"/>
      <c r="F284" s="19"/>
      <c r="AH284" s="23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  <c r="BD284" s="19"/>
      <c r="BE284" s="19"/>
      <c r="BF284" s="19"/>
      <c r="BG284" s="19"/>
      <c r="BH284" s="19"/>
      <c r="BI284" s="19"/>
      <c r="BJ284" s="19"/>
      <c r="BK284" s="19"/>
      <c r="BL284" s="19"/>
      <c r="BM284" s="19"/>
      <c r="BN284" s="19"/>
      <c r="BO284" s="19"/>
      <c r="BP284" s="19"/>
      <c r="BQ284" s="19"/>
      <c r="BR284" s="19"/>
      <c r="BS284" s="19"/>
      <c r="BT284" s="19"/>
      <c r="BU284" s="19"/>
      <c r="BV284" s="19"/>
      <c r="BW284" s="19"/>
      <c r="BX284" s="19"/>
      <c r="BY284" s="19"/>
      <c r="BZ284" s="19"/>
      <c r="CA284" s="19"/>
      <c r="CB284" s="19"/>
      <c r="CC284" s="19"/>
      <c r="CD284" s="19"/>
      <c r="CE284" s="19"/>
      <c r="CF284" s="19"/>
      <c r="CG284" s="19"/>
      <c r="CH284" s="19"/>
      <c r="CI284" s="19"/>
      <c r="CJ284" s="19"/>
      <c r="CK284" s="19"/>
      <c r="CL284" s="19"/>
      <c r="CM284" s="19"/>
      <c r="CN284" s="19"/>
      <c r="CO284" s="19"/>
      <c r="CP284" s="19"/>
      <c r="CQ284" s="19"/>
      <c r="CR284" s="19"/>
      <c r="CS284" s="19"/>
      <c r="CT284" s="19"/>
      <c r="CU284" s="19"/>
      <c r="CV284" s="19"/>
      <c r="CW284" s="19"/>
      <c r="CX284" s="19"/>
      <c r="CY284" s="19"/>
      <c r="CZ284" s="19"/>
      <c r="DA284" s="19"/>
      <c r="DB284" s="19"/>
      <c r="DC284" s="19"/>
      <c r="DD284" s="19"/>
      <c r="DE284" s="19"/>
      <c r="DF284" s="19"/>
      <c r="DG284" s="19"/>
      <c r="DH284" s="19"/>
      <c r="DI284" s="19"/>
      <c r="DJ284" s="19"/>
      <c r="DK284" s="19"/>
      <c r="DL284" s="19"/>
      <c r="DM284" s="19"/>
      <c r="DN284" s="19"/>
      <c r="DO284" s="19"/>
      <c r="DP284" s="19"/>
      <c r="DQ284" s="19"/>
      <c r="DR284" s="19"/>
      <c r="DS284" s="19"/>
      <c r="DT284" s="19"/>
      <c r="DU284" s="19"/>
      <c r="DV284" s="19"/>
      <c r="DW284" s="19"/>
      <c r="DX284" s="19"/>
      <c r="DY284" s="19"/>
      <c r="DZ284" s="19"/>
      <c r="EA284" s="19"/>
      <c r="EB284" s="19"/>
      <c r="EC284" s="19"/>
      <c r="ED284" s="19"/>
      <c r="EE284" s="19"/>
      <c r="EF284" s="19"/>
      <c r="EG284" s="19"/>
      <c r="EH284" s="19"/>
      <c r="EI284" s="19"/>
      <c r="EJ284" s="19"/>
      <c r="EK284" s="19"/>
      <c r="EL284" s="19"/>
      <c r="EM284" s="19"/>
      <c r="EN284" s="19"/>
      <c r="EO284" s="19"/>
      <c r="EP284" s="17"/>
      <c r="EQ284" s="23"/>
      <c r="ER284" s="23" t="str">
        <f t="shared" si="1"/>
        <v/>
      </c>
      <c r="ES284" s="19"/>
      <c r="ET284" s="19" t="str">
        <f t="shared" si="2"/>
        <v/>
      </c>
      <c r="EU284" s="19"/>
      <c r="EV284" s="19"/>
      <c r="EW284" s="19"/>
      <c r="EX284" s="19"/>
      <c r="EY284" s="19"/>
      <c r="EZ284" s="19"/>
      <c r="FA284" s="19"/>
      <c r="FB284" s="19"/>
    </row>
    <row r="285" ht="15.75" customHeight="1">
      <c r="A285" s="19"/>
      <c r="F285" s="19"/>
      <c r="AH285" s="23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  <c r="BD285" s="19"/>
      <c r="BE285" s="19"/>
      <c r="BF285" s="19"/>
      <c r="BG285" s="19"/>
      <c r="BH285" s="19"/>
      <c r="BI285" s="19"/>
      <c r="BJ285" s="19"/>
      <c r="BK285" s="19"/>
      <c r="BL285" s="19"/>
      <c r="BM285" s="19"/>
      <c r="BN285" s="19"/>
      <c r="BO285" s="19"/>
      <c r="BP285" s="19"/>
      <c r="BQ285" s="19"/>
      <c r="BR285" s="19"/>
      <c r="BS285" s="19"/>
      <c r="BT285" s="19"/>
      <c r="BU285" s="19"/>
      <c r="BV285" s="19"/>
      <c r="BW285" s="19"/>
      <c r="BX285" s="19"/>
      <c r="BY285" s="19"/>
      <c r="BZ285" s="19"/>
      <c r="CA285" s="19"/>
      <c r="CB285" s="19"/>
      <c r="CC285" s="19"/>
      <c r="CD285" s="19"/>
      <c r="CE285" s="19"/>
      <c r="CF285" s="19"/>
      <c r="CG285" s="19"/>
      <c r="CH285" s="19"/>
      <c r="CI285" s="19"/>
      <c r="CJ285" s="19"/>
      <c r="CK285" s="19"/>
      <c r="CL285" s="19"/>
      <c r="CM285" s="19"/>
      <c r="CN285" s="19"/>
      <c r="CO285" s="19"/>
      <c r="CP285" s="19"/>
      <c r="CQ285" s="19"/>
      <c r="CR285" s="19"/>
      <c r="CS285" s="19"/>
      <c r="CT285" s="19"/>
      <c r="CU285" s="19"/>
      <c r="CV285" s="19"/>
      <c r="CW285" s="19"/>
      <c r="CX285" s="19"/>
      <c r="CY285" s="19"/>
      <c r="CZ285" s="19"/>
      <c r="DA285" s="19"/>
      <c r="DB285" s="19"/>
      <c r="DC285" s="19"/>
      <c r="DD285" s="19"/>
      <c r="DE285" s="19"/>
      <c r="DF285" s="19"/>
      <c r="DG285" s="19"/>
      <c r="DH285" s="19"/>
      <c r="DI285" s="19"/>
      <c r="DJ285" s="19"/>
      <c r="DK285" s="19"/>
      <c r="DL285" s="19"/>
      <c r="DM285" s="19"/>
      <c r="DN285" s="19"/>
      <c r="DO285" s="19"/>
      <c r="DP285" s="19"/>
      <c r="DQ285" s="19"/>
      <c r="DR285" s="19"/>
      <c r="DS285" s="19"/>
      <c r="DT285" s="19"/>
      <c r="DU285" s="19"/>
      <c r="DV285" s="19"/>
      <c r="DW285" s="19"/>
      <c r="DX285" s="19"/>
      <c r="DY285" s="19"/>
      <c r="DZ285" s="19"/>
      <c r="EA285" s="19"/>
      <c r="EB285" s="19"/>
      <c r="EC285" s="19"/>
      <c r="ED285" s="19"/>
      <c r="EE285" s="19"/>
      <c r="EF285" s="19"/>
      <c r="EG285" s="19"/>
      <c r="EH285" s="19"/>
      <c r="EI285" s="19"/>
      <c r="EJ285" s="19"/>
      <c r="EK285" s="19"/>
      <c r="EL285" s="19"/>
      <c r="EM285" s="19"/>
      <c r="EN285" s="19"/>
      <c r="EO285" s="19"/>
      <c r="EP285" s="17"/>
      <c r="EQ285" s="23"/>
      <c r="ER285" s="23" t="str">
        <f t="shared" si="1"/>
        <v/>
      </c>
      <c r="ES285" s="19"/>
      <c r="ET285" s="19" t="str">
        <f t="shared" si="2"/>
        <v/>
      </c>
      <c r="EU285" s="19"/>
      <c r="EV285" s="19"/>
      <c r="EW285" s="19"/>
      <c r="EX285" s="19"/>
      <c r="EY285" s="19"/>
      <c r="EZ285" s="19"/>
      <c r="FA285" s="19"/>
      <c r="FB285" s="19"/>
    </row>
    <row r="286" ht="15.75" customHeight="1">
      <c r="A286" s="19"/>
      <c r="F286" s="19"/>
      <c r="AH286" s="23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  <c r="BD286" s="19"/>
      <c r="BE286" s="19"/>
      <c r="BF286" s="19"/>
      <c r="BG286" s="19"/>
      <c r="BH286" s="19"/>
      <c r="BI286" s="19"/>
      <c r="BJ286" s="19"/>
      <c r="BK286" s="19"/>
      <c r="BL286" s="19"/>
      <c r="BM286" s="19"/>
      <c r="BN286" s="19"/>
      <c r="BO286" s="19"/>
      <c r="BP286" s="19"/>
      <c r="BQ286" s="19"/>
      <c r="BR286" s="19"/>
      <c r="BS286" s="19"/>
      <c r="BT286" s="19"/>
      <c r="BU286" s="19"/>
      <c r="BV286" s="19"/>
      <c r="BW286" s="19"/>
      <c r="BX286" s="19"/>
      <c r="BY286" s="19"/>
      <c r="BZ286" s="19"/>
      <c r="CA286" s="19"/>
      <c r="CB286" s="19"/>
      <c r="CC286" s="19"/>
      <c r="CD286" s="19"/>
      <c r="CE286" s="19"/>
      <c r="CF286" s="19"/>
      <c r="CG286" s="19"/>
      <c r="CH286" s="19"/>
      <c r="CI286" s="19"/>
      <c r="CJ286" s="19"/>
      <c r="CK286" s="19"/>
      <c r="CL286" s="19"/>
      <c r="CM286" s="19"/>
      <c r="CN286" s="19"/>
      <c r="CO286" s="19"/>
      <c r="CP286" s="19"/>
      <c r="CQ286" s="19"/>
      <c r="CR286" s="19"/>
      <c r="CS286" s="19"/>
      <c r="CT286" s="19"/>
      <c r="CU286" s="19"/>
      <c r="CV286" s="19"/>
      <c r="CW286" s="19"/>
      <c r="CX286" s="19"/>
      <c r="CY286" s="19"/>
      <c r="CZ286" s="19"/>
      <c r="DA286" s="19"/>
      <c r="DB286" s="19"/>
      <c r="DC286" s="19"/>
      <c r="DD286" s="19"/>
      <c r="DE286" s="19"/>
      <c r="DF286" s="19"/>
      <c r="DG286" s="19"/>
      <c r="DH286" s="19"/>
      <c r="DI286" s="19"/>
      <c r="DJ286" s="19"/>
      <c r="DK286" s="19"/>
      <c r="DL286" s="19"/>
      <c r="DM286" s="19"/>
      <c r="DN286" s="19"/>
      <c r="DO286" s="19"/>
      <c r="DP286" s="19"/>
      <c r="DQ286" s="19"/>
      <c r="DR286" s="19"/>
      <c r="DS286" s="19"/>
      <c r="DT286" s="19"/>
      <c r="DU286" s="19"/>
      <c r="DV286" s="19"/>
      <c r="DW286" s="19"/>
      <c r="DX286" s="19"/>
      <c r="DY286" s="19"/>
      <c r="DZ286" s="19"/>
      <c r="EA286" s="19"/>
      <c r="EB286" s="19"/>
      <c r="EC286" s="19"/>
      <c r="ED286" s="19"/>
      <c r="EE286" s="19"/>
      <c r="EF286" s="19"/>
      <c r="EG286" s="19"/>
      <c r="EH286" s="19"/>
      <c r="EI286" s="19"/>
      <c r="EJ286" s="19"/>
      <c r="EK286" s="19"/>
      <c r="EL286" s="19"/>
      <c r="EM286" s="19"/>
      <c r="EN286" s="19"/>
      <c r="EO286" s="19"/>
      <c r="EP286" s="17"/>
      <c r="EQ286" s="23"/>
      <c r="ER286" s="23" t="str">
        <f t="shared" si="1"/>
        <v/>
      </c>
      <c r="ES286" s="19"/>
      <c r="ET286" s="19" t="str">
        <f t="shared" si="2"/>
        <v/>
      </c>
      <c r="EU286" s="19"/>
      <c r="EV286" s="19"/>
      <c r="EW286" s="19"/>
      <c r="EX286" s="19"/>
      <c r="EY286" s="19"/>
      <c r="EZ286" s="19"/>
      <c r="FA286" s="19"/>
      <c r="FB286" s="19"/>
    </row>
    <row r="287" ht="15.75" customHeight="1">
      <c r="A287" s="19"/>
      <c r="F287" s="19"/>
      <c r="AH287" s="23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  <c r="BD287" s="19"/>
      <c r="BE287" s="19"/>
      <c r="BF287" s="19"/>
      <c r="BG287" s="19"/>
      <c r="BH287" s="19"/>
      <c r="BI287" s="19"/>
      <c r="BJ287" s="19"/>
      <c r="BK287" s="19"/>
      <c r="BL287" s="19"/>
      <c r="BM287" s="19"/>
      <c r="BN287" s="19"/>
      <c r="BO287" s="19"/>
      <c r="BP287" s="19"/>
      <c r="BQ287" s="19"/>
      <c r="BR287" s="19"/>
      <c r="BS287" s="19"/>
      <c r="BT287" s="19"/>
      <c r="BU287" s="19"/>
      <c r="BV287" s="19"/>
      <c r="BW287" s="19"/>
      <c r="BX287" s="19"/>
      <c r="BY287" s="19"/>
      <c r="BZ287" s="19"/>
      <c r="CA287" s="19"/>
      <c r="CB287" s="19"/>
      <c r="CC287" s="19"/>
      <c r="CD287" s="19"/>
      <c r="CE287" s="19"/>
      <c r="CF287" s="19"/>
      <c r="CG287" s="19"/>
      <c r="CH287" s="19"/>
      <c r="CI287" s="19"/>
      <c r="CJ287" s="19"/>
      <c r="CK287" s="19"/>
      <c r="CL287" s="19"/>
      <c r="CM287" s="19"/>
      <c r="CN287" s="19"/>
      <c r="CO287" s="19"/>
      <c r="CP287" s="19"/>
      <c r="CQ287" s="19"/>
      <c r="CR287" s="19"/>
      <c r="CS287" s="19"/>
      <c r="CT287" s="19"/>
      <c r="CU287" s="19"/>
      <c r="CV287" s="19"/>
      <c r="CW287" s="19"/>
      <c r="CX287" s="19"/>
      <c r="CY287" s="19"/>
      <c r="CZ287" s="19"/>
      <c r="DA287" s="19"/>
      <c r="DB287" s="19"/>
      <c r="DC287" s="19"/>
      <c r="DD287" s="19"/>
      <c r="DE287" s="19"/>
      <c r="DF287" s="19"/>
      <c r="DG287" s="19"/>
      <c r="DH287" s="19"/>
      <c r="DI287" s="19"/>
      <c r="DJ287" s="19"/>
      <c r="DK287" s="19"/>
      <c r="DL287" s="19"/>
      <c r="DM287" s="19"/>
      <c r="DN287" s="19"/>
      <c r="DO287" s="19"/>
      <c r="DP287" s="19"/>
      <c r="DQ287" s="19"/>
      <c r="DR287" s="19"/>
      <c r="DS287" s="19"/>
      <c r="DT287" s="19"/>
      <c r="DU287" s="19"/>
      <c r="DV287" s="19"/>
      <c r="DW287" s="19"/>
      <c r="DX287" s="19"/>
      <c r="DY287" s="19"/>
      <c r="DZ287" s="19"/>
      <c r="EA287" s="19"/>
      <c r="EB287" s="19"/>
      <c r="EC287" s="19"/>
      <c r="ED287" s="19"/>
      <c r="EE287" s="19"/>
      <c r="EF287" s="19"/>
      <c r="EG287" s="19"/>
      <c r="EH287" s="19"/>
      <c r="EI287" s="19"/>
      <c r="EJ287" s="19"/>
      <c r="EK287" s="19"/>
      <c r="EL287" s="19"/>
      <c r="EM287" s="19"/>
      <c r="EN287" s="19"/>
      <c r="EO287" s="19"/>
      <c r="EP287" s="17"/>
      <c r="EQ287" s="23"/>
      <c r="ER287" s="23" t="str">
        <f t="shared" si="1"/>
        <v/>
      </c>
      <c r="ES287" s="19"/>
      <c r="ET287" s="19" t="str">
        <f t="shared" si="2"/>
        <v/>
      </c>
      <c r="EU287" s="19"/>
      <c r="EV287" s="19"/>
      <c r="EW287" s="19"/>
      <c r="EX287" s="19"/>
      <c r="EY287" s="19"/>
      <c r="EZ287" s="19"/>
      <c r="FA287" s="19"/>
      <c r="FB287" s="19"/>
    </row>
    <row r="288" ht="15.75" customHeight="1">
      <c r="A288" s="19"/>
      <c r="F288" s="19"/>
      <c r="AH288" s="23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  <c r="BD288" s="19"/>
      <c r="BE288" s="19"/>
      <c r="BF288" s="19"/>
      <c r="BG288" s="19"/>
      <c r="BH288" s="19"/>
      <c r="BI288" s="19"/>
      <c r="BJ288" s="19"/>
      <c r="BK288" s="19"/>
      <c r="BL288" s="19"/>
      <c r="BM288" s="19"/>
      <c r="BN288" s="19"/>
      <c r="BO288" s="19"/>
      <c r="BP288" s="19"/>
      <c r="BQ288" s="19"/>
      <c r="BR288" s="19"/>
      <c r="BS288" s="19"/>
      <c r="BT288" s="19"/>
      <c r="BU288" s="19"/>
      <c r="BV288" s="19"/>
      <c r="BW288" s="19"/>
      <c r="BX288" s="19"/>
      <c r="BY288" s="19"/>
      <c r="BZ288" s="19"/>
      <c r="CA288" s="19"/>
      <c r="CB288" s="19"/>
      <c r="CC288" s="19"/>
      <c r="CD288" s="19"/>
      <c r="CE288" s="19"/>
      <c r="CF288" s="19"/>
      <c r="CG288" s="19"/>
      <c r="CH288" s="19"/>
      <c r="CI288" s="19"/>
      <c r="CJ288" s="19"/>
      <c r="CK288" s="19"/>
      <c r="CL288" s="19"/>
      <c r="CM288" s="19"/>
      <c r="CN288" s="19"/>
      <c r="CO288" s="19"/>
      <c r="CP288" s="19"/>
      <c r="CQ288" s="19"/>
      <c r="CR288" s="19"/>
      <c r="CS288" s="19"/>
      <c r="CT288" s="19"/>
      <c r="CU288" s="19"/>
      <c r="CV288" s="19"/>
      <c r="CW288" s="19"/>
      <c r="CX288" s="19"/>
      <c r="CY288" s="19"/>
      <c r="CZ288" s="19"/>
      <c r="DA288" s="19"/>
      <c r="DB288" s="19"/>
      <c r="DC288" s="19"/>
      <c r="DD288" s="19"/>
      <c r="DE288" s="19"/>
      <c r="DF288" s="19"/>
      <c r="DG288" s="19"/>
      <c r="DH288" s="19"/>
      <c r="DI288" s="19"/>
      <c r="DJ288" s="19"/>
      <c r="DK288" s="19"/>
      <c r="DL288" s="19"/>
      <c r="DM288" s="19"/>
      <c r="DN288" s="19"/>
      <c r="DO288" s="19"/>
      <c r="DP288" s="19"/>
      <c r="DQ288" s="19"/>
      <c r="DR288" s="19"/>
      <c r="DS288" s="19"/>
      <c r="DT288" s="19"/>
      <c r="DU288" s="19"/>
      <c r="DV288" s="19"/>
      <c r="DW288" s="19"/>
      <c r="DX288" s="19"/>
      <c r="DY288" s="19"/>
      <c r="DZ288" s="19"/>
      <c r="EA288" s="19"/>
      <c r="EB288" s="19"/>
      <c r="EC288" s="19"/>
      <c r="ED288" s="19"/>
      <c r="EE288" s="19"/>
      <c r="EF288" s="19"/>
      <c r="EG288" s="19"/>
      <c r="EH288" s="19"/>
      <c r="EI288" s="19"/>
      <c r="EJ288" s="19"/>
      <c r="EK288" s="19"/>
      <c r="EL288" s="19"/>
      <c r="EM288" s="19"/>
      <c r="EN288" s="19"/>
      <c r="EO288" s="19"/>
      <c r="EP288" s="17"/>
      <c r="EQ288" s="23"/>
      <c r="ER288" s="23" t="str">
        <f t="shared" si="1"/>
        <v/>
      </c>
      <c r="ES288" s="19"/>
      <c r="ET288" s="19" t="str">
        <f t="shared" si="2"/>
        <v/>
      </c>
      <c r="EU288" s="19"/>
      <c r="EV288" s="19"/>
      <c r="EW288" s="19"/>
      <c r="EX288" s="19"/>
      <c r="EY288" s="19"/>
      <c r="EZ288" s="19"/>
      <c r="FA288" s="19"/>
      <c r="FB288" s="19"/>
    </row>
    <row r="289" ht="15.75" customHeight="1">
      <c r="A289" s="19"/>
      <c r="F289" s="19"/>
      <c r="AH289" s="23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  <c r="BD289" s="19"/>
      <c r="BE289" s="19"/>
      <c r="BF289" s="19"/>
      <c r="BG289" s="19"/>
      <c r="BH289" s="19"/>
      <c r="BI289" s="19"/>
      <c r="BJ289" s="19"/>
      <c r="BK289" s="19"/>
      <c r="BL289" s="19"/>
      <c r="BM289" s="19"/>
      <c r="BN289" s="19"/>
      <c r="BO289" s="19"/>
      <c r="BP289" s="19"/>
      <c r="BQ289" s="19"/>
      <c r="BR289" s="19"/>
      <c r="BS289" s="19"/>
      <c r="BT289" s="19"/>
      <c r="BU289" s="19"/>
      <c r="BV289" s="19"/>
      <c r="BW289" s="19"/>
      <c r="BX289" s="19"/>
      <c r="BY289" s="19"/>
      <c r="BZ289" s="19"/>
      <c r="CA289" s="19"/>
      <c r="CB289" s="19"/>
      <c r="CC289" s="19"/>
      <c r="CD289" s="19"/>
      <c r="CE289" s="19"/>
      <c r="CF289" s="19"/>
      <c r="CG289" s="19"/>
      <c r="CH289" s="19"/>
      <c r="CI289" s="19"/>
      <c r="CJ289" s="19"/>
      <c r="CK289" s="19"/>
      <c r="CL289" s="19"/>
      <c r="CM289" s="19"/>
      <c r="CN289" s="19"/>
      <c r="CO289" s="19"/>
      <c r="CP289" s="19"/>
      <c r="CQ289" s="19"/>
      <c r="CR289" s="19"/>
      <c r="CS289" s="19"/>
      <c r="CT289" s="19"/>
      <c r="CU289" s="19"/>
      <c r="CV289" s="19"/>
      <c r="CW289" s="19"/>
      <c r="CX289" s="19"/>
      <c r="CY289" s="19"/>
      <c r="CZ289" s="19"/>
      <c r="DA289" s="19"/>
      <c r="DB289" s="19"/>
      <c r="DC289" s="19"/>
      <c r="DD289" s="19"/>
      <c r="DE289" s="19"/>
      <c r="DF289" s="19"/>
      <c r="DG289" s="19"/>
      <c r="DH289" s="19"/>
      <c r="DI289" s="19"/>
      <c r="DJ289" s="19"/>
      <c r="DK289" s="19"/>
      <c r="DL289" s="19"/>
      <c r="DM289" s="19"/>
      <c r="DN289" s="19"/>
      <c r="DO289" s="19"/>
      <c r="DP289" s="19"/>
      <c r="DQ289" s="19"/>
      <c r="DR289" s="19"/>
      <c r="DS289" s="19"/>
      <c r="DT289" s="19"/>
      <c r="DU289" s="19"/>
      <c r="DV289" s="19"/>
      <c r="DW289" s="19"/>
      <c r="DX289" s="19"/>
      <c r="DY289" s="19"/>
      <c r="DZ289" s="19"/>
      <c r="EA289" s="19"/>
      <c r="EB289" s="19"/>
      <c r="EC289" s="19"/>
      <c r="ED289" s="19"/>
      <c r="EE289" s="19"/>
      <c r="EF289" s="19"/>
      <c r="EG289" s="19"/>
      <c r="EH289" s="19"/>
      <c r="EI289" s="19"/>
      <c r="EJ289" s="19"/>
      <c r="EK289" s="19"/>
      <c r="EL289" s="19"/>
      <c r="EM289" s="19"/>
      <c r="EN289" s="19"/>
      <c r="EO289" s="19"/>
      <c r="EP289" s="17"/>
      <c r="EQ289" s="23"/>
      <c r="ER289" s="23" t="str">
        <f t="shared" si="1"/>
        <v/>
      </c>
      <c r="ES289" s="19"/>
      <c r="ET289" s="19" t="str">
        <f t="shared" si="2"/>
        <v/>
      </c>
      <c r="EU289" s="19"/>
      <c r="EV289" s="19"/>
      <c r="EW289" s="19"/>
      <c r="EX289" s="19"/>
      <c r="EY289" s="19"/>
      <c r="EZ289" s="19"/>
      <c r="FA289" s="19"/>
      <c r="FB289" s="19"/>
    </row>
    <row r="290" ht="15.75" customHeight="1">
      <c r="A290" s="19"/>
      <c r="F290" s="19"/>
      <c r="AH290" s="23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  <c r="BD290" s="19"/>
      <c r="BE290" s="19"/>
      <c r="BF290" s="19"/>
      <c r="BG290" s="19"/>
      <c r="BH290" s="19"/>
      <c r="BI290" s="19"/>
      <c r="BJ290" s="19"/>
      <c r="BK290" s="19"/>
      <c r="BL290" s="19"/>
      <c r="BM290" s="19"/>
      <c r="BN290" s="19"/>
      <c r="BO290" s="19"/>
      <c r="BP290" s="19"/>
      <c r="BQ290" s="19"/>
      <c r="BR290" s="19"/>
      <c r="BS290" s="19"/>
      <c r="BT290" s="19"/>
      <c r="BU290" s="19"/>
      <c r="BV290" s="19"/>
      <c r="BW290" s="19"/>
      <c r="BX290" s="19"/>
      <c r="BY290" s="19"/>
      <c r="BZ290" s="19"/>
      <c r="CA290" s="19"/>
      <c r="CB290" s="19"/>
      <c r="CC290" s="19"/>
      <c r="CD290" s="19"/>
      <c r="CE290" s="19"/>
      <c r="CF290" s="19"/>
      <c r="CG290" s="19"/>
      <c r="CH290" s="19"/>
      <c r="CI290" s="19"/>
      <c r="CJ290" s="19"/>
      <c r="CK290" s="19"/>
      <c r="CL290" s="19"/>
      <c r="CM290" s="19"/>
      <c r="CN290" s="19"/>
      <c r="CO290" s="19"/>
      <c r="CP290" s="19"/>
      <c r="CQ290" s="19"/>
      <c r="CR290" s="19"/>
      <c r="CS290" s="19"/>
      <c r="CT290" s="19"/>
      <c r="CU290" s="19"/>
      <c r="CV290" s="19"/>
      <c r="CW290" s="19"/>
      <c r="CX290" s="19"/>
      <c r="CY290" s="19"/>
      <c r="CZ290" s="19"/>
      <c r="DA290" s="19"/>
      <c r="DB290" s="19"/>
      <c r="DC290" s="19"/>
      <c r="DD290" s="19"/>
      <c r="DE290" s="19"/>
      <c r="DF290" s="19"/>
      <c r="DG290" s="19"/>
      <c r="DH290" s="19"/>
      <c r="DI290" s="19"/>
      <c r="DJ290" s="19"/>
      <c r="DK290" s="19"/>
      <c r="DL290" s="19"/>
      <c r="DM290" s="19"/>
      <c r="DN290" s="19"/>
      <c r="DO290" s="19"/>
      <c r="DP290" s="19"/>
      <c r="DQ290" s="19"/>
      <c r="DR290" s="19"/>
      <c r="DS290" s="19"/>
      <c r="DT290" s="19"/>
      <c r="DU290" s="19"/>
      <c r="DV290" s="19"/>
      <c r="DW290" s="19"/>
      <c r="DX290" s="19"/>
      <c r="DY290" s="19"/>
      <c r="DZ290" s="19"/>
      <c r="EA290" s="19"/>
      <c r="EB290" s="19"/>
      <c r="EC290" s="19"/>
      <c r="ED290" s="19"/>
      <c r="EE290" s="19"/>
      <c r="EF290" s="19"/>
      <c r="EG290" s="19"/>
      <c r="EH290" s="19"/>
      <c r="EI290" s="19"/>
      <c r="EJ290" s="19"/>
      <c r="EK290" s="19"/>
      <c r="EL290" s="19"/>
      <c r="EM290" s="19"/>
      <c r="EN290" s="19"/>
      <c r="EO290" s="19"/>
      <c r="EP290" s="17"/>
      <c r="EQ290" s="23"/>
      <c r="ER290" s="23" t="str">
        <f t="shared" si="1"/>
        <v/>
      </c>
      <c r="ES290" s="19"/>
      <c r="ET290" s="19" t="str">
        <f t="shared" si="2"/>
        <v/>
      </c>
      <c r="EU290" s="19"/>
      <c r="EV290" s="19"/>
      <c r="EW290" s="19"/>
      <c r="EX290" s="19"/>
      <c r="EY290" s="19"/>
      <c r="EZ290" s="19"/>
      <c r="FA290" s="19"/>
      <c r="FB290" s="19"/>
    </row>
    <row r="291" ht="15.75" customHeight="1">
      <c r="A291" s="19"/>
      <c r="F291" s="19"/>
      <c r="AH291" s="23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  <c r="BD291" s="19"/>
      <c r="BE291" s="19"/>
      <c r="BF291" s="19"/>
      <c r="BG291" s="19"/>
      <c r="BH291" s="19"/>
      <c r="BI291" s="19"/>
      <c r="BJ291" s="19"/>
      <c r="BK291" s="19"/>
      <c r="BL291" s="19"/>
      <c r="BM291" s="19"/>
      <c r="BN291" s="19"/>
      <c r="BO291" s="19"/>
      <c r="BP291" s="19"/>
      <c r="BQ291" s="19"/>
      <c r="BR291" s="19"/>
      <c r="BS291" s="19"/>
      <c r="BT291" s="19"/>
      <c r="BU291" s="19"/>
      <c r="BV291" s="19"/>
      <c r="BW291" s="19"/>
      <c r="BX291" s="19"/>
      <c r="BY291" s="19"/>
      <c r="BZ291" s="19"/>
      <c r="CA291" s="19"/>
      <c r="CB291" s="19"/>
      <c r="CC291" s="19"/>
      <c r="CD291" s="19"/>
      <c r="CE291" s="19"/>
      <c r="CF291" s="19"/>
      <c r="CG291" s="19"/>
      <c r="CH291" s="19"/>
      <c r="CI291" s="19"/>
      <c r="CJ291" s="19"/>
      <c r="CK291" s="19"/>
      <c r="CL291" s="19"/>
      <c r="CM291" s="19"/>
      <c r="CN291" s="19"/>
      <c r="CO291" s="19"/>
      <c r="CP291" s="19"/>
      <c r="CQ291" s="19"/>
      <c r="CR291" s="19"/>
      <c r="CS291" s="19"/>
      <c r="CT291" s="19"/>
      <c r="CU291" s="19"/>
      <c r="CV291" s="19"/>
      <c r="CW291" s="19"/>
      <c r="CX291" s="19"/>
      <c r="CY291" s="19"/>
      <c r="CZ291" s="19"/>
      <c r="DA291" s="19"/>
      <c r="DB291" s="19"/>
      <c r="DC291" s="19"/>
      <c r="DD291" s="19"/>
      <c r="DE291" s="19"/>
      <c r="DF291" s="19"/>
      <c r="DG291" s="19"/>
      <c r="DH291" s="19"/>
      <c r="DI291" s="19"/>
      <c r="DJ291" s="19"/>
      <c r="DK291" s="19"/>
      <c r="DL291" s="19"/>
      <c r="DM291" s="19"/>
      <c r="DN291" s="19"/>
      <c r="DO291" s="19"/>
      <c r="DP291" s="19"/>
      <c r="DQ291" s="19"/>
      <c r="DR291" s="19"/>
      <c r="DS291" s="19"/>
      <c r="DT291" s="19"/>
      <c r="DU291" s="19"/>
      <c r="DV291" s="19"/>
      <c r="DW291" s="19"/>
      <c r="DX291" s="19"/>
      <c r="DY291" s="19"/>
      <c r="DZ291" s="19"/>
      <c r="EA291" s="19"/>
      <c r="EB291" s="19"/>
      <c r="EC291" s="19"/>
      <c r="ED291" s="19"/>
      <c r="EE291" s="19"/>
      <c r="EF291" s="19"/>
      <c r="EG291" s="19"/>
      <c r="EH291" s="19"/>
      <c r="EI291" s="19"/>
      <c r="EJ291" s="19"/>
      <c r="EK291" s="19"/>
      <c r="EL291" s="19"/>
      <c r="EM291" s="19"/>
      <c r="EN291" s="19"/>
      <c r="EO291" s="19"/>
      <c r="EP291" s="17"/>
      <c r="EQ291" s="23"/>
      <c r="ER291" s="23" t="str">
        <f t="shared" si="1"/>
        <v/>
      </c>
      <c r="ES291" s="19"/>
      <c r="ET291" s="19" t="str">
        <f t="shared" si="2"/>
        <v/>
      </c>
      <c r="EU291" s="19"/>
      <c r="EV291" s="19"/>
      <c r="EW291" s="19"/>
      <c r="EX291" s="19"/>
      <c r="EY291" s="19"/>
      <c r="EZ291" s="19"/>
      <c r="FA291" s="19"/>
      <c r="FB291" s="19"/>
    </row>
    <row r="292" ht="15.75" customHeight="1">
      <c r="A292" s="19"/>
      <c r="F292" s="19"/>
      <c r="AH292" s="23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  <c r="BD292" s="19"/>
      <c r="BE292" s="19"/>
      <c r="BF292" s="19"/>
      <c r="BG292" s="19"/>
      <c r="BH292" s="19"/>
      <c r="BI292" s="19"/>
      <c r="BJ292" s="19"/>
      <c r="BK292" s="19"/>
      <c r="BL292" s="19"/>
      <c r="BM292" s="19"/>
      <c r="BN292" s="19"/>
      <c r="BO292" s="19"/>
      <c r="BP292" s="19"/>
      <c r="BQ292" s="19"/>
      <c r="BR292" s="19"/>
      <c r="BS292" s="19"/>
      <c r="BT292" s="19"/>
      <c r="BU292" s="19"/>
      <c r="BV292" s="19"/>
      <c r="BW292" s="19"/>
      <c r="BX292" s="19"/>
      <c r="BY292" s="19"/>
      <c r="BZ292" s="19"/>
      <c r="CA292" s="19"/>
      <c r="CB292" s="19"/>
      <c r="CC292" s="19"/>
      <c r="CD292" s="19"/>
      <c r="CE292" s="19"/>
      <c r="CF292" s="19"/>
      <c r="CG292" s="19"/>
      <c r="CH292" s="19"/>
      <c r="CI292" s="19"/>
      <c r="CJ292" s="19"/>
      <c r="CK292" s="19"/>
      <c r="CL292" s="19"/>
      <c r="CM292" s="19"/>
      <c r="CN292" s="19"/>
      <c r="CO292" s="19"/>
      <c r="CP292" s="19"/>
      <c r="CQ292" s="19"/>
      <c r="CR292" s="19"/>
      <c r="CS292" s="19"/>
      <c r="CT292" s="19"/>
      <c r="CU292" s="19"/>
      <c r="CV292" s="19"/>
      <c r="CW292" s="19"/>
      <c r="CX292" s="19"/>
      <c r="CY292" s="19"/>
      <c r="CZ292" s="19"/>
      <c r="DA292" s="19"/>
      <c r="DB292" s="19"/>
      <c r="DC292" s="19"/>
      <c r="DD292" s="19"/>
      <c r="DE292" s="19"/>
      <c r="DF292" s="19"/>
      <c r="DG292" s="19"/>
      <c r="DH292" s="19"/>
      <c r="DI292" s="19"/>
      <c r="DJ292" s="19"/>
      <c r="DK292" s="19"/>
      <c r="DL292" s="19"/>
      <c r="DM292" s="19"/>
      <c r="DN292" s="19"/>
      <c r="DO292" s="19"/>
      <c r="DP292" s="19"/>
      <c r="DQ292" s="19"/>
      <c r="DR292" s="19"/>
      <c r="DS292" s="19"/>
      <c r="DT292" s="19"/>
      <c r="DU292" s="19"/>
      <c r="DV292" s="19"/>
      <c r="DW292" s="19"/>
      <c r="DX292" s="19"/>
      <c r="DY292" s="19"/>
      <c r="DZ292" s="19"/>
      <c r="EA292" s="19"/>
      <c r="EB292" s="19"/>
      <c r="EC292" s="19"/>
      <c r="ED292" s="19"/>
      <c r="EE292" s="19"/>
      <c r="EF292" s="19"/>
      <c r="EG292" s="19"/>
      <c r="EH292" s="19"/>
      <c r="EI292" s="19"/>
      <c r="EJ292" s="19"/>
      <c r="EK292" s="19"/>
      <c r="EL292" s="19"/>
      <c r="EM292" s="19"/>
      <c r="EN292" s="19"/>
      <c r="EO292" s="19"/>
      <c r="EP292" s="17"/>
      <c r="EQ292" s="23"/>
      <c r="ER292" s="23" t="str">
        <f t="shared" si="1"/>
        <v/>
      </c>
      <c r="ES292" s="19"/>
      <c r="ET292" s="19" t="str">
        <f t="shared" si="2"/>
        <v/>
      </c>
      <c r="EU292" s="19"/>
      <c r="EV292" s="19"/>
      <c r="EW292" s="19"/>
      <c r="EX292" s="19"/>
      <c r="EY292" s="19"/>
      <c r="EZ292" s="19"/>
      <c r="FA292" s="19"/>
      <c r="FB292" s="19"/>
    </row>
    <row r="293" ht="15.75" customHeight="1">
      <c r="A293" s="19"/>
      <c r="F293" s="19"/>
      <c r="AH293" s="23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  <c r="BD293" s="19"/>
      <c r="BE293" s="19"/>
      <c r="BF293" s="19"/>
      <c r="BG293" s="19"/>
      <c r="BH293" s="19"/>
      <c r="BI293" s="19"/>
      <c r="BJ293" s="19"/>
      <c r="BK293" s="19"/>
      <c r="BL293" s="19"/>
      <c r="BM293" s="19"/>
      <c r="BN293" s="19"/>
      <c r="BO293" s="19"/>
      <c r="BP293" s="19"/>
      <c r="BQ293" s="19"/>
      <c r="BR293" s="19"/>
      <c r="BS293" s="19"/>
      <c r="BT293" s="19"/>
      <c r="BU293" s="19"/>
      <c r="BV293" s="19"/>
      <c r="BW293" s="19"/>
      <c r="BX293" s="19"/>
      <c r="BY293" s="19"/>
      <c r="BZ293" s="19"/>
      <c r="CA293" s="19"/>
      <c r="CB293" s="19"/>
      <c r="CC293" s="19"/>
      <c r="CD293" s="19"/>
      <c r="CE293" s="19"/>
      <c r="CF293" s="19"/>
      <c r="CG293" s="19"/>
      <c r="CH293" s="19"/>
      <c r="CI293" s="19"/>
      <c r="CJ293" s="19"/>
      <c r="CK293" s="19"/>
      <c r="CL293" s="19"/>
      <c r="CM293" s="19"/>
      <c r="CN293" s="19"/>
      <c r="CO293" s="19"/>
      <c r="CP293" s="19"/>
      <c r="CQ293" s="19"/>
      <c r="CR293" s="19"/>
      <c r="CS293" s="19"/>
      <c r="CT293" s="19"/>
      <c r="CU293" s="19"/>
      <c r="CV293" s="19"/>
      <c r="CW293" s="19"/>
      <c r="CX293" s="19"/>
      <c r="CY293" s="19"/>
      <c r="CZ293" s="19"/>
      <c r="DA293" s="19"/>
      <c r="DB293" s="19"/>
      <c r="DC293" s="19"/>
      <c r="DD293" s="19"/>
      <c r="DE293" s="19"/>
      <c r="DF293" s="19"/>
      <c r="DG293" s="19"/>
      <c r="DH293" s="19"/>
      <c r="DI293" s="19"/>
      <c r="DJ293" s="19"/>
      <c r="DK293" s="19"/>
      <c r="DL293" s="19"/>
      <c r="DM293" s="19"/>
      <c r="DN293" s="19"/>
      <c r="DO293" s="19"/>
      <c r="DP293" s="19"/>
      <c r="DQ293" s="19"/>
      <c r="DR293" s="19"/>
      <c r="DS293" s="19"/>
      <c r="DT293" s="19"/>
      <c r="DU293" s="19"/>
      <c r="DV293" s="19"/>
      <c r="DW293" s="19"/>
      <c r="DX293" s="19"/>
      <c r="DY293" s="19"/>
      <c r="DZ293" s="19"/>
      <c r="EA293" s="19"/>
      <c r="EB293" s="19"/>
      <c r="EC293" s="19"/>
      <c r="ED293" s="19"/>
      <c r="EE293" s="19"/>
      <c r="EF293" s="19"/>
      <c r="EG293" s="19"/>
      <c r="EH293" s="19"/>
      <c r="EI293" s="19"/>
      <c r="EJ293" s="19"/>
      <c r="EK293" s="19"/>
      <c r="EL293" s="19"/>
      <c r="EM293" s="19"/>
      <c r="EN293" s="19"/>
      <c r="EO293" s="19"/>
      <c r="EP293" s="17"/>
      <c r="EQ293" s="23"/>
      <c r="ER293" s="23" t="str">
        <f t="shared" si="1"/>
        <v/>
      </c>
      <c r="ES293" s="19"/>
      <c r="ET293" s="19" t="str">
        <f t="shared" si="2"/>
        <v/>
      </c>
      <c r="EU293" s="19"/>
      <c r="EV293" s="19"/>
      <c r="EW293" s="19"/>
      <c r="EX293" s="19"/>
      <c r="EY293" s="19"/>
      <c r="EZ293" s="19"/>
      <c r="FA293" s="19"/>
      <c r="FB293" s="19"/>
    </row>
    <row r="294" ht="15.75" customHeight="1">
      <c r="A294" s="19"/>
      <c r="F294" s="19"/>
      <c r="AH294" s="23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  <c r="BD294" s="19"/>
      <c r="BE294" s="19"/>
      <c r="BF294" s="19"/>
      <c r="BG294" s="19"/>
      <c r="BH294" s="19"/>
      <c r="BI294" s="19"/>
      <c r="BJ294" s="19"/>
      <c r="BK294" s="19"/>
      <c r="BL294" s="19"/>
      <c r="BM294" s="19"/>
      <c r="BN294" s="19"/>
      <c r="BO294" s="19"/>
      <c r="BP294" s="19"/>
      <c r="BQ294" s="19"/>
      <c r="BR294" s="19"/>
      <c r="BS294" s="19"/>
      <c r="BT294" s="19"/>
      <c r="BU294" s="19"/>
      <c r="BV294" s="19"/>
      <c r="BW294" s="19"/>
      <c r="BX294" s="19"/>
      <c r="BY294" s="19"/>
      <c r="BZ294" s="19"/>
      <c r="CA294" s="19"/>
      <c r="CB294" s="19"/>
      <c r="CC294" s="19"/>
      <c r="CD294" s="19"/>
      <c r="CE294" s="19"/>
      <c r="CF294" s="19"/>
      <c r="CG294" s="19"/>
      <c r="CH294" s="19"/>
      <c r="CI294" s="19"/>
      <c r="CJ294" s="19"/>
      <c r="CK294" s="19"/>
      <c r="CL294" s="19"/>
      <c r="CM294" s="19"/>
      <c r="CN294" s="19"/>
      <c r="CO294" s="19"/>
      <c r="CP294" s="19"/>
      <c r="CQ294" s="19"/>
      <c r="CR294" s="19"/>
      <c r="CS294" s="19"/>
      <c r="CT294" s="19"/>
      <c r="CU294" s="19"/>
      <c r="CV294" s="19"/>
      <c r="CW294" s="19"/>
      <c r="CX294" s="19"/>
      <c r="CY294" s="19"/>
      <c r="CZ294" s="19"/>
      <c r="DA294" s="19"/>
      <c r="DB294" s="19"/>
      <c r="DC294" s="19"/>
      <c r="DD294" s="19"/>
      <c r="DE294" s="19"/>
      <c r="DF294" s="19"/>
      <c r="DG294" s="19"/>
      <c r="DH294" s="19"/>
      <c r="DI294" s="19"/>
      <c r="DJ294" s="19"/>
      <c r="DK294" s="19"/>
      <c r="DL294" s="19"/>
      <c r="DM294" s="19"/>
      <c r="DN294" s="19"/>
      <c r="DO294" s="19"/>
      <c r="DP294" s="19"/>
      <c r="DQ294" s="19"/>
      <c r="DR294" s="19"/>
      <c r="DS294" s="19"/>
      <c r="DT294" s="19"/>
      <c r="DU294" s="19"/>
      <c r="DV294" s="19"/>
      <c r="DW294" s="19"/>
      <c r="DX294" s="19"/>
      <c r="DY294" s="19"/>
      <c r="DZ294" s="19"/>
      <c r="EA294" s="19"/>
      <c r="EB294" s="19"/>
      <c r="EC294" s="19"/>
      <c r="ED294" s="19"/>
      <c r="EE294" s="19"/>
      <c r="EF294" s="19"/>
      <c r="EG294" s="19"/>
      <c r="EH294" s="19"/>
      <c r="EI294" s="19"/>
      <c r="EJ294" s="19"/>
      <c r="EK294" s="19"/>
      <c r="EL294" s="19"/>
      <c r="EM294" s="19"/>
      <c r="EN294" s="19"/>
      <c r="EO294" s="19"/>
      <c r="EP294" s="17"/>
      <c r="EQ294" s="23"/>
      <c r="ER294" s="23" t="str">
        <f t="shared" si="1"/>
        <v/>
      </c>
      <c r="ES294" s="19"/>
      <c r="ET294" s="19" t="str">
        <f t="shared" si="2"/>
        <v/>
      </c>
      <c r="EU294" s="19"/>
      <c r="EV294" s="19"/>
      <c r="EW294" s="19"/>
      <c r="EX294" s="19"/>
      <c r="EY294" s="19"/>
      <c r="EZ294" s="19"/>
      <c r="FA294" s="19"/>
      <c r="FB294" s="19"/>
    </row>
    <row r="295" ht="15.75" customHeight="1">
      <c r="A295" s="19"/>
      <c r="F295" s="19"/>
      <c r="AH295" s="23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  <c r="BD295" s="19"/>
      <c r="BE295" s="19"/>
      <c r="BF295" s="19"/>
      <c r="BG295" s="19"/>
      <c r="BH295" s="19"/>
      <c r="BI295" s="19"/>
      <c r="BJ295" s="19"/>
      <c r="BK295" s="19"/>
      <c r="BL295" s="19"/>
      <c r="BM295" s="19"/>
      <c r="BN295" s="19"/>
      <c r="BO295" s="19"/>
      <c r="BP295" s="19"/>
      <c r="BQ295" s="19"/>
      <c r="BR295" s="19"/>
      <c r="BS295" s="19"/>
      <c r="BT295" s="19"/>
      <c r="BU295" s="19"/>
      <c r="BV295" s="19"/>
      <c r="BW295" s="19"/>
      <c r="BX295" s="19"/>
      <c r="BY295" s="19"/>
      <c r="BZ295" s="19"/>
      <c r="CA295" s="19"/>
      <c r="CB295" s="19"/>
      <c r="CC295" s="19"/>
      <c r="CD295" s="19"/>
      <c r="CE295" s="19"/>
      <c r="CF295" s="19"/>
      <c r="CG295" s="19"/>
      <c r="CH295" s="19"/>
      <c r="CI295" s="19"/>
      <c r="CJ295" s="19"/>
      <c r="CK295" s="19"/>
      <c r="CL295" s="19"/>
      <c r="CM295" s="19"/>
      <c r="CN295" s="19"/>
      <c r="CO295" s="19"/>
      <c r="CP295" s="19"/>
      <c r="CQ295" s="19"/>
      <c r="CR295" s="19"/>
      <c r="CS295" s="19"/>
      <c r="CT295" s="19"/>
      <c r="CU295" s="19"/>
      <c r="CV295" s="19"/>
      <c r="CW295" s="19"/>
      <c r="CX295" s="19"/>
      <c r="CY295" s="19"/>
      <c r="CZ295" s="19"/>
      <c r="DA295" s="19"/>
      <c r="DB295" s="19"/>
      <c r="DC295" s="19"/>
      <c r="DD295" s="19"/>
      <c r="DE295" s="19"/>
      <c r="DF295" s="19"/>
      <c r="DG295" s="19"/>
      <c r="DH295" s="19"/>
      <c r="DI295" s="19"/>
      <c r="DJ295" s="19"/>
      <c r="DK295" s="19"/>
      <c r="DL295" s="19"/>
      <c r="DM295" s="19"/>
      <c r="DN295" s="19"/>
      <c r="DO295" s="19"/>
      <c r="DP295" s="19"/>
      <c r="DQ295" s="19"/>
      <c r="DR295" s="19"/>
      <c r="DS295" s="19"/>
      <c r="DT295" s="19"/>
      <c r="DU295" s="19"/>
      <c r="DV295" s="19"/>
      <c r="DW295" s="19"/>
      <c r="DX295" s="19"/>
      <c r="DY295" s="19"/>
      <c r="DZ295" s="19"/>
      <c r="EA295" s="19"/>
      <c r="EB295" s="19"/>
      <c r="EC295" s="19"/>
      <c r="ED295" s="19"/>
      <c r="EE295" s="19"/>
      <c r="EF295" s="19"/>
      <c r="EG295" s="19"/>
      <c r="EH295" s="19"/>
      <c r="EI295" s="19"/>
      <c r="EJ295" s="19"/>
      <c r="EK295" s="19"/>
      <c r="EL295" s="19"/>
      <c r="EM295" s="19"/>
      <c r="EN295" s="19"/>
      <c r="EO295" s="19"/>
      <c r="EP295" s="17"/>
      <c r="EQ295" s="23"/>
      <c r="ER295" s="23" t="str">
        <f t="shared" si="1"/>
        <v/>
      </c>
      <c r="ES295" s="19"/>
      <c r="ET295" s="19" t="str">
        <f t="shared" si="2"/>
        <v/>
      </c>
      <c r="EU295" s="19"/>
      <c r="EV295" s="19"/>
      <c r="EW295" s="19"/>
      <c r="EX295" s="19"/>
      <c r="EY295" s="19"/>
      <c r="EZ295" s="19"/>
      <c r="FA295" s="19"/>
      <c r="FB295" s="19"/>
    </row>
    <row r="296" ht="15.75" customHeight="1">
      <c r="A296" s="19"/>
      <c r="F296" s="19"/>
      <c r="AH296" s="23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  <c r="BD296" s="19"/>
      <c r="BE296" s="19"/>
      <c r="BF296" s="19"/>
      <c r="BG296" s="19"/>
      <c r="BH296" s="19"/>
      <c r="BI296" s="19"/>
      <c r="BJ296" s="19"/>
      <c r="BK296" s="19"/>
      <c r="BL296" s="19"/>
      <c r="BM296" s="19"/>
      <c r="BN296" s="19"/>
      <c r="BO296" s="19"/>
      <c r="BP296" s="19"/>
      <c r="BQ296" s="19"/>
      <c r="BR296" s="19"/>
      <c r="BS296" s="19"/>
      <c r="BT296" s="19"/>
      <c r="BU296" s="19"/>
      <c r="BV296" s="19"/>
      <c r="BW296" s="19"/>
      <c r="BX296" s="19"/>
      <c r="BY296" s="19"/>
      <c r="BZ296" s="19"/>
      <c r="CA296" s="19"/>
      <c r="CB296" s="19"/>
      <c r="CC296" s="19"/>
      <c r="CD296" s="19"/>
      <c r="CE296" s="19"/>
      <c r="CF296" s="19"/>
      <c r="CG296" s="19"/>
      <c r="CH296" s="19"/>
      <c r="CI296" s="19"/>
      <c r="CJ296" s="19"/>
      <c r="CK296" s="19"/>
      <c r="CL296" s="19"/>
      <c r="CM296" s="19"/>
      <c r="CN296" s="19"/>
      <c r="CO296" s="19"/>
      <c r="CP296" s="19"/>
      <c r="CQ296" s="19"/>
      <c r="CR296" s="19"/>
      <c r="CS296" s="19"/>
      <c r="CT296" s="19"/>
      <c r="CU296" s="19"/>
      <c r="CV296" s="19"/>
      <c r="CW296" s="19"/>
      <c r="CX296" s="19"/>
      <c r="CY296" s="19"/>
      <c r="CZ296" s="19"/>
      <c r="DA296" s="19"/>
      <c r="DB296" s="19"/>
      <c r="DC296" s="19"/>
      <c r="DD296" s="19"/>
      <c r="DE296" s="19"/>
      <c r="DF296" s="19"/>
      <c r="DG296" s="19"/>
      <c r="DH296" s="19"/>
      <c r="DI296" s="19"/>
      <c r="DJ296" s="19"/>
      <c r="DK296" s="19"/>
      <c r="DL296" s="19"/>
      <c r="DM296" s="19"/>
      <c r="DN296" s="19"/>
      <c r="DO296" s="19"/>
      <c r="DP296" s="19"/>
      <c r="DQ296" s="19"/>
      <c r="DR296" s="19"/>
      <c r="DS296" s="19"/>
      <c r="DT296" s="19"/>
      <c r="DU296" s="19"/>
      <c r="DV296" s="19"/>
      <c r="DW296" s="19"/>
      <c r="DX296" s="19"/>
      <c r="DY296" s="19"/>
      <c r="DZ296" s="19"/>
      <c r="EA296" s="19"/>
      <c r="EB296" s="19"/>
      <c r="EC296" s="19"/>
      <c r="ED296" s="19"/>
      <c r="EE296" s="19"/>
      <c r="EF296" s="19"/>
      <c r="EG296" s="19"/>
      <c r="EH296" s="19"/>
      <c r="EI296" s="19"/>
      <c r="EJ296" s="19"/>
      <c r="EK296" s="19"/>
      <c r="EL296" s="19"/>
      <c r="EM296" s="19"/>
      <c r="EN296" s="19"/>
      <c r="EO296" s="19"/>
      <c r="EP296" s="17"/>
      <c r="EQ296" s="23"/>
      <c r="ER296" s="23" t="str">
        <f t="shared" si="1"/>
        <v/>
      </c>
      <c r="ES296" s="19"/>
      <c r="ET296" s="19" t="str">
        <f t="shared" si="2"/>
        <v/>
      </c>
      <c r="EU296" s="19"/>
      <c r="EV296" s="19"/>
      <c r="EW296" s="19"/>
      <c r="EX296" s="19"/>
      <c r="EY296" s="19"/>
      <c r="EZ296" s="19"/>
      <c r="FA296" s="19"/>
      <c r="FB296" s="19"/>
    </row>
    <row r="297" ht="15.75" customHeight="1">
      <c r="A297" s="19"/>
      <c r="F297" s="19"/>
      <c r="AH297" s="23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  <c r="BD297" s="19"/>
      <c r="BE297" s="19"/>
      <c r="BF297" s="19"/>
      <c r="BG297" s="19"/>
      <c r="BH297" s="19"/>
      <c r="BI297" s="19"/>
      <c r="BJ297" s="19"/>
      <c r="BK297" s="19"/>
      <c r="BL297" s="19"/>
      <c r="BM297" s="19"/>
      <c r="BN297" s="19"/>
      <c r="BO297" s="19"/>
      <c r="BP297" s="19"/>
      <c r="BQ297" s="19"/>
      <c r="BR297" s="19"/>
      <c r="BS297" s="19"/>
      <c r="BT297" s="19"/>
      <c r="BU297" s="19"/>
      <c r="BV297" s="19"/>
      <c r="BW297" s="19"/>
      <c r="BX297" s="19"/>
      <c r="BY297" s="19"/>
      <c r="BZ297" s="19"/>
      <c r="CA297" s="19"/>
      <c r="CB297" s="19"/>
      <c r="CC297" s="19"/>
      <c r="CD297" s="19"/>
      <c r="CE297" s="19"/>
      <c r="CF297" s="19"/>
      <c r="CG297" s="19"/>
      <c r="CH297" s="19"/>
      <c r="CI297" s="19"/>
      <c r="CJ297" s="19"/>
      <c r="CK297" s="19"/>
      <c r="CL297" s="19"/>
      <c r="CM297" s="19"/>
      <c r="CN297" s="19"/>
      <c r="CO297" s="19"/>
      <c r="CP297" s="19"/>
      <c r="CQ297" s="19"/>
      <c r="CR297" s="19"/>
      <c r="CS297" s="19"/>
      <c r="CT297" s="19"/>
      <c r="CU297" s="19"/>
      <c r="CV297" s="19"/>
      <c r="CW297" s="19"/>
      <c r="CX297" s="19"/>
      <c r="CY297" s="19"/>
      <c r="CZ297" s="19"/>
      <c r="DA297" s="19"/>
      <c r="DB297" s="19"/>
      <c r="DC297" s="19"/>
      <c r="DD297" s="19"/>
      <c r="DE297" s="19"/>
      <c r="DF297" s="19"/>
      <c r="DG297" s="19"/>
      <c r="DH297" s="19"/>
      <c r="DI297" s="19"/>
      <c r="DJ297" s="19"/>
      <c r="DK297" s="19"/>
      <c r="DL297" s="19"/>
      <c r="DM297" s="19"/>
      <c r="DN297" s="19"/>
      <c r="DO297" s="19"/>
      <c r="DP297" s="19"/>
      <c r="DQ297" s="19"/>
      <c r="DR297" s="19"/>
      <c r="DS297" s="19"/>
      <c r="DT297" s="19"/>
      <c r="DU297" s="19"/>
      <c r="DV297" s="19"/>
      <c r="DW297" s="19"/>
      <c r="DX297" s="19"/>
      <c r="DY297" s="19"/>
      <c r="DZ297" s="19"/>
      <c r="EA297" s="19"/>
      <c r="EB297" s="19"/>
      <c r="EC297" s="19"/>
      <c r="ED297" s="19"/>
      <c r="EE297" s="19"/>
      <c r="EF297" s="19"/>
      <c r="EG297" s="19"/>
      <c r="EH297" s="19"/>
      <c r="EI297" s="19"/>
      <c r="EJ297" s="19"/>
      <c r="EK297" s="19"/>
      <c r="EL297" s="19"/>
      <c r="EM297" s="19"/>
      <c r="EN297" s="19"/>
      <c r="EO297" s="19"/>
      <c r="EP297" s="17"/>
      <c r="EQ297" s="23"/>
      <c r="ER297" s="23" t="str">
        <f t="shared" si="1"/>
        <v/>
      </c>
      <c r="ES297" s="19"/>
      <c r="ET297" s="19" t="str">
        <f t="shared" si="2"/>
        <v/>
      </c>
      <c r="EU297" s="19"/>
      <c r="EV297" s="19"/>
      <c r="EW297" s="19"/>
      <c r="EX297" s="19"/>
      <c r="EY297" s="19"/>
      <c r="EZ297" s="19"/>
      <c r="FA297" s="19"/>
      <c r="FB297" s="19"/>
    </row>
    <row r="298" ht="15.75" customHeight="1">
      <c r="A298" s="19"/>
      <c r="F298" s="19"/>
      <c r="AH298" s="23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  <c r="BD298" s="19"/>
      <c r="BE298" s="19"/>
      <c r="BF298" s="19"/>
      <c r="BG298" s="19"/>
      <c r="BH298" s="19"/>
      <c r="BI298" s="19"/>
      <c r="BJ298" s="19"/>
      <c r="BK298" s="19"/>
      <c r="BL298" s="19"/>
      <c r="BM298" s="19"/>
      <c r="BN298" s="19"/>
      <c r="BO298" s="19"/>
      <c r="BP298" s="19"/>
      <c r="BQ298" s="19"/>
      <c r="BR298" s="19"/>
      <c r="BS298" s="19"/>
      <c r="BT298" s="19"/>
      <c r="BU298" s="19"/>
      <c r="BV298" s="19"/>
      <c r="BW298" s="19"/>
      <c r="BX298" s="19"/>
      <c r="BY298" s="19"/>
      <c r="BZ298" s="19"/>
      <c r="CA298" s="19"/>
      <c r="CB298" s="19"/>
      <c r="CC298" s="19"/>
      <c r="CD298" s="19"/>
      <c r="CE298" s="19"/>
      <c r="CF298" s="19"/>
      <c r="CG298" s="19"/>
      <c r="CH298" s="19"/>
      <c r="CI298" s="19"/>
      <c r="CJ298" s="19"/>
      <c r="CK298" s="19"/>
      <c r="CL298" s="19"/>
      <c r="CM298" s="19"/>
      <c r="CN298" s="19"/>
      <c r="CO298" s="19"/>
      <c r="CP298" s="19"/>
      <c r="CQ298" s="19"/>
      <c r="CR298" s="19"/>
      <c r="CS298" s="19"/>
      <c r="CT298" s="19"/>
      <c r="CU298" s="19"/>
      <c r="CV298" s="19"/>
      <c r="CW298" s="19"/>
      <c r="CX298" s="19"/>
      <c r="CY298" s="19"/>
      <c r="CZ298" s="19"/>
      <c r="DA298" s="19"/>
      <c r="DB298" s="19"/>
      <c r="DC298" s="19"/>
      <c r="DD298" s="19"/>
      <c r="DE298" s="19"/>
      <c r="DF298" s="19"/>
      <c r="DG298" s="19"/>
      <c r="DH298" s="19"/>
      <c r="DI298" s="19"/>
      <c r="DJ298" s="19"/>
      <c r="DK298" s="19"/>
      <c r="DL298" s="19"/>
      <c r="DM298" s="19"/>
      <c r="DN298" s="19"/>
      <c r="DO298" s="19"/>
      <c r="DP298" s="19"/>
      <c r="DQ298" s="19"/>
      <c r="DR298" s="19"/>
      <c r="DS298" s="19"/>
      <c r="DT298" s="19"/>
      <c r="DU298" s="19"/>
      <c r="DV298" s="19"/>
      <c r="DW298" s="19"/>
      <c r="DX298" s="19"/>
      <c r="DY298" s="19"/>
      <c r="DZ298" s="19"/>
      <c r="EA298" s="19"/>
      <c r="EB298" s="19"/>
      <c r="EC298" s="19"/>
      <c r="ED298" s="19"/>
      <c r="EE298" s="19"/>
      <c r="EF298" s="19"/>
      <c r="EG298" s="19"/>
      <c r="EH298" s="19"/>
      <c r="EI298" s="19"/>
      <c r="EJ298" s="19"/>
      <c r="EK298" s="19"/>
      <c r="EL298" s="19"/>
      <c r="EM298" s="19"/>
      <c r="EN298" s="19"/>
      <c r="EO298" s="19"/>
      <c r="EP298" s="17"/>
      <c r="EQ298" s="23"/>
      <c r="ER298" s="23" t="str">
        <f t="shared" si="1"/>
        <v/>
      </c>
      <c r="ES298" s="19"/>
      <c r="ET298" s="19" t="str">
        <f t="shared" si="2"/>
        <v/>
      </c>
      <c r="EU298" s="19"/>
      <c r="EV298" s="19"/>
      <c r="EW298" s="19"/>
      <c r="EX298" s="19"/>
      <c r="EY298" s="19"/>
      <c r="EZ298" s="19"/>
      <c r="FA298" s="19"/>
      <c r="FB298" s="19"/>
    </row>
    <row r="299" ht="15.75" customHeight="1">
      <c r="A299" s="19"/>
      <c r="F299" s="19"/>
      <c r="AH299" s="23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  <c r="BD299" s="19"/>
      <c r="BE299" s="19"/>
      <c r="BF299" s="19"/>
      <c r="BG299" s="19"/>
      <c r="BH299" s="19"/>
      <c r="BI299" s="19"/>
      <c r="BJ299" s="19"/>
      <c r="BK299" s="19"/>
      <c r="BL299" s="19"/>
      <c r="BM299" s="19"/>
      <c r="BN299" s="19"/>
      <c r="BO299" s="19"/>
      <c r="BP299" s="19"/>
      <c r="BQ299" s="19"/>
      <c r="BR299" s="19"/>
      <c r="BS299" s="19"/>
      <c r="BT299" s="19"/>
      <c r="BU299" s="19"/>
      <c r="BV299" s="19"/>
      <c r="BW299" s="19"/>
      <c r="BX299" s="19"/>
      <c r="BY299" s="19"/>
      <c r="BZ299" s="19"/>
      <c r="CA299" s="19"/>
      <c r="CB299" s="19"/>
      <c r="CC299" s="19"/>
      <c r="CD299" s="19"/>
      <c r="CE299" s="19"/>
      <c r="CF299" s="19"/>
      <c r="CG299" s="19"/>
      <c r="CH299" s="19"/>
      <c r="CI299" s="19"/>
      <c r="CJ299" s="19"/>
      <c r="CK299" s="19"/>
      <c r="CL299" s="19"/>
      <c r="CM299" s="19"/>
      <c r="CN299" s="19"/>
      <c r="CO299" s="19"/>
      <c r="CP299" s="19"/>
      <c r="CQ299" s="19"/>
      <c r="CR299" s="19"/>
      <c r="CS299" s="19"/>
      <c r="CT299" s="19"/>
      <c r="CU299" s="19"/>
      <c r="CV299" s="19"/>
      <c r="CW299" s="19"/>
      <c r="CX299" s="19"/>
      <c r="CY299" s="19"/>
      <c r="CZ299" s="19"/>
      <c r="DA299" s="19"/>
      <c r="DB299" s="19"/>
      <c r="DC299" s="19"/>
      <c r="DD299" s="19"/>
      <c r="DE299" s="19"/>
      <c r="DF299" s="19"/>
      <c r="DG299" s="19"/>
      <c r="DH299" s="19"/>
      <c r="DI299" s="19"/>
      <c r="DJ299" s="19"/>
      <c r="DK299" s="19"/>
      <c r="DL299" s="19"/>
      <c r="DM299" s="19"/>
      <c r="DN299" s="19"/>
      <c r="DO299" s="19"/>
      <c r="DP299" s="19"/>
      <c r="DQ299" s="19"/>
      <c r="DR299" s="19"/>
      <c r="DS299" s="19"/>
      <c r="DT299" s="19"/>
      <c r="DU299" s="19"/>
      <c r="DV299" s="19"/>
      <c r="DW299" s="19"/>
      <c r="DX299" s="19"/>
      <c r="DY299" s="19"/>
      <c r="DZ299" s="19"/>
      <c r="EA299" s="19"/>
      <c r="EB299" s="19"/>
      <c r="EC299" s="19"/>
      <c r="ED299" s="19"/>
      <c r="EE299" s="19"/>
      <c r="EF299" s="19"/>
      <c r="EG299" s="19"/>
      <c r="EH299" s="19"/>
      <c r="EI299" s="19"/>
      <c r="EJ299" s="19"/>
      <c r="EK299" s="19"/>
      <c r="EL299" s="19"/>
      <c r="EM299" s="19"/>
      <c r="EN299" s="19"/>
      <c r="EO299" s="19"/>
      <c r="EP299" s="17"/>
      <c r="EQ299" s="23"/>
      <c r="ER299" s="23" t="str">
        <f t="shared" si="1"/>
        <v/>
      </c>
      <c r="ES299" s="19"/>
      <c r="ET299" s="19" t="str">
        <f t="shared" si="2"/>
        <v/>
      </c>
      <c r="EU299" s="19"/>
      <c r="EV299" s="19"/>
      <c r="EW299" s="19"/>
      <c r="EX299" s="19"/>
      <c r="EY299" s="19"/>
      <c r="EZ299" s="19"/>
      <c r="FA299" s="19"/>
      <c r="FB299" s="19"/>
    </row>
    <row r="300" ht="15.75" customHeight="1">
      <c r="A300" s="19"/>
      <c r="F300" s="19"/>
      <c r="AH300" s="23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  <c r="BD300" s="19"/>
      <c r="BE300" s="19"/>
      <c r="BF300" s="19"/>
      <c r="BG300" s="19"/>
      <c r="BH300" s="19"/>
      <c r="BI300" s="19"/>
      <c r="BJ300" s="19"/>
      <c r="BK300" s="19"/>
      <c r="BL300" s="19"/>
      <c r="BM300" s="19"/>
      <c r="BN300" s="19"/>
      <c r="BO300" s="19"/>
      <c r="BP300" s="19"/>
      <c r="BQ300" s="19"/>
      <c r="BR300" s="19"/>
      <c r="BS300" s="19"/>
      <c r="BT300" s="19"/>
      <c r="BU300" s="19"/>
      <c r="BV300" s="19"/>
      <c r="BW300" s="19"/>
      <c r="BX300" s="19"/>
      <c r="BY300" s="19"/>
      <c r="BZ300" s="19"/>
      <c r="CA300" s="19"/>
      <c r="CB300" s="19"/>
      <c r="CC300" s="19"/>
      <c r="CD300" s="19"/>
      <c r="CE300" s="19"/>
      <c r="CF300" s="19"/>
      <c r="CG300" s="19"/>
      <c r="CH300" s="19"/>
      <c r="CI300" s="19"/>
      <c r="CJ300" s="19"/>
      <c r="CK300" s="19"/>
      <c r="CL300" s="19"/>
      <c r="CM300" s="19"/>
      <c r="CN300" s="19"/>
      <c r="CO300" s="19"/>
      <c r="CP300" s="19"/>
      <c r="CQ300" s="19"/>
      <c r="CR300" s="19"/>
      <c r="CS300" s="19"/>
      <c r="CT300" s="19"/>
      <c r="CU300" s="19"/>
      <c r="CV300" s="19"/>
      <c r="CW300" s="19"/>
      <c r="CX300" s="19"/>
      <c r="CY300" s="19"/>
      <c r="CZ300" s="19"/>
      <c r="DA300" s="19"/>
      <c r="DB300" s="19"/>
      <c r="DC300" s="19"/>
      <c r="DD300" s="19"/>
      <c r="DE300" s="19"/>
      <c r="DF300" s="19"/>
      <c r="DG300" s="19"/>
      <c r="DH300" s="19"/>
      <c r="DI300" s="19"/>
      <c r="DJ300" s="19"/>
      <c r="DK300" s="19"/>
      <c r="DL300" s="19"/>
      <c r="DM300" s="19"/>
      <c r="DN300" s="19"/>
      <c r="DO300" s="19"/>
      <c r="DP300" s="19"/>
      <c r="DQ300" s="19"/>
      <c r="DR300" s="19"/>
      <c r="DS300" s="19"/>
      <c r="DT300" s="19"/>
      <c r="DU300" s="19"/>
      <c r="DV300" s="19"/>
      <c r="DW300" s="19"/>
      <c r="DX300" s="19"/>
      <c r="DY300" s="19"/>
      <c r="DZ300" s="19"/>
      <c r="EA300" s="19"/>
      <c r="EB300" s="19"/>
      <c r="EC300" s="19"/>
      <c r="ED300" s="19"/>
      <c r="EE300" s="19"/>
      <c r="EF300" s="19"/>
      <c r="EG300" s="19"/>
      <c r="EH300" s="19"/>
      <c r="EI300" s="19"/>
      <c r="EJ300" s="19"/>
      <c r="EK300" s="19"/>
      <c r="EL300" s="19"/>
      <c r="EM300" s="19"/>
      <c r="EN300" s="19"/>
      <c r="EO300" s="19"/>
      <c r="EP300" s="17"/>
      <c r="EQ300" s="23"/>
      <c r="ER300" s="23" t="str">
        <f t="shared" si="1"/>
        <v/>
      </c>
      <c r="ES300" s="19"/>
      <c r="ET300" s="19" t="str">
        <f t="shared" si="2"/>
        <v/>
      </c>
      <c r="EU300" s="19"/>
      <c r="EV300" s="19"/>
      <c r="EW300" s="19"/>
      <c r="EX300" s="19"/>
      <c r="EY300" s="19"/>
      <c r="EZ300" s="19"/>
      <c r="FA300" s="19"/>
      <c r="FB300" s="19"/>
    </row>
    <row r="301" ht="15.75" customHeight="1">
      <c r="A301" s="19"/>
      <c r="F301" s="19"/>
      <c r="AH301" s="23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  <c r="BD301" s="19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  <c r="BP301" s="19"/>
      <c r="BQ301" s="19"/>
      <c r="BR301" s="19"/>
      <c r="BS301" s="19"/>
      <c r="BT301" s="19"/>
      <c r="BU301" s="19"/>
      <c r="BV301" s="19"/>
      <c r="BW301" s="19"/>
      <c r="BX301" s="19"/>
      <c r="BY301" s="19"/>
      <c r="BZ301" s="19"/>
      <c r="CA301" s="19"/>
      <c r="CB301" s="19"/>
      <c r="CC301" s="19"/>
      <c r="CD301" s="19"/>
      <c r="CE301" s="19"/>
      <c r="CF301" s="19"/>
      <c r="CG301" s="19"/>
      <c r="CH301" s="19"/>
      <c r="CI301" s="19"/>
      <c r="CJ301" s="19"/>
      <c r="CK301" s="19"/>
      <c r="CL301" s="19"/>
      <c r="CM301" s="19"/>
      <c r="CN301" s="19"/>
      <c r="CO301" s="19"/>
      <c r="CP301" s="19"/>
      <c r="CQ301" s="19"/>
      <c r="CR301" s="19"/>
      <c r="CS301" s="19"/>
      <c r="CT301" s="19"/>
      <c r="CU301" s="19"/>
      <c r="CV301" s="19"/>
      <c r="CW301" s="19"/>
      <c r="CX301" s="19"/>
      <c r="CY301" s="19"/>
      <c r="CZ301" s="19"/>
      <c r="DA301" s="19"/>
      <c r="DB301" s="19"/>
      <c r="DC301" s="19"/>
      <c r="DD301" s="19"/>
      <c r="DE301" s="19"/>
      <c r="DF301" s="19"/>
      <c r="DG301" s="19"/>
      <c r="DH301" s="19"/>
      <c r="DI301" s="19"/>
      <c r="DJ301" s="19"/>
      <c r="DK301" s="19"/>
      <c r="DL301" s="19"/>
      <c r="DM301" s="19"/>
      <c r="DN301" s="19"/>
      <c r="DO301" s="19"/>
      <c r="DP301" s="19"/>
      <c r="DQ301" s="19"/>
      <c r="DR301" s="19"/>
      <c r="DS301" s="19"/>
      <c r="DT301" s="19"/>
      <c r="DU301" s="19"/>
      <c r="DV301" s="19"/>
      <c r="DW301" s="19"/>
      <c r="DX301" s="19"/>
      <c r="DY301" s="19"/>
      <c r="DZ301" s="19"/>
      <c r="EA301" s="19"/>
      <c r="EB301" s="19"/>
      <c r="EC301" s="19"/>
      <c r="ED301" s="19"/>
      <c r="EE301" s="19"/>
      <c r="EF301" s="19"/>
      <c r="EG301" s="19"/>
      <c r="EH301" s="19"/>
      <c r="EI301" s="19"/>
      <c r="EJ301" s="19"/>
      <c r="EK301" s="19"/>
      <c r="EL301" s="19"/>
      <c r="EM301" s="19"/>
      <c r="EN301" s="19"/>
      <c r="EO301" s="19"/>
      <c r="EP301" s="17"/>
      <c r="EQ301" s="23"/>
      <c r="ER301" s="23" t="str">
        <f t="shared" si="1"/>
        <v/>
      </c>
      <c r="ES301" s="19"/>
      <c r="ET301" s="19" t="str">
        <f t="shared" si="2"/>
        <v/>
      </c>
      <c r="EU301" s="19"/>
      <c r="EV301" s="19"/>
      <c r="EW301" s="19"/>
      <c r="EX301" s="19"/>
      <c r="EY301" s="19"/>
      <c r="EZ301" s="19"/>
      <c r="FA301" s="19"/>
      <c r="FB301" s="19"/>
    </row>
    <row r="302" ht="15.75" customHeight="1">
      <c r="A302" s="19"/>
      <c r="F302" s="19"/>
      <c r="AH302" s="23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  <c r="BD302" s="19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  <c r="BP302" s="19"/>
      <c r="BQ302" s="19"/>
      <c r="BR302" s="19"/>
      <c r="BS302" s="19"/>
      <c r="BT302" s="19"/>
      <c r="BU302" s="19"/>
      <c r="BV302" s="19"/>
      <c r="BW302" s="19"/>
      <c r="BX302" s="19"/>
      <c r="BY302" s="19"/>
      <c r="BZ302" s="19"/>
      <c r="CA302" s="19"/>
      <c r="CB302" s="19"/>
      <c r="CC302" s="19"/>
      <c r="CD302" s="19"/>
      <c r="CE302" s="19"/>
      <c r="CF302" s="19"/>
      <c r="CG302" s="19"/>
      <c r="CH302" s="19"/>
      <c r="CI302" s="19"/>
      <c r="CJ302" s="19"/>
      <c r="CK302" s="19"/>
      <c r="CL302" s="19"/>
      <c r="CM302" s="19"/>
      <c r="CN302" s="19"/>
      <c r="CO302" s="19"/>
      <c r="CP302" s="19"/>
      <c r="CQ302" s="19"/>
      <c r="CR302" s="19"/>
      <c r="CS302" s="19"/>
      <c r="CT302" s="19"/>
      <c r="CU302" s="19"/>
      <c r="CV302" s="19"/>
      <c r="CW302" s="19"/>
      <c r="CX302" s="19"/>
      <c r="CY302" s="19"/>
      <c r="CZ302" s="19"/>
      <c r="DA302" s="19"/>
      <c r="DB302" s="19"/>
      <c r="DC302" s="19"/>
      <c r="DD302" s="19"/>
      <c r="DE302" s="19"/>
      <c r="DF302" s="19"/>
      <c r="DG302" s="19"/>
      <c r="DH302" s="19"/>
      <c r="DI302" s="19"/>
      <c r="DJ302" s="19"/>
      <c r="DK302" s="19"/>
      <c r="DL302" s="19"/>
      <c r="DM302" s="19"/>
      <c r="DN302" s="19"/>
      <c r="DO302" s="19"/>
      <c r="DP302" s="19"/>
      <c r="DQ302" s="19"/>
      <c r="DR302" s="19"/>
      <c r="DS302" s="19"/>
      <c r="DT302" s="19"/>
      <c r="DU302" s="19"/>
      <c r="DV302" s="19"/>
      <c r="DW302" s="19"/>
      <c r="DX302" s="19"/>
      <c r="DY302" s="19"/>
      <c r="DZ302" s="19"/>
      <c r="EA302" s="19"/>
      <c r="EB302" s="19"/>
      <c r="EC302" s="19"/>
      <c r="ED302" s="19"/>
      <c r="EE302" s="19"/>
      <c r="EF302" s="19"/>
      <c r="EG302" s="19"/>
      <c r="EH302" s="19"/>
      <c r="EI302" s="19"/>
      <c r="EJ302" s="19"/>
      <c r="EK302" s="19"/>
      <c r="EL302" s="19"/>
      <c r="EM302" s="19"/>
      <c r="EN302" s="19"/>
      <c r="EO302" s="19"/>
      <c r="EP302" s="17"/>
      <c r="EQ302" s="23"/>
      <c r="ER302" s="23" t="str">
        <f t="shared" si="1"/>
        <v/>
      </c>
      <c r="ES302" s="19"/>
      <c r="ET302" s="19" t="str">
        <f t="shared" si="2"/>
        <v/>
      </c>
      <c r="EU302" s="19"/>
      <c r="EV302" s="19"/>
      <c r="EW302" s="19"/>
      <c r="EX302" s="19"/>
      <c r="EY302" s="19"/>
      <c r="EZ302" s="19"/>
      <c r="FA302" s="19"/>
      <c r="FB302" s="19"/>
    </row>
    <row r="303" ht="15.75" customHeight="1">
      <c r="A303" s="19"/>
      <c r="F303" s="19"/>
      <c r="AH303" s="23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  <c r="BD303" s="19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  <c r="BP303" s="19"/>
      <c r="BQ303" s="19"/>
      <c r="BR303" s="19"/>
      <c r="BS303" s="19"/>
      <c r="BT303" s="19"/>
      <c r="BU303" s="19"/>
      <c r="BV303" s="19"/>
      <c r="BW303" s="19"/>
      <c r="BX303" s="19"/>
      <c r="BY303" s="19"/>
      <c r="BZ303" s="19"/>
      <c r="CA303" s="19"/>
      <c r="CB303" s="19"/>
      <c r="CC303" s="19"/>
      <c r="CD303" s="19"/>
      <c r="CE303" s="19"/>
      <c r="CF303" s="19"/>
      <c r="CG303" s="19"/>
      <c r="CH303" s="19"/>
      <c r="CI303" s="19"/>
      <c r="CJ303" s="19"/>
      <c r="CK303" s="19"/>
      <c r="CL303" s="19"/>
      <c r="CM303" s="19"/>
      <c r="CN303" s="19"/>
      <c r="CO303" s="19"/>
      <c r="CP303" s="19"/>
      <c r="CQ303" s="19"/>
      <c r="CR303" s="19"/>
      <c r="CS303" s="19"/>
      <c r="CT303" s="19"/>
      <c r="CU303" s="19"/>
      <c r="CV303" s="19"/>
      <c r="CW303" s="19"/>
      <c r="CX303" s="19"/>
      <c r="CY303" s="19"/>
      <c r="CZ303" s="19"/>
      <c r="DA303" s="19"/>
      <c r="DB303" s="19"/>
      <c r="DC303" s="19"/>
      <c r="DD303" s="19"/>
      <c r="DE303" s="19"/>
      <c r="DF303" s="19"/>
      <c r="DG303" s="19"/>
      <c r="DH303" s="19"/>
      <c r="DI303" s="19"/>
      <c r="DJ303" s="19"/>
      <c r="DK303" s="19"/>
      <c r="DL303" s="19"/>
      <c r="DM303" s="19"/>
      <c r="DN303" s="19"/>
      <c r="DO303" s="19"/>
      <c r="DP303" s="19"/>
      <c r="DQ303" s="19"/>
      <c r="DR303" s="19"/>
      <c r="DS303" s="19"/>
      <c r="DT303" s="19"/>
      <c r="DU303" s="19"/>
      <c r="DV303" s="19"/>
      <c r="DW303" s="19"/>
      <c r="DX303" s="19"/>
      <c r="DY303" s="19"/>
      <c r="DZ303" s="19"/>
      <c r="EA303" s="19"/>
      <c r="EB303" s="19"/>
      <c r="EC303" s="19"/>
      <c r="ED303" s="19"/>
      <c r="EE303" s="19"/>
      <c r="EF303" s="19"/>
      <c r="EG303" s="19"/>
      <c r="EH303" s="19"/>
      <c r="EI303" s="19"/>
      <c r="EJ303" s="19"/>
      <c r="EK303" s="19"/>
      <c r="EL303" s="19"/>
      <c r="EM303" s="19"/>
      <c r="EN303" s="19"/>
      <c r="EO303" s="19"/>
      <c r="EP303" s="17"/>
      <c r="EQ303" s="23"/>
      <c r="ER303" s="23" t="str">
        <f t="shared" si="1"/>
        <v/>
      </c>
      <c r="ES303" s="19"/>
      <c r="ET303" s="19" t="str">
        <f t="shared" si="2"/>
        <v/>
      </c>
      <c r="EU303" s="19"/>
      <c r="EV303" s="19"/>
      <c r="EW303" s="19"/>
      <c r="EX303" s="19"/>
      <c r="EY303" s="19"/>
      <c r="EZ303" s="19"/>
      <c r="FA303" s="19"/>
      <c r="FB303" s="19"/>
    </row>
    <row r="304" ht="15.75" customHeight="1">
      <c r="A304" s="19"/>
      <c r="F304" s="19"/>
      <c r="AH304" s="23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  <c r="BD304" s="19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  <c r="BP304" s="19"/>
      <c r="BQ304" s="19"/>
      <c r="BR304" s="19"/>
      <c r="BS304" s="19"/>
      <c r="BT304" s="19"/>
      <c r="BU304" s="19"/>
      <c r="BV304" s="19"/>
      <c r="BW304" s="19"/>
      <c r="BX304" s="19"/>
      <c r="BY304" s="19"/>
      <c r="BZ304" s="19"/>
      <c r="CA304" s="19"/>
      <c r="CB304" s="19"/>
      <c r="CC304" s="19"/>
      <c r="CD304" s="19"/>
      <c r="CE304" s="19"/>
      <c r="CF304" s="19"/>
      <c r="CG304" s="19"/>
      <c r="CH304" s="19"/>
      <c r="CI304" s="19"/>
      <c r="CJ304" s="19"/>
      <c r="CK304" s="19"/>
      <c r="CL304" s="19"/>
      <c r="CM304" s="19"/>
      <c r="CN304" s="19"/>
      <c r="CO304" s="19"/>
      <c r="CP304" s="19"/>
      <c r="CQ304" s="19"/>
      <c r="CR304" s="19"/>
      <c r="CS304" s="19"/>
      <c r="CT304" s="19"/>
      <c r="CU304" s="19"/>
      <c r="CV304" s="19"/>
      <c r="CW304" s="19"/>
      <c r="CX304" s="19"/>
      <c r="CY304" s="19"/>
      <c r="CZ304" s="19"/>
      <c r="DA304" s="19"/>
      <c r="DB304" s="19"/>
      <c r="DC304" s="19"/>
      <c r="DD304" s="19"/>
      <c r="DE304" s="19"/>
      <c r="DF304" s="19"/>
      <c r="DG304" s="19"/>
      <c r="DH304" s="19"/>
      <c r="DI304" s="19"/>
      <c r="DJ304" s="19"/>
      <c r="DK304" s="19"/>
      <c r="DL304" s="19"/>
      <c r="DM304" s="19"/>
      <c r="DN304" s="19"/>
      <c r="DO304" s="19"/>
      <c r="DP304" s="19"/>
      <c r="DQ304" s="19"/>
      <c r="DR304" s="19"/>
      <c r="DS304" s="19"/>
      <c r="DT304" s="19"/>
      <c r="DU304" s="19"/>
      <c r="DV304" s="19"/>
      <c r="DW304" s="19"/>
      <c r="DX304" s="19"/>
      <c r="DY304" s="19"/>
      <c r="DZ304" s="19"/>
      <c r="EA304" s="19"/>
      <c r="EB304" s="19"/>
      <c r="EC304" s="19"/>
      <c r="ED304" s="19"/>
      <c r="EE304" s="19"/>
      <c r="EF304" s="19"/>
      <c r="EG304" s="19"/>
      <c r="EH304" s="19"/>
      <c r="EI304" s="19"/>
      <c r="EJ304" s="19"/>
      <c r="EK304" s="19"/>
      <c r="EL304" s="19"/>
      <c r="EM304" s="19"/>
      <c r="EN304" s="19"/>
      <c r="EO304" s="19"/>
      <c r="EP304" s="17"/>
      <c r="EQ304" s="23"/>
      <c r="ER304" s="23" t="str">
        <f t="shared" si="1"/>
        <v/>
      </c>
      <c r="ES304" s="19"/>
      <c r="ET304" s="19" t="str">
        <f t="shared" si="2"/>
        <v/>
      </c>
      <c r="EU304" s="19"/>
      <c r="EV304" s="19"/>
      <c r="EW304" s="19"/>
      <c r="EX304" s="19"/>
      <c r="EY304" s="19"/>
      <c r="EZ304" s="19"/>
      <c r="FA304" s="19"/>
      <c r="FB304" s="19"/>
    </row>
    <row r="305" ht="15.75" customHeight="1">
      <c r="A305" s="19"/>
      <c r="F305" s="19"/>
      <c r="AH305" s="23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  <c r="BD305" s="19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  <c r="BP305" s="19"/>
      <c r="BQ305" s="19"/>
      <c r="BR305" s="19"/>
      <c r="BS305" s="19"/>
      <c r="BT305" s="19"/>
      <c r="BU305" s="19"/>
      <c r="BV305" s="19"/>
      <c r="BW305" s="19"/>
      <c r="BX305" s="19"/>
      <c r="BY305" s="19"/>
      <c r="BZ305" s="19"/>
      <c r="CA305" s="19"/>
      <c r="CB305" s="19"/>
      <c r="CC305" s="19"/>
      <c r="CD305" s="19"/>
      <c r="CE305" s="19"/>
      <c r="CF305" s="19"/>
      <c r="CG305" s="19"/>
      <c r="CH305" s="19"/>
      <c r="CI305" s="19"/>
      <c r="CJ305" s="19"/>
      <c r="CK305" s="19"/>
      <c r="CL305" s="19"/>
      <c r="CM305" s="19"/>
      <c r="CN305" s="19"/>
      <c r="CO305" s="19"/>
      <c r="CP305" s="19"/>
      <c r="CQ305" s="19"/>
      <c r="CR305" s="19"/>
      <c r="CS305" s="19"/>
      <c r="CT305" s="19"/>
      <c r="CU305" s="19"/>
      <c r="CV305" s="19"/>
      <c r="CW305" s="19"/>
      <c r="CX305" s="19"/>
      <c r="CY305" s="19"/>
      <c r="CZ305" s="19"/>
      <c r="DA305" s="19"/>
      <c r="DB305" s="19"/>
      <c r="DC305" s="19"/>
      <c r="DD305" s="19"/>
      <c r="DE305" s="19"/>
      <c r="DF305" s="19"/>
      <c r="DG305" s="19"/>
      <c r="DH305" s="19"/>
      <c r="DI305" s="19"/>
      <c r="DJ305" s="19"/>
      <c r="DK305" s="19"/>
      <c r="DL305" s="19"/>
      <c r="DM305" s="19"/>
      <c r="DN305" s="19"/>
      <c r="DO305" s="19"/>
      <c r="DP305" s="19"/>
      <c r="DQ305" s="19"/>
      <c r="DR305" s="19"/>
      <c r="DS305" s="19"/>
      <c r="DT305" s="19"/>
      <c r="DU305" s="19"/>
      <c r="DV305" s="19"/>
      <c r="DW305" s="19"/>
      <c r="DX305" s="19"/>
      <c r="DY305" s="19"/>
      <c r="DZ305" s="19"/>
      <c r="EA305" s="19"/>
      <c r="EB305" s="19"/>
      <c r="EC305" s="19"/>
      <c r="ED305" s="19"/>
      <c r="EE305" s="19"/>
      <c r="EF305" s="19"/>
      <c r="EG305" s="19"/>
      <c r="EH305" s="19"/>
      <c r="EI305" s="19"/>
      <c r="EJ305" s="19"/>
      <c r="EK305" s="19"/>
      <c r="EL305" s="19"/>
      <c r="EM305" s="19"/>
      <c r="EN305" s="19"/>
      <c r="EO305" s="19"/>
      <c r="EP305" s="17"/>
      <c r="EQ305" s="23"/>
      <c r="ER305" s="23" t="str">
        <f t="shared" si="1"/>
        <v/>
      </c>
      <c r="ES305" s="19"/>
      <c r="ET305" s="19" t="str">
        <f t="shared" si="2"/>
        <v/>
      </c>
      <c r="EU305" s="19"/>
      <c r="EV305" s="19"/>
      <c r="EW305" s="19"/>
      <c r="EX305" s="19"/>
      <c r="EY305" s="19"/>
      <c r="EZ305" s="19"/>
      <c r="FA305" s="19"/>
      <c r="FB305" s="19"/>
    </row>
    <row r="306" ht="15.75" customHeight="1">
      <c r="A306" s="19"/>
      <c r="F306" s="19"/>
      <c r="AH306" s="23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  <c r="BD306" s="19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  <c r="BP306" s="19"/>
      <c r="BQ306" s="19"/>
      <c r="BR306" s="19"/>
      <c r="BS306" s="19"/>
      <c r="BT306" s="19"/>
      <c r="BU306" s="19"/>
      <c r="BV306" s="19"/>
      <c r="BW306" s="19"/>
      <c r="BX306" s="19"/>
      <c r="BY306" s="19"/>
      <c r="BZ306" s="19"/>
      <c r="CA306" s="19"/>
      <c r="CB306" s="19"/>
      <c r="CC306" s="19"/>
      <c r="CD306" s="19"/>
      <c r="CE306" s="19"/>
      <c r="CF306" s="19"/>
      <c r="CG306" s="19"/>
      <c r="CH306" s="19"/>
      <c r="CI306" s="19"/>
      <c r="CJ306" s="19"/>
      <c r="CK306" s="19"/>
      <c r="CL306" s="19"/>
      <c r="CM306" s="19"/>
      <c r="CN306" s="19"/>
      <c r="CO306" s="19"/>
      <c r="CP306" s="19"/>
      <c r="CQ306" s="19"/>
      <c r="CR306" s="19"/>
      <c r="CS306" s="19"/>
      <c r="CT306" s="19"/>
      <c r="CU306" s="19"/>
      <c r="CV306" s="19"/>
      <c r="CW306" s="19"/>
      <c r="CX306" s="19"/>
      <c r="CY306" s="19"/>
      <c r="CZ306" s="19"/>
      <c r="DA306" s="19"/>
      <c r="DB306" s="19"/>
      <c r="DC306" s="19"/>
      <c r="DD306" s="19"/>
      <c r="DE306" s="19"/>
      <c r="DF306" s="19"/>
      <c r="DG306" s="19"/>
      <c r="DH306" s="19"/>
      <c r="DI306" s="19"/>
      <c r="DJ306" s="19"/>
      <c r="DK306" s="19"/>
      <c r="DL306" s="19"/>
      <c r="DM306" s="19"/>
      <c r="DN306" s="19"/>
      <c r="DO306" s="19"/>
      <c r="DP306" s="19"/>
      <c r="DQ306" s="19"/>
      <c r="DR306" s="19"/>
      <c r="DS306" s="19"/>
      <c r="DT306" s="19"/>
      <c r="DU306" s="19"/>
      <c r="DV306" s="19"/>
      <c r="DW306" s="19"/>
      <c r="DX306" s="19"/>
      <c r="DY306" s="19"/>
      <c r="DZ306" s="19"/>
      <c r="EA306" s="19"/>
      <c r="EB306" s="19"/>
      <c r="EC306" s="19"/>
      <c r="ED306" s="19"/>
      <c r="EE306" s="19"/>
      <c r="EF306" s="19"/>
      <c r="EG306" s="19"/>
      <c r="EH306" s="19"/>
      <c r="EI306" s="19"/>
      <c r="EJ306" s="19"/>
      <c r="EK306" s="19"/>
      <c r="EL306" s="19"/>
      <c r="EM306" s="19"/>
      <c r="EN306" s="19"/>
      <c r="EO306" s="19"/>
      <c r="EP306" s="17"/>
      <c r="EQ306" s="23"/>
      <c r="ER306" s="23" t="str">
        <f t="shared" si="1"/>
        <v/>
      </c>
      <c r="ES306" s="19"/>
      <c r="ET306" s="19" t="str">
        <f t="shared" si="2"/>
        <v/>
      </c>
      <c r="EU306" s="19"/>
      <c r="EV306" s="19"/>
      <c r="EW306" s="19"/>
      <c r="EX306" s="19"/>
      <c r="EY306" s="19"/>
      <c r="EZ306" s="19"/>
      <c r="FA306" s="19"/>
      <c r="FB306" s="19"/>
    </row>
    <row r="307" ht="15.75" customHeight="1">
      <c r="A307" s="19"/>
      <c r="F307" s="19"/>
      <c r="AH307" s="23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  <c r="BD307" s="19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  <c r="BP307" s="19"/>
      <c r="BQ307" s="19"/>
      <c r="BR307" s="19"/>
      <c r="BS307" s="19"/>
      <c r="BT307" s="19"/>
      <c r="BU307" s="19"/>
      <c r="BV307" s="19"/>
      <c r="BW307" s="19"/>
      <c r="BX307" s="19"/>
      <c r="BY307" s="19"/>
      <c r="BZ307" s="19"/>
      <c r="CA307" s="19"/>
      <c r="CB307" s="19"/>
      <c r="CC307" s="19"/>
      <c r="CD307" s="19"/>
      <c r="CE307" s="19"/>
      <c r="CF307" s="19"/>
      <c r="CG307" s="19"/>
      <c r="CH307" s="19"/>
      <c r="CI307" s="19"/>
      <c r="CJ307" s="19"/>
      <c r="CK307" s="19"/>
      <c r="CL307" s="19"/>
      <c r="CM307" s="19"/>
      <c r="CN307" s="19"/>
      <c r="CO307" s="19"/>
      <c r="CP307" s="19"/>
      <c r="CQ307" s="19"/>
      <c r="CR307" s="19"/>
      <c r="CS307" s="19"/>
      <c r="CT307" s="19"/>
      <c r="CU307" s="19"/>
      <c r="CV307" s="19"/>
      <c r="CW307" s="19"/>
      <c r="CX307" s="19"/>
      <c r="CY307" s="19"/>
      <c r="CZ307" s="19"/>
      <c r="DA307" s="19"/>
      <c r="DB307" s="19"/>
      <c r="DC307" s="19"/>
      <c r="DD307" s="19"/>
      <c r="DE307" s="19"/>
      <c r="DF307" s="19"/>
      <c r="DG307" s="19"/>
      <c r="DH307" s="19"/>
      <c r="DI307" s="19"/>
      <c r="DJ307" s="19"/>
      <c r="DK307" s="19"/>
      <c r="DL307" s="19"/>
      <c r="DM307" s="19"/>
      <c r="DN307" s="19"/>
      <c r="DO307" s="19"/>
      <c r="DP307" s="19"/>
      <c r="DQ307" s="19"/>
      <c r="DR307" s="19"/>
      <c r="DS307" s="19"/>
      <c r="DT307" s="19"/>
      <c r="DU307" s="19"/>
      <c r="DV307" s="19"/>
      <c r="DW307" s="19"/>
      <c r="DX307" s="19"/>
      <c r="DY307" s="19"/>
      <c r="DZ307" s="19"/>
      <c r="EA307" s="19"/>
      <c r="EB307" s="19"/>
      <c r="EC307" s="19"/>
      <c r="ED307" s="19"/>
      <c r="EE307" s="19"/>
      <c r="EF307" s="19"/>
      <c r="EG307" s="19"/>
      <c r="EH307" s="19"/>
      <c r="EI307" s="19"/>
      <c r="EJ307" s="19"/>
      <c r="EK307" s="19"/>
      <c r="EL307" s="19"/>
      <c r="EM307" s="19"/>
      <c r="EN307" s="19"/>
      <c r="EO307" s="19"/>
      <c r="EP307" s="17"/>
      <c r="EQ307" s="23"/>
      <c r="ER307" s="23" t="str">
        <f t="shared" si="1"/>
        <v/>
      </c>
      <c r="ES307" s="19"/>
      <c r="ET307" s="19" t="str">
        <f t="shared" si="2"/>
        <v/>
      </c>
      <c r="EU307" s="19"/>
      <c r="EV307" s="19"/>
      <c r="EW307" s="19"/>
      <c r="EX307" s="19"/>
      <c r="EY307" s="19"/>
      <c r="EZ307" s="19"/>
      <c r="FA307" s="19"/>
      <c r="FB307" s="19"/>
    </row>
    <row r="308" ht="15.75" customHeight="1">
      <c r="A308" s="19"/>
      <c r="F308" s="19"/>
      <c r="AH308" s="23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  <c r="BD308" s="19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  <c r="BP308" s="19"/>
      <c r="BQ308" s="19"/>
      <c r="BR308" s="19"/>
      <c r="BS308" s="19"/>
      <c r="BT308" s="19"/>
      <c r="BU308" s="19"/>
      <c r="BV308" s="19"/>
      <c r="BW308" s="19"/>
      <c r="BX308" s="19"/>
      <c r="BY308" s="19"/>
      <c r="BZ308" s="19"/>
      <c r="CA308" s="19"/>
      <c r="CB308" s="19"/>
      <c r="CC308" s="19"/>
      <c r="CD308" s="19"/>
      <c r="CE308" s="19"/>
      <c r="CF308" s="19"/>
      <c r="CG308" s="19"/>
      <c r="CH308" s="19"/>
      <c r="CI308" s="19"/>
      <c r="CJ308" s="19"/>
      <c r="CK308" s="19"/>
      <c r="CL308" s="19"/>
      <c r="CM308" s="19"/>
      <c r="CN308" s="19"/>
      <c r="CO308" s="19"/>
      <c r="CP308" s="19"/>
      <c r="CQ308" s="19"/>
      <c r="CR308" s="19"/>
      <c r="CS308" s="19"/>
      <c r="CT308" s="19"/>
      <c r="CU308" s="19"/>
      <c r="CV308" s="19"/>
      <c r="CW308" s="19"/>
      <c r="CX308" s="19"/>
      <c r="CY308" s="19"/>
      <c r="CZ308" s="19"/>
      <c r="DA308" s="19"/>
      <c r="DB308" s="19"/>
      <c r="DC308" s="19"/>
      <c r="DD308" s="19"/>
      <c r="DE308" s="19"/>
      <c r="DF308" s="19"/>
      <c r="DG308" s="19"/>
      <c r="DH308" s="19"/>
      <c r="DI308" s="19"/>
      <c r="DJ308" s="19"/>
      <c r="DK308" s="19"/>
      <c r="DL308" s="19"/>
      <c r="DM308" s="19"/>
      <c r="DN308" s="19"/>
      <c r="DO308" s="19"/>
      <c r="DP308" s="19"/>
      <c r="DQ308" s="19"/>
      <c r="DR308" s="19"/>
      <c r="DS308" s="19"/>
      <c r="DT308" s="19"/>
      <c r="DU308" s="19"/>
      <c r="DV308" s="19"/>
      <c r="DW308" s="19"/>
      <c r="DX308" s="19"/>
      <c r="DY308" s="19"/>
      <c r="DZ308" s="19"/>
      <c r="EA308" s="19"/>
      <c r="EB308" s="19"/>
      <c r="EC308" s="19"/>
      <c r="ED308" s="19"/>
      <c r="EE308" s="19"/>
      <c r="EF308" s="19"/>
      <c r="EG308" s="19"/>
      <c r="EH308" s="19"/>
      <c r="EI308" s="19"/>
      <c r="EJ308" s="19"/>
      <c r="EK308" s="19"/>
      <c r="EL308" s="19"/>
      <c r="EM308" s="19"/>
      <c r="EN308" s="19"/>
      <c r="EO308" s="19"/>
      <c r="EP308" s="17"/>
      <c r="EQ308" s="23"/>
      <c r="ER308" s="23" t="str">
        <f t="shared" si="1"/>
        <v/>
      </c>
      <c r="ES308" s="19"/>
      <c r="ET308" s="19" t="str">
        <f t="shared" si="2"/>
        <v/>
      </c>
      <c r="EU308" s="19"/>
      <c r="EV308" s="19"/>
      <c r="EW308" s="19"/>
      <c r="EX308" s="19"/>
      <c r="EY308" s="19"/>
      <c r="EZ308" s="19"/>
      <c r="FA308" s="19"/>
      <c r="FB308" s="19"/>
    </row>
    <row r="309" ht="15.75" customHeight="1">
      <c r="A309" s="19"/>
      <c r="F309" s="19"/>
      <c r="AH309" s="23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  <c r="BD309" s="19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  <c r="BP309" s="19"/>
      <c r="BQ309" s="19"/>
      <c r="BR309" s="19"/>
      <c r="BS309" s="19"/>
      <c r="BT309" s="19"/>
      <c r="BU309" s="19"/>
      <c r="BV309" s="19"/>
      <c r="BW309" s="19"/>
      <c r="BX309" s="19"/>
      <c r="BY309" s="19"/>
      <c r="BZ309" s="19"/>
      <c r="CA309" s="19"/>
      <c r="CB309" s="19"/>
      <c r="CC309" s="19"/>
      <c r="CD309" s="19"/>
      <c r="CE309" s="19"/>
      <c r="CF309" s="19"/>
      <c r="CG309" s="19"/>
      <c r="CH309" s="19"/>
      <c r="CI309" s="19"/>
      <c r="CJ309" s="19"/>
      <c r="CK309" s="19"/>
      <c r="CL309" s="19"/>
      <c r="CM309" s="19"/>
      <c r="CN309" s="19"/>
      <c r="CO309" s="19"/>
      <c r="CP309" s="19"/>
      <c r="CQ309" s="19"/>
      <c r="CR309" s="19"/>
      <c r="CS309" s="19"/>
      <c r="CT309" s="19"/>
      <c r="CU309" s="19"/>
      <c r="CV309" s="19"/>
      <c r="CW309" s="19"/>
      <c r="CX309" s="19"/>
      <c r="CY309" s="19"/>
      <c r="CZ309" s="19"/>
      <c r="DA309" s="19"/>
      <c r="DB309" s="19"/>
      <c r="DC309" s="19"/>
      <c r="DD309" s="19"/>
      <c r="DE309" s="19"/>
      <c r="DF309" s="19"/>
      <c r="DG309" s="19"/>
      <c r="DH309" s="19"/>
      <c r="DI309" s="19"/>
      <c r="DJ309" s="19"/>
      <c r="DK309" s="19"/>
      <c r="DL309" s="19"/>
      <c r="DM309" s="19"/>
      <c r="DN309" s="19"/>
      <c r="DO309" s="19"/>
      <c r="DP309" s="19"/>
      <c r="DQ309" s="19"/>
      <c r="DR309" s="19"/>
      <c r="DS309" s="19"/>
      <c r="DT309" s="19"/>
      <c r="DU309" s="19"/>
      <c r="DV309" s="19"/>
      <c r="DW309" s="19"/>
      <c r="DX309" s="19"/>
      <c r="DY309" s="19"/>
      <c r="DZ309" s="19"/>
      <c r="EA309" s="19"/>
      <c r="EB309" s="19"/>
      <c r="EC309" s="19"/>
      <c r="ED309" s="19"/>
      <c r="EE309" s="19"/>
      <c r="EF309" s="19"/>
      <c r="EG309" s="19"/>
      <c r="EH309" s="19"/>
      <c r="EI309" s="19"/>
      <c r="EJ309" s="19"/>
      <c r="EK309" s="19"/>
      <c r="EL309" s="19"/>
      <c r="EM309" s="19"/>
      <c r="EN309" s="19"/>
      <c r="EO309" s="19"/>
      <c r="EP309" s="17"/>
      <c r="EQ309" s="23"/>
      <c r="ER309" s="23" t="str">
        <f t="shared" si="1"/>
        <v/>
      </c>
      <c r="ES309" s="19"/>
      <c r="ET309" s="19" t="str">
        <f t="shared" si="2"/>
        <v/>
      </c>
      <c r="EU309" s="19"/>
      <c r="EV309" s="19"/>
      <c r="EW309" s="19"/>
      <c r="EX309" s="19"/>
      <c r="EY309" s="19"/>
      <c r="EZ309" s="19"/>
      <c r="FA309" s="19"/>
      <c r="FB309" s="19"/>
    </row>
    <row r="310" ht="15.75" customHeight="1">
      <c r="A310" s="19"/>
      <c r="F310" s="19"/>
      <c r="AH310" s="23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  <c r="BD310" s="19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  <c r="BP310" s="19"/>
      <c r="BQ310" s="19"/>
      <c r="BR310" s="19"/>
      <c r="BS310" s="19"/>
      <c r="BT310" s="19"/>
      <c r="BU310" s="19"/>
      <c r="BV310" s="19"/>
      <c r="BW310" s="19"/>
      <c r="BX310" s="19"/>
      <c r="BY310" s="19"/>
      <c r="BZ310" s="19"/>
      <c r="CA310" s="19"/>
      <c r="CB310" s="19"/>
      <c r="CC310" s="19"/>
      <c r="CD310" s="19"/>
      <c r="CE310" s="19"/>
      <c r="CF310" s="19"/>
      <c r="CG310" s="19"/>
      <c r="CH310" s="19"/>
      <c r="CI310" s="19"/>
      <c r="CJ310" s="19"/>
      <c r="CK310" s="19"/>
      <c r="CL310" s="19"/>
      <c r="CM310" s="19"/>
      <c r="CN310" s="19"/>
      <c r="CO310" s="19"/>
      <c r="CP310" s="19"/>
      <c r="CQ310" s="19"/>
      <c r="CR310" s="19"/>
      <c r="CS310" s="19"/>
      <c r="CT310" s="19"/>
      <c r="CU310" s="19"/>
      <c r="CV310" s="19"/>
      <c r="CW310" s="19"/>
      <c r="CX310" s="19"/>
      <c r="CY310" s="19"/>
      <c r="CZ310" s="19"/>
      <c r="DA310" s="19"/>
      <c r="DB310" s="19"/>
      <c r="DC310" s="19"/>
      <c r="DD310" s="19"/>
      <c r="DE310" s="19"/>
      <c r="DF310" s="19"/>
      <c r="DG310" s="19"/>
      <c r="DH310" s="19"/>
      <c r="DI310" s="19"/>
      <c r="DJ310" s="19"/>
      <c r="DK310" s="19"/>
      <c r="DL310" s="19"/>
      <c r="DM310" s="19"/>
      <c r="DN310" s="19"/>
      <c r="DO310" s="19"/>
      <c r="DP310" s="19"/>
      <c r="DQ310" s="19"/>
      <c r="DR310" s="19"/>
      <c r="DS310" s="19"/>
      <c r="DT310" s="19"/>
      <c r="DU310" s="19"/>
      <c r="DV310" s="19"/>
      <c r="DW310" s="19"/>
      <c r="DX310" s="19"/>
      <c r="DY310" s="19"/>
      <c r="DZ310" s="19"/>
      <c r="EA310" s="19"/>
      <c r="EB310" s="19"/>
      <c r="EC310" s="19"/>
      <c r="ED310" s="19"/>
      <c r="EE310" s="19"/>
      <c r="EF310" s="19"/>
      <c r="EG310" s="19"/>
      <c r="EH310" s="19"/>
      <c r="EI310" s="19"/>
      <c r="EJ310" s="19"/>
      <c r="EK310" s="19"/>
      <c r="EL310" s="19"/>
      <c r="EM310" s="19"/>
      <c r="EN310" s="19"/>
      <c r="EO310" s="19"/>
      <c r="EP310" s="17"/>
      <c r="EQ310" s="23"/>
      <c r="ER310" s="23" t="str">
        <f t="shared" si="1"/>
        <v/>
      </c>
      <c r="ES310" s="19"/>
      <c r="ET310" s="19" t="str">
        <f t="shared" si="2"/>
        <v/>
      </c>
      <c r="EU310" s="19"/>
      <c r="EV310" s="19"/>
      <c r="EW310" s="19"/>
      <c r="EX310" s="19"/>
      <c r="EY310" s="19"/>
      <c r="EZ310" s="19"/>
      <c r="FA310" s="19"/>
      <c r="FB310" s="19"/>
    </row>
    <row r="311" ht="15.75" customHeight="1">
      <c r="A311" s="19"/>
      <c r="F311" s="19"/>
      <c r="AH311" s="23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  <c r="BD311" s="19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  <c r="BP311" s="19"/>
      <c r="BQ311" s="19"/>
      <c r="BR311" s="19"/>
      <c r="BS311" s="19"/>
      <c r="BT311" s="19"/>
      <c r="BU311" s="19"/>
      <c r="BV311" s="19"/>
      <c r="BW311" s="19"/>
      <c r="BX311" s="19"/>
      <c r="BY311" s="19"/>
      <c r="BZ311" s="19"/>
      <c r="CA311" s="19"/>
      <c r="CB311" s="19"/>
      <c r="CC311" s="19"/>
      <c r="CD311" s="19"/>
      <c r="CE311" s="19"/>
      <c r="CF311" s="19"/>
      <c r="CG311" s="19"/>
      <c r="CH311" s="19"/>
      <c r="CI311" s="19"/>
      <c r="CJ311" s="19"/>
      <c r="CK311" s="19"/>
      <c r="CL311" s="19"/>
      <c r="CM311" s="19"/>
      <c r="CN311" s="19"/>
      <c r="CO311" s="19"/>
      <c r="CP311" s="19"/>
      <c r="CQ311" s="19"/>
      <c r="CR311" s="19"/>
      <c r="CS311" s="19"/>
      <c r="CT311" s="19"/>
      <c r="CU311" s="19"/>
      <c r="CV311" s="19"/>
      <c r="CW311" s="19"/>
      <c r="CX311" s="19"/>
      <c r="CY311" s="19"/>
      <c r="CZ311" s="19"/>
      <c r="DA311" s="19"/>
      <c r="DB311" s="19"/>
      <c r="DC311" s="19"/>
      <c r="DD311" s="19"/>
      <c r="DE311" s="19"/>
      <c r="DF311" s="19"/>
      <c r="DG311" s="19"/>
      <c r="DH311" s="19"/>
      <c r="DI311" s="19"/>
      <c r="DJ311" s="19"/>
      <c r="DK311" s="19"/>
      <c r="DL311" s="19"/>
      <c r="DM311" s="19"/>
      <c r="DN311" s="19"/>
      <c r="DO311" s="19"/>
      <c r="DP311" s="19"/>
      <c r="DQ311" s="19"/>
      <c r="DR311" s="19"/>
      <c r="DS311" s="19"/>
      <c r="DT311" s="19"/>
      <c r="DU311" s="19"/>
      <c r="DV311" s="19"/>
      <c r="DW311" s="19"/>
      <c r="DX311" s="19"/>
      <c r="DY311" s="19"/>
      <c r="DZ311" s="19"/>
      <c r="EA311" s="19"/>
      <c r="EB311" s="19"/>
      <c r="EC311" s="19"/>
      <c r="ED311" s="19"/>
      <c r="EE311" s="19"/>
      <c r="EF311" s="19"/>
      <c r="EG311" s="19"/>
      <c r="EH311" s="19"/>
      <c r="EI311" s="19"/>
      <c r="EJ311" s="19"/>
      <c r="EK311" s="19"/>
      <c r="EL311" s="19"/>
      <c r="EM311" s="19"/>
      <c r="EN311" s="19"/>
      <c r="EO311" s="19"/>
      <c r="EP311" s="17"/>
      <c r="EQ311" s="23"/>
      <c r="ER311" s="23" t="str">
        <f t="shared" si="1"/>
        <v/>
      </c>
      <c r="ES311" s="19"/>
      <c r="ET311" s="19" t="str">
        <f t="shared" si="2"/>
        <v/>
      </c>
      <c r="EU311" s="19"/>
      <c r="EV311" s="19"/>
      <c r="EW311" s="19"/>
      <c r="EX311" s="19"/>
      <c r="EY311" s="19"/>
      <c r="EZ311" s="19"/>
      <c r="FA311" s="19"/>
      <c r="FB311" s="19"/>
    </row>
    <row r="312" ht="15.75" customHeight="1">
      <c r="A312" s="19"/>
      <c r="F312" s="19"/>
      <c r="AH312" s="23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  <c r="BD312" s="19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  <c r="BP312" s="19"/>
      <c r="BQ312" s="19"/>
      <c r="BR312" s="19"/>
      <c r="BS312" s="19"/>
      <c r="BT312" s="19"/>
      <c r="BU312" s="19"/>
      <c r="BV312" s="19"/>
      <c r="BW312" s="19"/>
      <c r="BX312" s="19"/>
      <c r="BY312" s="19"/>
      <c r="BZ312" s="19"/>
      <c r="CA312" s="19"/>
      <c r="CB312" s="19"/>
      <c r="CC312" s="19"/>
      <c r="CD312" s="19"/>
      <c r="CE312" s="19"/>
      <c r="CF312" s="19"/>
      <c r="CG312" s="19"/>
      <c r="CH312" s="19"/>
      <c r="CI312" s="19"/>
      <c r="CJ312" s="19"/>
      <c r="CK312" s="19"/>
      <c r="CL312" s="19"/>
      <c r="CM312" s="19"/>
      <c r="CN312" s="19"/>
      <c r="CO312" s="19"/>
      <c r="CP312" s="19"/>
      <c r="CQ312" s="19"/>
      <c r="CR312" s="19"/>
      <c r="CS312" s="19"/>
      <c r="CT312" s="19"/>
      <c r="CU312" s="19"/>
      <c r="CV312" s="19"/>
      <c r="CW312" s="19"/>
      <c r="CX312" s="19"/>
      <c r="CY312" s="19"/>
      <c r="CZ312" s="19"/>
      <c r="DA312" s="19"/>
      <c r="DB312" s="19"/>
      <c r="DC312" s="19"/>
      <c r="DD312" s="19"/>
      <c r="DE312" s="19"/>
      <c r="DF312" s="19"/>
      <c r="DG312" s="19"/>
      <c r="DH312" s="19"/>
      <c r="DI312" s="19"/>
      <c r="DJ312" s="19"/>
      <c r="DK312" s="19"/>
      <c r="DL312" s="19"/>
      <c r="DM312" s="19"/>
      <c r="DN312" s="19"/>
      <c r="DO312" s="19"/>
      <c r="DP312" s="19"/>
      <c r="DQ312" s="19"/>
      <c r="DR312" s="19"/>
      <c r="DS312" s="19"/>
      <c r="DT312" s="19"/>
      <c r="DU312" s="19"/>
      <c r="DV312" s="19"/>
      <c r="DW312" s="19"/>
      <c r="DX312" s="19"/>
      <c r="DY312" s="19"/>
      <c r="DZ312" s="19"/>
      <c r="EA312" s="19"/>
      <c r="EB312" s="19"/>
      <c r="EC312" s="19"/>
      <c r="ED312" s="19"/>
      <c r="EE312" s="19"/>
      <c r="EF312" s="19"/>
      <c r="EG312" s="19"/>
      <c r="EH312" s="19"/>
      <c r="EI312" s="19"/>
      <c r="EJ312" s="19"/>
      <c r="EK312" s="19"/>
      <c r="EL312" s="19"/>
      <c r="EM312" s="19"/>
      <c r="EN312" s="19"/>
      <c r="EO312" s="19"/>
      <c r="EP312" s="17"/>
      <c r="EQ312" s="23"/>
      <c r="ER312" s="23" t="str">
        <f t="shared" si="1"/>
        <v/>
      </c>
      <c r="ES312" s="19"/>
      <c r="ET312" s="19" t="str">
        <f t="shared" si="2"/>
        <v/>
      </c>
      <c r="EU312" s="19"/>
      <c r="EV312" s="19"/>
      <c r="EW312" s="19"/>
      <c r="EX312" s="19"/>
      <c r="EY312" s="19"/>
      <c r="EZ312" s="19"/>
      <c r="FA312" s="19"/>
      <c r="FB312" s="19"/>
    </row>
    <row r="313" ht="15.75" customHeight="1">
      <c r="A313" s="19"/>
      <c r="F313" s="19"/>
      <c r="AH313" s="23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  <c r="BD313" s="19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  <c r="BP313" s="19"/>
      <c r="BQ313" s="19"/>
      <c r="BR313" s="19"/>
      <c r="BS313" s="19"/>
      <c r="BT313" s="19"/>
      <c r="BU313" s="19"/>
      <c r="BV313" s="19"/>
      <c r="BW313" s="19"/>
      <c r="BX313" s="19"/>
      <c r="BY313" s="19"/>
      <c r="BZ313" s="19"/>
      <c r="CA313" s="19"/>
      <c r="CB313" s="19"/>
      <c r="CC313" s="19"/>
      <c r="CD313" s="19"/>
      <c r="CE313" s="19"/>
      <c r="CF313" s="19"/>
      <c r="CG313" s="19"/>
      <c r="CH313" s="19"/>
      <c r="CI313" s="19"/>
      <c r="CJ313" s="19"/>
      <c r="CK313" s="19"/>
      <c r="CL313" s="19"/>
      <c r="CM313" s="19"/>
      <c r="CN313" s="19"/>
      <c r="CO313" s="19"/>
      <c r="CP313" s="19"/>
      <c r="CQ313" s="19"/>
      <c r="CR313" s="19"/>
      <c r="CS313" s="19"/>
      <c r="CT313" s="19"/>
      <c r="CU313" s="19"/>
      <c r="CV313" s="19"/>
      <c r="CW313" s="19"/>
      <c r="CX313" s="19"/>
      <c r="CY313" s="19"/>
      <c r="CZ313" s="19"/>
      <c r="DA313" s="19"/>
      <c r="DB313" s="19"/>
      <c r="DC313" s="19"/>
      <c r="DD313" s="19"/>
      <c r="DE313" s="19"/>
      <c r="DF313" s="19"/>
      <c r="DG313" s="19"/>
      <c r="DH313" s="19"/>
      <c r="DI313" s="19"/>
      <c r="DJ313" s="19"/>
      <c r="DK313" s="19"/>
      <c r="DL313" s="19"/>
      <c r="DM313" s="19"/>
      <c r="DN313" s="19"/>
      <c r="DO313" s="19"/>
      <c r="DP313" s="19"/>
      <c r="DQ313" s="19"/>
      <c r="DR313" s="19"/>
      <c r="DS313" s="19"/>
      <c r="DT313" s="19"/>
      <c r="DU313" s="19"/>
      <c r="DV313" s="19"/>
      <c r="DW313" s="19"/>
      <c r="DX313" s="19"/>
      <c r="DY313" s="19"/>
      <c r="DZ313" s="19"/>
      <c r="EA313" s="19"/>
      <c r="EB313" s="19"/>
      <c r="EC313" s="19"/>
      <c r="ED313" s="19"/>
      <c r="EE313" s="19"/>
      <c r="EF313" s="19"/>
      <c r="EG313" s="19"/>
      <c r="EH313" s="19"/>
      <c r="EI313" s="19"/>
      <c r="EJ313" s="19"/>
      <c r="EK313" s="19"/>
      <c r="EL313" s="19"/>
      <c r="EM313" s="19"/>
      <c r="EN313" s="19"/>
      <c r="EO313" s="19"/>
      <c r="EP313" s="17"/>
      <c r="EQ313" s="23"/>
      <c r="ER313" s="23" t="str">
        <f t="shared" si="1"/>
        <v/>
      </c>
      <c r="ES313" s="19"/>
      <c r="ET313" s="19" t="str">
        <f t="shared" si="2"/>
        <v/>
      </c>
      <c r="EU313" s="19"/>
      <c r="EV313" s="19"/>
      <c r="EW313" s="19"/>
      <c r="EX313" s="19"/>
      <c r="EY313" s="19"/>
      <c r="EZ313" s="19"/>
      <c r="FA313" s="19"/>
      <c r="FB313" s="19"/>
    </row>
    <row r="314" ht="15.75" customHeight="1">
      <c r="A314" s="19"/>
      <c r="F314" s="19"/>
      <c r="AH314" s="23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  <c r="BD314" s="19"/>
      <c r="BE314" s="19"/>
      <c r="BF314" s="19"/>
      <c r="BG314" s="19"/>
      <c r="BH314" s="19"/>
      <c r="BI314" s="19"/>
      <c r="BJ314" s="19"/>
      <c r="BK314" s="19"/>
      <c r="BL314" s="19"/>
      <c r="BM314" s="19"/>
      <c r="BN314" s="19"/>
      <c r="BO314" s="19"/>
      <c r="BP314" s="19"/>
      <c r="BQ314" s="19"/>
      <c r="BR314" s="19"/>
      <c r="BS314" s="19"/>
      <c r="BT314" s="19"/>
      <c r="BU314" s="19"/>
      <c r="BV314" s="19"/>
      <c r="BW314" s="19"/>
      <c r="BX314" s="19"/>
      <c r="BY314" s="19"/>
      <c r="BZ314" s="19"/>
      <c r="CA314" s="19"/>
      <c r="CB314" s="19"/>
      <c r="CC314" s="19"/>
      <c r="CD314" s="19"/>
      <c r="CE314" s="19"/>
      <c r="CF314" s="19"/>
      <c r="CG314" s="19"/>
      <c r="CH314" s="19"/>
      <c r="CI314" s="19"/>
      <c r="CJ314" s="19"/>
      <c r="CK314" s="19"/>
      <c r="CL314" s="19"/>
      <c r="CM314" s="19"/>
      <c r="CN314" s="19"/>
      <c r="CO314" s="19"/>
      <c r="CP314" s="19"/>
      <c r="CQ314" s="19"/>
      <c r="CR314" s="19"/>
      <c r="CS314" s="19"/>
      <c r="CT314" s="19"/>
      <c r="CU314" s="19"/>
      <c r="CV314" s="19"/>
      <c r="CW314" s="19"/>
      <c r="CX314" s="19"/>
      <c r="CY314" s="19"/>
      <c r="CZ314" s="19"/>
      <c r="DA314" s="19"/>
      <c r="DB314" s="19"/>
      <c r="DC314" s="19"/>
      <c r="DD314" s="19"/>
      <c r="DE314" s="19"/>
      <c r="DF314" s="19"/>
      <c r="DG314" s="19"/>
      <c r="DH314" s="19"/>
      <c r="DI314" s="19"/>
      <c r="DJ314" s="19"/>
      <c r="DK314" s="19"/>
      <c r="DL314" s="19"/>
      <c r="DM314" s="19"/>
      <c r="DN314" s="19"/>
      <c r="DO314" s="19"/>
      <c r="DP314" s="19"/>
      <c r="DQ314" s="19"/>
      <c r="DR314" s="19"/>
      <c r="DS314" s="19"/>
      <c r="DT314" s="19"/>
      <c r="DU314" s="19"/>
      <c r="DV314" s="19"/>
      <c r="DW314" s="19"/>
      <c r="DX314" s="19"/>
      <c r="DY314" s="19"/>
      <c r="DZ314" s="19"/>
      <c r="EA314" s="19"/>
      <c r="EB314" s="19"/>
      <c r="EC314" s="19"/>
      <c r="ED314" s="19"/>
      <c r="EE314" s="19"/>
      <c r="EF314" s="19"/>
      <c r="EG314" s="19"/>
      <c r="EH314" s="19"/>
      <c r="EI314" s="19"/>
      <c r="EJ314" s="19"/>
      <c r="EK314" s="19"/>
      <c r="EL314" s="19"/>
      <c r="EM314" s="19"/>
      <c r="EN314" s="19"/>
      <c r="EO314" s="19"/>
      <c r="EP314" s="17"/>
      <c r="EQ314" s="23"/>
      <c r="ER314" s="23" t="str">
        <f t="shared" si="1"/>
        <v/>
      </c>
      <c r="ES314" s="19"/>
      <c r="ET314" s="19" t="str">
        <f t="shared" si="2"/>
        <v/>
      </c>
      <c r="EU314" s="19"/>
      <c r="EV314" s="19"/>
      <c r="EW314" s="19"/>
      <c r="EX314" s="19"/>
      <c r="EY314" s="19"/>
      <c r="EZ314" s="19"/>
      <c r="FA314" s="19"/>
      <c r="FB314" s="19"/>
    </row>
    <row r="315" ht="15.75" customHeight="1">
      <c r="A315" s="19"/>
      <c r="F315" s="19"/>
      <c r="AH315" s="23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  <c r="BD315" s="19"/>
      <c r="BE315" s="19"/>
      <c r="BF315" s="19"/>
      <c r="BG315" s="19"/>
      <c r="BH315" s="19"/>
      <c r="BI315" s="19"/>
      <c r="BJ315" s="19"/>
      <c r="BK315" s="19"/>
      <c r="BL315" s="19"/>
      <c r="BM315" s="19"/>
      <c r="BN315" s="19"/>
      <c r="BO315" s="19"/>
      <c r="BP315" s="19"/>
      <c r="BQ315" s="19"/>
      <c r="BR315" s="19"/>
      <c r="BS315" s="19"/>
      <c r="BT315" s="19"/>
      <c r="BU315" s="19"/>
      <c r="BV315" s="19"/>
      <c r="BW315" s="19"/>
      <c r="BX315" s="19"/>
      <c r="BY315" s="19"/>
      <c r="BZ315" s="19"/>
      <c r="CA315" s="19"/>
      <c r="CB315" s="19"/>
      <c r="CC315" s="19"/>
      <c r="CD315" s="19"/>
      <c r="CE315" s="19"/>
      <c r="CF315" s="19"/>
      <c r="CG315" s="19"/>
      <c r="CH315" s="19"/>
      <c r="CI315" s="19"/>
      <c r="CJ315" s="19"/>
      <c r="CK315" s="19"/>
      <c r="CL315" s="19"/>
      <c r="CM315" s="19"/>
      <c r="CN315" s="19"/>
      <c r="CO315" s="19"/>
      <c r="CP315" s="19"/>
      <c r="CQ315" s="19"/>
      <c r="CR315" s="19"/>
      <c r="CS315" s="19"/>
      <c r="CT315" s="19"/>
      <c r="CU315" s="19"/>
      <c r="CV315" s="19"/>
      <c r="CW315" s="19"/>
      <c r="CX315" s="19"/>
      <c r="CY315" s="19"/>
      <c r="CZ315" s="19"/>
      <c r="DA315" s="19"/>
      <c r="DB315" s="19"/>
      <c r="DC315" s="19"/>
      <c r="DD315" s="19"/>
      <c r="DE315" s="19"/>
      <c r="DF315" s="19"/>
      <c r="DG315" s="19"/>
      <c r="DH315" s="19"/>
      <c r="DI315" s="19"/>
      <c r="DJ315" s="19"/>
      <c r="DK315" s="19"/>
      <c r="DL315" s="19"/>
      <c r="DM315" s="19"/>
      <c r="DN315" s="19"/>
      <c r="DO315" s="19"/>
      <c r="DP315" s="19"/>
      <c r="DQ315" s="19"/>
      <c r="DR315" s="19"/>
      <c r="DS315" s="19"/>
      <c r="DT315" s="19"/>
      <c r="DU315" s="19"/>
      <c r="DV315" s="19"/>
      <c r="DW315" s="19"/>
      <c r="DX315" s="19"/>
      <c r="DY315" s="19"/>
      <c r="DZ315" s="19"/>
      <c r="EA315" s="19"/>
      <c r="EB315" s="19"/>
      <c r="EC315" s="19"/>
      <c r="ED315" s="19"/>
      <c r="EE315" s="19"/>
      <c r="EF315" s="19"/>
      <c r="EG315" s="19"/>
      <c r="EH315" s="19"/>
      <c r="EI315" s="19"/>
      <c r="EJ315" s="19"/>
      <c r="EK315" s="19"/>
      <c r="EL315" s="19"/>
      <c r="EM315" s="19"/>
      <c r="EN315" s="19"/>
      <c r="EO315" s="19"/>
      <c r="EP315" s="17"/>
      <c r="EQ315" s="23"/>
      <c r="ER315" s="23" t="str">
        <f t="shared" si="1"/>
        <v/>
      </c>
      <c r="ES315" s="19"/>
      <c r="ET315" s="19" t="str">
        <f t="shared" si="2"/>
        <v/>
      </c>
      <c r="EU315" s="19"/>
      <c r="EV315" s="19"/>
      <c r="EW315" s="19"/>
      <c r="EX315" s="19"/>
      <c r="EY315" s="19"/>
      <c r="EZ315" s="19"/>
      <c r="FA315" s="19"/>
      <c r="FB315" s="19"/>
    </row>
    <row r="316" ht="15.75" customHeight="1">
      <c r="A316" s="19"/>
      <c r="F316" s="19"/>
      <c r="AH316" s="23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  <c r="BD316" s="19"/>
      <c r="BE316" s="19"/>
      <c r="BF316" s="19"/>
      <c r="BG316" s="19"/>
      <c r="BH316" s="19"/>
      <c r="BI316" s="19"/>
      <c r="BJ316" s="19"/>
      <c r="BK316" s="19"/>
      <c r="BL316" s="19"/>
      <c r="BM316" s="19"/>
      <c r="BN316" s="19"/>
      <c r="BO316" s="19"/>
      <c r="BP316" s="19"/>
      <c r="BQ316" s="19"/>
      <c r="BR316" s="19"/>
      <c r="BS316" s="19"/>
      <c r="BT316" s="19"/>
      <c r="BU316" s="19"/>
      <c r="BV316" s="19"/>
      <c r="BW316" s="19"/>
      <c r="BX316" s="19"/>
      <c r="BY316" s="19"/>
      <c r="BZ316" s="19"/>
      <c r="CA316" s="19"/>
      <c r="CB316" s="19"/>
      <c r="CC316" s="19"/>
      <c r="CD316" s="19"/>
      <c r="CE316" s="19"/>
      <c r="CF316" s="19"/>
      <c r="CG316" s="19"/>
      <c r="CH316" s="19"/>
      <c r="CI316" s="19"/>
      <c r="CJ316" s="19"/>
      <c r="CK316" s="19"/>
      <c r="CL316" s="19"/>
      <c r="CM316" s="19"/>
      <c r="CN316" s="19"/>
      <c r="CO316" s="19"/>
      <c r="CP316" s="19"/>
      <c r="CQ316" s="19"/>
      <c r="CR316" s="19"/>
      <c r="CS316" s="19"/>
      <c r="CT316" s="19"/>
      <c r="CU316" s="19"/>
      <c r="CV316" s="19"/>
      <c r="CW316" s="19"/>
      <c r="CX316" s="19"/>
      <c r="CY316" s="19"/>
      <c r="CZ316" s="19"/>
      <c r="DA316" s="19"/>
      <c r="DB316" s="19"/>
      <c r="DC316" s="19"/>
      <c r="DD316" s="19"/>
      <c r="DE316" s="19"/>
      <c r="DF316" s="19"/>
      <c r="DG316" s="19"/>
      <c r="DH316" s="19"/>
      <c r="DI316" s="19"/>
      <c r="DJ316" s="19"/>
      <c r="DK316" s="19"/>
      <c r="DL316" s="19"/>
      <c r="DM316" s="19"/>
      <c r="DN316" s="19"/>
      <c r="DO316" s="19"/>
      <c r="DP316" s="19"/>
      <c r="DQ316" s="19"/>
      <c r="DR316" s="19"/>
      <c r="DS316" s="19"/>
      <c r="DT316" s="19"/>
      <c r="DU316" s="19"/>
      <c r="DV316" s="19"/>
      <c r="DW316" s="19"/>
      <c r="DX316" s="19"/>
      <c r="DY316" s="19"/>
      <c r="DZ316" s="19"/>
      <c r="EA316" s="19"/>
      <c r="EB316" s="19"/>
      <c r="EC316" s="19"/>
      <c r="ED316" s="19"/>
      <c r="EE316" s="19"/>
      <c r="EF316" s="19"/>
      <c r="EG316" s="19"/>
      <c r="EH316" s="19"/>
      <c r="EI316" s="19"/>
      <c r="EJ316" s="19"/>
      <c r="EK316" s="19"/>
      <c r="EL316" s="19"/>
      <c r="EM316" s="19"/>
      <c r="EN316" s="19"/>
      <c r="EO316" s="19"/>
      <c r="EP316" s="17"/>
      <c r="EQ316" s="23"/>
      <c r="ER316" s="23" t="str">
        <f t="shared" si="1"/>
        <v/>
      </c>
      <c r="ES316" s="19"/>
      <c r="ET316" s="19" t="str">
        <f t="shared" si="2"/>
        <v/>
      </c>
      <c r="EU316" s="19"/>
      <c r="EV316" s="19"/>
      <c r="EW316" s="19"/>
      <c r="EX316" s="19"/>
      <c r="EY316" s="19"/>
      <c r="EZ316" s="19"/>
      <c r="FA316" s="19"/>
      <c r="FB316" s="19"/>
    </row>
    <row r="317" ht="15.75" customHeight="1">
      <c r="A317" s="19"/>
      <c r="F317" s="19"/>
      <c r="AH317" s="23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  <c r="BD317" s="19"/>
      <c r="BE317" s="19"/>
      <c r="BF317" s="19"/>
      <c r="BG317" s="19"/>
      <c r="BH317" s="19"/>
      <c r="BI317" s="19"/>
      <c r="BJ317" s="19"/>
      <c r="BK317" s="19"/>
      <c r="BL317" s="19"/>
      <c r="BM317" s="19"/>
      <c r="BN317" s="19"/>
      <c r="BO317" s="19"/>
      <c r="BP317" s="19"/>
      <c r="BQ317" s="19"/>
      <c r="BR317" s="19"/>
      <c r="BS317" s="19"/>
      <c r="BT317" s="19"/>
      <c r="BU317" s="19"/>
      <c r="BV317" s="19"/>
      <c r="BW317" s="19"/>
      <c r="BX317" s="19"/>
      <c r="BY317" s="19"/>
      <c r="BZ317" s="19"/>
      <c r="CA317" s="19"/>
      <c r="CB317" s="19"/>
      <c r="CC317" s="19"/>
      <c r="CD317" s="19"/>
      <c r="CE317" s="19"/>
      <c r="CF317" s="19"/>
      <c r="CG317" s="19"/>
      <c r="CH317" s="19"/>
      <c r="CI317" s="19"/>
      <c r="CJ317" s="19"/>
      <c r="CK317" s="19"/>
      <c r="CL317" s="19"/>
      <c r="CM317" s="19"/>
      <c r="CN317" s="19"/>
      <c r="CO317" s="19"/>
      <c r="CP317" s="19"/>
      <c r="CQ317" s="19"/>
      <c r="CR317" s="19"/>
      <c r="CS317" s="19"/>
      <c r="CT317" s="19"/>
      <c r="CU317" s="19"/>
      <c r="CV317" s="19"/>
      <c r="CW317" s="19"/>
      <c r="CX317" s="19"/>
      <c r="CY317" s="19"/>
      <c r="CZ317" s="19"/>
      <c r="DA317" s="19"/>
      <c r="DB317" s="19"/>
      <c r="DC317" s="19"/>
      <c r="DD317" s="19"/>
      <c r="DE317" s="19"/>
      <c r="DF317" s="19"/>
      <c r="DG317" s="19"/>
      <c r="DH317" s="19"/>
      <c r="DI317" s="19"/>
      <c r="DJ317" s="19"/>
      <c r="DK317" s="19"/>
      <c r="DL317" s="19"/>
      <c r="DM317" s="19"/>
      <c r="DN317" s="19"/>
      <c r="DO317" s="19"/>
      <c r="DP317" s="19"/>
      <c r="DQ317" s="19"/>
      <c r="DR317" s="19"/>
      <c r="DS317" s="19"/>
      <c r="DT317" s="19"/>
      <c r="DU317" s="19"/>
      <c r="DV317" s="19"/>
      <c r="DW317" s="19"/>
      <c r="DX317" s="19"/>
      <c r="DY317" s="19"/>
      <c r="DZ317" s="19"/>
      <c r="EA317" s="19"/>
      <c r="EB317" s="19"/>
      <c r="EC317" s="19"/>
      <c r="ED317" s="19"/>
      <c r="EE317" s="19"/>
      <c r="EF317" s="19"/>
      <c r="EG317" s="19"/>
      <c r="EH317" s="19"/>
      <c r="EI317" s="19"/>
      <c r="EJ317" s="19"/>
      <c r="EK317" s="19"/>
      <c r="EL317" s="19"/>
      <c r="EM317" s="19"/>
      <c r="EN317" s="19"/>
      <c r="EO317" s="19"/>
      <c r="EP317" s="17"/>
      <c r="EQ317" s="23"/>
      <c r="ER317" s="23" t="str">
        <f t="shared" si="1"/>
        <v/>
      </c>
      <c r="ES317" s="19"/>
      <c r="ET317" s="19" t="str">
        <f t="shared" si="2"/>
        <v/>
      </c>
      <c r="EU317" s="19"/>
      <c r="EV317" s="19"/>
      <c r="EW317" s="19"/>
      <c r="EX317" s="19"/>
      <c r="EY317" s="19"/>
      <c r="EZ317" s="19"/>
      <c r="FA317" s="19"/>
      <c r="FB317" s="19"/>
    </row>
    <row r="318" ht="15.75" customHeight="1">
      <c r="A318" s="19"/>
      <c r="F318" s="19"/>
      <c r="AH318" s="23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  <c r="BD318" s="19"/>
      <c r="BE318" s="19"/>
      <c r="BF318" s="19"/>
      <c r="BG318" s="19"/>
      <c r="BH318" s="19"/>
      <c r="BI318" s="19"/>
      <c r="BJ318" s="19"/>
      <c r="BK318" s="19"/>
      <c r="BL318" s="19"/>
      <c r="BM318" s="19"/>
      <c r="BN318" s="19"/>
      <c r="BO318" s="19"/>
      <c r="BP318" s="19"/>
      <c r="BQ318" s="19"/>
      <c r="BR318" s="19"/>
      <c r="BS318" s="19"/>
      <c r="BT318" s="19"/>
      <c r="BU318" s="19"/>
      <c r="BV318" s="19"/>
      <c r="BW318" s="19"/>
      <c r="BX318" s="19"/>
      <c r="BY318" s="19"/>
      <c r="BZ318" s="19"/>
      <c r="CA318" s="19"/>
      <c r="CB318" s="19"/>
      <c r="CC318" s="19"/>
      <c r="CD318" s="19"/>
      <c r="CE318" s="19"/>
      <c r="CF318" s="19"/>
      <c r="CG318" s="19"/>
      <c r="CH318" s="19"/>
      <c r="CI318" s="19"/>
      <c r="CJ318" s="19"/>
      <c r="CK318" s="19"/>
      <c r="CL318" s="19"/>
      <c r="CM318" s="19"/>
      <c r="CN318" s="19"/>
      <c r="CO318" s="19"/>
      <c r="CP318" s="19"/>
      <c r="CQ318" s="19"/>
      <c r="CR318" s="19"/>
      <c r="CS318" s="19"/>
      <c r="CT318" s="19"/>
      <c r="CU318" s="19"/>
      <c r="CV318" s="19"/>
      <c r="CW318" s="19"/>
      <c r="CX318" s="19"/>
      <c r="CY318" s="19"/>
      <c r="CZ318" s="19"/>
      <c r="DA318" s="19"/>
      <c r="DB318" s="19"/>
      <c r="DC318" s="19"/>
      <c r="DD318" s="19"/>
      <c r="DE318" s="19"/>
      <c r="DF318" s="19"/>
      <c r="DG318" s="19"/>
      <c r="DH318" s="19"/>
      <c r="DI318" s="19"/>
      <c r="DJ318" s="19"/>
      <c r="DK318" s="19"/>
      <c r="DL318" s="19"/>
      <c r="DM318" s="19"/>
      <c r="DN318" s="19"/>
      <c r="DO318" s="19"/>
      <c r="DP318" s="19"/>
      <c r="DQ318" s="19"/>
      <c r="DR318" s="19"/>
      <c r="DS318" s="19"/>
      <c r="DT318" s="19"/>
      <c r="DU318" s="19"/>
      <c r="DV318" s="19"/>
      <c r="DW318" s="19"/>
      <c r="DX318" s="19"/>
      <c r="DY318" s="19"/>
      <c r="DZ318" s="19"/>
      <c r="EA318" s="19"/>
      <c r="EB318" s="19"/>
      <c r="EC318" s="19"/>
      <c r="ED318" s="19"/>
      <c r="EE318" s="19"/>
      <c r="EF318" s="19"/>
      <c r="EG318" s="19"/>
      <c r="EH318" s="19"/>
      <c r="EI318" s="19"/>
      <c r="EJ318" s="19"/>
      <c r="EK318" s="19"/>
      <c r="EL318" s="19"/>
      <c r="EM318" s="19"/>
      <c r="EN318" s="19"/>
      <c r="EO318" s="19"/>
      <c r="EP318" s="17"/>
      <c r="EQ318" s="23"/>
      <c r="ER318" s="23" t="str">
        <f t="shared" si="1"/>
        <v/>
      </c>
      <c r="ES318" s="19"/>
      <c r="ET318" s="19" t="str">
        <f t="shared" si="2"/>
        <v/>
      </c>
      <c r="EU318" s="19"/>
      <c r="EV318" s="19"/>
      <c r="EW318" s="19"/>
      <c r="EX318" s="19"/>
      <c r="EY318" s="19"/>
      <c r="EZ318" s="19"/>
      <c r="FA318" s="19"/>
      <c r="FB318" s="19"/>
    </row>
    <row r="319" ht="15.75" customHeight="1">
      <c r="A319" s="19"/>
      <c r="F319" s="19"/>
      <c r="AH319" s="23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  <c r="BD319" s="19"/>
      <c r="BE319" s="19"/>
      <c r="BF319" s="19"/>
      <c r="BG319" s="19"/>
      <c r="BH319" s="19"/>
      <c r="BI319" s="19"/>
      <c r="BJ319" s="19"/>
      <c r="BK319" s="19"/>
      <c r="BL319" s="19"/>
      <c r="BM319" s="19"/>
      <c r="BN319" s="19"/>
      <c r="BO319" s="19"/>
      <c r="BP319" s="19"/>
      <c r="BQ319" s="19"/>
      <c r="BR319" s="19"/>
      <c r="BS319" s="19"/>
      <c r="BT319" s="19"/>
      <c r="BU319" s="19"/>
      <c r="BV319" s="19"/>
      <c r="BW319" s="19"/>
      <c r="BX319" s="19"/>
      <c r="BY319" s="19"/>
      <c r="BZ319" s="19"/>
      <c r="CA319" s="19"/>
      <c r="CB319" s="19"/>
      <c r="CC319" s="19"/>
      <c r="CD319" s="19"/>
      <c r="CE319" s="19"/>
      <c r="CF319" s="19"/>
      <c r="CG319" s="19"/>
      <c r="CH319" s="19"/>
      <c r="CI319" s="19"/>
      <c r="CJ319" s="19"/>
      <c r="CK319" s="19"/>
      <c r="CL319" s="19"/>
      <c r="CM319" s="19"/>
      <c r="CN319" s="19"/>
      <c r="CO319" s="19"/>
      <c r="CP319" s="19"/>
      <c r="CQ319" s="19"/>
      <c r="CR319" s="19"/>
      <c r="CS319" s="19"/>
      <c r="CT319" s="19"/>
      <c r="CU319" s="19"/>
      <c r="CV319" s="19"/>
      <c r="CW319" s="19"/>
      <c r="CX319" s="19"/>
      <c r="CY319" s="19"/>
      <c r="CZ319" s="19"/>
      <c r="DA319" s="19"/>
      <c r="DB319" s="19"/>
      <c r="DC319" s="19"/>
      <c r="DD319" s="19"/>
      <c r="DE319" s="19"/>
      <c r="DF319" s="19"/>
      <c r="DG319" s="19"/>
      <c r="DH319" s="19"/>
      <c r="DI319" s="19"/>
      <c r="DJ319" s="19"/>
      <c r="DK319" s="19"/>
      <c r="DL319" s="19"/>
      <c r="DM319" s="19"/>
      <c r="DN319" s="19"/>
      <c r="DO319" s="19"/>
      <c r="DP319" s="19"/>
      <c r="DQ319" s="19"/>
      <c r="DR319" s="19"/>
      <c r="DS319" s="19"/>
      <c r="DT319" s="19"/>
      <c r="DU319" s="19"/>
      <c r="DV319" s="19"/>
      <c r="DW319" s="19"/>
      <c r="DX319" s="19"/>
      <c r="DY319" s="19"/>
      <c r="DZ319" s="19"/>
      <c r="EA319" s="19"/>
      <c r="EB319" s="19"/>
      <c r="EC319" s="19"/>
      <c r="ED319" s="19"/>
      <c r="EE319" s="19"/>
      <c r="EF319" s="19"/>
      <c r="EG319" s="19"/>
      <c r="EH319" s="19"/>
      <c r="EI319" s="19"/>
      <c r="EJ319" s="19"/>
      <c r="EK319" s="19"/>
      <c r="EL319" s="19"/>
      <c r="EM319" s="19"/>
      <c r="EN319" s="19"/>
      <c r="EO319" s="19"/>
      <c r="EP319" s="17"/>
      <c r="EQ319" s="23"/>
      <c r="ER319" s="23" t="str">
        <f t="shared" si="1"/>
        <v/>
      </c>
      <c r="ES319" s="19"/>
      <c r="ET319" s="19" t="str">
        <f t="shared" si="2"/>
        <v/>
      </c>
      <c r="EU319" s="19"/>
      <c r="EV319" s="19"/>
      <c r="EW319" s="19"/>
      <c r="EX319" s="19"/>
      <c r="EY319" s="19"/>
      <c r="EZ319" s="19"/>
      <c r="FA319" s="19"/>
      <c r="FB319" s="19"/>
    </row>
    <row r="320" ht="15.75" customHeight="1">
      <c r="A320" s="19"/>
      <c r="F320" s="19"/>
      <c r="AH320" s="23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  <c r="BD320" s="19"/>
      <c r="BE320" s="19"/>
      <c r="BF320" s="19"/>
      <c r="BG320" s="19"/>
      <c r="BH320" s="19"/>
      <c r="BI320" s="19"/>
      <c r="BJ320" s="19"/>
      <c r="BK320" s="19"/>
      <c r="BL320" s="19"/>
      <c r="BM320" s="19"/>
      <c r="BN320" s="19"/>
      <c r="BO320" s="19"/>
      <c r="BP320" s="19"/>
      <c r="BQ320" s="19"/>
      <c r="BR320" s="19"/>
      <c r="BS320" s="19"/>
      <c r="BT320" s="19"/>
      <c r="BU320" s="19"/>
      <c r="BV320" s="19"/>
      <c r="BW320" s="19"/>
      <c r="BX320" s="19"/>
      <c r="BY320" s="19"/>
      <c r="BZ320" s="19"/>
      <c r="CA320" s="19"/>
      <c r="CB320" s="19"/>
      <c r="CC320" s="19"/>
      <c r="CD320" s="19"/>
      <c r="CE320" s="19"/>
      <c r="CF320" s="19"/>
      <c r="CG320" s="19"/>
      <c r="CH320" s="19"/>
      <c r="CI320" s="19"/>
      <c r="CJ320" s="19"/>
      <c r="CK320" s="19"/>
      <c r="CL320" s="19"/>
      <c r="CM320" s="19"/>
      <c r="CN320" s="19"/>
      <c r="CO320" s="19"/>
      <c r="CP320" s="19"/>
      <c r="CQ320" s="19"/>
      <c r="CR320" s="19"/>
      <c r="CS320" s="19"/>
      <c r="CT320" s="19"/>
      <c r="CU320" s="19"/>
      <c r="CV320" s="19"/>
      <c r="CW320" s="19"/>
      <c r="CX320" s="19"/>
      <c r="CY320" s="19"/>
      <c r="CZ320" s="19"/>
      <c r="DA320" s="19"/>
      <c r="DB320" s="19"/>
      <c r="DC320" s="19"/>
      <c r="DD320" s="19"/>
      <c r="DE320" s="19"/>
      <c r="DF320" s="19"/>
      <c r="DG320" s="19"/>
      <c r="DH320" s="19"/>
      <c r="DI320" s="19"/>
      <c r="DJ320" s="19"/>
      <c r="DK320" s="19"/>
      <c r="DL320" s="19"/>
      <c r="DM320" s="19"/>
      <c r="DN320" s="19"/>
      <c r="DO320" s="19"/>
      <c r="DP320" s="19"/>
      <c r="DQ320" s="19"/>
      <c r="DR320" s="19"/>
      <c r="DS320" s="19"/>
      <c r="DT320" s="19"/>
      <c r="DU320" s="19"/>
      <c r="DV320" s="19"/>
      <c r="DW320" s="19"/>
      <c r="DX320" s="19"/>
      <c r="DY320" s="19"/>
      <c r="DZ320" s="19"/>
      <c r="EA320" s="19"/>
      <c r="EB320" s="19"/>
      <c r="EC320" s="19"/>
      <c r="ED320" s="19"/>
      <c r="EE320" s="19"/>
      <c r="EF320" s="19"/>
      <c r="EG320" s="19"/>
      <c r="EH320" s="19"/>
      <c r="EI320" s="19"/>
      <c r="EJ320" s="19"/>
      <c r="EK320" s="19"/>
      <c r="EL320" s="19"/>
      <c r="EM320" s="19"/>
      <c r="EN320" s="19"/>
      <c r="EO320" s="19"/>
      <c r="EP320" s="17"/>
      <c r="EQ320" s="23"/>
      <c r="ER320" s="23" t="str">
        <f t="shared" si="1"/>
        <v/>
      </c>
      <c r="ES320" s="19"/>
      <c r="ET320" s="19" t="str">
        <f t="shared" si="2"/>
        <v/>
      </c>
      <c r="EU320" s="19"/>
      <c r="EV320" s="19"/>
      <c r="EW320" s="19"/>
      <c r="EX320" s="19"/>
      <c r="EY320" s="19"/>
      <c r="EZ320" s="19"/>
      <c r="FA320" s="19"/>
      <c r="FB320" s="19"/>
    </row>
    <row r="321" ht="15.75" customHeight="1">
      <c r="A321" s="19"/>
      <c r="F321" s="19"/>
      <c r="AH321" s="23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  <c r="BD321" s="19"/>
      <c r="BE321" s="19"/>
      <c r="BF321" s="19"/>
      <c r="BG321" s="19"/>
      <c r="BH321" s="19"/>
      <c r="BI321" s="19"/>
      <c r="BJ321" s="19"/>
      <c r="BK321" s="19"/>
      <c r="BL321" s="19"/>
      <c r="BM321" s="19"/>
      <c r="BN321" s="19"/>
      <c r="BO321" s="19"/>
      <c r="BP321" s="19"/>
      <c r="BQ321" s="19"/>
      <c r="BR321" s="19"/>
      <c r="BS321" s="19"/>
      <c r="BT321" s="19"/>
      <c r="BU321" s="19"/>
      <c r="BV321" s="19"/>
      <c r="BW321" s="19"/>
      <c r="BX321" s="19"/>
      <c r="BY321" s="19"/>
      <c r="BZ321" s="19"/>
      <c r="CA321" s="19"/>
      <c r="CB321" s="19"/>
      <c r="CC321" s="19"/>
      <c r="CD321" s="19"/>
      <c r="CE321" s="19"/>
      <c r="CF321" s="19"/>
      <c r="CG321" s="19"/>
      <c r="CH321" s="19"/>
      <c r="CI321" s="19"/>
      <c r="CJ321" s="19"/>
      <c r="CK321" s="19"/>
      <c r="CL321" s="19"/>
      <c r="CM321" s="19"/>
      <c r="CN321" s="19"/>
      <c r="CO321" s="19"/>
      <c r="CP321" s="19"/>
      <c r="CQ321" s="19"/>
      <c r="CR321" s="19"/>
      <c r="CS321" s="19"/>
      <c r="CT321" s="19"/>
      <c r="CU321" s="19"/>
      <c r="CV321" s="19"/>
      <c r="CW321" s="19"/>
      <c r="CX321" s="19"/>
      <c r="CY321" s="19"/>
      <c r="CZ321" s="19"/>
      <c r="DA321" s="19"/>
      <c r="DB321" s="19"/>
      <c r="DC321" s="19"/>
      <c r="DD321" s="19"/>
      <c r="DE321" s="19"/>
      <c r="DF321" s="19"/>
      <c r="DG321" s="19"/>
      <c r="DH321" s="19"/>
      <c r="DI321" s="19"/>
      <c r="DJ321" s="19"/>
      <c r="DK321" s="19"/>
      <c r="DL321" s="19"/>
      <c r="DM321" s="19"/>
      <c r="DN321" s="19"/>
      <c r="DO321" s="19"/>
      <c r="DP321" s="19"/>
      <c r="DQ321" s="19"/>
      <c r="DR321" s="19"/>
      <c r="DS321" s="19"/>
      <c r="DT321" s="19"/>
      <c r="DU321" s="19"/>
      <c r="DV321" s="19"/>
      <c r="DW321" s="19"/>
      <c r="DX321" s="19"/>
      <c r="DY321" s="19"/>
      <c r="DZ321" s="19"/>
      <c r="EA321" s="19"/>
      <c r="EB321" s="19"/>
      <c r="EC321" s="19"/>
      <c r="ED321" s="19"/>
      <c r="EE321" s="19"/>
      <c r="EF321" s="19"/>
      <c r="EG321" s="19"/>
      <c r="EH321" s="19"/>
      <c r="EI321" s="19"/>
      <c r="EJ321" s="19"/>
      <c r="EK321" s="19"/>
      <c r="EL321" s="19"/>
      <c r="EM321" s="19"/>
      <c r="EN321" s="19"/>
      <c r="EO321" s="19"/>
      <c r="EP321" s="17"/>
      <c r="EQ321" s="23"/>
      <c r="ER321" s="23" t="str">
        <f t="shared" si="1"/>
        <v/>
      </c>
      <c r="ES321" s="19"/>
      <c r="ET321" s="19" t="str">
        <f t="shared" si="2"/>
        <v/>
      </c>
      <c r="EU321" s="19"/>
      <c r="EV321" s="19"/>
      <c r="EW321" s="19"/>
      <c r="EX321" s="19"/>
      <c r="EY321" s="19"/>
      <c r="EZ321" s="19"/>
      <c r="FA321" s="19"/>
      <c r="FB321" s="19"/>
    </row>
    <row r="322" ht="15.75" customHeight="1">
      <c r="A322" s="19"/>
      <c r="F322" s="19"/>
      <c r="AH322" s="23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  <c r="BD322" s="19"/>
      <c r="BE322" s="19"/>
      <c r="BF322" s="19"/>
      <c r="BG322" s="19"/>
      <c r="BH322" s="19"/>
      <c r="BI322" s="19"/>
      <c r="BJ322" s="19"/>
      <c r="BK322" s="19"/>
      <c r="BL322" s="19"/>
      <c r="BM322" s="19"/>
      <c r="BN322" s="19"/>
      <c r="BO322" s="19"/>
      <c r="BP322" s="19"/>
      <c r="BQ322" s="19"/>
      <c r="BR322" s="19"/>
      <c r="BS322" s="19"/>
      <c r="BT322" s="19"/>
      <c r="BU322" s="19"/>
      <c r="BV322" s="19"/>
      <c r="BW322" s="19"/>
      <c r="BX322" s="19"/>
      <c r="BY322" s="19"/>
      <c r="BZ322" s="19"/>
      <c r="CA322" s="19"/>
      <c r="CB322" s="19"/>
      <c r="CC322" s="19"/>
      <c r="CD322" s="19"/>
      <c r="CE322" s="19"/>
      <c r="CF322" s="19"/>
      <c r="CG322" s="19"/>
      <c r="CH322" s="19"/>
      <c r="CI322" s="19"/>
      <c r="CJ322" s="19"/>
      <c r="CK322" s="19"/>
      <c r="CL322" s="19"/>
      <c r="CM322" s="19"/>
      <c r="CN322" s="19"/>
      <c r="CO322" s="19"/>
      <c r="CP322" s="19"/>
      <c r="CQ322" s="19"/>
      <c r="CR322" s="19"/>
      <c r="CS322" s="19"/>
      <c r="CT322" s="19"/>
      <c r="CU322" s="19"/>
      <c r="CV322" s="19"/>
      <c r="CW322" s="19"/>
      <c r="CX322" s="19"/>
      <c r="CY322" s="19"/>
      <c r="CZ322" s="19"/>
      <c r="DA322" s="19"/>
      <c r="DB322" s="19"/>
      <c r="DC322" s="19"/>
      <c r="DD322" s="19"/>
      <c r="DE322" s="19"/>
      <c r="DF322" s="19"/>
      <c r="DG322" s="19"/>
      <c r="DH322" s="19"/>
      <c r="DI322" s="19"/>
      <c r="DJ322" s="19"/>
      <c r="DK322" s="19"/>
      <c r="DL322" s="19"/>
      <c r="DM322" s="19"/>
      <c r="DN322" s="19"/>
      <c r="DO322" s="19"/>
      <c r="DP322" s="19"/>
      <c r="DQ322" s="19"/>
      <c r="DR322" s="19"/>
      <c r="DS322" s="19"/>
      <c r="DT322" s="19"/>
      <c r="DU322" s="19"/>
      <c r="DV322" s="19"/>
      <c r="DW322" s="19"/>
      <c r="DX322" s="19"/>
      <c r="DY322" s="19"/>
      <c r="DZ322" s="19"/>
      <c r="EA322" s="19"/>
      <c r="EB322" s="19"/>
      <c r="EC322" s="19"/>
      <c r="ED322" s="19"/>
      <c r="EE322" s="19"/>
      <c r="EF322" s="19"/>
      <c r="EG322" s="19"/>
      <c r="EH322" s="19"/>
      <c r="EI322" s="19"/>
      <c r="EJ322" s="19"/>
      <c r="EK322" s="19"/>
      <c r="EL322" s="19"/>
      <c r="EM322" s="19"/>
      <c r="EN322" s="19"/>
      <c r="EO322" s="19"/>
      <c r="EP322" s="17"/>
      <c r="EQ322" s="23"/>
      <c r="ER322" s="23" t="str">
        <f t="shared" si="1"/>
        <v/>
      </c>
      <c r="ES322" s="19"/>
      <c r="ET322" s="19" t="str">
        <f t="shared" si="2"/>
        <v/>
      </c>
      <c r="EU322" s="19"/>
      <c r="EV322" s="19"/>
      <c r="EW322" s="19"/>
      <c r="EX322" s="19"/>
      <c r="EY322" s="19"/>
      <c r="EZ322" s="19"/>
      <c r="FA322" s="19"/>
      <c r="FB322" s="19"/>
    </row>
    <row r="323" ht="15.75" customHeight="1">
      <c r="A323" s="19"/>
      <c r="F323" s="19"/>
      <c r="AH323" s="23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  <c r="BD323" s="19"/>
      <c r="BE323" s="19"/>
      <c r="BF323" s="19"/>
      <c r="BG323" s="19"/>
      <c r="BH323" s="19"/>
      <c r="BI323" s="19"/>
      <c r="BJ323" s="19"/>
      <c r="BK323" s="19"/>
      <c r="BL323" s="19"/>
      <c r="BM323" s="19"/>
      <c r="BN323" s="19"/>
      <c r="BO323" s="19"/>
      <c r="BP323" s="19"/>
      <c r="BQ323" s="19"/>
      <c r="BR323" s="19"/>
      <c r="BS323" s="19"/>
      <c r="BT323" s="19"/>
      <c r="BU323" s="19"/>
      <c r="BV323" s="19"/>
      <c r="BW323" s="19"/>
      <c r="BX323" s="19"/>
      <c r="BY323" s="19"/>
      <c r="BZ323" s="19"/>
      <c r="CA323" s="19"/>
      <c r="CB323" s="19"/>
      <c r="CC323" s="19"/>
      <c r="CD323" s="19"/>
      <c r="CE323" s="19"/>
      <c r="CF323" s="19"/>
      <c r="CG323" s="19"/>
      <c r="CH323" s="19"/>
      <c r="CI323" s="19"/>
      <c r="CJ323" s="19"/>
      <c r="CK323" s="19"/>
      <c r="CL323" s="19"/>
      <c r="CM323" s="19"/>
      <c r="CN323" s="19"/>
      <c r="CO323" s="19"/>
      <c r="CP323" s="19"/>
      <c r="CQ323" s="19"/>
      <c r="CR323" s="19"/>
      <c r="CS323" s="19"/>
      <c r="CT323" s="19"/>
      <c r="CU323" s="19"/>
      <c r="CV323" s="19"/>
      <c r="CW323" s="19"/>
      <c r="CX323" s="19"/>
      <c r="CY323" s="19"/>
      <c r="CZ323" s="19"/>
      <c r="DA323" s="19"/>
      <c r="DB323" s="19"/>
      <c r="DC323" s="19"/>
      <c r="DD323" s="19"/>
      <c r="DE323" s="19"/>
      <c r="DF323" s="19"/>
      <c r="DG323" s="19"/>
      <c r="DH323" s="19"/>
      <c r="DI323" s="19"/>
      <c r="DJ323" s="19"/>
      <c r="DK323" s="19"/>
      <c r="DL323" s="19"/>
      <c r="DM323" s="19"/>
      <c r="DN323" s="19"/>
      <c r="DO323" s="19"/>
      <c r="DP323" s="19"/>
      <c r="DQ323" s="19"/>
      <c r="DR323" s="19"/>
      <c r="DS323" s="19"/>
      <c r="DT323" s="19"/>
      <c r="DU323" s="19"/>
      <c r="DV323" s="19"/>
      <c r="DW323" s="19"/>
      <c r="DX323" s="19"/>
      <c r="DY323" s="19"/>
      <c r="DZ323" s="19"/>
      <c r="EA323" s="19"/>
      <c r="EB323" s="19"/>
      <c r="EC323" s="19"/>
      <c r="ED323" s="19"/>
      <c r="EE323" s="19"/>
      <c r="EF323" s="19"/>
      <c r="EG323" s="19"/>
      <c r="EH323" s="19"/>
      <c r="EI323" s="19"/>
      <c r="EJ323" s="19"/>
      <c r="EK323" s="19"/>
      <c r="EL323" s="19"/>
      <c r="EM323" s="19"/>
      <c r="EN323" s="19"/>
      <c r="EO323" s="19"/>
      <c r="EP323" s="17"/>
      <c r="EQ323" s="23"/>
      <c r="ER323" s="23" t="str">
        <f t="shared" si="1"/>
        <v/>
      </c>
      <c r="ES323" s="19"/>
      <c r="ET323" s="19" t="str">
        <f t="shared" si="2"/>
        <v/>
      </c>
      <c r="EU323" s="19"/>
      <c r="EV323" s="19"/>
      <c r="EW323" s="19"/>
      <c r="EX323" s="19"/>
      <c r="EY323" s="19"/>
      <c r="EZ323" s="19"/>
      <c r="FA323" s="19"/>
      <c r="FB323" s="19"/>
    </row>
    <row r="324" ht="15.75" customHeight="1">
      <c r="A324" s="19"/>
      <c r="F324" s="19"/>
      <c r="AH324" s="23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  <c r="BD324" s="19"/>
      <c r="BE324" s="19"/>
      <c r="BF324" s="19"/>
      <c r="BG324" s="19"/>
      <c r="BH324" s="19"/>
      <c r="BI324" s="19"/>
      <c r="BJ324" s="19"/>
      <c r="BK324" s="19"/>
      <c r="BL324" s="19"/>
      <c r="BM324" s="19"/>
      <c r="BN324" s="19"/>
      <c r="BO324" s="19"/>
      <c r="BP324" s="19"/>
      <c r="BQ324" s="19"/>
      <c r="BR324" s="19"/>
      <c r="BS324" s="19"/>
      <c r="BT324" s="19"/>
      <c r="BU324" s="19"/>
      <c r="BV324" s="19"/>
      <c r="BW324" s="19"/>
      <c r="BX324" s="19"/>
      <c r="BY324" s="19"/>
      <c r="BZ324" s="19"/>
      <c r="CA324" s="19"/>
      <c r="CB324" s="19"/>
      <c r="CC324" s="19"/>
      <c r="CD324" s="19"/>
      <c r="CE324" s="19"/>
      <c r="CF324" s="19"/>
      <c r="CG324" s="19"/>
      <c r="CH324" s="19"/>
      <c r="CI324" s="19"/>
      <c r="CJ324" s="19"/>
      <c r="CK324" s="19"/>
      <c r="CL324" s="19"/>
      <c r="CM324" s="19"/>
      <c r="CN324" s="19"/>
      <c r="CO324" s="19"/>
      <c r="CP324" s="19"/>
      <c r="CQ324" s="19"/>
      <c r="CR324" s="19"/>
      <c r="CS324" s="19"/>
      <c r="CT324" s="19"/>
      <c r="CU324" s="19"/>
      <c r="CV324" s="19"/>
      <c r="CW324" s="19"/>
      <c r="CX324" s="19"/>
      <c r="CY324" s="19"/>
      <c r="CZ324" s="19"/>
      <c r="DA324" s="19"/>
      <c r="DB324" s="19"/>
      <c r="DC324" s="19"/>
      <c r="DD324" s="19"/>
      <c r="DE324" s="19"/>
      <c r="DF324" s="19"/>
      <c r="DG324" s="19"/>
      <c r="DH324" s="19"/>
      <c r="DI324" s="19"/>
      <c r="DJ324" s="19"/>
      <c r="DK324" s="19"/>
      <c r="DL324" s="19"/>
      <c r="DM324" s="19"/>
      <c r="DN324" s="19"/>
      <c r="DO324" s="19"/>
      <c r="DP324" s="19"/>
      <c r="DQ324" s="19"/>
      <c r="DR324" s="19"/>
      <c r="DS324" s="19"/>
      <c r="DT324" s="19"/>
      <c r="DU324" s="19"/>
      <c r="DV324" s="19"/>
      <c r="DW324" s="19"/>
      <c r="DX324" s="19"/>
      <c r="DY324" s="19"/>
      <c r="DZ324" s="19"/>
      <c r="EA324" s="19"/>
      <c r="EB324" s="19"/>
      <c r="EC324" s="19"/>
      <c r="ED324" s="19"/>
      <c r="EE324" s="19"/>
      <c r="EF324" s="19"/>
      <c r="EG324" s="19"/>
      <c r="EH324" s="19"/>
      <c r="EI324" s="19"/>
      <c r="EJ324" s="19"/>
      <c r="EK324" s="19"/>
      <c r="EL324" s="19"/>
      <c r="EM324" s="19"/>
      <c r="EN324" s="19"/>
      <c r="EO324" s="19"/>
      <c r="EP324" s="17"/>
      <c r="EQ324" s="23"/>
      <c r="ER324" s="23" t="str">
        <f t="shared" si="1"/>
        <v/>
      </c>
      <c r="ES324" s="19"/>
      <c r="ET324" s="19" t="str">
        <f t="shared" si="2"/>
        <v/>
      </c>
      <c r="EU324" s="19"/>
      <c r="EV324" s="19"/>
      <c r="EW324" s="19"/>
      <c r="EX324" s="19"/>
      <c r="EY324" s="19"/>
      <c r="EZ324" s="19"/>
      <c r="FA324" s="19"/>
      <c r="FB324" s="19"/>
    </row>
    <row r="325" ht="15.75" customHeight="1">
      <c r="A325" s="19"/>
      <c r="F325" s="19"/>
      <c r="AH325" s="23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  <c r="BD325" s="19"/>
      <c r="BE325" s="19"/>
      <c r="BF325" s="19"/>
      <c r="BG325" s="19"/>
      <c r="BH325" s="19"/>
      <c r="BI325" s="19"/>
      <c r="BJ325" s="19"/>
      <c r="BK325" s="19"/>
      <c r="BL325" s="19"/>
      <c r="BM325" s="19"/>
      <c r="BN325" s="19"/>
      <c r="BO325" s="19"/>
      <c r="BP325" s="19"/>
      <c r="BQ325" s="19"/>
      <c r="BR325" s="19"/>
      <c r="BS325" s="19"/>
      <c r="BT325" s="19"/>
      <c r="BU325" s="19"/>
      <c r="BV325" s="19"/>
      <c r="BW325" s="19"/>
      <c r="BX325" s="19"/>
      <c r="BY325" s="19"/>
      <c r="BZ325" s="19"/>
      <c r="CA325" s="19"/>
      <c r="CB325" s="19"/>
      <c r="CC325" s="19"/>
      <c r="CD325" s="19"/>
      <c r="CE325" s="19"/>
      <c r="CF325" s="19"/>
      <c r="CG325" s="19"/>
      <c r="CH325" s="19"/>
      <c r="CI325" s="19"/>
      <c r="CJ325" s="19"/>
      <c r="CK325" s="19"/>
      <c r="CL325" s="19"/>
      <c r="CM325" s="19"/>
      <c r="CN325" s="19"/>
      <c r="CO325" s="19"/>
      <c r="CP325" s="19"/>
      <c r="CQ325" s="19"/>
      <c r="CR325" s="19"/>
      <c r="CS325" s="19"/>
      <c r="CT325" s="19"/>
      <c r="CU325" s="19"/>
      <c r="CV325" s="19"/>
      <c r="CW325" s="19"/>
      <c r="CX325" s="19"/>
      <c r="CY325" s="19"/>
      <c r="CZ325" s="19"/>
      <c r="DA325" s="19"/>
      <c r="DB325" s="19"/>
      <c r="DC325" s="19"/>
      <c r="DD325" s="19"/>
      <c r="DE325" s="19"/>
      <c r="DF325" s="19"/>
      <c r="DG325" s="19"/>
      <c r="DH325" s="19"/>
      <c r="DI325" s="19"/>
      <c r="DJ325" s="19"/>
      <c r="DK325" s="19"/>
      <c r="DL325" s="19"/>
      <c r="DM325" s="19"/>
      <c r="DN325" s="19"/>
      <c r="DO325" s="19"/>
      <c r="DP325" s="19"/>
      <c r="DQ325" s="19"/>
      <c r="DR325" s="19"/>
      <c r="DS325" s="19"/>
      <c r="DT325" s="19"/>
      <c r="DU325" s="19"/>
      <c r="DV325" s="19"/>
      <c r="DW325" s="19"/>
      <c r="DX325" s="19"/>
      <c r="DY325" s="19"/>
      <c r="DZ325" s="19"/>
      <c r="EA325" s="19"/>
      <c r="EB325" s="19"/>
      <c r="EC325" s="19"/>
      <c r="ED325" s="19"/>
      <c r="EE325" s="19"/>
      <c r="EF325" s="19"/>
      <c r="EG325" s="19"/>
      <c r="EH325" s="19"/>
      <c r="EI325" s="19"/>
      <c r="EJ325" s="19"/>
      <c r="EK325" s="19"/>
      <c r="EL325" s="19"/>
      <c r="EM325" s="19"/>
      <c r="EN325" s="19"/>
      <c r="EO325" s="19"/>
      <c r="EP325" s="17"/>
      <c r="EQ325" s="23"/>
      <c r="ER325" s="23" t="str">
        <f t="shared" si="1"/>
        <v/>
      </c>
      <c r="ES325" s="19"/>
      <c r="ET325" s="19" t="str">
        <f t="shared" si="2"/>
        <v/>
      </c>
      <c r="EU325" s="19"/>
      <c r="EV325" s="19"/>
      <c r="EW325" s="19"/>
      <c r="EX325" s="19"/>
      <c r="EY325" s="19"/>
      <c r="EZ325" s="19"/>
      <c r="FA325" s="19"/>
      <c r="FB325" s="19"/>
    </row>
    <row r="326" ht="15.75" customHeight="1">
      <c r="A326" s="19"/>
      <c r="F326" s="19"/>
      <c r="AH326" s="23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  <c r="BD326" s="19"/>
      <c r="BE326" s="19"/>
      <c r="BF326" s="19"/>
      <c r="BG326" s="19"/>
      <c r="BH326" s="19"/>
      <c r="BI326" s="19"/>
      <c r="BJ326" s="19"/>
      <c r="BK326" s="19"/>
      <c r="BL326" s="19"/>
      <c r="BM326" s="19"/>
      <c r="BN326" s="19"/>
      <c r="BO326" s="19"/>
      <c r="BP326" s="19"/>
      <c r="BQ326" s="19"/>
      <c r="BR326" s="19"/>
      <c r="BS326" s="19"/>
      <c r="BT326" s="19"/>
      <c r="BU326" s="19"/>
      <c r="BV326" s="19"/>
      <c r="BW326" s="19"/>
      <c r="BX326" s="19"/>
      <c r="BY326" s="19"/>
      <c r="BZ326" s="19"/>
      <c r="CA326" s="19"/>
      <c r="CB326" s="19"/>
      <c r="CC326" s="19"/>
      <c r="CD326" s="19"/>
      <c r="CE326" s="19"/>
      <c r="CF326" s="19"/>
      <c r="CG326" s="19"/>
      <c r="CH326" s="19"/>
      <c r="CI326" s="19"/>
      <c r="CJ326" s="19"/>
      <c r="CK326" s="19"/>
      <c r="CL326" s="19"/>
      <c r="CM326" s="19"/>
      <c r="CN326" s="19"/>
      <c r="CO326" s="19"/>
      <c r="CP326" s="19"/>
      <c r="CQ326" s="19"/>
      <c r="CR326" s="19"/>
      <c r="CS326" s="19"/>
      <c r="CT326" s="19"/>
      <c r="CU326" s="19"/>
      <c r="CV326" s="19"/>
      <c r="CW326" s="19"/>
      <c r="CX326" s="19"/>
      <c r="CY326" s="19"/>
      <c r="CZ326" s="19"/>
      <c r="DA326" s="19"/>
      <c r="DB326" s="19"/>
      <c r="DC326" s="19"/>
      <c r="DD326" s="19"/>
      <c r="DE326" s="19"/>
      <c r="DF326" s="19"/>
      <c r="DG326" s="19"/>
      <c r="DH326" s="19"/>
      <c r="DI326" s="19"/>
      <c r="DJ326" s="19"/>
      <c r="DK326" s="19"/>
      <c r="DL326" s="19"/>
      <c r="DM326" s="19"/>
      <c r="DN326" s="19"/>
      <c r="DO326" s="19"/>
      <c r="DP326" s="19"/>
      <c r="DQ326" s="19"/>
      <c r="DR326" s="19"/>
      <c r="DS326" s="19"/>
      <c r="DT326" s="19"/>
      <c r="DU326" s="19"/>
      <c r="DV326" s="19"/>
      <c r="DW326" s="19"/>
      <c r="DX326" s="19"/>
      <c r="DY326" s="19"/>
      <c r="DZ326" s="19"/>
      <c r="EA326" s="19"/>
      <c r="EB326" s="19"/>
      <c r="EC326" s="19"/>
      <c r="ED326" s="19"/>
      <c r="EE326" s="19"/>
      <c r="EF326" s="19"/>
      <c r="EG326" s="19"/>
      <c r="EH326" s="19"/>
      <c r="EI326" s="19"/>
      <c r="EJ326" s="19"/>
      <c r="EK326" s="19"/>
      <c r="EL326" s="19"/>
      <c r="EM326" s="19"/>
      <c r="EN326" s="19"/>
      <c r="EO326" s="19"/>
      <c r="EP326" s="17"/>
      <c r="EQ326" s="23"/>
      <c r="ER326" s="23" t="str">
        <f t="shared" si="1"/>
        <v/>
      </c>
      <c r="ES326" s="19"/>
      <c r="ET326" s="19" t="str">
        <f t="shared" si="2"/>
        <v/>
      </c>
      <c r="EU326" s="19"/>
      <c r="EV326" s="19"/>
      <c r="EW326" s="19"/>
      <c r="EX326" s="19"/>
      <c r="EY326" s="19"/>
      <c r="EZ326" s="19"/>
      <c r="FA326" s="19"/>
      <c r="FB326" s="19"/>
    </row>
    <row r="327" ht="15.75" customHeight="1">
      <c r="A327" s="19"/>
      <c r="F327" s="19"/>
      <c r="AH327" s="23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  <c r="BD327" s="19"/>
      <c r="BE327" s="19"/>
      <c r="BF327" s="19"/>
      <c r="BG327" s="19"/>
      <c r="BH327" s="19"/>
      <c r="BI327" s="19"/>
      <c r="BJ327" s="19"/>
      <c r="BK327" s="19"/>
      <c r="BL327" s="19"/>
      <c r="BM327" s="19"/>
      <c r="BN327" s="19"/>
      <c r="BO327" s="19"/>
      <c r="BP327" s="19"/>
      <c r="BQ327" s="19"/>
      <c r="BR327" s="19"/>
      <c r="BS327" s="19"/>
      <c r="BT327" s="19"/>
      <c r="BU327" s="19"/>
      <c r="BV327" s="19"/>
      <c r="BW327" s="19"/>
      <c r="BX327" s="19"/>
      <c r="BY327" s="19"/>
      <c r="BZ327" s="19"/>
      <c r="CA327" s="19"/>
      <c r="CB327" s="19"/>
      <c r="CC327" s="19"/>
      <c r="CD327" s="19"/>
      <c r="CE327" s="19"/>
      <c r="CF327" s="19"/>
      <c r="CG327" s="19"/>
      <c r="CH327" s="19"/>
      <c r="CI327" s="19"/>
      <c r="CJ327" s="19"/>
      <c r="CK327" s="19"/>
      <c r="CL327" s="19"/>
      <c r="CM327" s="19"/>
      <c r="CN327" s="19"/>
      <c r="CO327" s="19"/>
      <c r="CP327" s="19"/>
      <c r="CQ327" s="19"/>
      <c r="CR327" s="19"/>
      <c r="CS327" s="19"/>
      <c r="CT327" s="19"/>
      <c r="CU327" s="19"/>
      <c r="CV327" s="19"/>
      <c r="CW327" s="19"/>
      <c r="CX327" s="19"/>
      <c r="CY327" s="19"/>
      <c r="CZ327" s="19"/>
      <c r="DA327" s="19"/>
      <c r="DB327" s="19"/>
      <c r="DC327" s="19"/>
      <c r="DD327" s="19"/>
      <c r="DE327" s="19"/>
      <c r="DF327" s="19"/>
      <c r="DG327" s="19"/>
      <c r="DH327" s="19"/>
      <c r="DI327" s="19"/>
      <c r="DJ327" s="19"/>
      <c r="DK327" s="19"/>
      <c r="DL327" s="19"/>
      <c r="DM327" s="19"/>
      <c r="DN327" s="19"/>
      <c r="DO327" s="19"/>
      <c r="DP327" s="19"/>
      <c r="DQ327" s="19"/>
      <c r="DR327" s="19"/>
      <c r="DS327" s="19"/>
      <c r="DT327" s="19"/>
      <c r="DU327" s="19"/>
      <c r="DV327" s="19"/>
      <c r="DW327" s="19"/>
      <c r="DX327" s="19"/>
      <c r="DY327" s="19"/>
      <c r="DZ327" s="19"/>
      <c r="EA327" s="19"/>
      <c r="EB327" s="19"/>
      <c r="EC327" s="19"/>
      <c r="ED327" s="19"/>
      <c r="EE327" s="19"/>
      <c r="EF327" s="19"/>
      <c r="EG327" s="19"/>
      <c r="EH327" s="19"/>
      <c r="EI327" s="19"/>
      <c r="EJ327" s="19"/>
      <c r="EK327" s="19"/>
      <c r="EL327" s="19"/>
      <c r="EM327" s="19"/>
      <c r="EN327" s="19"/>
      <c r="EO327" s="19"/>
      <c r="EP327" s="17"/>
      <c r="EQ327" s="23"/>
      <c r="ER327" s="23" t="str">
        <f t="shared" si="1"/>
        <v/>
      </c>
      <c r="ES327" s="19"/>
      <c r="ET327" s="19" t="str">
        <f t="shared" si="2"/>
        <v/>
      </c>
      <c r="EU327" s="19"/>
      <c r="EV327" s="19"/>
      <c r="EW327" s="19"/>
      <c r="EX327" s="19"/>
      <c r="EY327" s="19"/>
      <c r="EZ327" s="19"/>
      <c r="FA327" s="19"/>
      <c r="FB327" s="19"/>
    </row>
    <row r="328" ht="15.75" customHeight="1">
      <c r="A328" s="19"/>
      <c r="F328" s="19"/>
      <c r="AH328" s="23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  <c r="BD328" s="19"/>
      <c r="BE328" s="19"/>
      <c r="BF328" s="19"/>
      <c r="BG328" s="19"/>
      <c r="BH328" s="19"/>
      <c r="BI328" s="19"/>
      <c r="BJ328" s="19"/>
      <c r="BK328" s="19"/>
      <c r="BL328" s="19"/>
      <c r="BM328" s="19"/>
      <c r="BN328" s="19"/>
      <c r="BO328" s="19"/>
      <c r="BP328" s="19"/>
      <c r="BQ328" s="19"/>
      <c r="BR328" s="19"/>
      <c r="BS328" s="19"/>
      <c r="BT328" s="19"/>
      <c r="BU328" s="19"/>
      <c r="BV328" s="19"/>
      <c r="BW328" s="19"/>
      <c r="BX328" s="19"/>
      <c r="BY328" s="19"/>
      <c r="BZ328" s="19"/>
      <c r="CA328" s="19"/>
      <c r="CB328" s="19"/>
      <c r="CC328" s="19"/>
      <c r="CD328" s="19"/>
      <c r="CE328" s="19"/>
      <c r="CF328" s="19"/>
      <c r="CG328" s="19"/>
      <c r="CH328" s="19"/>
      <c r="CI328" s="19"/>
      <c r="CJ328" s="19"/>
      <c r="CK328" s="19"/>
      <c r="CL328" s="19"/>
      <c r="CM328" s="19"/>
      <c r="CN328" s="19"/>
      <c r="CO328" s="19"/>
      <c r="CP328" s="19"/>
      <c r="CQ328" s="19"/>
      <c r="CR328" s="19"/>
      <c r="CS328" s="19"/>
      <c r="CT328" s="19"/>
      <c r="CU328" s="19"/>
      <c r="CV328" s="19"/>
      <c r="CW328" s="19"/>
      <c r="CX328" s="19"/>
      <c r="CY328" s="19"/>
      <c r="CZ328" s="19"/>
      <c r="DA328" s="19"/>
      <c r="DB328" s="19"/>
      <c r="DC328" s="19"/>
      <c r="DD328" s="19"/>
      <c r="DE328" s="19"/>
      <c r="DF328" s="19"/>
      <c r="DG328" s="19"/>
      <c r="DH328" s="19"/>
      <c r="DI328" s="19"/>
      <c r="DJ328" s="19"/>
      <c r="DK328" s="19"/>
      <c r="DL328" s="19"/>
      <c r="DM328" s="19"/>
      <c r="DN328" s="19"/>
      <c r="DO328" s="19"/>
      <c r="DP328" s="19"/>
      <c r="DQ328" s="19"/>
      <c r="DR328" s="19"/>
      <c r="DS328" s="19"/>
      <c r="DT328" s="19"/>
      <c r="DU328" s="19"/>
      <c r="DV328" s="19"/>
      <c r="DW328" s="19"/>
      <c r="DX328" s="19"/>
      <c r="DY328" s="19"/>
      <c r="DZ328" s="19"/>
      <c r="EA328" s="19"/>
      <c r="EB328" s="19"/>
      <c r="EC328" s="19"/>
      <c r="ED328" s="19"/>
      <c r="EE328" s="19"/>
      <c r="EF328" s="19"/>
      <c r="EG328" s="19"/>
      <c r="EH328" s="19"/>
      <c r="EI328" s="19"/>
      <c r="EJ328" s="19"/>
      <c r="EK328" s="19"/>
      <c r="EL328" s="19"/>
      <c r="EM328" s="19"/>
      <c r="EN328" s="19"/>
      <c r="EO328" s="19"/>
      <c r="EP328" s="17"/>
      <c r="EQ328" s="23"/>
      <c r="ER328" s="23" t="str">
        <f t="shared" si="1"/>
        <v/>
      </c>
      <c r="ES328" s="19"/>
      <c r="ET328" s="19" t="str">
        <f t="shared" si="2"/>
        <v/>
      </c>
      <c r="EU328" s="19"/>
      <c r="EV328" s="19"/>
      <c r="EW328" s="19"/>
      <c r="EX328" s="19"/>
      <c r="EY328" s="19"/>
      <c r="EZ328" s="19"/>
      <c r="FA328" s="19"/>
      <c r="FB328" s="19"/>
    </row>
    <row r="329" ht="15.75" customHeight="1">
      <c r="A329" s="19"/>
      <c r="F329" s="19"/>
      <c r="AH329" s="23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  <c r="BD329" s="19"/>
      <c r="BE329" s="19"/>
      <c r="BF329" s="19"/>
      <c r="BG329" s="19"/>
      <c r="BH329" s="19"/>
      <c r="BI329" s="19"/>
      <c r="BJ329" s="19"/>
      <c r="BK329" s="19"/>
      <c r="BL329" s="19"/>
      <c r="BM329" s="19"/>
      <c r="BN329" s="19"/>
      <c r="BO329" s="19"/>
      <c r="BP329" s="19"/>
      <c r="BQ329" s="19"/>
      <c r="BR329" s="19"/>
      <c r="BS329" s="19"/>
      <c r="BT329" s="19"/>
      <c r="BU329" s="19"/>
      <c r="BV329" s="19"/>
      <c r="BW329" s="19"/>
      <c r="BX329" s="19"/>
      <c r="BY329" s="19"/>
      <c r="BZ329" s="19"/>
      <c r="CA329" s="19"/>
      <c r="CB329" s="19"/>
      <c r="CC329" s="19"/>
      <c r="CD329" s="19"/>
      <c r="CE329" s="19"/>
      <c r="CF329" s="19"/>
      <c r="CG329" s="19"/>
      <c r="CH329" s="19"/>
      <c r="CI329" s="19"/>
      <c r="CJ329" s="19"/>
      <c r="CK329" s="19"/>
      <c r="CL329" s="19"/>
      <c r="CM329" s="19"/>
      <c r="CN329" s="19"/>
      <c r="CO329" s="19"/>
      <c r="CP329" s="19"/>
      <c r="CQ329" s="19"/>
      <c r="CR329" s="19"/>
      <c r="CS329" s="19"/>
      <c r="CT329" s="19"/>
      <c r="CU329" s="19"/>
      <c r="CV329" s="19"/>
      <c r="CW329" s="19"/>
      <c r="CX329" s="19"/>
      <c r="CY329" s="19"/>
      <c r="CZ329" s="19"/>
      <c r="DA329" s="19"/>
      <c r="DB329" s="19"/>
      <c r="DC329" s="19"/>
      <c r="DD329" s="19"/>
      <c r="DE329" s="19"/>
      <c r="DF329" s="19"/>
      <c r="DG329" s="19"/>
      <c r="DH329" s="19"/>
      <c r="DI329" s="19"/>
      <c r="DJ329" s="19"/>
      <c r="DK329" s="19"/>
      <c r="DL329" s="19"/>
      <c r="DM329" s="19"/>
      <c r="DN329" s="19"/>
      <c r="DO329" s="19"/>
      <c r="DP329" s="19"/>
      <c r="DQ329" s="19"/>
      <c r="DR329" s="19"/>
      <c r="DS329" s="19"/>
      <c r="DT329" s="19"/>
      <c r="DU329" s="19"/>
      <c r="DV329" s="19"/>
      <c r="DW329" s="19"/>
      <c r="DX329" s="19"/>
      <c r="DY329" s="19"/>
      <c r="DZ329" s="19"/>
      <c r="EA329" s="19"/>
      <c r="EB329" s="19"/>
      <c r="EC329" s="19"/>
      <c r="ED329" s="19"/>
      <c r="EE329" s="19"/>
      <c r="EF329" s="19"/>
      <c r="EG329" s="19"/>
      <c r="EH329" s="19"/>
      <c r="EI329" s="19"/>
      <c r="EJ329" s="19"/>
      <c r="EK329" s="19"/>
      <c r="EL329" s="19"/>
      <c r="EM329" s="19"/>
      <c r="EN329" s="19"/>
      <c r="EO329" s="19"/>
      <c r="EP329" s="17"/>
      <c r="EQ329" s="23"/>
      <c r="ER329" s="23" t="str">
        <f t="shared" si="1"/>
        <v/>
      </c>
      <c r="ES329" s="19"/>
      <c r="ET329" s="19" t="str">
        <f t="shared" si="2"/>
        <v/>
      </c>
      <c r="EU329" s="19"/>
      <c r="EV329" s="19"/>
      <c r="EW329" s="19"/>
      <c r="EX329" s="19"/>
      <c r="EY329" s="19"/>
      <c r="EZ329" s="19"/>
      <c r="FA329" s="19"/>
      <c r="FB329" s="19"/>
    </row>
    <row r="330" ht="15.75" customHeight="1">
      <c r="A330" s="19"/>
      <c r="F330" s="19"/>
      <c r="AH330" s="23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  <c r="BD330" s="19"/>
      <c r="BE330" s="19"/>
      <c r="BF330" s="19"/>
      <c r="BG330" s="19"/>
      <c r="BH330" s="19"/>
      <c r="BI330" s="19"/>
      <c r="BJ330" s="19"/>
      <c r="BK330" s="19"/>
      <c r="BL330" s="19"/>
      <c r="BM330" s="19"/>
      <c r="BN330" s="19"/>
      <c r="BO330" s="19"/>
      <c r="BP330" s="19"/>
      <c r="BQ330" s="19"/>
      <c r="BR330" s="19"/>
      <c r="BS330" s="19"/>
      <c r="BT330" s="19"/>
      <c r="BU330" s="19"/>
      <c r="BV330" s="19"/>
      <c r="BW330" s="19"/>
      <c r="BX330" s="19"/>
      <c r="BY330" s="19"/>
      <c r="BZ330" s="19"/>
      <c r="CA330" s="19"/>
      <c r="CB330" s="19"/>
      <c r="CC330" s="19"/>
      <c r="CD330" s="19"/>
      <c r="CE330" s="19"/>
      <c r="CF330" s="19"/>
      <c r="CG330" s="19"/>
      <c r="CH330" s="19"/>
      <c r="CI330" s="19"/>
      <c r="CJ330" s="19"/>
      <c r="CK330" s="19"/>
      <c r="CL330" s="19"/>
      <c r="CM330" s="19"/>
      <c r="CN330" s="19"/>
      <c r="CO330" s="19"/>
      <c r="CP330" s="19"/>
      <c r="CQ330" s="19"/>
      <c r="CR330" s="19"/>
      <c r="CS330" s="19"/>
      <c r="CT330" s="19"/>
      <c r="CU330" s="19"/>
      <c r="CV330" s="19"/>
      <c r="CW330" s="19"/>
      <c r="CX330" s="19"/>
      <c r="CY330" s="19"/>
      <c r="CZ330" s="19"/>
      <c r="DA330" s="19"/>
      <c r="DB330" s="19"/>
      <c r="DC330" s="19"/>
      <c r="DD330" s="19"/>
      <c r="DE330" s="19"/>
      <c r="DF330" s="19"/>
      <c r="DG330" s="19"/>
      <c r="DH330" s="19"/>
      <c r="DI330" s="19"/>
      <c r="DJ330" s="19"/>
      <c r="DK330" s="19"/>
      <c r="DL330" s="19"/>
      <c r="DM330" s="19"/>
      <c r="DN330" s="19"/>
      <c r="DO330" s="19"/>
      <c r="DP330" s="19"/>
      <c r="DQ330" s="19"/>
      <c r="DR330" s="19"/>
      <c r="DS330" s="19"/>
      <c r="DT330" s="19"/>
      <c r="DU330" s="19"/>
      <c r="DV330" s="19"/>
      <c r="DW330" s="19"/>
      <c r="DX330" s="19"/>
      <c r="DY330" s="19"/>
      <c r="DZ330" s="19"/>
      <c r="EA330" s="19"/>
      <c r="EB330" s="19"/>
      <c r="EC330" s="19"/>
      <c r="ED330" s="19"/>
      <c r="EE330" s="19"/>
      <c r="EF330" s="19"/>
      <c r="EG330" s="19"/>
      <c r="EH330" s="19"/>
      <c r="EI330" s="19"/>
      <c r="EJ330" s="19"/>
      <c r="EK330" s="19"/>
      <c r="EL330" s="19"/>
      <c r="EM330" s="19"/>
      <c r="EN330" s="19"/>
      <c r="EO330" s="19"/>
      <c r="EP330" s="17"/>
      <c r="EQ330" s="23"/>
      <c r="ER330" s="23" t="str">
        <f t="shared" si="1"/>
        <v/>
      </c>
      <c r="ES330" s="19"/>
      <c r="ET330" s="19" t="str">
        <f t="shared" si="2"/>
        <v/>
      </c>
      <c r="EU330" s="19"/>
      <c r="EV330" s="19"/>
      <c r="EW330" s="19"/>
      <c r="EX330" s="19"/>
      <c r="EY330" s="19"/>
      <c r="EZ330" s="19"/>
      <c r="FA330" s="19"/>
      <c r="FB330" s="19"/>
    </row>
    <row r="331" ht="15.75" customHeight="1">
      <c r="A331" s="19"/>
      <c r="F331" s="19"/>
      <c r="AH331" s="23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  <c r="BD331" s="19"/>
      <c r="BE331" s="19"/>
      <c r="BF331" s="19"/>
      <c r="BG331" s="19"/>
      <c r="BH331" s="19"/>
      <c r="BI331" s="19"/>
      <c r="BJ331" s="19"/>
      <c r="BK331" s="19"/>
      <c r="BL331" s="19"/>
      <c r="BM331" s="19"/>
      <c r="BN331" s="19"/>
      <c r="BO331" s="19"/>
      <c r="BP331" s="19"/>
      <c r="BQ331" s="19"/>
      <c r="BR331" s="19"/>
      <c r="BS331" s="19"/>
      <c r="BT331" s="19"/>
      <c r="BU331" s="19"/>
      <c r="BV331" s="19"/>
      <c r="BW331" s="19"/>
      <c r="BX331" s="19"/>
      <c r="BY331" s="19"/>
      <c r="BZ331" s="19"/>
      <c r="CA331" s="19"/>
      <c r="CB331" s="19"/>
      <c r="CC331" s="19"/>
      <c r="CD331" s="19"/>
      <c r="CE331" s="19"/>
      <c r="CF331" s="19"/>
      <c r="CG331" s="19"/>
      <c r="CH331" s="19"/>
      <c r="CI331" s="19"/>
      <c r="CJ331" s="19"/>
      <c r="CK331" s="19"/>
      <c r="CL331" s="19"/>
      <c r="CM331" s="19"/>
      <c r="CN331" s="19"/>
      <c r="CO331" s="19"/>
      <c r="CP331" s="19"/>
      <c r="CQ331" s="19"/>
      <c r="CR331" s="19"/>
      <c r="CS331" s="19"/>
      <c r="CT331" s="19"/>
      <c r="CU331" s="19"/>
      <c r="CV331" s="19"/>
      <c r="CW331" s="19"/>
      <c r="CX331" s="19"/>
      <c r="CY331" s="19"/>
      <c r="CZ331" s="19"/>
      <c r="DA331" s="19"/>
      <c r="DB331" s="19"/>
      <c r="DC331" s="19"/>
      <c r="DD331" s="19"/>
      <c r="DE331" s="19"/>
      <c r="DF331" s="19"/>
      <c r="DG331" s="19"/>
      <c r="DH331" s="19"/>
      <c r="DI331" s="19"/>
      <c r="DJ331" s="19"/>
      <c r="DK331" s="19"/>
      <c r="DL331" s="19"/>
      <c r="DM331" s="19"/>
      <c r="DN331" s="19"/>
      <c r="DO331" s="19"/>
      <c r="DP331" s="19"/>
      <c r="DQ331" s="19"/>
      <c r="DR331" s="19"/>
      <c r="DS331" s="19"/>
      <c r="DT331" s="19"/>
      <c r="DU331" s="19"/>
      <c r="DV331" s="19"/>
      <c r="DW331" s="19"/>
      <c r="DX331" s="19"/>
      <c r="DY331" s="19"/>
      <c r="DZ331" s="19"/>
      <c r="EA331" s="19"/>
      <c r="EB331" s="19"/>
      <c r="EC331" s="19"/>
      <c r="ED331" s="19"/>
      <c r="EE331" s="19"/>
      <c r="EF331" s="19"/>
      <c r="EG331" s="19"/>
      <c r="EH331" s="19"/>
      <c r="EI331" s="19"/>
      <c r="EJ331" s="19"/>
      <c r="EK331" s="19"/>
      <c r="EL331" s="19"/>
      <c r="EM331" s="19"/>
      <c r="EN331" s="19"/>
      <c r="EO331" s="19"/>
      <c r="EP331" s="17"/>
      <c r="EQ331" s="23"/>
      <c r="ER331" s="23" t="str">
        <f t="shared" si="1"/>
        <v/>
      </c>
      <c r="ES331" s="19"/>
      <c r="ET331" s="19" t="str">
        <f t="shared" si="2"/>
        <v/>
      </c>
      <c r="EU331" s="19"/>
      <c r="EV331" s="19"/>
      <c r="EW331" s="19"/>
      <c r="EX331" s="19"/>
      <c r="EY331" s="19"/>
      <c r="EZ331" s="19"/>
      <c r="FA331" s="19"/>
      <c r="FB331" s="19"/>
    </row>
    <row r="332" ht="15.75" customHeight="1">
      <c r="A332" s="19"/>
      <c r="F332" s="19"/>
      <c r="AH332" s="23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  <c r="BD332" s="19"/>
      <c r="BE332" s="19"/>
      <c r="BF332" s="19"/>
      <c r="BG332" s="19"/>
      <c r="BH332" s="19"/>
      <c r="BI332" s="19"/>
      <c r="BJ332" s="19"/>
      <c r="BK332" s="19"/>
      <c r="BL332" s="19"/>
      <c r="BM332" s="19"/>
      <c r="BN332" s="19"/>
      <c r="BO332" s="19"/>
      <c r="BP332" s="19"/>
      <c r="BQ332" s="19"/>
      <c r="BR332" s="19"/>
      <c r="BS332" s="19"/>
      <c r="BT332" s="19"/>
      <c r="BU332" s="19"/>
      <c r="BV332" s="19"/>
      <c r="BW332" s="19"/>
      <c r="BX332" s="19"/>
      <c r="BY332" s="19"/>
      <c r="BZ332" s="19"/>
      <c r="CA332" s="19"/>
      <c r="CB332" s="19"/>
      <c r="CC332" s="19"/>
      <c r="CD332" s="19"/>
      <c r="CE332" s="19"/>
      <c r="CF332" s="19"/>
      <c r="CG332" s="19"/>
      <c r="CH332" s="19"/>
      <c r="CI332" s="19"/>
      <c r="CJ332" s="19"/>
      <c r="CK332" s="19"/>
      <c r="CL332" s="19"/>
      <c r="CM332" s="19"/>
      <c r="CN332" s="19"/>
      <c r="CO332" s="19"/>
      <c r="CP332" s="19"/>
      <c r="CQ332" s="19"/>
      <c r="CR332" s="19"/>
      <c r="CS332" s="19"/>
      <c r="CT332" s="19"/>
      <c r="CU332" s="19"/>
      <c r="CV332" s="19"/>
      <c r="CW332" s="19"/>
      <c r="CX332" s="19"/>
      <c r="CY332" s="19"/>
      <c r="CZ332" s="19"/>
      <c r="DA332" s="19"/>
      <c r="DB332" s="19"/>
      <c r="DC332" s="19"/>
      <c r="DD332" s="19"/>
      <c r="DE332" s="19"/>
      <c r="DF332" s="19"/>
      <c r="DG332" s="19"/>
      <c r="DH332" s="19"/>
      <c r="DI332" s="19"/>
      <c r="DJ332" s="19"/>
      <c r="DK332" s="19"/>
      <c r="DL332" s="19"/>
      <c r="DM332" s="19"/>
      <c r="DN332" s="19"/>
      <c r="DO332" s="19"/>
      <c r="DP332" s="19"/>
      <c r="DQ332" s="19"/>
      <c r="DR332" s="19"/>
      <c r="DS332" s="19"/>
      <c r="DT332" s="19"/>
      <c r="DU332" s="19"/>
      <c r="DV332" s="19"/>
      <c r="DW332" s="19"/>
      <c r="DX332" s="19"/>
      <c r="DY332" s="19"/>
      <c r="DZ332" s="19"/>
      <c r="EA332" s="19"/>
      <c r="EB332" s="19"/>
      <c r="EC332" s="19"/>
      <c r="ED332" s="19"/>
      <c r="EE332" s="19"/>
      <c r="EF332" s="19"/>
      <c r="EG332" s="19"/>
      <c r="EH332" s="19"/>
      <c r="EI332" s="19"/>
      <c r="EJ332" s="19"/>
      <c r="EK332" s="19"/>
      <c r="EL332" s="19"/>
      <c r="EM332" s="19"/>
      <c r="EN332" s="19"/>
      <c r="EO332" s="19"/>
      <c r="EP332" s="17"/>
      <c r="EQ332" s="23"/>
      <c r="ER332" s="23" t="str">
        <f t="shared" si="1"/>
        <v/>
      </c>
      <c r="ES332" s="19"/>
      <c r="ET332" s="19" t="str">
        <f t="shared" si="2"/>
        <v/>
      </c>
      <c r="EU332" s="19"/>
      <c r="EV332" s="19"/>
      <c r="EW332" s="19"/>
      <c r="EX332" s="19"/>
      <c r="EY332" s="19"/>
      <c r="EZ332" s="19"/>
      <c r="FA332" s="19"/>
      <c r="FB332" s="19"/>
    </row>
    <row r="333" ht="15.75" customHeight="1">
      <c r="A333" s="19"/>
      <c r="F333" s="19"/>
      <c r="AH333" s="23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  <c r="BD333" s="19"/>
      <c r="BE333" s="19"/>
      <c r="BF333" s="19"/>
      <c r="BG333" s="19"/>
      <c r="BH333" s="19"/>
      <c r="BI333" s="19"/>
      <c r="BJ333" s="19"/>
      <c r="BK333" s="19"/>
      <c r="BL333" s="19"/>
      <c r="BM333" s="19"/>
      <c r="BN333" s="19"/>
      <c r="BO333" s="19"/>
      <c r="BP333" s="19"/>
      <c r="BQ333" s="19"/>
      <c r="BR333" s="19"/>
      <c r="BS333" s="19"/>
      <c r="BT333" s="19"/>
      <c r="BU333" s="19"/>
      <c r="BV333" s="19"/>
      <c r="BW333" s="19"/>
      <c r="BX333" s="19"/>
      <c r="BY333" s="19"/>
      <c r="BZ333" s="19"/>
      <c r="CA333" s="19"/>
      <c r="CB333" s="19"/>
      <c r="CC333" s="19"/>
      <c r="CD333" s="19"/>
      <c r="CE333" s="19"/>
      <c r="CF333" s="19"/>
      <c r="CG333" s="19"/>
      <c r="CH333" s="19"/>
      <c r="CI333" s="19"/>
      <c r="CJ333" s="19"/>
      <c r="CK333" s="19"/>
      <c r="CL333" s="19"/>
      <c r="CM333" s="19"/>
      <c r="CN333" s="19"/>
      <c r="CO333" s="19"/>
      <c r="CP333" s="19"/>
      <c r="CQ333" s="19"/>
      <c r="CR333" s="19"/>
      <c r="CS333" s="19"/>
      <c r="CT333" s="19"/>
      <c r="CU333" s="19"/>
      <c r="CV333" s="19"/>
      <c r="CW333" s="19"/>
      <c r="CX333" s="19"/>
      <c r="CY333" s="19"/>
      <c r="CZ333" s="19"/>
      <c r="DA333" s="19"/>
      <c r="DB333" s="19"/>
      <c r="DC333" s="19"/>
      <c r="DD333" s="19"/>
      <c r="DE333" s="19"/>
      <c r="DF333" s="19"/>
      <c r="DG333" s="19"/>
      <c r="DH333" s="19"/>
      <c r="DI333" s="19"/>
      <c r="DJ333" s="19"/>
      <c r="DK333" s="19"/>
      <c r="DL333" s="19"/>
      <c r="DM333" s="19"/>
      <c r="DN333" s="19"/>
      <c r="DO333" s="19"/>
      <c r="DP333" s="19"/>
      <c r="DQ333" s="19"/>
      <c r="DR333" s="19"/>
      <c r="DS333" s="19"/>
      <c r="DT333" s="19"/>
      <c r="DU333" s="19"/>
      <c r="DV333" s="19"/>
      <c r="DW333" s="19"/>
      <c r="DX333" s="19"/>
      <c r="DY333" s="19"/>
      <c r="DZ333" s="19"/>
      <c r="EA333" s="19"/>
      <c r="EB333" s="19"/>
      <c r="EC333" s="19"/>
      <c r="ED333" s="19"/>
      <c r="EE333" s="19"/>
      <c r="EF333" s="19"/>
      <c r="EG333" s="19"/>
      <c r="EH333" s="19"/>
      <c r="EI333" s="19"/>
      <c r="EJ333" s="19"/>
      <c r="EK333" s="19"/>
      <c r="EL333" s="19"/>
      <c r="EM333" s="19"/>
      <c r="EN333" s="19"/>
      <c r="EO333" s="19"/>
      <c r="EP333" s="17"/>
      <c r="EQ333" s="23"/>
      <c r="ER333" s="23" t="str">
        <f t="shared" si="1"/>
        <v/>
      </c>
      <c r="ES333" s="19"/>
      <c r="ET333" s="19" t="str">
        <f t="shared" si="2"/>
        <v/>
      </c>
      <c r="EU333" s="19"/>
      <c r="EV333" s="19"/>
      <c r="EW333" s="19"/>
      <c r="EX333" s="19"/>
      <c r="EY333" s="19"/>
      <c r="EZ333" s="19"/>
      <c r="FA333" s="19"/>
      <c r="FB333" s="19"/>
    </row>
    <row r="334" ht="15.75" customHeight="1">
      <c r="A334" s="19"/>
      <c r="F334" s="19"/>
      <c r="AH334" s="23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  <c r="BD334" s="19"/>
      <c r="BE334" s="19"/>
      <c r="BF334" s="19"/>
      <c r="BG334" s="19"/>
      <c r="BH334" s="19"/>
      <c r="BI334" s="19"/>
      <c r="BJ334" s="19"/>
      <c r="BK334" s="19"/>
      <c r="BL334" s="19"/>
      <c r="BM334" s="19"/>
      <c r="BN334" s="19"/>
      <c r="BO334" s="19"/>
      <c r="BP334" s="19"/>
      <c r="BQ334" s="19"/>
      <c r="BR334" s="19"/>
      <c r="BS334" s="19"/>
      <c r="BT334" s="19"/>
      <c r="BU334" s="19"/>
      <c r="BV334" s="19"/>
      <c r="BW334" s="19"/>
      <c r="BX334" s="19"/>
      <c r="BY334" s="19"/>
      <c r="BZ334" s="19"/>
      <c r="CA334" s="19"/>
      <c r="CB334" s="19"/>
      <c r="CC334" s="19"/>
      <c r="CD334" s="19"/>
      <c r="CE334" s="19"/>
      <c r="CF334" s="19"/>
      <c r="CG334" s="19"/>
      <c r="CH334" s="19"/>
      <c r="CI334" s="19"/>
      <c r="CJ334" s="19"/>
      <c r="CK334" s="19"/>
      <c r="CL334" s="19"/>
      <c r="CM334" s="19"/>
      <c r="CN334" s="19"/>
      <c r="CO334" s="19"/>
      <c r="CP334" s="19"/>
      <c r="CQ334" s="19"/>
      <c r="CR334" s="19"/>
      <c r="CS334" s="19"/>
      <c r="CT334" s="19"/>
      <c r="CU334" s="19"/>
      <c r="CV334" s="19"/>
      <c r="CW334" s="19"/>
      <c r="CX334" s="19"/>
      <c r="CY334" s="19"/>
      <c r="CZ334" s="19"/>
      <c r="DA334" s="19"/>
      <c r="DB334" s="19"/>
      <c r="DC334" s="19"/>
      <c r="DD334" s="19"/>
      <c r="DE334" s="19"/>
      <c r="DF334" s="19"/>
      <c r="DG334" s="19"/>
      <c r="DH334" s="19"/>
      <c r="DI334" s="19"/>
      <c r="DJ334" s="19"/>
      <c r="DK334" s="19"/>
      <c r="DL334" s="19"/>
      <c r="DM334" s="19"/>
      <c r="DN334" s="19"/>
      <c r="DO334" s="19"/>
      <c r="DP334" s="19"/>
      <c r="DQ334" s="19"/>
      <c r="DR334" s="19"/>
      <c r="DS334" s="19"/>
      <c r="DT334" s="19"/>
      <c r="DU334" s="19"/>
      <c r="DV334" s="19"/>
      <c r="DW334" s="19"/>
      <c r="DX334" s="19"/>
      <c r="DY334" s="19"/>
      <c r="DZ334" s="19"/>
      <c r="EA334" s="19"/>
      <c r="EB334" s="19"/>
      <c r="EC334" s="19"/>
      <c r="ED334" s="19"/>
      <c r="EE334" s="19"/>
      <c r="EF334" s="19"/>
      <c r="EG334" s="19"/>
      <c r="EH334" s="19"/>
      <c r="EI334" s="19"/>
      <c r="EJ334" s="19"/>
      <c r="EK334" s="19"/>
      <c r="EL334" s="19"/>
      <c r="EM334" s="19"/>
      <c r="EN334" s="19"/>
      <c r="EO334" s="19"/>
      <c r="EP334" s="17"/>
      <c r="EQ334" s="23"/>
      <c r="ER334" s="23" t="str">
        <f t="shared" si="1"/>
        <v/>
      </c>
      <c r="ES334" s="19"/>
      <c r="ET334" s="19" t="str">
        <f t="shared" si="2"/>
        <v/>
      </c>
      <c r="EU334" s="19"/>
      <c r="EV334" s="19"/>
      <c r="EW334" s="19"/>
      <c r="EX334" s="19"/>
      <c r="EY334" s="19"/>
      <c r="EZ334" s="19"/>
      <c r="FA334" s="19"/>
      <c r="FB334" s="19"/>
    </row>
    <row r="335" ht="15.75" customHeight="1">
      <c r="A335" s="19"/>
      <c r="F335" s="19"/>
      <c r="AH335" s="23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  <c r="BD335" s="19"/>
      <c r="BE335" s="19"/>
      <c r="BF335" s="19"/>
      <c r="BG335" s="19"/>
      <c r="BH335" s="19"/>
      <c r="BI335" s="19"/>
      <c r="BJ335" s="19"/>
      <c r="BK335" s="19"/>
      <c r="BL335" s="19"/>
      <c r="BM335" s="19"/>
      <c r="BN335" s="19"/>
      <c r="BO335" s="19"/>
      <c r="BP335" s="19"/>
      <c r="BQ335" s="19"/>
      <c r="BR335" s="19"/>
      <c r="BS335" s="19"/>
      <c r="BT335" s="19"/>
      <c r="BU335" s="19"/>
      <c r="BV335" s="19"/>
      <c r="BW335" s="19"/>
      <c r="BX335" s="19"/>
      <c r="BY335" s="19"/>
      <c r="BZ335" s="19"/>
      <c r="CA335" s="19"/>
      <c r="CB335" s="19"/>
      <c r="CC335" s="19"/>
      <c r="CD335" s="19"/>
      <c r="CE335" s="19"/>
      <c r="CF335" s="19"/>
      <c r="CG335" s="19"/>
      <c r="CH335" s="19"/>
      <c r="CI335" s="19"/>
      <c r="CJ335" s="19"/>
      <c r="CK335" s="19"/>
      <c r="CL335" s="19"/>
      <c r="CM335" s="19"/>
      <c r="CN335" s="19"/>
      <c r="CO335" s="19"/>
      <c r="CP335" s="19"/>
      <c r="CQ335" s="19"/>
      <c r="CR335" s="19"/>
      <c r="CS335" s="19"/>
      <c r="CT335" s="19"/>
      <c r="CU335" s="19"/>
      <c r="CV335" s="19"/>
      <c r="CW335" s="19"/>
      <c r="CX335" s="19"/>
      <c r="CY335" s="19"/>
      <c r="CZ335" s="19"/>
      <c r="DA335" s="19"/>
      <c r="DB335" s="19"/>
      <c r="DC335" s="19"/>
      <c r="DD335" s="19"/>
      <c r="DE335" s="19"/>
      <c r="DF335" s="19"/>
      <c r="DG335" s="19"/>
      <c r="DH335" s="19"/>
      <c r="DI335" s="19"/>
      <c r="DJ335" s="19"/>
      <c r="DK335" s="19"/>
      <c r="DL335" s="19"/>
      <c r="DM335" s="19"/>
      <c r="DN335" s="19"/>
      <c r="DO335" s="19"/>
      <c r="DP335" s="19"/>
      <c r="DQ335" s="19"/>
      <c r="DR335" s="19"/>
      <c r="DS335" s="19"/>
      <c r="DT335" s="19"/>
      <c r="DU335" s="19"/>
      <c r="DV335" s="19"/>
      <c r="DW335" s="19"/>
      <c r="DX335" s="19"/>
      <c r="DY335" s="19"/>
      <c r="DZ335" s="19"/>
      <c r="EA335" s="19"/>
      <c r="EB335" s="19"/>
      <c r="EC335" s="19"/>
      <c r="ED335" s="19"/>
      <c r="EE335" s="19"/>
      <c r="EF335" s="19"/>
      <c r="EG335" s="19"/>
      <c r="EH335" s="19"/>
      <c r="EI335" s="19"/>
      <c r="EJ335" s="19"/>
      <c r="EK335" s="19"/>
      <c r="EL335" s="19"/>
      <c r="EM335" s="19"/>
      <c r="EN335" s="19"/>
      <c r="EO335" s="19"/>
      <c r="EP335" s="17"/>
      <c r="EQ335" s="23"/>
      <c r="ER335" s="23" t="str">
        <f t="shared" si="1"/>
        <v/>
      </c>
      <c r="ES335" s="19"/>
      <c r="ET335" s="19" t="str">
        <f t="shared" si="2"/>
        <v/>
      </c>
      <c r="EU335" s="19"/>
      <c r="EV335" s="19"/>
      <c r="EW335" s="19"/>
      <c r="EX335" s="19"/>
      <c r="EY335" s="19"/>
      <c r="EZ335" s="19"/>
      <c r="FA335" s="19"/>
      <c r="FB335" s="19"/>
    </row>
    <row r="336" ht="15.75" customHeight="1">
      <c r="A336" s="19"/>
      <c r="F336" s="19"/>
      <c r="AH336" s="23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  <c r="BD336" s="19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  <c r="BP336" s="19"/>
      <c r="BQ336" s="19"/>
      <c r="BR336" s="19"/>
      <c r="BS336" s="19"/>
      <c r="BT336" s="19"/>
      <c r="BU336" s="19"/>
      <c r="BV336" s="19"/>
      <c r="BW336" s="19"/>
      <c r="BX336" s="19"/>
      <c r="BY336" s="19"/>
      <c r="BZ336" s="19"/>
      <c r="CA336" s="19"/>
      <c r="CB336" s="19"/>
      <c r="CC336" s="19"/>
      <c r="CD336" s="19"/>
      <c r="CE336" s="19"/>
      <c r="CF336" s="19"/>
      <c r="CG336" s="19"/>
      <c r="CH336" s="19"/>
      <c r="CI336" s="19"/>
      <c r="CJ336" s="19"/>
      <c r="CK336" s="19"/>
      <c r="CL336" s="19"/>
      <c r="CM336" s="19"/>
      <c r="CN336" s="19"/>
      <c r="CO336" s="19"/>
      <c r="CP336" s="19"/>
      <c r="CQ336" s="19"/>
      <c r="CR336" s="19"/>
      <c r="CS336" s="19"/>
      <c r="CT336" s="19"/>
      <c r="CU336" s="19"/>
      <c r="CV336" s="19"/>
      <c r="CW336" s="19"/>
      <c r="CX336" s="19"/>
      <c r="CY336" s="19"/>
      <c r="CZ336" s="19"/>
      <c r="DA336" s="19"/>
      <c r="DB336" s="19"/>
      <c r="DC336" s="19"/>
      <c r="DD336" s="19"/>
      <c r="DE336" s="19"/>
      <c r="DF336" s="19"/>
      <c r="DG336" s="19"/>
      <c r="DH336" s="19"/>
      <c r="DI336" s="19"/>
      <c r="DJ336" s="19"/>
      <c r="DK336" s="19"/>
      <c r="DL336" s="19"/>
      <c r="DM336" s="19"/>
      <c r="DN336" s="19"/>
      <c r="DO336" s="19"/>
      <c r="DP336" s="19"/>
      <c r="DQ336" s="19"/>
      <c r="DR336" s="19"/>
      <c r="DS336" s="19"/>
      <c r="DT336" s="19"/>
      <c r="DU336" s="19"/>
      <c r="DV336" s="19"/>
      <c r="DW336" s="19"/>
      <c r="DX336" s="19"/>
      <c r="DY336" s="19"/>
      <c r="DZ336" s="19"/>
      <c r="EA336" s="19"/>
      <c r="EB336" s="19"/>
      <c r="EC336" s="19"/>
      <c r="ED336" s="19"/>
      <c r="EE336" s="19"/>
      <c r="EF336" s="19"/>
      <c r="EG336" s="19"/>
      <c r="EH336" s="19"/>
      <c r="EI336" s="19"/>
      <c r="EJ336" s="19"/>
      <c r="EK336" s="19"/>
      <c r="EL336" s="19"/>
      <c r="EM336" s="19"/>
      <c r="EN336" s="19"/>
      <c r="EO336" s="19"/>
      <c r="EP336" s="17"/>
      <c r="EQ336" s="23"/>
      <c r="ER336" s="23" t="str">
        <f t="shared" si="1"/>
        <v/>
      </c>
      <c r="ES336" s="19"/>
      <c r="ET336" s="19" t="str">
        <f t="shared" si="2"/>
        <v/>
      </c>
      <c r="EU336" s="19"/>
      <c r="EV336" s="19"/>
      <c r="EW336" s="19"/>
      <c r="EX336" s="19"/>
      <c r="EY336" s="19"/>
      <c r="EZ336" s="19"/>
      <c r="FA336" s="19"/>
      <c r="FB336" s="19"/>
    </row>
    <row r="337" ht="15.75" customHeight="1">
      <c r="A337" s="19"/>
      <c r="F337" s="19"/>
      <c r="AH337" s="23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  <c r="BD337" s="19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  <c r="BP337" s="19"/>
      <c r="BQ337" s="19"/>
      <c r="BR337" s="19"/>
      <c r="BS337" s="19"/>
      <c r="BT337" s="19"/>
      <c r="BU337" s="19"/>
      <c r="BV337" s="19"/>
      <c r="BW337" s="19"/>
      <c r="BX337" s="19"/>
      <c r="BY337" s="19"/>
      <c r="BZ337" s="19"/>
      <c r="CA337" s="19"/>
      <c r="CB337" s="19"/>
      <c r="CC337" s="19"/>
      <c r="CD337" s="19"/>
      <c r="CE337" s="19"/>
      <c r="CF337" s="19"/>
      <c r="CG337" s="19"/>
      <c r="CH337" s="19"/>
      <c r="CI337" s="19"/>
      <c r="CJ337" s="19"/>
      <c r="CK337" s="19"/>
      <c r="CL337" s="19"/>
      <c r="CM337" s="19"/>
      <c r="CN337" s="19"/>
      <c r="CO337" s="19"/>
      <c r="CP337" s="19"/>
      <c r="CQ337" s="19"/>
      <c r="CR337" s="19"/>
      <c r="CS337" s="19"/>
      <c r="CT337" s="19"/>
      <c r="CU337" s="19"/>
      <c r="CV337" s="19"/>
      <c r="CW337" s="19"/>
      <c r="CX337" s="19"/>
      <c r="CY337" s="19"/>
      <c r="CZ337" s="19"/>
      <c r="DA337" s="19"/>
      <c r="DB337" s="19"/>
      <c r="DC337" s="19"/>
      <c r="DD337" s="19"/>
      <c r="DE337" s="19"/>
      <c r="DF337" s="19"/>
      <c r="DG337" s="19"/>
      <c r="DH337" s="19"/>
      <c r="DI337" s="19"/>
      <c r="DJ337" s="19"/>
      <c r="DK337" s="19"/>
      <c r="DL337" s="19"/>
      <c r="DM337" s="19"/>
      <c r="DN337" s="19"/>
      <c r="DO337" s="19"/>
      <c r="DP337" s="19"/>
      <c r="DQ337" s="19"/>
      <c r="DR337" s="19"/>
      <c r="DS337" s="19"/>
      <c r="DT337" s="19"/>
      <c r="DU337" s="19"/>
      <c r="DV337" s="19"/>
      <c r="DW337" s="19"/>
      <c r="DX337" s="19"/>
      <c r="DY337" s="19"/>
      <c r="DZ337" s="19"/>
      <c r="EA337" s="19"/>
      <c r="EB337" s="19"/>
      <c r="EC337" s="19"/>
      <c r="ED337" s="19"/>
      <c r="EE337" s="19"/>
      <c r="EF337" s="19"/>
      <c r="EG337" s="19"/>
      <c r="EH337" s="19"/>
      <c r="EI337" s="19"/>
      <c r="EJ337" s="19"/>
      <c r="EK337" s="19"/>
      <c r="EL337" s="19"/>
      <c r="EM337" s="19"/>
      <c r="EN337" s="19"/>
      <c r="EO337" s="19"/>
      <c r="EP337" s="17"/>
      <c r="EQ337" s="23"/>
      <c r="ER337" s="23" t="str">
        <f t="shared" si="1"/>
        <v/>
      </c>
      <c r="ES337" s="19"/>
      <c r="ET337" s="19" t="str">
        <f t="shared" si="2"/>
        <v/>
      </c>
      <c r="EU337" s="19"/>
      <c r="EV337" s="19"/>
      <c r="EW337" s="19"/>
      <c r="EX337" s="19"/>
      <c r="EY337" s="19"/>
      <c r="EZ337" s="19"/>
      <c r="FA337" s="19"/>
      <c r="FB337" s="19"/>
    </row>
    <row r="338" ht="15.75" customHeight="1">
      <c r="A338" s="19"/>
      <c r="F338" s="19"/>
      <c r="AH338" s="23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  <c r="BD338" s="19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  <c r="BP338" s="19"/>
      <c r="BQ338" s="19"/>
      <c r="BR338" s="19"/>
      <c r="BS338" s="19"/>
      <c r="BT338" s="19"/>
      <c r="BU338" s="19"/>
      <c r="BV338" s="19"/>
      <c r="BW338" s="19"/>
      <c r="BX338" s="19"/>
      <c r="BY338" s="19"/>
      <c r="BZ338" s="19"/>
      <c r="CA338" s="19"/>
      <c r="CB338" s="19"/>
      <c r="CC338" s="19"/>
      <c r="CD338" s="19"/>
      <c r="CE338" s="19"/>
      <c r="CF338" s="19"/>
      <c r="CG338" s="19"/>
      <c r="CH338" s="19"/>
      <c r="CI338" s="19"/>
      <c r="CJ338" s="19"/>
      <c r="CK338" s="19"/>
      <c r="CL338" s="19"/>
      <c r="CM338" s="19"/>
      <c r="CN338" s="19"/>
      <c r="CO338" s="19"/>
      <c r="CP338" s="19"/>
      <c r="CQ338" s="19"/>
      <c r="CR338" s="19"/>
      <c r="CS338" s="19"/>
      <c r="CT338" s="19"/>
      <c r="CU338" s="19"/>
      <c r="CV338" s="19"/>
      <c r="CW338" s="19"/>
      <c r="CX338" s="19"/>
      <c r="CY338" s="19"/>
      <c r="CZ338" s="19"/>
      <c r="DA338" s="19"/>
      <c r="DB338" s="19"/>
      <c r="DC338" s="19"/>
      <c r="DD338" s="19"/>
      <c r="DE338" s="19"/>
      <c r="DF338" s="19"/>
      <c r="DG338" s="19"/>
      <c r="DH338" s="19"/>
      <c r="DI338" s="19"/>
      <c r="DJ338" s="19"/>
      <c r="DK338" s="19"/>
      <c r="DL338" s="19"/>
      <c r="DM338" s="19"/>
      <c r="DN338" s="19"/>
      <c r="DO338" s="19"/>
      <c r="DP338" s="19"/>
      <c r="DQ338" s="19"/>
      <c r="DR338" s="19"/>
      <c r="DS338" s="19"/>
      <c r="DT338" s="19"/>
      <c r="DU338" s="19"/>
      <c r="DV338" s="19"/>
      <c r="DW338" s="19"/>
      <c r="DX338" s="19"/>
      <c r="DY338" s="19"/>
      <c r="DZ338" s="19"/>
      <c r="EA338" s="19"/>
      <c r="EB338" s="19"/>
      <c r="EC338" s="19"/>
      <c r="ED338" s="19"/>
      <c r="EE338" s="19"/>
      <c r="EF338" s="19"/>
      <c r="EG338" s="19"/>
      <c r="EH338" s="19"/>
      <c r="EI338" s="19"/>
      <c r="EJ338" s="19"/>
      <c r="EK338" s="19"/>
      <c r="EL338" s="19"/>
      <c r="EM338" s="19"/>
      <c r="EN338" s="19"/>
      <c r="EO338" s="19"/>
      <c r="EP338" s="17"/>
      <c r="EQ338" s="23"/>
      <c r="ER338" s="23" t="str">
        <f t="shared" si="1"/>
        <v/>
      </c>
      <c r="ES338" s="19"/>
      <c r="ET338" s="19" t="str">
        <f t="shared" si="2"/>
        <v/>
      </c>
      <c r="EU338" s="19"/>
      <c r="EV338" s="19"/>
      <c r="EW338" s="19"/>
      <c r="EX338" s="19"/>
      <c r="EY338" s="19"/>
      <c r="EZ338" s="19"/>
      <c r="FA338" s="19"/>
      <c r="FB338" s="19"/>
    </row>
    <row r="339" ht="15.75" customHeight="1">
      <c r="A339" s="19"/>
      <c r="F339" s="19"/>
      <c r="AH339" s="23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  <c r="BD339" s="19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  <c r="BP339" s="19"/>
      <c r="BQ339" s="19"/>
      <c r="BR339" s="19"/>
      <c r="BS339" s="19"/>
      <c r="BT339" s="19"/>
      <c r="BU339" s="19"/>
      <c r="BV339" s="19"/>
      <c r="BW339" s="19"/>
      <c r="BX339" s="19"/>
      <c r="BY339" s="19"/>
      <c r="BZ339" s="19"/>
      <c r="CA339" s="19"/>
      <c r="CB339" s="19"/>
      <c r="CC339" s="19"/>
      <c r="CD339" s="19"/>
      <c r="CE339" s="19"/>
      <c r="CF339" s="19"/>
      <c r="CG339" s="19"/>
      <c r="CH339" s="19"/>
      <c r="CI339" s="19"/>
      <c r="CJ339" s="19"/>
      <c r="CK339" s="19"/>
      <c r="CL339" s="19"/>
      <c r="CM339" s="19"/>
      <c r="CN339" s="19"/>
      <c r="CO339" s="19"/>
      <c r="CP339" s="19"/>
      <c r="CQ339" s="19"/>
      <c r="CR339" s="19"/>
      <c r="CS339" s="19"/>
      <c r="CT339" s="19"/>
      <c r="CU339" s="19"/>
      <c r="CV339" s="19"/>
      <c r="CW339" s="19"/>
      <c r="CX339" s="19"/>
      <c r="CY339" s="19"/>
      <c r="CZ339" s="19"/>
      <c r="DA339" s="19"/>
      <c r="DB339" s="19"/>
      <c r="DC339" s="19"/>
      <c r="DD339" s="19"/>
      <c r="DE339" s="19"/>
      <c r="DF339" s="19"/>
      <c r="DG339" s="19"/>
      <c r="DH339" s="19"/>
      <c r="DI339" s="19"/>
      <c r="DJ339" s="19"/>
      <c r="DK339" s="19"/>
      <c r="DL339" s="19"/>
      <c r="DM339" s="19"/>
      <c r="DN339" s="19"/>
      <c r="DO339" s="19"/>
      <c r="DP339" s="19"/>
      <c r="DQ339" s="19"/>
      <c r="DR339" s="19"/>
      <c r="DS339" s="19"/>
      <c r="DT339" s="19"/>
      <c r="DU339" s="19"/>
      <c r="DV339" s="19"/>
      <c r="DW339" s="19"/>
      <c r="DX339" s="19"/>
      <c r="DY339" s="19"/>
      <c r="DZ339" s="19"/>
      <c r="EA339" s="19"/>
      <c r="EB339" s="19"/>
      <c r="EC339" s="19"/>
      <c r="ED339" s="19"/>
      <c r="EE339" s="19"/>
      <c r="EF339" s="19"/>
      <c r="EG339" s="19"/>
      <c r="EH339" s="19"/>
      <c r="EI339" s="19"/>
      <c r="EJ339" s="19"/>
      <c r="EK339" s="19"/>
      <c r="EL339" s="19"/>
      <c r="EM339" s="19"/>
      <c r="EN339" s="19"/>
      <c r="EO339" s="19"/>
      <c r="EP339" s="17"/>
      <c r="EQ339" s="23"/>
      <c r="ER339" s="23" t="str">
        <f t="shared" si="1"/>
        <v/>
      </c>
      <c r="ES339" s="19"/>
      <c r="ET339" s="19" t="str">
        <f t="shared" si="2"/>
        <v/>
      </c>
      <c r="EU339" s="19"/>
      <c r="EV339" s="19"/>
      <c r="EW339" s="19"/>
      <c r="EX339" s="19"/>
      <c r="EY339" s="19"/>
      <c r="EZ339" s="19"/>
      <c r="FA339" s="19"/>
      <c r="FB339" s="19"/>
    </row>
    <row r="340" ht="15.75" customHeight="1">
      <c r="A340" s="19"/>
      <c r="F340" s="19"/>
      <c r="AH340" s="23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  <c r="BD340" s="19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  <c r="BP340" s="19"/>
      <c r="BQ340" s="19"/>
      <c r="BR340" s="19"/>
      <c r="BS340" s="19"/>
      <c r="BT340" s="19"/>
      <c r="BU340" s="19"/>
      <c r="BV340" s="19"/>
      <c r="BW340" s="19"/>
      <c r="BX340" s="19"/>
      <c r="BY340" s="19"/>
      <c r="BZ340" s="19"/>
      <c r="CA340" s="19"/>
      <c r="CB340" s="19"/>
      <c r="CC340" s="19"/>
      <c r="CD340" s="19"/>
      <c r="CE340" s="19"/>
      <c r="CF340" s="19"/>
      <c r="CG340" s="19"/>
      <c r="CH340" s="19"/>
      <c r="CI340" s="19"/>
      <c r="CJ340" s="19"/>
      <c r="CK340" s="19"/>
      <c r="CL340" s="19"/>
      <c r="CM340" s="19"/>
      <c r="CN340" s="19"/>
      <c r="CO340" s="19"/>
      <c r="CP340" s="19"/>
      <c r="CQ340" s="19"/>
      <c r="CR340" s="19"/>
      <c r="CS340" s="19"/>
      <c r="CT340" s="19"/>
      <c r="CU340" s="19"/>
      <c r="CV340" s="19"/>
      <c r="CW340" s="19"/>
      <c r="CX340" s="19"/>
      <c r="CY340" s="19"/>
      <c r="CZ340" s="19"/>
      <c r="DA340" s="19"/>
      <c r="DB340" s="19"/>
      <c r="DC340" s="19"/>
      <c r="DD340" s="19"/>
      <c r="DE340" s="19"/>
      <c r="DF340" s="19"/>
      <c r="DG340" s="19"/>
      <c r="DH340" s="19"/>
      <c r="DI340" s="19"/>
      <c r="DJ340" s="19"/>
      <c r="DK340" s="19"/>
      <c r="DL340" s="19"/>
      <c r="DM340" s="19"/>
      <c r="DN340" s="19"/>
      <c r="DO340" s="19"/>
      <c r="DP340" s="19"/>
      <c r="DQ340" s="19"/>
      <c r="DR340" s="19"/>
      <c r="DS340" s="19"/>
      <c r="DT340" s="19"/>
      <c r="DU340" s="19"/>
      <c r="DV340" s="19"/>
      <c r="DW340" s="19"/>
      <c r="DX340" s="19"/>
      <c r="DY340" s="19"/>
      <c r="DZ340" s="19"/>
      <c r="EA340" s="19"/>
      <c r="EB340" s="19"/>
      <c r="EC340" s="19"/>
      <c r="ED340" s="19"/>
      <c r="EE340" s="19"/>
      <c r="EF340" s="19"/>
      <c r="EG340" s="19"/>
      <c r="EH340" s="19"/>
      <c r="EI340" s="19"/>
      <c r="EJ340" s="19"/>
      <c r="EK340" s="19"/>
      <c r="EL340" s="19"/>
      <c r="EM340" s="19"/>
      <c r="EN340" s="19"/>
      <c r="EO340" s="19"/>
      <c r="EP340" s="17"/>
      <c r="EQ340" s="23"/>
      <c r="ER340" s="23" t="str">
        <f t="shared" si="1"/>
        <v/>
      </c>
      <c r="ES340" s="19"/>
      <c r="ET340" s="19" t="str">
        <f t="shared" si="2"/>
        <v/>
      </c>
      <c r="EU340" s="19"/>
      <c r="EV340" s="19"/>
      <c r="EW340" s="19"/>
      <c r="EX340" s="19"/>
      <c r="EY340" s="19"/>
      <c r="EZ340" s="19"/>
      <c r="FA340" s="19"/>
      <c r="FB340" s="19"/>
    </row>
    <row r="341" ht="15.75" customHeight="1">
      <c r="A341" s="19"/>
      <c r="F341" s="19"/>
      <c r="AH341" s="23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  <c r="BD341" s="19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  <c r="BP341" s="19"/>
      <c r="BQ341" s="19"/>
      <c r="BR341" s="19"/>
      <c r="BS341" s="19"/>
      <c r="BT341" s="19"/>
      <c r="BU341" s="19"/>
      <c r="BV341" s="19"/>
      <c r="BW341" s="19"/>
      <c r="BX341" s="19"/>
      <c r="BY341" s="19"/>
      <c r="BZ341" s="19"/>
      <c r="CA341" s="19"/>
      <c r="CB341" s="19"/>
      <c r="CC341" s="19"/>
      <c r="CD341" s="19"/>
      <c r="CE341" s="19"/>
      <c r="CF341" s="19"/>
      <c r="CG341" s="19"/>
      <c r="CH341" s="19"/>
      <c r="CI341" s="19"/>
      <c r="CJ341" s="19"/>
      <c r="CK341" s="19"/>
      <c r="CL341" s="19"/>
      <c r="CM341" s="19"/>
      <c r="CN341" s="19"/>
      <c r="CO341" s="19"/>
      <c r="CP341" s="19"/>
      <c r="CQ341" s="19"/>
      <c r="CR341" s="19"/>
      <c r="CS341" s="19"/>
      <c r="CT341" s="19"/>
      <c r="CU341" s="19"/>
      <c r="CV341" s="19"/>
      <c r="CW341" s="19"/>
      <c r="CX341" s="19"/>
      <c r="CY341" s="19"/>
      <c r="CZ341" s="19"/>
      <c r="DA341" s="19"/>
      <c r="DB341" s="19"/>
      <c r="DC341" s="19"/>
      <c r="DD341" s="19"/>
      <c r="DE341" s="19"/>
      <c r="DF341" s="19"/>
      <c r="DG341" s="19"/>
      <c r="DH341" s="19"/>
      <c r="DI341" s="19"/>
      <c r="DJ341" s="19"/>
      <c r="DK341" s="19"/>
      <c r="DL341" s="19"/>
      <c r="DM341" s="19"/>
      <c r="DN341" s="19"/>
      <c r="DO341" s="19"/>
      <c r="DP341" s="19"/>
      <c r="DQ341" s="19"/>
      <c r="DR341" s="19"/>
      <c r="DS341" s="19"/>
      <c r="DT341" s="19"/>
      <c r="DU341" s="19"/>
      <c r="DV341" s="19"/>
      <c r="DW341" s="19"/>
      <c r="DX341" s="19"/>
      <c r="DY341" s="19"/>
      <c r="DZ341" s="19"/>
      <c r="EA341" s="19"/>
      <c r="EB341" s="19"/>
      <c r="EC341" s="19"/>
      <c r="ED341" s="19"/>
      <c r="EE341" s="19"/>
      <c r="EF341" s="19"/>
      <c r="EG341" s="19"/>
      <c r="EH341" s="19"/>
      <c r="EI341" s="19"/>
      <c r="EJ341" s="19"/>
      <c r="EK341" s="19"/>
      <c r="EL341" s="19"/>
      <c r="EM341" s="19"/>
      <c r="EN341" s="19"/>
      <c r="EO341" s="19"/>
      <c r="EP341" s="17"/>
      <c r="EQ341" s="23"/>
      <c r="ER341" s="23" t="str">
        <f t="shared" si="1"/>
        <v/>
      </c>
      <c r="ES341" s="19"/>
      <c r="ET341" s="19" t="str">
        <f t="shared" si="2"/>
        <v/>
      </c>
      <c r="EU341" s="19"/>
      <c r="EV341" s="19"/>
      <c r="EW341" s="19"/>
      <c r="EX341" s="19"/>
      <c r="EY341" s="19"/>
      <c r="EZ341" s="19"/>
      <c r="FA341" s="19"/>
      <c r="FB341" s="19"/>
    </row>
    <row r="342" ht="15.75" customHeight="1">
      <c r="A342" s="19"/>
      <c r="F342" s="19"/>
      <c r="AH342" s="23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  <c r="BD342" s="19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  <c r="BP342" s="19"/>
      <c r="BQ342" s="19"/>
      <c r="BR342" s="19"/>
      <c r="BS342" s="19"/>
      <c r="BT342" s="19"/>
      <c r="BU342" s="19"/>
      <c r="BV342" s="19"/>
      <c r="BW342" s="19"/>
      <c r="BX342" s="19"/>
      <c r="BY342" s="19"/>
      <c r="BZ342" s="19"/>
      <c r="CA342" s="19"/>
      <c r="CB342" s="19"/>
      <c r="CC342" s="19"/>
      <c r="CD342" s="19"/>
      <c r="CE342" s="19"/>
      <c r="CF342" s="19"/>
      <c r="CG342" s="19"/>
      <c r="CH342" s="19"/>
      <c r="CI342" s="19"/>
      <c r="CJ342" s="19"/>
      <c r="CK342" s="19"/>
      <c r="CL342" s="19"/>
      <c r="CM342" s="19"/>
      <c r="CN342" s="19"/>
      <c r="CO342" s="19"/>
      <c r="CP342" s="19"/>
      <c r="CQ342" s="19"/>
      <c r="CR342" s="19"/>
      <c r="CS342" s="19"/>
      <c r="CT342" s="19"/>
      <c r="CU342" s="19"/>
      <c r="CV342" s="19"/>
      <c r="CW342" s="19"/>
      <c r="CX342" s="19"/>
      <c r="CY342" s="19"/>
      <c r="CZ342" s="19"/>
      <c r="DA342" s="19"/>
      <c r="DB342" s="19"/>
      <c r="DC342" s="19"/>
      <c r="DD342" s="19"/>
      <c r="DE342" s="19"/>
      <c r="DF342" s="19"/>
      <c r="DG342" s="19"/>
      <c r="DH342" s="19"/>
      <c r="DI342" s="19"/>
      <c r="DJ342" s="19"/>
      <c r="DK342" s="19"/>
      <c r="DL342" s="19"/>
      <c r="DM342" s="19"/>
      <c r="DN342" s="19"/>
      <c r="DO342" s="19"/>
      <c r="DP342" s="19"/>
      <c r="DQ342" s="19"/>
      <c r="DR342" s="19"/>
      <c r="DS342" s="19"/>
      <c r="DT342" s="19"/>
      <c r="DU342" s="19"/>
      <c r="DV342" s="19"/>
      <c r="DW342" s="19"/>
      <c r="DX342" s="19"/>
      <c r="DY342" s="19"/>
      <c r="DZ342" s="19"/>
      <c r="EA342" s="19"/>
      <c r="EB342" s="19"/>
      <c r="EC342" s="19"/>
      <c r="ED342" s="19"/>
      <c r="EE342" s="19"/>
      <c r="EF342" s="19"/>
      <c r="EG342" s="19"/>
      <c r="EH342" s="19"/>
      <c r="EI342" s="19"/>
      <c r="EJ342" s="19"/>
      <c r="EK342" s="19"/>
      <c r="EL342" s="19"/>
      <c r="EM342" s="19"/>
      <c r="EN342" s="19"/>
      <c r="EO342" s="19"/>
      <c r="EP342" s="17"/>
      <c r="EQ342" s="23"/>
      <c r="ER342" s="23" t="str">
        <f t="shared" si="1"/>
        <v/>
      </c>
      <c r="ES342" s="19"/>
      <c r="ET342" s="19" t="str">
        <f t="shared" si="2"/>
        <v/>
      </c>
      <c r="EU342" s="19"/>
      <c r="EV342" s="19"/>
      <c r="EW342" s="19"/>
      <c r="EX342" s="19"/>
      <c r="EY342" s="19"/>
      <c r="EZ342" s="19"/>
      <c r="FA342" s="19"/>
      <c r="FB342" s="19"/>
    </row>
    <row r="343" ht="15.75" customHeight="1">
      <c r="A343" s="19"/>
      <c r="F343" s="19"/>
      <c r="AH343" s="23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  <c r="BD343" s="19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  <c r="BP343" s="19"/>
      <c r="BQ343" s="19"/>
      <c r="BR343" s="19"/>
      <c r="BS343" s="19"/>
      <c r="BT343" s="19"/>
      <c r="BU343" s="19"/>
      <c r="BV343" s="19"/>
      <c r="BW343" s="19"/>
      <c r="BX343" s="19"/>
      <c r="BY343" s="19"/>
      <c r="BZ343" s="19"/>
      <c r="CA343" s="19"/>
      <c r="CB343" s="19"/>
      <c r="CC343" s="19"/>
      <c r="CD343" s="19"/>
      <c r="CE343" s="19"/>
      <c r="CF343" s="19"/>
      <c r="CG343" s="19"/>
      <c r="CH343" s="19"/>
      <c r="CI343" s="19"/>
      <c r="CJ343" s="19"/>
      <c r="CK343" s="19"/>
      <c r="CL343" s="19"/>
      <c r="CM343" s="19"/>
      <c r="CN343" s="19"/>
      <c r="CO343" s="19"/>
      <c r="CP343" s="19"/>
      <c r="CQ343" s="19"/>
      <c r="CR343" s="19"/>
      <c r="CS343" s="19"/>
      <c r="CT343" s="19"/>
      <c r="CU343" s="19"/>
      <c r="CV343" s="19"/>
      <c r="CW343" s="19"/>
      <c r="CX343" s="19"/>
      <c r="CY343" s="19"/>
      <c r="CZ343" s="19"/>
      <c r="DA343" s="19"/>
      <c r="DB343" s="19"/>
      <c r="DC343" s="19"/>
      <c r="DD343" s="19"/>
      <c r="DE343" s="19"/>
      <c r="DF343" s="19"/>
      <c r="DG343" s="19"/>
      <c r="DH343" s="19"/>
      <c r="DI343" s="19"/>
      <c r="DJ343" s="19"/>
      <c r="DK343" s="19"/>
      <c r="DL343" s="19"/>
      <c r="DM343" s="19"/>
      <c r="DN343" s="19"/>
      <c r="DO343" s="19"/>
      <c r="DP343" s="19"/>
      <c r="DQ343" s="19"/>
      <c r="DR343" s="19"/>
      <c r="DS343" s="19"/>
      <c r="DT343" s="19"/>
      <c r="DU343" s="19"/>
      <c r="DV343" s="19"/>
      <c r="DW343" s="19"/>
      <c r="DX343" s="19"/>
      <c r="DY343" s="19"/>
      <c r="DZ343" s="19"/>
      <c r="EA343" s="19"/>
      <c r="EB343" s="19"/>
      <c r="EC343" s="19"/>
      <c r="ED343" s="19"/>
      <c r="EE343" s="19"/>
      <c r="EF343" s="19"/>
      <c r="EG343" s="19"/>
      <c r="EH343" s="19"/>
      <c r="EI343" s="19"/>
      <c r="EJ343" s="19"/>
      <c r="EK343" s="19"/>
      <c r="EL343" s="19"/>
      <c r="EM343" s="19"/>
      <c r="EN343" s="19"/>
      <c r="EO343" s="19"/>
      <c r="EP343" s="17"/>
      <c r="EQ343" s="23"/>
      <c r="ER343" s="23" t="str">
        <f t="shared" si="1"/>
        <v/>
      </c>
      <c r="ES343" s="19"/>
      <c r="ET343" s="19" t="str">
        <f t="shared" si="2"/>
        <v/>
      </c>
      <c r="EU343" s="19"/>
      <c r="EV343" s="19"/>
      <c r="EW343" s="19"/>
      <c r="EX343" s="19"/>
      <c r="EY343" s="19"/>
      <c r="EZ343" s="19"/>
      <c r="FA343" s="19"/>
      <c r="FB343" s="19"/>
    </row>
    <row r="344" ht="15.75" customHeight="1">
      <c r="A344" s="19"/>
      <c r="F344" s="19"/>
      <c r="AH344" s="23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  <c r="BD344" s="19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  <c r="BP344" s="19"/>
      <c r="BQ344" s="19"/>
      <c r="BR344" s="19"/>
      <c r="BS344" s="19"/>
      <c r="BT344" s="19"/>
      <c r="BU344" s="19"/>
      <c r="BV344" s="19"/>
      <c r="BW344" s="19"/>
      <c r="BX344" s="19"/>
      <c r="BY344" s="19"/>
      <c r="BZ344" s="19"/>
      <c r="CA344" s="19"/>
      <c r="CB344" s="19"/>
      <c r="CC344" s="19"/>
      <c r="CD344" s="19"/>
      <c r="CE344" s="19"/>
      <c r="CF344" s="19"/>
      <c r="CG344" s="19"/>
      <c r="CH344" s="19"/>
      <c r="CI344" s="19"/>
      <c r="CJ344" s="19"/>
      <c r="CK344" s="19"/>
      <c r="CL344" s="19"/>
      <c r="CM344" s="19"/>
      <c r="CN344" s="19"/>
      <c r="CO344" s="19"/>
      <c r="CP344" s="19"/>
      <c r="CQ344" s="19"/>
      <c r="CR344" s="19"/>
      <c r="CS344" s="19"/>
      <c r="CT344" s="19"/>
      <c r="CU344" s="19"/>
      <c r="CV344" s="19"/>
      <c r="CW344" s="19"/>
      <c r="CX344" s="19"/>
      <c r="CY344" s="19"/>
      <c r="CZ344" s="19"/>
      <c r="DA344" s="19"/>
      <c r="DB344" s="19"/>
      <c r="DC344" s="19"/>
      <c r="DD344" s="19"/>
      <c r="DE344" s="19"/>
      <c r="DF344" s="19"/>
      <c r="DG344" s="19"/>
      <c r="DH344" s="19"/>
      <c r="DI344" s="19"/>
      <c r="DJ344" s="19"/>
      <c r="DK344" s="19"/>
      <c r="DL344" s="19"/>
      <c r="DM344" s="19"/>
      <c r="DN344" s="19"/>
      <c r="DO344" s="19"/>
      <c r="DP344" s="19"/>
      <c r="DQ344" s="19"/>
      <c r="DR344" s="19"/>
      <c r="DS344" s="19"/>
      <c r="DT344" s="19"/>
      <c r="DU344" s="19"/>
      <c r="DV344" s="19"/>
      <c r="DW344" s="19"/>
      <c r="DX344" s="19"/>
      <c r="DY344" s="19"/>
      <c r="DZ344" s="19"/>
      <c r="EA344" s="19"/>
      <c r="EB344" s="19"/>
      <c r="EC344" s="19"/>
      <c r="ED344" s="19"/>
      <c r="EE344" s="19"/>
      <c r="EF344" s="19"/>
      <c r="EG344" s="19"/>
      <c r="EH344" s="19"/>
      <c r="EI344" s="19"/>
      <c r="EJ344" s="19"/>
      <c r="EK344" s="19"/>
      <c r="EL344" s="19"/>
      <c r="EM344" s="19"/>
      <c r="EN344" s="19"/>
      <c r="EO344" s="19"/>
      <c r="EP344" s="17"/>
      <c r="EQ344" s="23"/>
      <c r="ER344" s="23" t="str">
        <f t="shared" si="1"/>
        <v/>
      </c>
      <c r="ES344" s="19"/>
      <c r="ET344" s="19" t="str">
        <f t="shared" si="2"/>
        <v/>
      </c>
      <c r="EU344" s="19"/>
      <c r="EV344" s="19"/>
      <c r="EW344" s="19"/>
      <c r="EX344" s="19"/>
      <c r="EY344" s="19"/>
      <c r="EZ344" s="19"/>
      <c r="FA344" s="19"/>
      <c r="FB344" s="19"/>
    </row>
    <row r="345" ht="15.75" customHeight="1">
      <c r="A345" s="19"/>
      <c r="F345" s="19"/>
      <c r="AH345" s="23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  <c r="BD345" s="19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  <c r="BP345" s="19"/>
      <c r="BQ345" s="19"/>
      <c r="BR345" s="19"/>
      <c r="BS345" s="19"/>
      <c r="BT345" s="19"/>
      <c r="BU345" s="19"/>
      <c r="BV345" s="19"/>
      <c r="BW345" s="19"/>
      <c r="BX345" s="19"/>
      <c r="BY345" s="19"/>
      <c r="BZ345" s="19"/>
      <c r="CA345" s="19"/>
      <c r="CB345" s="19"/>
      <c r="CC345" s="19"/>
      <c r="CD345" s="19"/>
      <c r="CE345" s="19"/>
      <c r="CF345" s="19"/>
      <c r="CG345" s="19"/>
      <c r="CH345" s="19"/>
      <c r="CI345" s="19"/>
      <c r="CJ345" s="19"/>
      <c r="CK345" s="19"/>
      <c r="CL345" s="19"/>
      <c r="CM345" s="19"/>
      <c r="CN345" s="19"/>
      <c r="CO345" s="19"/>
      <c r="CP345" s="19"/>
      <c r="CQ345" s="19"/>
      <c r="CR345" s="19"/>
      <c r="CS345" s="19"/>
      <c r="CT345" s="19"/>
      <c r="CU345" s="19"/>
      <c r="CV345" s="19"/>
      <c r="CW345" s="19"/>
      <c r="CX345" s="19"/>
      <c r="CY345" s="19"/>
      <c r="CZ345" s="19"/>
      <c r="DA345" s="19"/>
      <c r="DB345" s="19"/>
      <c r="DC345" s="19"/>
      <c r="DD345" s="19"/>
      <c r="DE345" s="19"/>
      <c r="DF345" s="19"/>
      <c r="DG345" s="19"/>
      <c r="DH345" s="19"/>
      <c r="DI345" s="19"/>
      <c r="DJ345" s="19"/>
      <c r="DK345" s="19"/>
      <c r="DL345" s="19"/>
      <c r="DM345" s="19"/>
      <c r="DN345" s="19"/>
      <c r="DO345" s="19"/>
      <c r="DP345" s="19"/>
      <c r="DQ345" s="19"/>
      <c r="DR345" s="19"/>
      <c r="DS345" s="19"/>
      <c r="DT345" s="19"/>
      <c r="DU345" s="19"/>
      <c r="DV345" s="19"/>
      <c r="DW345" s="19"/>
      <c r="DX345" s="19"/>
      <c r="DY345" s="19"/>
      <c r="DZ345" s="19"/>
      <c r="EA345" s="19"/>
      <c r="EB345" s="19"/>
      <c r="EC345" s="19"/>
      <c r="ED345" s="19"/>
      <c r="EE345" s="19"/>
      <c r="EF345" s="19"/>
      <c r="EG345" s="19"/>
      <c r="EH345" s="19"/>
      <c r="EI345" s="19"/>
      <c r="EJ345" s="19"/>
      <c r="EK345" s="19"/>
      <c r="EL345" s="19"/>
      <c r="EM345" s="19"/>
      <c r="EN345" s="19"/>
      <c r="EO345" s="19"/>
      <c r="EP345" s="17"/>
      <c r="EQ345" s="23"/>
      <c r="ER345" s="23" t="str">
        <f t="shared" si="1"/>
        <v/>
      </c>
      <c r="ES345" s="19"/>
      <c r="ET345" s="19" t="str">
        <f t="shared" si="2"/>
        <v/>
      </c>
      <c r="EU345" s="19"/>
      <c r="EV345" s="19"/>
      <c r="EW345" s="19"/>
      <c r="EX345" s="19"/>
      <c r="EY345" s="19"/>
      <c r="EZ345" s="19"/>
      <c r="FA345" s="19"/>
      <c r="FB345" s="19"/>
    </row>
    <row r="346" ht="15.75" customHeight="1">
      <c r="A346" s="19"/>
      <c r="F346" s="19"/>
      <c r="AH346" s="23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  <c r="BD346" s="19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  <c r="BP346" s="19"/>
      <c r="BQ346" s="19"/>
      <c r="BR346" s="19"/>
      <c r="BS346" s="19"/>
      <c r="BT346" s="19"/>
      <c r="BU346" s="19"/>
      <c r="BV346" s="19"/>
      <c r="BW346" s="19"/>
      <c r="BX346" s="19"/>
      <c r="BY346" s="19"/>
      <c r="BZ346" s="19"/>
      <c r="CA346" s="19"/>
      <c r="CB346" s="19"/>
      <c r="CC346" s="19"/>
      <c r="CD346" s="19"/>
      <c r="CE346" s="19"/>
      <c r="CF346" s="19"/>
      <c r="CG346" s="19"/>
      <c r="CH346" s="19"/>
      <c r="CI346" s="19"/>
      <c r="CJ346" s="19"/>
      <c r="CK346" s="19"/>
      <c r="CL346" s="19"/>
      <c r="CM346" s="19"/>
      <c r="CN346" s="19"/>
      <c r="CO346" s="19"/>
      <c r="CP346" s="19"/>
      <c r="CQ346" s="19"/>
      <c r="CR346" s="19"/>
      <c r="CS346" s="19"/>
      <c r="CT346" s="19"/>
      <c r="CU346" s="19"/>
      <c r="CV346" s="19"/>
      <c r="CW346" s="19"/>
      <c r="CX346" s="19"/>
      <c r="CY346" s="19"/>
      <c r="CZ346" s="19"/>
      <c r="DA346" s="19"/>
      <c r="DB346" s="19"/>
      <c r="DC346" s="19"/>
      <c r="DD346" s="19"/>
      <c r="DE346" s="19"/>
      <c r="DF346" s="19"/>
      <c r="DG346" s="19"/>
      <c r="DH346" s="19"/>
      <c r="DI346" s="19"/>
      <c r="DJ346" s="19"/>
      <c r="DK346" s="19"/>
      <c r="DL346" s="19"/>
      <c r="DM346" s="19"/>
      <c r="DN346" s="19"/>
      <c r="DO346" s="19"/>
      <c r="DP346" s="19"/>
      <c r="DQ346" s="19"/>
      <c r="DR346" s="19"/>
      <c r="DS346" s="19"/>
      <c r="DT346" s="19"/>
      <c r="DU346" s="19"/>
      <c r="DV346" s="19"/>
      <c r="DW346" s="19"/>
      <c r="DX346" s="19"/>
      <c r="DY346" s="19"/>
      <c r="DZ346" s="19"/>
      <c r="EA346" s="19"/>
      <c r="EB346" s="19"/>
      <c r="EC346" s="19"/>
      <c r="ED346" s="19"/>
      <c r="EE346" s="19"/>
      <c r="EF346" s="19"/>
      <c r="EG346" s="19"/>
      <c r="EH346" s="19"/>
      <c r="EI346" s="19"/>
      <c r="EJ346" s="19"/>
      <c r="EK346" s="19"/>
      <c r="EL346" s="19"/>
      <c r="EM346" s="19"/>
      <c r="EN346" s="19"/>
      <c r="EO346" s="19"/>
      <c r="EP346" s="17"/>
      <c r="EQ346" s="23"/>
      <c r="ER346" s="23" t="str">
        <f t="shared" si="1"/>
        <v/>
      </c>
      <c r="ES346" s="19"/>
      <c r="ET346" s="19" t="str">
        <f t="shared" si="2"/>
        <v/>
      </c>
      <c r="EU346" s="19"/>
      <c r="EV346" s="19"/>
      <c r="EW346" s="19"/>
      <c r="EX346" s="19"/>
      <c r="EY346" s="19"/>
      <c r="EZ346" s="19"/>
      <c r="FA346" s="19"/>
      <c r="FB346" s="19"/>
    </row>
    <row r="347" ht="15.75" customHeight="1">
      <c r="A347" s="19"/>
      <c r="F347" s="19"/>
      <c r="AH347" s="23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  <c r="BD347" s="19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  <c r="BP347" s="19"/>
      <c r="BQ347" s="19"/>
      <c r="BR347" s="19"/>
      <c r="BS347" s="19"/>
      <c r="BT347" s="19"/>
      <c r="BU347" s="19"/>
      <c r="BV347" s="19"/>
      <c r="BW347" s="19"/>
      <c r="BX347" s="19"/>
      <c r="BY347" s="19"/>
      <c r="BZ347" s="19"/>
      <c r="CA347" s="19"/>
      <c r="CB347" s="19"/>
      <c r="CC347" s="19"/>
      <c r="CD347" s="19"/>
      <c r="CE347" s="19"/>
      <c r="CF347" s="19"/>
      <c r="CG347" s="19"/>
      <c r="CH347" s="19"/>
      <c r="CI347" s="19"/>
      <c r="CJ347" s="19"/>
      <c r="CK347" s="19"/>
      <c r="CL347" s="19"/>
      <c r="CM347" s="19"/>
      <c r="CN347" s="19"/>
      <c r="CO347" s="19"/>
      <c r="CP347" s="19"/>
      <c r="CQ347" s="19"/>
      <c r="CR347" s="19"/>
      <c r="CS347" s="19"/>
      <c r="CT347" s="19"/>
      <c r="CU347" s="19"/>
      <c r="CV347" s="19"/>
      <c r="CW347" s="19"/>
      <c r="CX347" s="19"/>
      <c r="CY347" s="19"/>
      <c r="CZ347" s="19"/>
      <c r="DA347" s="19"/>
      <c r="DB347" s="19"/>
      <c r="DC347" s="19"/>
      <c r="DD347" s="19"/>
      <c r="DE347" s="19"/>
      <c r="DF347" s="19"/>
      <c r="DG347" s="19"/>
      <c r="DH347" s="19"/>
      <c r="DI347" s="19"/>
      <c r="DJ347" s="19"/>
      <c r="DK347" s="19"/>
      <c r="DL347" s="19"/>
      <c r="DM347" s="19"/>
      <c r="DN347" s="19"/>
      <c r="DO347" s="19"/>
      <c r="DP347" s="19"/>
      <c r="DQ347" s="19"/>
      <c r="DR347" s="19"/>
      <c r="DS347" s="19"/>
      <c r="DT347" s="19"/>
      <c r="DU347" s="19"/>
      <c r="DV347" s="19"/>
      <c r="DW347" s="19"/>
      <c r="DX347" s="19"/>
      <c r="DY347" s="19"/>
      <c r="DZ347" s="19"/>
      <c r="EA347" s="19"/>
      <c r="EB347" s="19"/>
      <c r="EC347" s="19"/>
      <c r="ED347" s="19"/>
      <c r="EE347" s="19"/>
      <c r="EF347" s="19"/>
      <c r="EG347" s="19"/>
      <c r="EH347" s="19"/>
      <c r="EI347" s="19"/>
      <c r="EJ347" s="19"/>
      <c r="EK347" s="19"/>
      <c r="EL347" s="19"/>
      <c r="EM347" s="19"/>
      <c r="EN347" s="19"/>
      <c r="EO347" s="19"/>
      <c r="EP347" s="17"/>
      <c r="EQ347" s="23"/>
      <c r="ER347" s="23" t="str">
        <f t="shared" si="1"/>
        <v/>
      </c>
      <c r="ES347" s="19"/>
      <c r="ET347" s="19" t="str">
        <f t="shared" si="2"/>
        <v/>
      </c>
      <c r="EU347" s="19"/>
      <c r="EV347" s="19"/>
      <c r="EW347" s="19"/>
      <c r="EX347" s="19"/>
      <c r="EY347" s="19"/>
      <c r="EZ347" s="19"/>
      <c r="FA347" s="19"/>
      <c r="FB347" s="19"/>
    </row>
    <row r="348" ht="15.75" customHeight="1">
      <c r="A348" s="19"/>
      <c r="F348" s="19"/>
      <c r="AH348" s="23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  <c r="BD348" s="19"/>
      <c r="BE348" s="19"/>
      <c r="BF348" s="19"/>
      <c r="BG348" s="19"/>
      <c r="BH348" s="19"/>
      <c r="BI348" s="19"/>
      <c r="BJ348" s="19"/>
      <c r="BK348" s="19"/>
      <c r="BL348" s="19"/>
      <c r="BM348" s="19"/>
      <c r="BN348" s="19"/>
      <c r="BO348" s="19"/>
      <c r="BP348" s="19"/>
      <c r="BQ348" s="19"/>
      <c r="BR348" s="19"/>
      <c r="BS348" s="19"/>
      <c r="BT348" s="19"/>
      <c r="BU348" s="19"/>
      <c r="BV348" s="19"/>
      <c r="BW348" s="19"/>
      <c r="BX348" s="19"/>
      <c r="BY348" s="19"/>
      <c r="BZ348" s="19"/>
      <c r="CA348" s="19"/>
      <c r="CB348" s="19"/>
      <c r="CC348" s="19"/>
      <c r="CD348" s="19"/>
      <c r="CE348" s="19"/>
      <c r="CF348" s="19"/>
      <c r="CG348" s="19"/>
      <c r="CH348" s="19"/>
      <c r="CI348" s="19"/>
      <c r="CJ348" s="19"/>
      <c r="CK348" s="19"/>
      <c r="CL348" s="19"/>
      <c r="CM348" s="19"/>
      <c r="CN348" s="19"/>
      <c r="CO348" s="19"/>
      <c r="CP348" s="19"/>
      <c r="CQ348" s="19"/>
      <c r="CR348" s="19"/>
      <c r="CS348" s="19"/>
      <c r="CT348" s="19"/>
      <c r="CU348" s="19"/>
      <c r="CV348" s="19"/>
      <c r="CW348" s="19"/>
      <c r="CX348" s="19"/>
      <c r="CY348" s="19"/>
      <c r="CZ348" s="19"/>
      <c r="DA348" s="19"/>
      <c r="DB348" s="19"/>
      <c r="DC348" s="19"/>
      <c r="DD348" s="19"/>
      <c r="DE348" s="19"/>
      <c r="DF348" s="19"/>
      <c r="DG348" s="19"/>
      <c r="DH348" s="19"/>
      <c r="DI348" s="19"/>
      <c r="DJ348" s="19"/>
      <c r="DK348" s="19"/>
      <c r="DL348" s="19"/>
      <c r="DM348" s="19"/>
      <c r="DN348" s="19"/>
      <c r="DO348" s="19"/>
      <c r="DP348" s="19"/>
      <c r="DQ348" s="19"/>
      <c r="DR348" s="19"/>
      <c r="DS348" s="19"/>
      <c r="DT348" s="19"/>
      <c r="DU348" s="19"/>
      <c r="DV348" s="19"/>
      <c r="DW348" s="19"/>
      <c r="DX348" s="19"/>
      <c r="DY348" s="19"/>
      <c r="DZ348" s="19"/>
      <c r="EA348" s="19"/>
      <c r="EB348" s="19"/>
      <c r="EC348" s="19"/>
      <c r="ED348" s="19"/>
      <c r="EE348" s="19"/>
      <c r="EF348" s="19"/>
      <c r="EG348" s="19"/>
      <c r="EH348" s="19"/>
      <c r="EI348" s="19"/>
      <c r="EJ348" s="19"/>
      <c r="EK348" s="19"/>
      <c r="EL348" s="19"/>
      <c r="EM348" s="19"/>
      <c r="EN348" s="19"/>
      <c r="EO348" s="19"/>
      <c r="EP348" s="17"/>
      <c r="EQ348" s="23"/>
      <c r="ER348" s="23" t="str">
        <f t="shared" si="1"/>
        <v/>
      </c>
      <c r="ES348" s="19"/>
      <c r="ET348" s="19" t="str">
        <f t="shared" si="2"/>
        <v/>
      </c>
      <c r="EU348" s="19"/>
      <c r="EV348" s="19"/>
      <c r="EW348" s="19"/>
      <c r="EX348" s="19"/>
      <c r="EY348" s="19"/>
      <c r="EZ348" s="19"/>
      <c r="FA348" s="19"/>
      <c r="FB348" s="19"/>
    </row>
    <row r="349" ht="15.75" customHeight="1">
      <c r="A349" s="19"/>
      <c r="F349" s="19"/>
      <c r="AH349" s="23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  <c r="BD349" s="19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  <c r="BP349" s="19"/>
      <c r="BQ349" s="19"/>
      <c r="BR349" s="19"/>
      <c r="BS349" s="19"/>
      <c r="BT349" s="19"/>
      <c r="BU349" s="19"/>
      <c r="BV349" s="19"/>
      <c r="BW349" s="19"/>
      <c r="BX349" s="19"/>
      <c r="BY349" s="19"/>
      <c r="BZ349" s="19"/>
      <c r="CA349" s="19"/>
      <c r="CB349" s="19"/>
      <c r="CC349" s="19"/>
      <c r="CD349" s="19"/>
      <c r="CE349" s="19"/>
      <c r="CF349" s="19"/>
      <c r="CG349" s="19"/>
      <c r="CH349" s="19"/>
      <c r="CI349" s="19"/>
      <c r="CJ349" s="19"/>
      <c r="CK349" s="19"/>
      <c r="CL349" s="19"/>
      <c r="CM349" s="19"/>
      <c r="CN349" s="19"/>
      <c r="CO349" s="19"/>
      <c r="CP349" s="19"/>
      <c r="CQ349" s="19"/>
      <c r="CR349" s="19"/>
      <c r="CS349" s="19"/>
      <c r="CT349" s="19"/>
      <c r="CU349" s="19"/>
      <c r="CV349" s="19"/>
      <c r="CW349" s="19"/>
      <c r="CX349" s="19"/>
      <c r="CY349" s="19"/>
      <c r="CZ349" s="19"/>
      <c r="DA349" s="19"/>
      <c r="DB349" s="19"/>
      <c r="DC349" s="19"/>
      <c r="DD349" s="19"/>
      <c r="DE349" s="19"/>
      <c r="DF349" s="19"/>
      <c r="DG349" s="19"/>
      <c r="DH349" s="19"/>
      <c r="DI349" s="19"/>
      <c r="DJ349" s="19"/>
      <c r="DK349" s="19"/>
      <c r="DL349" s="19"/>
      <c r="DM349" s="19"/>
      <c r="DN349" s="19"/>
      <c r="DO349" s="19"/>
      <c r="DP349" s="19"/>
      <c r="DQ349" s="19"/>
      <c r="DR349" s="19"/>
      <c r="DS349" s="19"/>
      <c r="DT349" s="19"/>
      <c r="DU349" s="19"/>
      <c r="DV349" s="19"/>
      <c r="DW349" s="19"/>
      <c r="DX349" s="19"/>
      <c r="DY349" s="19"/>
      <c r="DZ349" s="19"/>
      <c r="EA349" s="19"/>
      <c r="EB349" s="19"/>
      <c r="EC349" s="19"/>
      <c r="ED349" s="19"/>
      <c r="EE349" s="19"/>
      <c r="EF349" s="19"/>
      <c r="EG349" s="19"/>
      <c r="EH349" s="19"/>
      <c r="EI349" s="19"/>
      <c r="EJ349" s="19"/>
      <c r="EK349" s="19"/>
      <c r="EL349" s="19"/>
      <c r="EM349" s="19"/>
      <c r="EN349" s="19"/>
      <c r="EO349" s="19"/>
      <c r="EP349" s="17"/>
      <c r="EQ349" s="23"/>
      <c r="ER349" s="23" t="str">
        <f t="shared" si="1"/>
        <v/>
      </c>
      <c r="ES349" s="19"/>
      <c r="ET349" s="19" t="str">
        <f t="shared" si="2"/>
        <v/>
      </c>
      <c r="EU349" s="19"/>
      <c r="EV349" s="19"/>
      <c r="EW349" s="19"/>
      <c r="EX349" s="19"/>
      <c r="EY349" s="19"/>
      <c r="EZ349" s="19"/>
      <c r="FA349" s="19"/>
      <c r="FB349" s="19"/>
    </row>
    <row r="350" ht="15.75" customHeight="1">
      <c r="A350" s="19"/>
      <c r="F350" s="19"/>
      <c r="AH350" s="23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  <c r="BD350" s="19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  <c r="BP350" s="19"/>
      <c r="BQ350" s="19"/>
      <c r="BR350" s="19"/>
      <c r="BS350" s="19"/>
      <c r="BT350" s="19"/>
      <c r="BU350" s="19"/>
      <c r="BV350" s="19"/>
      <c r="BW350" s="19"/>
      <c r="BX350" s="19"/>
      <c r="BY350" s="19"/>
      <c r="BZ350" s="19"/>
      <c r="CA350" s="19"/>
      <c r="CB350" s="19"/>
      <c r="CC350" s="19"/>
      <c r="CD350" s="19"/>
      <c r="CE350" s="19"/>
      <c r="CF350" s="19"/>
      <c r="CG350" s="19"/>
      <c r="CH350" s="19"/>
      <c r="CI350" s="19"/>
      <c r="CJ350" s="19"/>
      <c r="CK350" s="19"/>
      <c r="CL350" s="19"/>
      <c r="CM350" s="19"/>
      <c r="CN350" s="19"/>
      <c r="CO350" s="19"/>
      <c r="CP350" s="19"/>
      <c r="CQ350" s="19"/>
      <c r="CR350" s="19"/>
      <c r="CS350" s="19"/>
      <c r="CT350" s="19"/>
      <c r="CU350" s="19"/>
      <c r="CV350" s="19"/>
      <c r="CW350" s="19"/>
      <c r="CX350" s="19"/>
      <c r="CY350" s="19"/>
      <c r="CZ350" s="19"/>
      <c r="DA350" s="19"/>
      <c r="DB350" s="19"/>
      <c r="DC350" s="19"/>
      <c r="DD350" s="19"/>
      <c r="DE350" s="19"/>
      <c r="DF350" s="19"/>
      <c r="DG350" s="19"/>
      <c r="DH350" s="19"/>
      <c r="DI350" s="19"/>
      <c r="DJ350" s="19"/>
      <c r="DK350" s="19"/>
      <c r="DL350" s="19"/>
      <c r="DM350" s="19"/>
      <c r="DN350" s="19"/>
      <c r="DO350" s="19"/>
      <c r="DP350" s="19"/>
      <c r="DQ350" s="19"/>
      <c r="DR350" s="19"/>
      <c r="DS350" s="19"/>
      <c r="DT350" s="19"/>
      <c r="DU350" s="19"/>
      <c r="DV350" s="19"/>
      <c r="DW350" s="19"/>
      <c r="DX350" s="19"/>
      <c r="DY350" s="19"/>
      <c r="DZ350" s="19"/>
      <c r="EA350" s="19"/>
      <c r="EB350" s="19"/>
      <c r="EC350" s="19"/>
      <c r="ED350" s="19"/>
      <c r="EE350" s="19"/>
      <c r="EF350" s="19"/>
      <c r="EG350" s="19"/>
      <c r="EH350" s="19"/>
      <c r="EI350" s="19"/>
      <c r="EJ350" s="19"/>
      <c r="EK350" s="19"/>
      <c r="EL350" s="19"/>
      <c r="EM350" s="19"/>
      <c r="EN350" s="19"/>
      <c r="EO350" s="19"/>
      <c r="EP350" s="17"/>
      <c r="EQ350" s="23"/>
      <c r="ER350" s="23" t="str">
        <f t="shared" si="1"/>
        <v/>
      </c>
      <c r="ES350" s="19"/>
      <c r="ET350" s="19" t="str">
        <f t="shared" si="2"/>
        <v/>
      </c>
      <c r="EU350" s="19"/>
      <c r="EV350" s="19"/>
      <c r="EW350" s="19"/>
      <c r="EX350" s="19"/>
      <c r="EY350" s="19"/>
      <c r="EZ350" s="19"/>
      <c r="FA350" s="19"/>
      <c r="FB350" s="19"/>
    </row>
    <row r="351" ht="15.75" customHeight="1">
      <c r="A351" s="19"/>
      <c r="F351" s="19"/>
      <c r="AH351" s="23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  <c r="BD351" s="19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  <c r="BP351" s="19"/>
      <c r="BQ351" s="19"/>
      <c r="BR351" s="19"/>
      <c r="BS351" s="19"/>
      <c r="BT351" s="19"/>
      <c r="BU351" s="19"/>
      <c r="BV351" s="19"/>
      <c r="BW351" s="19"/>
      <c r="BX351" s="19"/>
      <c r="BY351" s="19"/>
      <c r="BZ351" s="19"/>
      <c r="CA351" s="19"/>
      <c r="CB351" s="19"/>
      <c r="CC351" s="19"/>
      <c r="CD351" s="19"/>
      <c r="CE351" s="19"/>
      <c r="CF351" s="19"/>
      <c r="CG351" s="19"/>
      <c r="CH351" s="19"/>
      <c r="CI351" s="19"/>
      <c r="CJ351" s="19"/>
      <c r="CK351" s="19"/>
      <c r="CL351" s="19"/>
      <c r="CM351" s="19"/>
      <c r="CN351" s="19"/>
      <c r="CO351" s="19"/>
      <c r="CP351" s="19"/>
      <c r="CQ351" s="19"/>
      <c r="CR351" s="19"/>
      <c r="CS351" s="19"/>
      <c r="CT351" s="19"/>
      <c r="CU351" s="19"/>
      <c r="CV351" s="19"/>
      <c r="CW351" s="19"/>
      <c r="CX351" s="19"/>
      <c r="CY351" s="19"/>
      <c r="CZ351" s="19"/>
      <c r="DA351" s="19"/>
      <c r="DB351" s="19"/>
      <c r="DC351" s="19"/>
      <c r="DD351" s="19"/>
      <c r="DE351" s="19"/>
      <c r="DF351" s="19"/>
      <c r="DG351" s="19"/>
      <c r="DH351" s="19"/>
      <c r="DI351" s="19"/>
      <c r="DJ351" s="19"/>
      <c r="DK351" s="19"/>
      <c r="DL351" s="19"/>
      <c r="DM351" s="19"/>
      <c r="DN351" s="19"/>
      <c r="DO351" s="19"/>
      <c r="DP351" s="19"/>
      <c r="DQ351" s="19"/>
      <c r="DR351" s="19"/>
      <c r="DS351" s="19"/>
      <c r="DT351" s="19"/>
      <c r="DU351" s="19"/>
      <c r="DV351" s="19"/>
      <c r="DW351" s="19"/>
      <c r="DX351" s="19"/>
      <c r="DY351" s="19"/>
      <c r="DZ351" s="19"/>
      <c r="EA351" s="19"/>
      <c r="EB351" s="19"/>
      <c r="EC351" s="19"/>
      <c r="ED351" s="19"/>
      <c r="EE351" s="19"/>
      <c r="EF351" s="19"/>
      <c r="EG351" s="19"/>
      <c r="EH351" s="19"/>
      <c r="EI351" s="19"/>
      <c r="EJ351" s="19"/>
      <c r="EK351" s="19"/>
      <c r="EL351" s="19"/>
      <c r="EM351" s="19"/>
      <c r="EN351" s="19"/>
      <c r="EO351" s="19"/>
      <c r="EP351" s="17"/>
      <c r="EQ351" s="23"/>
      <c r="ER351" s="23" t="str">
        <f t="shared" si="1"/>
        <v/>
      </c>
      <c r="ES351" s="19"/>
      <c r="ET351" s="19" t="str">
        <f t="shared" si="2"/>
        <v/>
      </c>
      <c r="EU351" s="19"/>
      <c r="EV351" s="19"/>
      <c r="EW351" s="19"/>
      <c r="EX351" s="19"/>
      <c r="EY351" s="19"/>
      <c r="EZ351" s="19"/>
      <c r="FA351" s="19"/>
      <c r="FB351" s="19"/>
    </row>
    <row r="352" ht="15.75" customHeight="1">
      <c r="A352" s="19"/>
      <c r="F352" s="19"/>
      <c r="AH352" s="23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  <c r="BD352" s="19"/>
      <c r="BE352" s="19"/>
      <c r="BF352" s="19"/>
      <c r="BG352" s="19"/>
      <c r="BH352" s="19"/>
      <c r="BI352" s="19"/>
      <c r="BJ352" s="19"/>
      <c r="BK352" s="19"/>
      <c r="BL352" s="19"/>
      <c r="BM352" s="19"/>
      <c r="BN352" s="19"/>
      <c r="BO352" s="19"/>
      <c r="BP352" s="19"/>
      <c r="BQ352" s="19"/>
      <c r="BR352" s="19"/>
      <c r="BS352" s="19"/>
      <c r="BT352" s="19"/>
      <c r="BU352" s="19"/>
      <c r="BV352" s="19"/>
      <c r="BW352" s="19"/>
      <c r="BX352" s="19"/>
      <c r="BY352" s="19"/>
      <c r="BZ352" s="19"/>
      <c r="CA352" s="19"/>
      <c r="CB352" s="19"/>
      <c r="CC352" s="19"/>
      <c r="CD352" s="19"/>
      <c r="CE352" s="19"/>
      <c r="CF352" s="19"/>
      <c r="CG352" s="19"/>
      <c r="CH352" s="19"/>
      <c r="CI352" s="19"/>
      <c r="CJ352" s="19"/>
      <c r="CK352" s="19"/>
      <c r="CL352" s="19"/>
      <c r="CM352" s="19"/>
      <c r="CN352" s="19"/>
      <c r="CO352" s="19"/>
      <c r="CP352" s="19"/>
      <c r="CQ352" s="19"/>
      <c r="CR352" s="19"/>
      <c r="CS352" s="19"/>
      <c r="CT352" s="19"/>
      <c r="CU352" s="19"/>
      <c r="CV352" s="19"/>
      <c r="CW352" s="19"/>
      <c r="CX352" s="19"/>
      <c r="CY352" s="19"/>
      <c r="CZ352" s="19"/>
      <c r="DA352" s="19"/>
      <c r="DB352" s="19"/>
      <c r="DC352" s="19"/>
      <c r="DD352" s="19"/>
      <c r="DE352" s="19"/>
      <c r="DF352" s="19"/>
      <c r="DG352" s="19"/>
      <c r="DH352" s="19"/>
      <c r="DI352" s="19"/>
      <c r="DJ352" s="19"/>
      <c r="DK352" s="19"/>
      <c r="DL352" s="19"/>
      <c r="DM352" s="19"/>
      <c r="DN352" s="19"/>
      <c r="DO352" s="19"/>
      <c r="DP352" s="19"/>
      <c r="DQ352" s="19"/>
      <c r="DR352" s="19"/>
      <c r="DS352" s="19"/>
      <c r="DT352" s="19"/>
      <c r="DU352" s="19"/>
      <c r="DV352" s="19"/>
      <c r="DW352" s="19"/>
      <c r="DX352" s="19"/>
      <c r="DY352" s="19"/>
      <c r="DZ352" s="19"/>
      <c r="EA352" s="19"/>
      <c r="EB352" s="19"/>
      <c r="EC352" s="19"/>
      <c r="ED352" s="19"/>
      <c r="EE352" s="19"/>
      <c r="EF352" s="19"/>
      <c r="EG352" s="19"/>
      <c r="EH352" s="19"/>
      <c r="EI352" s="19"/>
      <c r="EJ352" s="19"/>
      <c r="EK352" s="19"/>
      <c r="EL352" s="19"/>
      <c r="EM352" s="19"/>
      <c r="EN352" s="19"/>
      <c r="EO352" s="19"/>
      <c r="EP352" s="17"/>
      <c r="EQ352" s="23"/>
      <c r="ER352" s="23" t="str">
        <f t="shared" si="1"/>
        <v/>
      </c>
      <c r="ES352" s="19"/>
      <c r="ET352" s="19" t="str">
        <f t="shared" si="2"/>
        <v/>
      </c>
      <c r="EU352" s="19"/>
      <c r="EV352" s="19"/>
      <c r="EW352" s="19"/>
      <c r="EX352" s="19"/>
      <c r="EY352" s="19"/>
      <c r="EZ352" s="19"/>
      <c r="FA352" s="19"/>
      <c r="FB352" s="19"/>
    </row>
    <row r="353" ht="15.75" customHeight="1">
      <c r="A353" s="19"/>
      <c r="F353" s="19"/>
      <c r="AH353" s="23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  <c r="BD353" s="19"/>
      <c r="BE353" s="19"/>
      <c r="BF353" s="19"/>
      <c r="BG353" s="19"/>
      <c r="BH353" s="19"/>
      <c r="BI353" s="19"/>
      <c r="BJ353" s="19"/>
      <c r="BK353" s="19"/>
      <c r="BL353" s="19"/>
      <c r="BM353" s="19"/>
      <c r="BN353" s="19"/>
      <c r="BO353" s="19"/>
      <c r="BP353" s="19"/>
      <c r="BQ353" s="19"/>
      <c r="BR353" s="19"/>
      <c r="BS353" s="19"/>
      <c r="BT353" s="19"/>
      <c r="BU353" s="19"/>
      <c r="BV353" s="19"/>
      <c r="BW353" s="19"/>
      <c r="BX353" s="19"/>
      <c r="BY353" s="19"/>
      <c r="BZ353" s="19"/>
      <c r="CA353" s="19"/>
      <c r="CB353" s="19"/>
      <c r="CC353" s="19"/>
      <c r="CD353" s="19"/>
      <c r="CE353" s="19"/>
      <c r="CF353" s="19"/>
      <c r="CG353" s="19"/>
      <c r="CH353" s="19"/>
      <c r="CI353" s="19"/>
      <c r="CJ353" s="19"/>
      <c r="CK353" s="19"/>
      <c r="CL353" s="19"/>
      <c r="CM353" s="19"/>
      <c r="CN353" s="19"/>
      <c r="CO353" s="19"/>
      <c r="CP353" s="19"/>
      <c r="CQ353" s="19"/>
      <c r="CR353" s="19"/>
      <c r="CS353" s="19"/>
      <c r="CT353" s="19"/>
      <c r="CU353" s="19"/>
      <c r="CV353" s="19"/>
      <c r="CW353" s="19"/>
      <c r="CX353" s="19"/>
      <c r="CY353" s="19"/>
      <c r="CZ353" s="19"/>
      <c r="DA353" s="19"/>
      <c r="DB353" s="19"/>
      <c r="DC353" s="19"/>
      <c r="DD353" s="19"/>
      <c r="DE353" s="19"/>
      <c r="DF353" s="19"/>
      <c r="DG353" s="19"/>
      <c r="DH353" s="19"/>
      <c r="DI353" s="19"/>
      <c r="DJ353" s="19"/>
      <c r="DK353" s="19"/>
      <c r="DL353" s="19"/>
      <c r="DM353" s="19"/>
      <c r="DN353" s="19"/>
      <c r="DO353" s="19"/>
      <c r="DP353" s="19"/>
      <c r="DQ353" s="19"/>
      <c r="DR353" s="19"/>
      <c r="DS353" s="19"/>
      <c r="DT353" s="19"/>
      <c r="DU353" s="19"/>
      <c r="DV353" s="19"/>
      <c r="DW353" s="19"/>
      <c r="DX353" s="19"/>
      <c r="DY353" s="19"/>
      <c r="DZ353" s="19"/>
      <c r="EA353" s="19"/>
      <c r="EB353" s="19"/>
      <c r="EC353" s="19"/>
      <c r="ED353" s="19"/>
      <c r="EE353" s="19"/>
      <c r="EF353" s="19"/>
      <c r="EG353" s="19"/>
      <c r="EH353" s="19"/>
      <c r="EI353" s="19"/>
      <c r="EJ353" s="19"/>
      <c r="EK353" s="19"/>
      <c r="EL353" s="19"/>
      <c r="EM353" s="19"/>
      <c r="EN353" s="19"/>
      <c r="EO353" s="19"/>
      <c r="EP353" s="17"/>
      <c r="EQ353" s="23"/>
      <c r="ER353" s="23" t="str">
        <f t="shared" si="1"/>
        <v/>
      </c>
      <c r="ES353" s="19"/>
      <c r="ET353" s="19" t="str">
        <f t="shared" si="2"/>
        <v/>
      </c>
      <c r="EU353" s="19"/>
      <c r="EV353" s="19"/>
      <c r="EW353" s="19"/>
      <c r="EX353" s="19"/>
      <c r="EY353" s="19"/>
      <c r="EZ353" s="19"/>
      <c r="FA353" s="19"/>
      <c r="FB353" s="19"/>
    </row>
    <row r="354" ht="15.75" customHeight="1">
      <c r="A354" s="19"/>
      <c r="F354" s="19"/>
      <c r="AH354" s="23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  <c r="BD354" s="19"/>
      <c r="BE354" s="19"/>
      <c r="BF354" s="19"/>
      <c r="BG354" s="19"/>
      <c r="BH354" s="19"/>
      <c r="BI354" s="19"/>
      <c r="BJ354" s="19"/>
      <c r="BK354" s="19"/>
      <c r="BL354" s="19"/>
      <c r="BM354" s="19"/>
      <c r="BN354" s="19"/>
      <c r="BO354" s="19"/>
      <c r="BP354" s="19"/>
      <c r="BQ354" s="19"/>
      <c r="BR354" s="19"/>
      <c r="BS354" s="19"/>
      <c r="BT354" s="19"/>
      <c r="BU354" s="19"/>
      <c r="BV354" s="19"/>
      <c r="BW354" s="19"/>
      <c r="BX354" s="19"/>
      <c r="BY354" s="19"/>
      <c r="BZ354" s="19"/>
      <c r="CA354" s="19"/>
      <c r="CB354" s="19"/>
      <c r="CC354" s="19"/>
      <c r="CD354" s="19"/>
      <c r="CE354" s="19"/>
      <c r="CF354" s="19"/>
      <c r="CG354" s="19"/>
      <c r="CH354" s="19"/>
      <c r="CI354" s="19"/>
      <c r="CJ354" s="19"/>
      <c r="CK354" s="19"/>
      <c r="CL354" s="19"/>
      <c r="CM354" s="19"/>
      <c r="CN354" s="19"/>
      <c r="CO354" s="19"/>
      <c r="CP354" s="19"/>
      <c r="CQ354" s="19"/>
      <c r="CR354" s="19"/>
      <c r="CS354" s="19"/>
      <c r="CT354" s="19"/>
      <c r="CU354" s="19"/>
      <c r="CV354" s="19"/>
      <c r="CW354" s="19"/>
      <c r="CX354" s="19"/>
      <c r="CY354" s="19"/>
      <c r="CZ354" s="19"/>
      <c r="DA354" s="19"/>
      <c r="DB354" s="19"/>
      <c r="DC354" s="19"/>
      <c r="DD354" s="19"/>
      <c r="DE354" s="19"/>
      <c r="DF354" s="19"/>
      <c r="DG354" s="19"/>
      <c r="DH354" s="19"/>
      <c r="DI354" s="19"/>
      <c r="DJ354" s="19"/>
      <c r="DK354" s="19"/>
      <c r="DL354" s="19"/>
      <c r="DM354" s="19"/>
      <c r="DN354" s="19"/>
      <c r="DO354" s="19"/>
      <c r="DP354" s="19"/>
      <c r="DQ354" s="19"/>
      <c r="DR354" s="19"/>
      <c r="DS354" s="19"/>
      <c r="DT354" s="19"/>
      <c r="DU354" s="19"/>
      <c r="DV354" s="19"/>
      <c r="DW354" s="19"/>
      <c r="DX354" s="19"/>
      <c r="DY354" s="19"/>
      <c r="DZ354" s="19"/>
      <c r="EA354" s="19"/>
      <c r="EB354" s="19"/>
      <c r="EC354" s="19"/>
      <c r="ED354" s="19"/>
      <c r="EE354" s="19"/>
      <c r="EF354" s="19"/>
      <c r="EG354" s="19"/>
      <c r="EH354" s="19"/>
      <c r="EI354" s="19"/>
      <c r="EJ354" s="19"/>
      <c r="EK354" s="19"/>
      <c r="EL354" s="19"/>
      <c r="EM354" s="19"/>
      <c r="EN354" s="19"/>
      <c r="EO354" s="19"/>
      <c r="EP354" s="17"/>
      <c r="EQ354" s="23"/>
      <c r="ER354" s="23" t="str">
        <f t="shared" si="1"/>
        <v/>
      </c>
      <c r="ES354" s="19"/>
      <c r="ET354" s="19" t="str">
        <f t="shared" si="2"/>
        <v/>
      </c>
      <c r="EU354" s="19"/>
      <c r="EV354" s="19"/>
      <c r="EW354" s="19"/>
      <c r="EX354" s="19"/>
      <c r="EY354" s="19"/>
      <c r="EZ354" s="19"/>
      <c r="FA354" s="19"/>
      <c r="FB354" s="19"/>
    </row>
    <row r="355" ht="15.75" customHeight="1">
      <c r="A355" s="19"/>
      <c r="F355" s="19"/>
      <c r="AH355" s="23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  <c r="BD355" s="19"/>
      <c r="BE355" s="19"/>
      <c r="BF355" s="19"/>
      <c r="BG355" s="19"/>
      <c r="BH355" s="19"/>
      <c r="BI355" s="19"/>
      <c r="BJ355" s="19"/>
      <c r="BK355" s="19"/>
      <c r="BL355" s="19"/>
      <c r="BM355" s="19"/>
      <c r="BN355" s="19"/>
      <c r="BO355" s="19"/>
      <c r="BP355" s="19"/>
      <c r="BQ355" s="19"/>
      <c r="BR355" s="19"/>
      <c r="BS355" s="19"/>
      <c r="BT355" s="19"/>
      <c r="BU355" s="19"/>
      <c r="BV355" s="19"/>
      <c r="BW355" s="19"/>
      <c r="BX355" s="19"/>
      <c r="BY355" s="19"/>
      <c r="BZ355" s="19"/>
      <c r="CA355" s="19"/>
      <c r="CB355" s="19"/>
      <c r="CC355" s="19"/>
      <c r="CD355" s="19"/>
      <c r="CE355" s="19"/>
      <c r="CF355" s="19"/>
      <c r="CG355" s="19"/>
      <c r="CH355" s="19"/>
      <c r="CI355" s="19"/>
      <c r="CJ355" s="19"/>
      <c r="CK355" s="19"/>
      <c r="CL355" s="19"/>
      <c r="CM355" s="19"/>
      <c r="CN355" s="19"/>
      <c r="CO355" s="19"/>
      <c r="CP355" s="19"/>
      <c r="CQ355" s="19"/>
      <c r="CR355" s="19"/>
      <c r="CS355" s="19"/>
      <c r="CT355" s="19"/>
      <c r="CU355" s="19"/>
      <c r="CV355" s="19"/>
      <c r="CW355" s="19"/>
      <c r="CX355" s="19"/>
      <c r="CY355" s="19"/>
      <c r="CZ355" s="19"/>
      <c r="DA355" s="19"/>
      <c r="DB355" s="19"/>
      <c r="DC355" s="19"/>
      <c r="DD355" s="19"/>
      <c r="DE355" s="19"/>
      <c r="DF355" s="19"/>
      <c r="DG355" s="19"/>
      <c r="DH355" s="19"/>
      <c r="DI355" s="19"/>
      <c r="DJ355" s="19"/>
      <c r="DK355" s="19"/>
      <c r="DL355" s="19"/>
      <c r="DM355" s="19"/>
      <c r="DN355" s="19"/>
      <c r="DO355" s="19"/>
      <c r="DP355" s="19"/>
      <c r="DQ355" s="19"/>
      <c r="DR355" s="19"/>
      <c r="DS355" s="19"/>
      <c r="DT355" s="19"/>
      <c r="DU355" s="19"/>
      <c r="DV355" s="19"/>
      <c r="DW355" s="19"/>
      <c r="DX355" s="19"/>
      <c r="DY355" s="19"/>
      <c r="DZ355" s="19"/>
      <c r="EA355" s="19"/>
      <c r="EB355" s="19"/>
      <c r="EC355" s="19"/>
      <c r="ED355" s="19"/>
      <c r="EE355" s="19"/>
      <c r="EF355" s="19"/>
      <c r="EG355" s="19"/>
      <c r="EH355" s="19"/>
      <c r="EI355" s="19"/>
      <c r="EJ355" s="19"/>
      <c r="EK355" s="19"/>
      <c r="EL355" s="19"/>
      <c r="EM355" s="19"/>
      <c r="EN355" s="19"/>
      <c r="EO355" s="19"/>
      <c r="EP355" s="17"/>
      <c r="EQ355" s="23"/>
      <c r="ER355" s="23" t="str">
        <f t="shared" si="1"/>
        <v/>
      </c>
      <c r="ES355" s="19"/>
      <c r="ET355" s="19" t="str">
        <f t="shared" si="2"/>
        <v/>
      </c>
      <c r="EU355" s="19"/>
      <c r="EV355" s="19"/>
      <c r="EW355" s="19"/>
      <c r="EX355" s="19"/>
      <c r="EY355" s="19"/>
      <c r="EZ355" s="19"/>
      <c r="FA355" s="19"/>
      <c r="FB355" s="19"/>
    </row>
    <row r="356" ht="15.75" customHeight="1">
      <c r="A356" s="19"/>
      <c r="F356" s="19"/>
      <c r="AH356" s="23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  <c r="BD356" s="19"/>
      <c r="BE356" s="19"/>
      <c r="BF356" s="19"/>
      <c r="BG356" s="19"/>
      <c r="BH356" s="19"/>
      <c r="BI356" s="19"/>
      <c r="BJ356" s="19"/>
      <c r="BK356" s="19"/>
      <c r="BL356" s="19"/>
      <c r="BM356" s="19"/>
      <c r="BN356" s="19"/>
      <c r="BO356" s="19"/>
      <c r="BP356" s="19"/>
      <c r="BQ356" s="19"/>
      <c r="BR356" s="19"/>
      <c r="BS356" s="19"/>
      <c r="BT356" s="19"/>
      <c r="BU356" s="19"/>
      <c r="BV356" s="19"/>
      <c r="BW356" s="19"/>
      <c r="BX356" s="19"/>
      <c r="BY356" s="19"/>
      <c r="BZ356" s="19"/>
      <c r="CA356" s="19"/>
      <c r="CB356" s="19"/>
      <c r="CC356" s="19"/>
      <c r="CD356" s="19"/>
      <c r="CE356" s="19"/>
      <c r="CF356" s="19"/>
      <c r="CG356" s="19"/>
      <c r="CH356" s="19"/>
      <c r="CI356" s="19"/>
      <c r="CJ356" s="19"/>
      <c r="CK356" s="19"/>
      <c r="CL356" s="19"/>
      <c r="CM356" s="19"/>
      <c r="CN356" s="19"/>
      <c r="CO356" s="19"/>
      <c r="CP356" s="19"/>
      <c r="CQ356" s="19"/>
      <c r="CR356" s="19"/>
      <c r="CS356" s="19"/>
      <c r="CT356" s="19"/>
      <c r="CU356" s="19"/>
      <c r="CV356" s="19"/>
      <c r="CW356" s="19"/>
      <c r="CX356" s="19"/>
      <c r="CY356" s="19"/>
      <c r="CZ356" s="19"/>
      <c r="DA356" s="19"/>
      <c r="DB356" s="19"/>
      <c r="DC356" s="19"/>
      <c r="DD356" s="19"/>
      <c r="DE356" s="19"/>
      <c r="DF356" s="19"/>
      <c r="DG356" s="19"/>
      <c r="DH356" s="19"/>
      <c r="DI356" s="19"/>
      <c r="DJ356" s="19"/>
      <c r="DK356" s="19"/>
      <c r="DL356" s="19"/>
      <c r="DM356" s="19"/>
      <c r="DN356" s="19"/>
      <c r="DO356" s="19"/>
      <c r="DP356" s="19"/>
      <c r="DQ356" s="19"/>
      <c r="DR356" s="19"/>
      <c r="DS356" s="19"/>
      <c r="DT356" s="19"/>
      <c r="DU356" s="19"/>
      <c r="DV356" s="19"/>
      <c r="DW356" s="19"/>
      <c r="DX356" s="19"/>
      <c r="DY356" s="19"/>
      <c r="DZ356" s="19"/>
      <c r="EA356" s="19"/>
      <c r="EB356" s="19"/>
      <c r="EC356" s="19"/>
      <c r="ED356" s="19"/>
      <c r="EE356" s="19"/>
      <c r="EF356" s="19"/>
      <c r="EG356" s="19"/>
      <c r="EH356" s="19"/>
      <c r="EI356" s="19"/>
      <c r="EJ356" s="19"/>
      <c r="EK356" s="19"/>
      <c r="EL356" s="19"/>
      <c r="EM356" s="19"/>
      <c r="EN356" s="19"/>
      <c r="EO356" s="19"/>
      <c r="EP356" s="17"/>
      <c r="EQ356" s="23"/>
      <c r="ER356" s="23" t="str">
        <f t="shared" si="1"/>
        <v/>
      </c>
      <c r="ES356" s="19"/>
      <c r="ET356" s="19" t="str">
        <f t="shared" si="2"/>
        <v/>
      </c>
      <c r="EU356" s="19"/>
      <c r="EV356" s="19"/>
      <c r="EW356" s="19"/>
      <c r="EX356" s="19"/>
      <c r="EY356" s="19"/>
      <c r="EZ356" s="19"/>
      <c r="FA356" s="19"/>
      <c r="FB356" s="19"/>
    </row>
    <row r="357" ht="15.75" customHeight="1">
      <c r="A357" s="19"/>
      <c r="F357" s="19"/>
      <c r="AH357" s="23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  <c r="BD357" s="19"/>
      <c r="BE357" s="19"/>
      <c r="BF357" s="19"/>
      <c r="BG357" s="19"/>
      <c r="BH357" s="19"/>
      <c r="BI357" s="19"/>
      <c r="BJ357" s="19"/>
      <c r="BK357" s="19"/>
      <c r="BL357" s="19"/>
      <c r="BM357" s="19"/>
      <c r="BN357" s="19"/>
      <c r="BO357" s="19"/>
      <c r="BP357" s="19"/>
      <c r="BQ357" s="19"/>
      <c r="BR357" s="19"/>
      <c r="BS357" s="19"/>
      <c r="BT357" s="19"/>
      <c r="BU357" s="19"/>
      <c r="BV357" s="19"/>
      <c r="BW357" s="19"/>
      <c r="BX357" s="19"/>
      <c r="BY357" s="19"/>
      <c r="BZ357" s="19"/>
      <c r="CA357" s="19"/>
      <c r="CB357" s="19"/>
      <c r="CC357" s="19"/>
      <c r="CD357" s="19"/>
      <c r="CE357" s="19"/>
      <c r="CF357" s="19"/>
      <c r="CG357" s="19"/>
      <c r="CH357" s="19"/>
      <c r="CI357" s="19"/>
      <c r="CJ357" s="19"/>
      <c r="CK357" s="19"/>
      <c r="CL357" s="19"/>
      <c r="CM357" s="19"/>
      <c r="CN357" s="19"/>
      <c r="CO357" s="19"/>
      <c r="CP357" s="19"/>
      <c r="CQ357" s="19"/>
      <c r="CR357" s="19"/>
      <c r="CS357" s="19"/>
      <c r="CT357" s="19"/>
      <c r="CU357" s="19"/>
      <c r="CV357" s="19"/>
      <c r="CW357" s="19"/>
      <c r="CX357" s="19"/>
      <c r="CY357" s="19"/>
      <c r="CZ357" s="19"/>
      <c r="DA357" s="19"/>
      <c r="DB357" s="19"/>
      <c r="DC357" s="19"/>
      <c r="DD357" s="19"/>
      <c r="DE357" s="19"/>
      <c r="DF357" s="19"/>
      <c r="DG357" s="19"/>
      <c r="DH357" s="19"/>
      <c r="DI357" s="19"/>
      <c r="DJ357" s="19"/>
      <c r="DK357" s="19"/>
      <c r="DL357" s="19"/>
      <c r="DM357" s="19"/>
      <c r="DN357" s="19"/>
      <c r="DO357" s="19"/>
      <c r="DP357" s="19"/>
      <c r="DQ357" s="19"/>
      <c r="DR357" s="19"/>
      <c r="DS357" s="19"/>
      <c r="DT357" s="19"/>
      <c r="DU357" s="19"/>
      <c r="DV357" s="19"/>
      <c r="DW357" s="19"/>
      <c r="DX357" s="19"/>
      <c r="DY357" s="19"/>
      <c r="DZ357" s="19"/>
      <c r="EA357" s="19"/>
      <c r="EB357" s="19"/>
      <c r="EC357" s="19"/>
      <c r="ED357" s="19"/>
      <c r="EE357" s="19"/>
      <c r="EF357" s="19"/>
      <c r="EG357" s="19"/>
      <c r="EH357" s="19"/>
      <c r="EI357" s="19"/>
      <c r="EJ357" s="19"/>
      <c r="EK357" s="19"/>
      <c r="EL357" s="19"/>
      <c r="EM357" s="19"/>
      <c r="EN357" s="19"/>
      <c r="EO357" s="19"/>
      <c r="EP357" s="17"/>
      <c r="EQ357" s="23"/>
      <c r="ER357" s="23" t="str">
        <f t="shared" si="1"/>
        <v/>
      </c>
      <c r="ES357" s="19"/>
      <c r="ET357" s="19" t="str">
        <f t="shared" si="2"/>
        <v/>
      </c>
      <c r="EU357" s="19"/>
      <c r="EV357" s="19"/>
      <c r="EW357" s="19"/>
      <c r="EX357" s="19"/>
      <c r="EY357" s="19"/>
      <c r="EZ357" s="19"/>
      <c r="FA357" s="19"/>
      <c r="FB357" s="19"/>
    </row>
    <row r="358" ht="15.75" customHeight="1">
      <c r="A358" s="19"/>
      <c r="F358" s="19"/>
      <c r="AH358" s="23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  <c r="BD358" s="19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  <c r="BP358" s="19"/>
      <c r="BQ358" s="19"/>
      <c r="BR358" s="19"/>
      <c r="BS358" s="19"/>
      <c r="BT358" s="19"/>
      <c r="BU358" s="19"/>
      <c r="BV358" s="19"/>
      <c r="BW358" s="19"/>
      <c r="BX358" s="19"/>
      <c r="BY358" s="19"/>
      <c r="BZ358" s="19"/>
      <c r="CA358" s="19"/>
      <c r="CB358" s="19"/>
      <c r="CC358" s="19"/>
      <c r="CD358" s="19"/>
      <c r="CE358" s="19"/>
      <c r="CF358" s="19"/>
      <c r="CG358" s="19"/>
      <c r="CH358" s="19"/>
      <c r="CI358" s="19"/>
      <c r="CJ358" s="19"/>
      <c r="CK358" s="19"/>
      <c r="CL358" s="19"/>
      <c r="CM358" s="19"/>
      <c r="CN358" s="19"/>
      <c r="CO358" s="19"/>
      <c r="CP358" s="19"/>
      <c r="CQ358" s="19"/>
      <c r="CR358" s="19"/>
      <c r="CS358" s="19"/>
      <c r="CT358" s="19"/>
      <c r="CU358" s="19"/>
      <c r="CV358" s="19"/>
      <c r="CW358" s="19"/>
      <c r="CX358" s="19"/>
      <c r="CY358" s="19"/>
      <c r="CZ358" s="19"/>
      <c r="DA358" s="19"/>
      <c r="DB358" s="19"/>
      <c r="DC358" s="19"/>
      <c r="DD358" s="19"/>
      <c r="DE358" s="19"/>
      <c r="DF358" s="19"/>
      <c r="DG358" s="19"/>
      <c r="DH358" s="19"/>
      <c r="DI358" s="19"/>
      <c r="DJ358" s="19"/>
      <c r="DK358" s="19"/>
      <c r="DL358" s="19"/>
      <c r="DM358" s="19"/>
      <c r="DN358" s="19"/>
      <c r="DO358" s="19"/>
      <c r="DP358" s="19"/>
      <c r="DQ358" s="19"/>
      <c r="DR358" s="19"/>
      <c r="DS358" s="19"/>
      <c r="DT358" s="19"/>
      <c r="DU358" s="19"/>
      <c r="DV358" s="19"/>
      <c r="DW358" s="19"/>
      <c r="DX358" s="19"/>
      <c r="DY358" s="19"/>
      <c r="DZ358" s="19"/>
      <c r="EA358" s="19"/>
      <c r="EB358" s="19"/>
      <c r="EC358" s="19"/>
      <c r="ED358" s="19"/>
      <c r="EE358" s="19"/>
      <c r="EF358" s="19"/>
      <c r="EG358" s="19"/>
      <c r="EH358" s="19"/>
      <c r="EI358" s="19"/>
      <c r="EJ358" s="19"/>
      <c r="EK358" s="19"/>
      <c r="EL358" s="19"/>
      <c r="EM358" s="19"/>
      <c r="EN358" s="19"/>
      <c r="EO358" s="19"/>
      <c r="EP358" s="17"/>
      <c r="EQ358" s="23"/>
      <c r="ER358" s="23" t="str">
        <f t="shared" si="1"/>
        <v/>
      </c>
      <c r="ES358" s="19"/>
      <c r="ET358" s="19" t="str">
        <f t="shared" si="2"/>
        <v/>
      </c>
      <c r="EU358" s="19"/>
      <c r="EV358" s="19"/>
      <c r="EW358" s="19"/>
      <c r="EX358" s="19"/>
      <c r="EY358" s="19"/>
      <c r="EZ358" s="19"/>
      <c r="FA358" s="19"/>
      <c r="FB358" s="19"/>
    </row>
    <row r="359" ht="15.75" customHeight="1">
      <c r="A359" s="19"/>
      <c r="F359" s="19"/>
      <c r="AH359" s="23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  <c r="BD359" s="19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  <c r="BP359" s="19"/>
      <c r="BQ359" s="19"/>
      <c r="BR359" s="19"/>
      <c r="BS359" s="19"/>
      <c r="BT359" s="19"/>
      <c r="BU359" s="19"/>
      <c r="BV359" s="19"/>
      <c r="BW359" s="19"/>
      <c r="BX359" s="19"/>
      <c r="BY359" s="19"/>
      <c r="BZ359" s="19"/>
      <c r="CA359" s="19"/>
      <c r="CB359" s="19"/>
      <c r="CC359" s="19"/>
      <c r="CD359" s="19"/>
      <c r="CE359" s="19"/>
      <c r="CF359" s="19"/>
      <c r="CG359" s="19"/>
      <c r="CH359" s="19"/>
      <c r="CI359" s="19"/>
      <c r="CJ359" s="19"/>
      <c r="CK359" s="19"/>
      <c r="CL359" s="19"/>
      <c r="CM359" s="19"/>
      <c r="CN359" s="19"/>
      <c r="CO359" s="19"/>
      <c r="CP359" s="19"/>
      <c r="CQ359" s="19"/>
      <c r="CR359" s="19"/>
      <c r="CS359" s="19"/>
      <c r="CT359" s="19"/>
      <c r="CU359" s="19"/>
      <c r="CV359" s="19"/>
      <c r="CW359" s="19"/>
      <c r="CX359" s="19"/>
      <c r="CY359" s="19"/>
      <c r="CZ359" s="19"/>
      <c r="DA359" s="19"/>
      <c r="DB359" s="19"/>
      <c r="DC359" s="19"/>
      <c r="DD359" s="19"/>
      <c r="DE359" s="19"/>
      <c r="DF359" s="19"/>
      <c r="DG359" s="19"/>
      <c r="DH359" s="19"/>
      <c r="DI359" s="19"/>
      <c r="DJ359" s="19"/>
      <c r="DK359" s="19"/>
      <c r="DL359" s="19"/>
      <c r="DM359" s="19"/>
      <c r="DN359" s="19"/>
      <c r="DO359" s="19"/>
      <c r="DP359" s="19"/>
      <c r="DQ359" s="19"/>
      <c r="DR359" s="19"/>
      <c r="DS359" s="19"/>
      <c r="DT359" s="19"/>
      <c r="DU359" s="19"/>
      <c r="DV359" s="19"/>
      <c r="DW359" s="19"/>
      <c r="DX359" s="19"/>
      <c r="DY359" s="19"/>
      <c r="DZ359" s="19"/>
      <c r="EA359" s="19"/>
      <c r="EB359" s="19"/>
      <c r="EC359" s="19"/>
      <c r="ED359" s="19"/>
      <c r="EE359" s="19"/>
      <c r="EF359" s="19"/>
      <c r="EG359" s="19"/>
      <c r="EH359" s="19"/>
      <c r="EI359" s="19"/>
      <c r="EJ359" s="19"/>
      <c r="EK359" s="19"/>
      <c r="EL359" s="19"/>
      <c r="EM359" s="19"/>
      <c r="EN359" s="19"/>
      <c r="EO359" s="19"/>
      <c r="EP359" s="17"/>
      <c r="EQ359" s="23"/>
      <c r="ER359" s="23" t="str">
        <f t="shared" si="1"/>
        <v/>
      </c>
      <c r="ES359" s="19"/>
      <c r="ET359" s="19" t="str">
        <f t="shared" si="2"/>
        <v/>
      </c>
      <c r="EU359" s="19"/>
      <c r="EV359" s="19"/>
      <c r="EW359" s="19"/>
      <c r="EX359" s="19"/>
      <c r="EY359" s="19"/>
      <c r="EZ359" s="19"/>
      <c r="FA359" s="19"/>
      <c r="FB359" s="19"/>
    </row>
    <row r="360" ht="15.75" customHeight="1">
      <c r="A360" s="19"/>
      <c r="F360" s="19"/>
      <c r="AH360" s="23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  <c r="BD360" s="19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  <c r="BP360" s="19"/>
      <c r="BQ360" s="19"/>
      <c r="BR360" s="19"/>
      <c r="BS360" s="19"/>
      <c r="BT360" s="19"/>
      <c r="BU360" s="19"/>
      <c r="BV360" s="19"/>
      <c r="BW360" s="19"/>
      <c r="BX360" s="19"/>
      <c r="BY360" s="19"/>
      <c r="BZ360" s="19"/>
      <c r="CA360" s="19"/>
      <c r="CB360" s="19"/>
      <c r="CC360" s="19"/>
      <c r="CD360" s="19"/>
      <c r="CE360" s="19"/>
      <c r="CF360" s="19"/>
      <c r="CG360" s="19"/>
      <c r="CH360" s="19"/>
      <c r="CI360" s="19"/>
      <c r="CJ360" s="19"/>
      <c r="CK360" s="19"/>
      <c r="CL360" s="19"/>
      <c r="CM360" s="19"/>
      <c r="CN360" s="19"/>
      <c r="CO360" s="19"/>
      <c r="CP360" s="19"/>
      <c r="CQ360" s="19"/>
      <c r="CR360" s="19"/>
      <c r="CS360" s="19"/>
      <c r="CT360" s="19"/>
      <c r="CU360" s="19"/>
      <c r="CV360" s="19"/>
      <c r="CW360" s="19"/>
      <c r="CX360" s="19"/>
      <c r="CY360" s="19"/>
      <c r="CZ360" s="19"/>
      <c r="DA360" s="19"/>
      <c r="DB360" s="19"/>
      <c r="DC360" s="19"/>
      <c r="DD360" s="19"/>
      <c r="DE360" s="19"/>
      <c r="DF360" s="19"/>
      <c r="DG360" s="19"/>
      <c r="DH360" s="19"/>
      <c r="DI360" s="19"/>
      <c r="DJ360" s="19"/>
      <c r="DK360" s="19"/>
      <c r="DL360" s="19"/>
      <c r="DM360" s="19"/>
      <c r="DN360" s="19"/>
      <c r="DO360" s="19"/>
      <c r="DP360" s="19"/>
      <c r="DQ360" s="19"/>
      <c r="DR360" s="19"/>
      <c r="DS360" s="19"/>
      <c r="DT360" s="19"/>
      <c r="DU360" s="19"/>
      <c r="DV360" s="19"/>
      <c r="DW360" s="19"/>
      <c r="DX360" s="19"/>
      <c r="DY360" s="19"/>
      <c r="DZ360" s="19"/>
      <c r="EA360" s="19"/>
      <c r="EB360" s="19"/>
      <c r="EC360" s="19"/>
      <c r="ED360" s="19"/>
      <c r="EE360" s="19"/>
      <c r="EF360" s="19"/>
      <c r="EG360" s="19"/>
      <c r="EH360" s="19"/>
      <c r="EI360" s="19"/>
      <c r="EJ360" s="19"/>
      <c r="EK360" s="19"/>
      <c r="EL360" s="19"/>
      <c r="EM360" s="19"/>
      <c r="EN360" s="19"/>
      <c r="EO360" s="19"/>
      <c r="EP360" s="17"/>
      <c r="EQ360" s="23"/>
      <c r="ER360" s="23" t="str">
        <f t="shared" si="1"/>
        <v/>
      </c>
      <c r="ES360" s="19"/>
      <c r="ET360" s="19" t="str">
        <f t="shared" si="2"/>
        <v/>
      </c>
      <c r="EU360" s="19"/>
      <c r="EV360" s="19"/>
      <c r="EW360" s="19"/>
      <c r="EX360" s="19"/>
      <c r="EY360" s="19"/>
      <c r="EZ360" s="19"/>
      <c r="FA360" s="19"/>
      <c r="FB360" s="19"/>
    </row>
    <row r="361" ht="15.75" customHeight="1">
      <c r="A361" s="19"/>
      <c r="F361" s="19"/>
      <c r="AH361" s="23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  <c r="BD361" s="19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  <c r="BP361" s="19"/>
      <c r="BQ361" s="19"/>
      <c r="BR361" s="19"/>
      <c r="BS361" s="19"/>
      <c r="BT361" s="19"/>
      <c r="BU361" s="19"/>
      <c r="BV361" s="19"/>
      <c r="BW361" s="19"/>
      <c r="BX361" s="19"/>
      <c r="BY361" s="19"/>
      <c r="BZ361" s="19"/>
      <c r="CA361" s="19"/>
      <c r="CB361" s="19"/>
      <c r="CC361" s="19"/>
      <c r="CD361" s="19"/>
      <c r="CE361" s="19"/>
      <c r="CF361" s="19"/>
      <c r="CG361" s="19"/>
      <c r="CH361" s="19"/>
      <c r="CI361" s="19"/>
      <c r="CJ361" s="19"/>
      <c r="CK361" s="19"/>
      <c r="CL361" s="19"/>
      <c r="CM361" s="19"/>
      <c r="CN361" s="19"/>
      <c r="CO361" s="19"/>
      <c r="CP361" s="19"/>
      <c r="CQ361" s="19"/>
      <c r="CR361" s="19"/>
      <c r="CS361" s="19"/>
      <c r="CT361" s="19"/>
      <c r="CU361" s="19"/>
      <c r="CV361" s="19"/>
      <c r="CW361" s="19"/>
      <c r="CX361" s="19"/>
      <c r="CY361" s="19"/>
      <c r="CZ361" s="19"/>
      <c r="DA361" s="19"/>
      <c r="DB361" s="19"/>
      <c r="DC361" s="19"/>
      <c r="DD361" s="19"/>
      <c r="DE361" s="19"/>
      <c r="DF361" s="19"/>
      <c r="DG361" s="19"/>
      <c r="DH361" s="19"/>
      <c r="DI361" s="19"/>
      <c r="DJ361" s="19"/>
      <c r="DK361" s="19"/>
      <c r="DL361" s="19"/>
      <c r="DM361" s="19"/>
      <c r="DN361" s="19"/>
      <c r="DO361" s="19"/>
      <c r="DP361" s="19"/>
      <c r="DQ361" s="19"/>
      <c r="DR361" s="19"/>
      <c r="DS361" s="19"/>
      <c r="DT361" s="19"/>
      <c r="DU361" s="19"/>
      <c r="DV361" s="19"/>
      <c r="DW361" s="19"/>
      <c r="DX361" s="19"/>
      <c r="DY361" s="19"/>
      <c r="DZ361" s="19"/>
      <c r="EA361" s="19"/>
      <c r="EB361" s="19"/>
      <c r="EC361" s="19"/>
      <c r="ED361" s="19"/>
      <c r="EE361" s="19"/>
      <c r="EF361" s="19"/>
      <c r="EG361" s="19"/>
      <c r="EH361" s="19"/>
      <c r="EI361" s="19"/>
      <c r="EJ361" s="19"/>
      <c r="EK361" s="19"/>
      <c r="EL361" s="19"/>
      <c r="EM361" s="19"/>
      <c r="EN361" s="19"/>
      <c r="EO361" s="19"/>
      <c r="EP361" s="17"/>
      <c r="EQ361" s="23"/>
      <c r="ER361" s="23" t="str">
        <f t="shared" si="1"/>
        <v/>
      </c>
      <c r="ES361" s="19"/>
      <c r="ET361" s="19" t="str">
        <f t="shared" si="2"/>
        <v/>
      </c>
      <c r="EU361" s="19"/>
      <c r="EV361" s="19"/>
      <c r="EW361" s="19"/>
      <c r="EX361" s="19"/>
      <c r="EY361" s="19"/>
      <c r="EZ361" s="19"/>
      <c r="FA361" s="19"/>
      <c r="FB361" s="19"/>
    </row>
    <row r="362" ht="15.75" customHeight="1">
      <c r="A362" s="19"/>
      <c r="F362" s="19"/>
      <c r="AH362" s="23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  <c r="BD362" s="19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  <c r="BP362" s="19"/>
      <c r="BQ362" s="19"/>
      <c r="BR362" s="19"/>
      <c r="BS362" s="19"/>
      <c r="BT362" s="19"/>
      <c r="BU362" s="19"/>
      <c r="BV362" s="19"/>
      <c r="BW362" s="19"/>
      <c r="BX362" s="19"/>
      <c r="BY362" s="19"/>
      <c r="BZ362" s="19"/>
      <c r="CA362" s="19"/>
      <c r="CB362" s="19"/>
      <c r="CC362" s="19"/>
      <c r="CD362" s="19"/>
      <c r="CE362" s="19"/>
      <c r="CF362" s="19"/>
      <c r="CG362" s="19"/>
      <c r="CH362" s="19"/>
      <c r="CI362" s="19"/>
      <c r="CJ362" s="19"/>
      <c r="CK362" s="19"/>
      <c r="CL362" s="19"/>
      <c r="CM362" s="19"/>
      <c r="CN362" s="19"/>
      <c r="CO362" s="19"/>
      <c r="CP362" s="19"/>
      <c r="CQ362" s="19"/>
      <c r="CR362" s="19"/>
      <c r="CS362" s="19"/>
      <c r="CT362" s="19"/>
      <c r="CU362" s="19"/>
      <c r="CV362" s="19"/>
      <c r="CW362" s="19"/>
      <c r="CX362" s="19"/>
      <c r="CY362" s="19"/>
      <c r="CZ362" s="19"/>
      <c r="DA362" s="19"/>
      <c r="DB362" s="19"/>
      <c r="DC362" s="19"/>
      <c r="DD362" s="19"/>
      <c r="DE362" s="19"/>
      <c r="DF362" s="19"/>
      <c r="DG362" s="19"/>
      <c r="DH362" s="19"/>
      <c r="DI362" s="19"/>
      <c r="DJ362" s="19"/>
      <c r="DK362" s="19"/>
      <c r="DL362" s="19"/>
      <c r="DM362" s="19"/>
      <c r="DN362" s="19"/>
      <c r="DO362" s="19"/>
      <c r="DP362" s="19"/>
      <c r="DQ362" s="19"/>
      <c r="DR362" s="19"/>
      <c r="DS362" s="19"/>
      <c r="DT362" s="19"/>
      <c r="DU362" s="19"/>
      <c r="DV362" s="19"/>
      <c r="DW362" s="19"/>
      <c r="DX362" s="19"/>
      <c r="DY362" s="19"/>
      <c r="DZ362" s="19"/>
      <c r="EA362" s="19"/>
      <c r="EB362" s="19"/>
      <c r="EC362" s="19"/>
      <c r="ED362" s="19"/>
      <c r="EE362" s="19"/>
      <c r="EF362" s="19"/>
      <c r="EG362" s="19"/>
      <c r="EH362" s="19"/>
      <c r="EI362" s="19"/>
      <c r="EJ362" s="19"/>
      <c r="EK362" s="19"/>
      <c r="EL362" s="19"/>
      <c r="EM362" s="19"/>
      <c r="EN362" s="19"/>
      <c r="EO362" s="19"/>
      <c r="EP362" s="17"/>
      <c r="EQ362" s="23"/>
      <c r="ER362" s="23" t="str">
        <f t="shared" si="1"/>
        <v/>
      </c>
      <c r="ES362" s="19"/>
      <c r="ET362" s="19" t="str">
        <f t="shared" si="2"/>
        <v/>
      </c>
      <c r="EU362" s="19"/>
      <c r="EV362" s="19"/>
      <c r="EW362" s="19"/>
      <c r="EX362" s="19"/>
      <c r="EY362" s="19"/>
      <c r="EZ362" s="19"/>
      <c r="FA362" s="19"/>
      <c r="FB362" s="19"/>
    </row>
    <row r="363" ht="15.75" customHeight="1">
      <c r="A363" s="19"/>
      <c r="F363" s="19"/>
      <c r="AH363" s="23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  <c r="BD363" s="19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  <c r="BP363" s="19"/>
      <c r="BQ363" s="19"/>
      <c r="BR363" s="19"/>
      <c r="BS363" s="19"/>
      <c r="BT363" s="19"/>
      <c r="BU363" s="19"/>
      <c r="BV363" s="19"/>
      <c r="BW363" s="19"/>
      <c r="BX363" s="19"/>
      <c r="BY363" s="19"/>
      <c r="BZ363" s="19"/>
      <c r="CA363" s="19"/>
      <c r="CB363" s="19"/>
      <c r="CC363" s="19"/>
      <c r="CD363" s="19"/>
      <c r="CE363" s="19"/>
      <c r="CF363" s="19"/>
      <c r="CG363" s="19"/>
      <c r="CH363" s="19"/>
      <c r="CI363" s="19"/>
      <c r="CJ363" s="19"/>
      <c r="CK363" s="19"/>
      <c r="CL363" s="19"/>
      <c r="CM363" s="19"/>
      <c r="CN363" s="19"/>
      <c r="CO363" s="19"/>
      <c r="CP363" s="19"/>
      <c r="CQ363" s="19"/>
      <c r="CR363" s="19"/>
      <c r="CS363" s="19"/>
      <c r="CT363" s="19"/>
      <c r="CU363" s="19"/>
      <c r="CV363" s="19"/>
      <c r="CW363" s="19"/>
      <c r="CX363" s="19"/>
      <c r="CY363" s="19"/>
      <c r="CZ363" s="19"/>
      <c r="DA363" s="19"/>
      <c r="DB363" s="19"/>
      <c r="DC363" s="19"/>
      <c r="DD363" s="19"/>
      <c r="DE363" s="19"/>
      <c r="DF363" s="19"/>
      <c r="DG363" s="19"/>
      <c r="DH363" s="19"/>
      <c r="DI363" s="19"/>
      <c r="DJ363" s="19"/>
      <c r="DK363" s="19"/>
      <c r="DL363" s="19"/>
      <c r="DM363" s="19"/>
      <c r="DN363" s="19"/>
      <c r="DO363" s="19"/>
      <c r="DP363" s="19"/>
      <c r="DQ363" s="19"/>
      <c r="DR363" s="19"/>
      <c r="DS363" s="19"/>
      <c r="DT363" s="19"/>
      <c r="DU363" s="19"/>
      <c r="DV363" s="19"/>
      <c r="DW363" s="19"/>
      <c r="DX363" s="19"/>
      <c r="DY363" s="19"/>
      <c r="DZ363" s="19"/>
      <c r="EA363" s="19"/>
      <c r="EB363" s="19"/>
      <c r="EC363" s="19"/>
      <c r="ED363" s="19"/>
      <c r="EE363" s="19"/>
      <c r="EF363" s="19"/>
      <c r="EG363" s="19"/>
      <c r="EH363" s="19"/>
      <c r="EI363" s="19"/>
      <c r="EJ363" s="19"/>
      <c r="EK363" s="19"/>
      <c r="EL363" s="19"/>
      <c r="EM363" s="19"/>
      <c r="EN363" s="19"/>
      <c r="EO363" s="19"/>
      <c r="EP363" s="17"/>
      <c r="EQ363" s="23"/>
      <c r="ER363" s="23" t="str">
        <f t="shared" si="1"/>
        <v/>
      </c>
      <c r="ES363" s="19"/>
      <c r="ET363" s="19" t="str">
        <f t="shared" si="2"/>
        <v/>
      </c>
      <c r="EU363" s="19"/>
      <c r="EV363" s="19"/>
      <c r="EW363" s="19"/>
      <c r="EX363" s="19"/>
      <c r="EY363" s="19"/>
      <c r="EZ363" s="19"/>
      <c r="FA363" s="19"/>
      <c r="FB363" s="19"/>
    </row>
    <row r="364" ht="15.75" customHeight="1">
      <c r="A364" s="19"/>
      <c r="F364" s="19"/>
      <c r="AH364" s="23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  <c r="BD364" s="19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  <c r="BP364" s="19"/>
      <c r="BQ364" s="19"/>
      <c r="BR364" s="19"/>
      <c r="BS364" s="19"/>
      <c r="BT364" s="19"/>
      <c r="BU364" s="19"/>
      <c r="BV364" s="19"/>
      <c r="BW364" s="19"/>
      <c r="BX364" s="19"/>
      <c r="BY364" s="19"/>
      <c r="BZ364" s="19"/>
      <c r="CA364" s="19"/>
      <c r="CB364" s="19"/>
      <c r="CC364" s="19"/>
      <c r="CD364" s="19"/>
      <c r="CE364" s="19"/>
      <c r="CF364" s="19"/>
      <c r="CG364" s="19"/>
      <c r="CH364" s="19"/>
      <c r="CI364" s="19"/>
      <c r="CJ364" s="19"/>
      <c r="CK364" s="19"/>
      <c r="CL364" s="19"/>
      <c r="CM364" s="19"/>
      <c r="CN364" s="19"/>
      <c r="CO364" s="19"/>
      <c r="CP364" s="19"/>
      <c r="CQ364" s="19"/>
      <c r="CR364" s="19"/>
      <c r="CS364" s="19"/>
      <c r="CT364" s="19"/>
      <c r="CU364" s="19"/>
      <c r="CV364" s="19"/>
      <c r="CW364" s="19"/>
      <c r="CX364" s="19"/>
      <c r="CY364" s="19"/>
      <c r="CZ364" s="19"/>
      <c r="DA364" s="19"/>
      <c r="DB364" s="19"/>
      <c r="DC364" s="19"/>
      <c r="DD364" s="19"/>
      <c r="DE364" s="19"/>
      <c r="DF364" s="19"/>
      <c r="DG364" s="19"/>
      <c r="DH364" s="19"/>
      <c r="DI364" s="19"/>
      <c r="DJ364" s="19"/>
      <c r="DK364" s="19"/>
      <c r="DL364" s="19"/>
      <c r="DM364" s="19"/>
      <c r="DN364" s="19"/>
      <c r="DO364" s="19"/>
      <c r="DP364" s="19"/>
      <c r="DQ364" s="19"/>
      <c r="DR364" s="19"/>
      <c r="DS364" s="19"/>
      <c r="DT364" s="19"/>
      <c r="DU364" s="19"/>
      <c r="DV364" s="19"/>
      <c r="DW364" s="19"/>
      <c r="DX364" s="19"/>
      <c r="DY364" s="19"/>
      <c r="DZ364" s="19"/>
      <c r="EA364" s="19"/>
      <c r="EB364" s="19"/>
      <c r="EC364" s="19"/>
      <c r="ED364" s="19"/>
      <c r="EE364" s="19"/>
      <c r="EF364" s="19"/>
      <c r="EG364" s="19"/>
      <c r="EH364" s="19"/>
      <c r="EI364" s="19"/>
      <c r="EJ364" s="19"/>
      <c r="EK364" s="19"/>
      <c r="EL364" s="19"/>
      <c r="EM364" s="19"/>
      <c r="EN364" s="19"/>
      <c r="EO364" s="19"/>
      <c r="EP364" s="17"/>
      <c r="EQ364" s="23"/>
      <c r="ER364" s="23" t="str">
        <f t="shared" si="1"/>
        <v/>
      </c>
      <c r="ES364" s="19"/>
      <c r="ET364" s="19" t="str">
        <f t="shared" si="2"/>
        <v/>
      </c>
      <c r="EU364" s="19"/>
      <c r="EV364" s="19"/>
      <c r="EW364" s="19"/>
      <c r="EX364" s="19"/>
      <c r="EY364" s="19"/>
      <c r="EZ364" s="19"/>
      <c r="FA364" s="19"/>
      <c r="FB364" s="19"/>
    </row>
    <row r="365" ht="15.75" customHeight="1">
      <c r="A365" s="19"/>
      <c r="F365" s="19"/>
      <c r="AH365" s="23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  <c r="BD365" s="19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  <c r="BP365" s="19"/>
      <c r="BQ365" s="19"/>
      <c r="BR365" s="19"/>
      <c r="BS365" s="19"/>
      <c r="BT365" s="19"/>
      <c r="BU365" s="19"/>
      <c r="BV365" s="19"/>
      <c r="BW365" s="19"/>
      <c r="BX365" s="19"/>
      <c r="BY365" s="19"/>
      <c r="BZ365" s="19"/>
      <c r="CA365" s="19"/>
      <c r="CB365" s="19"/>
      <c r="CC365" s="19"/>
      <c r="CD365" s="19"/>
      <c r="CE365" s="19"/>
      <c r="CF365" s="19"/>
      <c r="CG365" s="19"/>
      <c r="CH365" s="19"/>
      <c r="CI365" s="19"/>
      <c r="CJ365" s="19"/>
      <c r="CK365" s="19"/>
      <c r="CL365" s="19"/>
      <c r="CM365" s="19"/>
      <c r="CN365" s="19"/>
      <c r="CO365" s="19"/>
      <c r="CP365" s="19"/>
      <c r="CQ365" s="19"/>
      <c r="CR365" s="19"/>
      <c r="CS365" s="19"/>
      <c r="CT365" s="19"/>
      <c r="CU365" s="19"/>
      <c r="CV365" s="19"/>
      <c r="CW365" s="19"/>
      <c r="CX365" s="19"/>
      <c r="CY365" s="19"/>
      <c r="CZ365" s="19"/>
      <c r="DA365" s="19"/>
      <c r="DB365" s="19"/>
      <c r="DC365" s="19"/>
      <c r="DD365" s="19"/>
      <c r="DE365" s="19"/>
      <c r="DF365" s="19"/>
      <c r="DG365" s="19"/>
      <c r="DH365" s="19"/>
      <c r="DI365" s="19"/>
      <c r="DJ365" s="19"/>
      <c r="DK365" s="19"/>
      <c r="DL365" s="19"/>
      <c r="DM365" s="19"/>
      <c r="DN365" s="19"/>
      <c r="DO365" s="19"/>
      <c r="DP365" s="19"/>
      <c r="DQ365" s="19"/>
      <c r="DR365" s="19"/>
      <c r="DS365" s="19"/>
      <c r="DT365" s="19"/>
      <c r="DU365" s="19"/>
      <c r="DV365" s="19"/>
      <c r="DW365" s="19"/>
      <c r="DX365" s="19"/>
      <c r="DY365" s="19"/>
      <c r="DZ365" s="19"/>
      <c r="EA365" s="19"/>
      <c r="EB365" s="19"/>
      <c r="EC365" s="19"/>
      <c r="ED365" s="19"/>
      <c r="EE365" s="19"/>
      <c r="EF365" s="19"/>
      <c r="EG365" s="19"/>
      <c r="EH365" s="19"/>
      <c r="EI365" s="19"/>
      <c r="EJ365" s="19"/>
      <c r="EK365" s="19"/>
      <c r="EL365" s="19"/>
      <c r="EM365" s="19"/>
      <c r="EN365" s="19"/>
      <c r="EO365" s="19"/>
      <c r="EP365" s="17"/>
      <c r="EQ365" s="23"/>
      <c r="ER365" s="23" t="str">
        <f t="shared" si="1"/>
        <v/>
      </c>
      <c r="ES365" s="19"/>
      <c r="ET365" s="19" t="str">
        <f t="shared" si="2"/>
        <v/>
      </c>
      <c r="EU365" s="19"/>
      <c r="EV365" s="19"/>
      <c r="EW365" s="19"/>
      <c r="EX365" s="19"/>
      <c r="EY365" s="19"/>
      <c r="EZ365" s="19"/>
      <c r="FA365" s="19"/>
      <c r="FB365" s="19"/>
    </row>
    <row r="366" ht="15.75" customHeight="1">
      <c r="A366" s="19"/>
      <c r="F366" s="19"/>
      <c r="AH366" s="23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  <c r="BD366" s="19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  <c r="BP366" s="19"/>
      <c r="BQ366" s="19"/>
      <c r="BR366" s="19"/>
      <c r="BS366" s="19"/>
      <c r="BT366" s="19"/>
      <c r="BU366" s="19"/>
      <c r="BV366" s="19"/>
      <c r="BW366" s="19"/>
      <c r="BX366" s="19"/>
      <c r="BY366" s="19"/>
      <c r="BZ366" s="19"/>
      <c r="CA366" s="19"/>
      <c r="CB366" s="19"/>
      <c r="CC366" s="19"/>
      <c r="CD366" s="19"/>
      <c r="CE366" s="19"/>
      <c r="CF366" s="19"/>
      <c r="CG366" s="19"/>
      <c r="CH366" s="19"/>
      <c r="CI366" s="19"/>
      <c r="CJ366" s="19"/>
      <c r="CK366" s="19"/>
      <c r="CL366" s="19"/>
      <c r="CM366" s="19"/>
      <c r="CN366" s="19"/>
      <c r="CO366" s="19"/>
      <c r="CP366" s="19"/>
      <c r="CQ366" s="19"/>
      <c r="CR366" s="19"/>
      <c r="CS366" s="19"/>
      <c r="CT366" s="19"/>
      <c r="CU366" s="19"/>
      <c r="CV366" s="19"/>
      <c r="CW366" s="19"/>
      <c r="CX366" s="19"/>
      <c r="CY366" s="19"/>
      <c r="CZ366" s="19"/>
      <c r="DA366" s="19"/>
      <c r="DB366" s="19"/>
      <c r="DC366" s="19"/>
      <c r="DD366" s="19"/>
      <c r="DE366" s="19"/>
      <c r="DF366" s="19"/>
      <c r="DG366" s="19"/>
      <c r="DH366" s="19"/>
      <c r="DI366" s="19"/>
      <c r="DJ366" s="19"/>
      <c r="DK366" s="19"/>
      <c r="DL366" s="19"/>
      <c r="DM366" s="19"/>
      <c r="DN366" s="19"/>
      <c r="DO366" s="19"/>
      <c r="DP366" s="19"/>
      <c r="DQ366" s="19"/>
      <c r="DR366" s="19"/>
      <c r="DS366" s="19"/>
      <c r="DT366" s="19"/>
      <c r="DU366" s="19"/>
      <c r="DV366" s="19"/>
      <c r="DW366" s="19"/>
      <c r="DX366" s="19"/>
      <c r="DY366" s="19"/>
      <c r="DZ366" s="19"/>
      <c r="EA366" s="19"/>
      <c r="EB366" s="19"/>
      <c r="EC366" s="19"/>
      <c r="ED366" s="19"/>
      <c r="EE366" s="19"/>
      <c r="EF366" s="19"/>
      <c r="EG366" s="19"/>
      <c r="EH366" s="19"/>
      <c r="EI366" s="19"/>
      <c r="EJ366" s="19"/>
      <c r="EK366" s="19"/>
      <c r="EL366" s="19"/>
      <c r="EM366" s="19"/>
      <c r="EN366" s="19"/>
      <c r="EO366" s="19"/>
      <c r="EP366" s="17"/>
      <c r="EQ366" s="23"/>
      <c r="ER366" s="23" t="str">
        <f t="shared" si="1"/>
        <v/>
      </c>
      <c r="ES366" s="19"/>
      <c r="ET366" s="19" t="str">
        <f t="shared" si="2"/>
        <v/>
      </c>
      <c r="EU366" s="19"/>
      <c r="EV366" s="19"/>
      <c r="EW366" s="19"/>
      <c r="EX366" s="19"/>
      <c r="EY366" s="19"/>
      <c r="EZ366" s="19"/>
      <c r="FA366" s="19"/>
      <c r="FB366" s="19"/>
    </row>
    <row r="367" ht="15.75" customHeight="1">
      <c r="A367" s="19"/>
      <c r="F367" s="19"/>
      <c r="AH367" s="23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  <c r="BD367" s="19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  <c r="BP367" s="19"/>
      <c r="BQ367" s="19"/>
      <c r="BR367" s="19"/>
      <c r="BS367" s="19"/>
      <c r="BT367" s="19"/>
      <c r="BU367" s="19"/>
      <c r="BV367" s="19"/>
      <c r="BW367" s="19"/>
      <c r="BX367" s="19"/>
      <c r="BY367" s="19"/>
      <c r="BZ367" s="19"/>
      <c r="CA367" s="19"/>
      <c r="CB367" s="19"/>
      <c r="CC367" s="19"/>
      <c r="CD367" s="19"/>
      <c r="CE367" s="19"/>
      <c r="CF367" s="19"/>
      <c r="CG367" s="19"/>
      <c r="CH367" s="19"/>
      <c r="CI367" s="19"/>
      <c r="CJ367" s="19"/>
      <c r="CK367" s="19"/>
      <c r="CL367" s="19"/>
      <c r="CM367" s="19"/>
      <c r="CN367" s="19"/>
      <c r="CO367" s="19"/>
      <c r="CP367" s="19"/>
      <c r="CQ367" s="19"/>
      <c r="CR367" s="19"/>
      <c r="CS367" s="19"/>
      <c r="CT367" s="19"/>
      <c r="CU367" s="19"/>
      <c r="CV367" s="19"/>
      <c r="CW367" s="19"/>
      <c r="CX367" s="19"/>
      <c r="CY367" s="19"/>
      <c r="CZ367" s="19"/>
      <c r="DA367" s="19"/>
      <c r="DB367" s="19"/>
      <c r="DC367" s="19"/>
      <c r="DD367" s="19"/>
      <c r="DE367" s="19"/>
      <c r="DF367" s="19"/>
      <c r="DG367" s="19"/>
      <c r="DH367" s="19"/>
      <c r="DI367" s="19"/>
      <c r="DJ367" s="19"/>
      <c r="DK367" s="19"/>
      <c r="DL367" s="19"/>
      <c r="DM367" s="19"/>
      <c r="DN367" s="19"/>
      <c r="DO367" s="19"/>
      <c r="DP367" s="19"/>
      <c r="DQ367" s="19"/>
      <c r="DR367" s="19"/>
      <c r="DS367" s="19"/>
      <c r="DT367" s="19"/>
      <c r="DU367" s="19"/>
      <c r="DV367" s="19"/>
      <c r="DW367" s="19"/>
      <c r="DX367" s="19"/>
      <c r="DY367" s="19"/>
      <c r="DZ367" s="19"/>
      <c r="EA367" s="19"/>
      <c r="EB367" s="19"/>
      <c r="EC367" s="19"/>
      <c r="ED367" s="19"/>
      <c r="EE367" s="19"/>
      <c r="EF367" s="19"/>
      <c r="EG367" s="19"/>
      <c r="EH367" s="19"/>
      <c r="EI367" s="19"/>
      <c r="EJ367" s="19"/>
      <c r="EK367" s="19"/>
      <c r="EL367" s="19"/>
      <c r="EM367" s="19"/>
      <c r="EN367" s="19"/>
      <c r="EO367" s="19"/>
      <c r="EP367" s="17"/>
      <c r="EQ367" s="23"/>
      <c r="ER367" s="23" t="str">
        <f t="shared" si="1"/>
        <v/>
      </c>
      <c r="ES367" s="19"/>
      <c r="ET367" s="19" t="str">
        <f t="shared" si="2"/>
        <v/>
      </c>
      <c r="EU367" s="19"/>
      <c r="EV367" s="19"/>
      <c r="EW367" s="19"/>
      <c r="EX367" s="19"/>
      <c r="EY367" s="19"/>
      <c r="EZ367" s="19"/>
      <c r="FA367" s="19"/>
      <c r="FB367" s="19"/>
    </row>
    <row r="368" ht="15.75" customHeight="1">
      <c r="A368" s="19"/>
      <c r="F368" s="19"/>
      <c r="AH368" s="23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  <c r="BD368" s="19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  <c r="BP368" s="19"/>
      <c r="BQ368" s="19"/>
      <c r="BR368" s="19"/>
      <c r="BS368" s="19"/>
      <c r="BT368" s="19"/>
      <c r="BU368" s="19"/>
      <c r="BV368" s="19"/>
      <c r="BW368" s="19"/>
      <c r="BX368" s="19"/>
      <c r="BY368" s="19"/>
      <c r="BZ368" s="19"/>
      <c r="CA368" s="19"/>
      <c r="CB368" s="19"/>
      <c r="CC368" s="19"/>
      <c r="CD368" s="19"/>
      <c r="CE368" s="19"/>
      <c r="CF368" s="19"/>
      <c r="CG368" s="19"/>
      <c r="CH368" s="19"/>
      <c r="CI368" s="19"/>
      <c r="CJ368" s="19"/>
      <c r="CK368" s="19"/>
      <c r="CL368" s="19"/>
      <c r="CM368" s="19"/>
      <c r="CN368" s="19"/>
      <c r="CO368" s="19"/>
      <c r="CP368" s="19"/>
      <c r="CQ368" s="19"/>
      <c r="CR368" s="19"/>
      <c r="CS368" s="19"/>
      <c r="CT368" s="19"/>
      <c r="CU368" s="19"/>
      <c r="CV368" s="19"/>
      <c r="CW368" s="19"/>
      <c r="CX368" s="19"/>
      <c r="CY368" s="19"/>
      <c r="CZ368" s="19"/>
      <c r="DA368" s="19"/>
      <c r="DB368" s="19"/>
      <c r="DC368" s="19"/>
      <c r="DD368" s="19"/>
      <c r="DE368" s="19"/>
      <c r="DF368" s="19"/>
      <c r="DG368" s="19"/>
      <c r="DH368" s="19"/>
      <c r="DI368" s="19"/>
      <c r="DJ368" s="19"/>
      <c r="DK368" s="19"/>
      <c r="DL368" s="19"/>
      <c r="DM368" s="19"/>
      <c r="DN368" s="19"/>
      <c r="DO368" s="19"/>
      <c r="DP368" s="19"/>
      <c r="DQ368" s="19"/>
      <c r="DR368" s="19"/>
      <c r="DS368" s="19"/>
      <c r="DT368" s="19"/>
      <c r="DU368" s="19"/>
      <c r="DV368" s="19"/>
      <c r="DW368" s="19"/>
      <c r="DX368" s="19"/>
      <c r="DY368" s="19"/>
      <c r="DZ368" s="19"/>
      <c r="EA368" s="19"/>
      <c r="EB368" s="19"/>
      <c r="EC368" s="19"/>
      <c r="ED368" s="19"/>
      <c r="EE368" s="19"/>
      <c r="EF368" s="19"/>
      <c r="EG368" s="19"/>
      <c r="EH368" s="19"/>
      <c r="EI368" s="19"/>
      <c r="EJ368" s="19"/>
      <c r="EK368" s="19"/>
      <c r="EL368" s="19"/>
      <c r="EM368" s="19"/>
      <c r="EN368" s="19"/>
      <c r="EO368" s="19"/>
      <c r="EP368" s="17"/>
      <c r="EQ368" s="23"/>
      <c r="ER368" s="23" t="str">
        <f t="shared" si="1"/>
        <v/>
      </c>
      <c r="ES368" s="19"/>
      <c r="ET368" s="19" t="str">
        <f t="shared" si="2"/>
        <v/>
      </c>
      <c r="EU368" s="19"/>
      <c r="EV368" s="19"/>
      <c r="EW368" s="19"/>
      <c r="EX368" s="19"/>
      <c r="EY368" s="19"/>
      <c r="EZ368" s="19"/>
      <c r="FA368" s="19"/>
      <c r="FB368" s="19"/>
    </row>
    <row r="369" ht="15.75" customHeight="1">
      <c r="A369" s="19"/>
      <c r="F369" s="19"/>
      <c r="AH369" s="23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  <c r="BD369" s="19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  <c r="BP369" s="19"/>
      <c r="BQ369" s="19"/>
      <c r="BR369" s="19"/>
      <c r="BS369" s="19"/>
      <c r="BT369" s="19"/>
      <c r="BU369" s="19"/>
      <c r="BV369" s="19"/>
      <c r="BW369" s="19"/>
      <c r="BX369" s="19"/>
      <c r="BY369" s="19"/>
      <c r="BZ369" s="19"/>
      <c r="CA369" s="19"/>
      <c r="CB369" s="19"/>
      <c r="CC369" s="19"/>
      <c r="CD369" s="19"/>
      <c r="CE369" s="19"/>
      <c r="CF369" s="19"/>
      <c r="CG369" s="19"/>
      <c r="CH369" s="19"/>
      <c r="CI369" s="19"/>
      <c r="CJ369" s="19"/>
      <c r="CK369" s="19"/>
      <c r="CL369" s="19"/>
      <c r="CM369" s="19"/>
      <c r="CN369" s="19"/>
      <c r="CO369" s="19"/>
      <c r="CP369" s="19"/>
      <c r="CQ369" s="19"/>
      <c r="CR369" s="19"/>
      <c r="CS369" s="19"/>
      <c r="CT369" s="19"/>
      <c r="CU369" s="19"/>
      <c r="CV369" s="19"/>
      <c r="CW369" s="19"/>
      <c r="CX369" s="19"/>
      <c r="CY369" s="19"/>
      <c r="CZ369" s="19"/>
      <c r="DA369" s="19"/>
      <c r="DB369" s="19"/>
      <c r="DC369" s="19"/>
      <c r="DD369" s="19"/>
      <c r="DE369" s="19"/>
      <c r="DF369" s="19"/>
      <c r="DG369" s="19"/>
      <c r="DH369" s="19"/>
      <c r="DI369" s="19"/>
      <c r="DJ369" s="19"/>
      <c r="DK369" s="19"/>
      <c r="DL369" s="19"/>
      <c r="DM369" s="19"/>
      <c r="DN369" s="19"/>
      <c r="DO369" s="19"/>
      <c r="DP369" s="19"/>
      <c r="DQ369" s="19"/>
      <c r="DR369" s="19"/>
      <c r="DS369" s="19"/>
      <c r="DT369" s="19"/>
      <c r="DU369" s="19"/>
      <c r="DV369" s="19"/>
      <c r="DW369" s="19"/>
      <c r="DX369" s="19"/>
      <c r="DY369" s="19"/>
      <c r="DZ369" s="19"/>
      <c r="EA369" s="19"/>
      <c r="EB369" s="19"/>
      <c r="EC369" s="19"/>
      <c r="ED369" s="19"/>
      <c r="EE369" s="19"/>
      <c r="EF369" s="19"/>
      <c r="EG369" s="19"/>
      <c r="EH369" s="19"/>
      <c r="EI369" s="19"/>
      <c r="EJ369" s="19"/>
      <c r="EK369" s="19"/>
      <c r="EL369" s="19"/>
      <c r="EM369" s="19"/>
      <c r="EN369" s="19"/>
      <c r="EO369" s="19"/>
      <c r="EP369" s="17"/>
      <c r="EQ369" s="23"/>
      <c r="ER369" s="23" t="str">
        <f t="shared" si="1"/>
        <v/>
      </c>
      <c r="ES369" s="19"/>
      <c r="ET369" s="19" t="str">
        <f t="shared" si="2"/>
        <v/>
      </c>
      <c r="EU369" s="19"/>
      <c r="EV369" s="19"/>
      <c r="EW369" s="19"/>
      <c r="EX369" s="19"/>
      <c r="EY369" s="19"/>
      <c r="EZ369" s="19"/>
      <c r="FA369" s="19"/>
      <c r="FB369" s="19"/>
    </row>
    <row r="370" ht="15.75" customHeight="1">
      <c r="A370" s="19"/>
      <c r="F370" s="19"/>
      <c r="AH370" s="23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  <c r="BD370" s="19"/>
      <c r="BE370" s="19"/>
      <c r="BF370" s="19"/>
      <c r="BG370" s="19"/>
      <c r="BH370" s="19"/>
      <c r="BI370" s="19"/>
      <c r="BJ370" s="19"/>
      <c r="BK370" s="19"/>
      <c r="BL370" s="19"/>
      <c r="BM370" s="19"/>
      <c r="BN370" s="19"/>
      <c r="BO370" s="19"/>
      <c r="BP370" s="19"/>
      <c r="BQ370" s="19"/>
      <c r="BR370" s="19"/>
      <c r="BS370" s="19"/>
      <c r="BT370" s="19"/>
      <c r="BU370" s="19"/>
      <c r="BV370" s="19"/>
      <c r="BW370" s="19"/>
      <c r="BX370" s="19"/>
      <c r="BY370" s="19"/>
      <c r="BZ370" s="19"/>
      <c r="CA370" s="19"/>
      <c r="CB370" s="19"/>
      <c r="CC370" s="19"/>
      <c r="CD370" s="19"/>
      <c r="CE370" s="19"/>
      <c r="CF370" s="19"/>
      <c r="CG370" s="19"/>
      <c r="CH370" s="19"/>
      <c r="CI370" s="19"/>
      <c r="CJ370" s="19"/>
      <c r="CK370" s="19"/>
      <c r="CL370" s="19"/>
      <c r="CM370" s="19"/>
      <c r="CN370" s="19"/>
      <c r="CO370" s="19"/>
      <c r="CP370" s="19"/>
      <c r="CQ370" s="19"/>
      <c r="CR370" s="19"/>
      <c r="CS370" s="19"/>
      <c r="CT370" s="19"/>
      <c r="CU370" s="19"/>
      <c r="CV370" s="19"/>
      <c r="CW370" s="19"/>
      <c r="CX370" s="19"/>
      <c r="CY370" s="19"/>
      <c r="CZ370" s="19"/>
      <c r="DA370" s="19"/>
      <c r="DB370" s="19"/>
      <c r="DC370" s="19"/>
      <c r="DD370" s="19"/>
      <c r="DE370" s="19"/>
      <c r="DF370" s="19"/>
      <c r="DG370" s="19"/>
      <c r="DH370" s="19"/>
      <c r="DI370" s="19"/>
      <c r="DJ370" s="19"/>
      <c r="DK370" s="19"/>
      <c r="DL370" s="19"/>
      <c r="DM370" s="19"/>
      <c r="DN370" s="19"/>
      <c r="DO370" s="19"/>
      <c r="DP370" s="19"/>
      <c r="DQ370" s="19"/>
      <c r="DR370" s="19"/>
      <c r="DS370" s="19"/>
      <c r="DT370" s="19"/>
      <c r="DU370" s="19"/>
      <c r="DV370" s="19"/>
      <c r="DW370" s="19"/>
      <c r="DX370" s="19"/>
      <c r="DY370" s="19"/>
      <c r="DZ370" s="19"/>
      <c r="EA370" s="19"/>
      <c r="EB370" s="19"/>
      <c r="EC370" s="19"/>
      <c r="ED370" s="19"/>
      <c r="EE370" s="19"/>
      <c r="EF370" s="19"/>
      <c r="EG370" s="19"/>
      <c r="EH370" s="19"/>
      <c r="EI370" s="19"/>
      <c r="EJ370" s="19"/>
      <c r="EK370" s="19"/>
      <c r="EL370" s="19"/>
      <c r="EM370" s="19"/>
      <c r="EN370" s="19"/>
      <c r="EO370" s="19"/>
      <c r="EP370" s="17"/>
      <c r="EQ370" s="23"/>
      <c r="ER370" s="23" t="str">
        <f t="shared" si="1"/>
        <v/>
      </c>
      <c r="ES370" s="19"/>
      <c r="ET370" s="19" t="str">
        <f t="shared" si="2"/>
        <v/>
      </c>
      <c r="EU370" s="19"/>
      <c r="EV370" s="19"/>
      <c r="EW370" s="19"/>
      <c r="EX370" s="19"/>
      <c r="EY370" s="19"/>
      <c r="EZ370" s="19"/>
      <c r="FA370" s="19"/>
      <c r="FB370" s="19"/>
    </row>
    <row r="371" ht="15.75" customHeight="1">
      <c r="A371" s="19"/>
      <c r="F371" s="19"/>
      <c r="AH371" s="23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  <c r="BD371" s="19"/>
      <c r="BE371" s="19"/>
      <c r="BF371" s="19"/>
      <c r="BG371" s="19"/>
      <c r="BH371" s="19"/>
      <c r="BI371" s="19"/>
      <c r="BJ371" s="19"/>
      <c r="BK371" s="19"/>
      <c r="BL371" s="19"/>
      <c r="BM371" s="19"/>
      <c r="BN371" s="19"/>
      <c r="BO371" s="19"/>
      <c r="BP371" s="19"/>
      <c r="BQ371" s="19"/>
      <c r="BR371" s="19"/>
      <c r="BS371" s="19"/>
      <c r="BT371" s="19"/>
      <c r="BU371" s="19"/>
      <c r="BV371" s="19"/>
      <c r="BW371" s="19"/>
      <c r="BX371" s="19"/>
      <c r="BY371" s="19"/>
      <c r="BZ371" s="19"/>
      <c r="CA371" s="19"/>
      <c r="CB371" s="19"/>
      <c r="CC371" s="19"/>
      <c r="CD371" s="19"/>
      <c r="CE371" s="19"/>
      <c r="CF371" s="19"/>
      <c r="CG371" s="19"/>
      <c r="CH371" s="19"/>
      <c r="CI371" s="19"/>
      <c r="CJ371" s="19"/>
      <c r="CK371" s="19"/>
      <c r="CL371" s="19"/>
      <c r="CM371" s="19"/>
      <c r="CN371" s="19"/>
      <c r="CO371" s="19"/>
      <c r="CP371" s="19"/>
      <c r="CQ371" s="19"/>
      <c r="CR371" s="19"/>
      <c r="CS371" s="19"/>
      <c r="CT371" s="19"/>
      <c r="CU371" s="19"/>
      <c r="CV371" s="19"/>
      <c r="CW371" s="19"/>
      <c r="CX371" s="19"/>
      <c r="CY371" s="19"/>
      <c r="CZ371" s="19"/>
      <c r="DA371" s="19"/>
      <c r="DB371" s="19"/>
      <c r="DC371" s="19"/>
      <c r="DD371" s="19"/>
      <c r="DE371" s="19"/>
      <c r="DF371" s="19"/>
      <c r="DG371" s="19"/>
      <c r="DH371" s="19"/>
      <c r="DI371" s="19"/>
      <c r="DJ371" s="19"/>
      <c r="DK371" s="19"/>
      <c r="DL371" s="19"/>
      <c r="DM371" s="19"/>
      <c r="DN371" s="19"/>
      <c r="DO371" s="19"/>
      <c r="DP371" s="19"/>
      <c r="DQ371" s="19"/>
      <c r="DR371" s="19"/>
      <c r="DS371" s="19"/>
      <c r="DT371" s="19"/>
      <c r="DU371" s="19"/>
      <c r="DV371" s="19"/>
      <c r="DW371" s="19"/>
      <c r="DX371" s="19"/>
      <c r="DY371" s="19"/>
      <c r="DZ371" s="19"/>
      <c r="EA371" s="19"/>
      <c r="EB371" s="19"/>
      <c r="EC371" s="19"/>
      <c r="ED371" s="19"/>
      <c r="EE371" s="19"/>
      <c r="EF371" s="19"/>
      <c r="EG371" s="19"/>
      <c r="EH371" s="19"/>
      <c r="EI371" s="19"/>
      <c r="EJ371" s="19"/>
      <c r="EK371" s="19"/>
      <c r="EL371" s="19"/>
      <c r="EM371" s="19"/>
      <c r="EN371" s="19"/>
      <c r="EO371" s="19"/>
      <c r="EP371" s="17"/>
      <c r="EQ371" s="23"/>
      <c r="ER371" s="23" t="str">
        <f t="shared" si="1"/>
        <v/>
      </c>
      <c r="ES371" s="19"/>
      <c r="ET371" s="19" t="str">
        <f t="shared" si="2"/>
        <v/>
      </c>
      <c r="EU371" s="19"/>
      <c r="EV371" s="19"/>
      <c r="EW371" s="19"/>
      <c r="EX371" s="19"/>
      <c r="EY371" s="19"/>
      <c r="EZ371" s="19"/>
      <c r="FA371" s="19"/>
      <c r="FB371" s="19"/>
    </row>
    <row r="372" ht="15.75" customHeight="1">
      <c r="A372" s="19"/>
      <c r="F372" s="19"/>
      <c r="AH372" s="23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  <c r="BD372" s="19"/>
      <c r="BE372" s="19"/>
      <c r="BF372" s="19"/>
      <c r="BG372" s="19"/>
      <c r="BH372" s="19"/>
      <c r="BI372" s="19"/>
      <c r="BJ372" s="19"/>
      <c r="BK372" s="19"/>
      <c r="BL372" s="19"/>
      <c r="BM372" s="19"/>
      <c r="BN372" s="19"/>
      <c r="BO372" s="19"/>
      <c r="BP372" s="19"/>
      <c r="BQ372" s="19"/>
      <c r="BR372" s="19"/>
      <c r="BS372" s="19"/>
      <c r="BT372" s="19"/>
      <c r="BU372" s="19"/>
      <c r="BV372" s="19"/>
      <c r="BW372" s="19"/>
      <c r="BX372" s="19"/>
      <c r="BY372" s="19"/>
      <c r="BZ372" s="19"/>
      <c r="CA372" s="19"/>
      <c r="CB372" s="19"/>
      <c r="CC372" s="19"/>
      <c r="CD372" s="19"/>
      <c r="CE372" s="19"/>
      <c r="CF372" s="19"/>
      <c r="CG372" s="19"/>
      <c r="CH372" s="19"/>
      <c r="CI372" s="19"/>
      <c r="CJ372" s="19"/>
      <c r="CK372" s="19"/>
      <c r="CL372" s="19"/>
      <c r="CM372" s="19"/>
      <c r="CN372" s="19"/>
      <c r="CO372" s="19"/>
      <c r="CP372" s="19"/>
      <c r="CQ372" s="19"/>
      <c r="CR372" s="19"/>
      <c r="CS372" s="19"/>
      <c r="CT372" s="19"/>
      <c r="CU372" s="19"/>
      <c r="CV372" s="19"/>
      <c r="CW372" s="19"/>
      <c r="CX372" s="19"/>
      <c r="CY372" s="19"/>
      <c r="CZ372" s="19"/>
      <c r="DA372" s="19"/>
      <c r="DB372" s="19"/>
      <c r="DC372" s="19"/>
      <c r="DD372" s="19"/>
      <c r="DE372" s="19"/>
      <c r="DF372" s="19"/>
      <c r="DG372" s="19"/>
      <c r="DH372" s="19"/>
      <c r="DI372" s="19"/>
      <c r="DJ372" s="19"/>
      <c r="DK372" s="19"/>
      <c r="DL372" s="19"/>
      <c r="DM372" s="19"/>
      <c r="DN372" s="19"/>
      <c r="DO372" s="19"/>
      <c r="DP372" s="19"/>
      <c r="DQ372" s="19"/>
      <c r="DR372" s="19"/>
      <c r="DS372" s="19"/>
      <c r="DT372" s="19"/>
      <c r="DU372" s="19"/>
      <c r="DV372" s="19"/>
      <c r="DW372" s="19"/>
      <c r="DX372" s="19"/>
      <c r="DY372" s="19"/>
      <c r="DZ372" s="19"/>
      <c r="EA372" s="19"/>
      <c r="EB372" s="19"/>
      <c r="EC372" s="19"/>
      <c r="ED372" s="19"/>
      <c r="EE372" s="19"/>
      <c r="EF372" s="19"/>
      <c r="EG372" s="19"/>
      <c r="EH372" s="19"/>
      <c r="EI372" s="19"/>
      <c r="EJ372" s="19"/>
      <c r="EK372" s="19"/>
      <c r="EL372" s="19"/>
      <c r="EM372" s="19"/>
      <c r="EN372" s="19"/>
      <c r="EO372" s="19"/>
      <c r="EP372" s="17"/>
      <c r="EQ372" s="23"/>
      <c r="ER372" s="23" t="str">
        <f t="shared" si="1"/>
        <v/>
      </c>
      <c r="ES372" s="19"/>
      <c r="ET372" s="19" t="str">
        <f t="shared" si="2"/>
        <v/>
      </c>
      <c r="EU372" s="19"/>
      <c r="EV372" s="19"/>
      <c r="EW372" s="19"/>
      <c r="EX372" s="19"/>
      <c r="EY372" s="19"/>
      <c r="EZ372" s="19"/>
      <c r="FA372" s="19"/>
      <c r="FB372" s="19"/>
    </row>
    <row r="373" ht="15.75" customHeight="1">
      <c r="A373" s="19"/>
      <c r="F373" s="19"/>
      <c r="AH373" s="23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  <c r="BD373" s="19"/>
      <c r="BE373" s="19"/>
      <c r="BF373" s="19"/>
      <c r="BG373" s="19"/>
      <c r="BH373" s="19"/>
      <c r="BI373" s="19"/>
      <c r="BJ373" s="19"/>
      <c r="BK373" s="19"/>
      <c r="BL373" s="19"/>
      <c r="BM373" s="19"/>
      <c r="BN373" s="19"/>
      <c r="BO373" s="19"/>
      <c r="BP373" s="19"/>
      <c r="BQ373" s="19"/>
      <c r="BR373" s="19"/>
      <c r="BS373" s="19"/>
      <c r="BT373" s="19"/>
      <c r="BU373" s="19"/>
      <c r="BV373" s="19"/>
      <c r="BW373" s="19"/>
      <c r="BX373" s="19"/>
      <c r="BY373" s="19"/>
      <c r="BZ373" s="19"/>
      <c r="CA373" s="19"/>
      <c r="CB373" s="19"/>
      <c r="CC373" s="19"/>
      <c r="CD373" s="19"/>
      <c r="CE373" s="19"/>
      <c r="CF373" s="19"/>
      <c r="CG373" s="19"/>
      <c r="CH373" s="19"/>
      <c r="CI373" s="19"/>
      <c r="CJ373" s="19"/>
      <c r="CK373" s="19"/>
      <c r="CL373" s="19"/>
      <c r="CM373" s="19"/>
      <c r="CN373" s="19"/>
      <c r="CO373" s="19"/>
      <c r="CP373" s="19"/>
      <c r="CQ373" s="19"/>
      <c r="CR373" s="19"/>
      <c r="CS373" s="19"/>
      <c r="CT373" s="19"/>
      <c r="CU373" s="19"/>
      <c r="CV373" s="19"/>
      <c r="CW373" s="19"/>
      <c r="CX373" s="19"/>
      <c r="CY373" s="19"/>
      <c r="CZ373" s="19"/>
      <c r="DA373" s="19"/>
      <c r="DB373" s="19"/>
      <c r="DC373" s="19"/>
      <c r="DD373" s="19"/>
      <c r="DE373" s="19"/>
      <c r="DF373" s="19"/>
      <c r="DG373" s="19"/>
      <c r="DH373" s="19"/>
      <c r="DI373" s="19"/>
      <c r="DJ373" s="19"/>
      <c r="DK373" s="19"/>
      <c r="DL373" s="19"/>
      <c r="DM373" s="19"/>
      <c r="DN373" s="19"/>
      <c r="DO373" s="19"/>
      <c r="DP373" s="19"/>
      <c r="DQ373" s="19"/>
      <c r="DR373" s="19"/>
      <c r="DS373" s="19"/>
      <c r="DT373" s="19"/>
      <c r="DU373" s="19"/>
      <c r="DV373" s="19"/>
      <c r="DW373" s="19"/>
      <c r="DX373" s="19"/>
      <c r="DY373" s="19"/>
      <c r="DZ373" s="19"/>
      <c r="EA373" s="19"/>
      <c r="EB373" s="19"/>
      <c r="EC373" s="19"/>
      <c r="ED373" s="19"/>
      <c r="EE373" s="19"/>
      <c r="EF373" s="19"/>
      <c r="EG373" s="19"/>
      <c r="EH373" s="19"/>
      <c r="EI373" s="19"/>
      <c r="EJ373" s="19"/>
      <c r="EK373" s="19"/>
      <c r="EL373" s="19"/>
      <c r="EM373" s="19"/>
      <c r="EN373" s="19"/>
      <c r="EO373" s="19"/>
      <c r="EP373" s="17"/>
      <c r="EQ373" s="23"/>
      <c r="ER373" s="23" t="str">
        <f t="shared" si="1"/>
        <v/>
      </c>
      <c r="ES373" s="19"/>
      <c r="ET373" s="19" t="str">
        <f t="shared" si="2"/>
        <v/>
      </c>
      <c r="EU373" s="19"/>
      <c r="EV373" s="19"/>
      <c r="EW373" s="19"/>
      <c r="EX373" s="19"/>
      <c r="EY373" s="19"/>
      <c r="EZ373" s="19"/>
      <c r="FA373" s="19"/>
      <c r="FB373" s="19"/>
    </row>
    <row r="374" ht="15.75" customHeight="1">
      <c r="A374" s="19"/>
      <c r="F374" s="19"/>
      <c r="AH374" s="23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  <c r="BD374" s="19"/>
      <c r="BE374" s="19"/>
      <c r="BF374" s="19"/>
      <c r="BG374" s="19"/>
      <c r="BH374" s="19"/>
      <c r="BI374" s="19"/>
      <c r="BJ374" s="19"/>
      <c r="BK374" s="19"/>
      <c r="BL374" s="19"/>
      <c r="BM374" s="19"/>
      <c r="BN374" s="19"/>
      <c r="BO374" s="19"/>
      <c r="BP374" s="19"/>
      <c r="BQ374" s="19"/>
      <c r="BR374" s="19"/>
      <c r="BS374" s="19"/>
      <c r="BT374" s="19"/>
      <c r="BU374" s="19"/>
      <c r="BV374" s="19"/>
      <c r="BW374" s="19"/>
      <c r="BX374" s="19"/>
      <c r="BY374" s="19"/>
      <c r="BZ374" s="19"/>
      <c r="CA374" s="19"/>
      <c r="CB374" s="19"/>
      <c r="CC374" s="19"/>
      <c r="CD374" s="19"/>
      <c r="CE374" s="19"/>
      <c r="CF374" s="19"/>
      <c r="CG374" s="19"/>
      <c r="CH374" s="19"/>
      <c r="CI374" s="19"/>
      <c r="CJ374" s="19"/>
      <c r="CK374" s="19"/>
      <c r="CL374" s="19"/>
      <c r="CM374" s="19"/>
      <c r="CN374" s="19"/>
      <c r="CO374" s="19"/>
      <c r="CP374" s="19"/>
      <c r="CQ374" s="19"/>
      <c r="CR374" s="19"/>
      <c r="CS374" s="19"/>
      <c r="CT374" s="19"/>
      <c r="CU374" s="19"/>
      <c r="CV374" s="19"/>
      <c r="CW374" s="19"/>
      <c r="CX374" s="19"/>
      <c r="CY374" s="19"/>
      <c r="CZ374" s="19"/>
      <c r="DA374" s="19"/>
      <c r="DB374" s="19"/>
      <c r="DC374" s="19"/>
      <c r="DD374" s="19"/>
      <c r="DE374" s="19"/>
      <c r="DF374" s="19"/>
      <c r="DG374" s="19"/>
      <c r="DH374" s="19"/>
      <c r="DI374" s="19"/>
      <c r="DJ374" s="19"/>
      <c r="DK374" s="19"/>
      <c r="DL374" s="19"/>
      <c r="DM374" s="19"/>
      <c r="DN374" s="19"/>
      <c r="DO374" s="19"/>
      <c r="DP374" s="19"/>
      <c r="DQ374" s="19"/>
      <c r="DR374" s="19"/>
      <c r="DS374" s="19"/>
      <c r="DT374" s="19"/>
      <c r="DU374" s="19"/>
      <c r="DV374" s="19"/>
      <c r="DW374" s="19"/>
      <c r="DX374" s="19"/>
      <c r="DY374" s="19"/>
      <c r="DZ374" s="19"/>
      <c r="EA374" s="19"/>
      <c r="EB374" s="19"/>
      <c r="EC374" s="19"/>
      <c r="ED374" s="19"/>
      <c r="EE374" s="19"/>
      <c r="EF374" s="19"/>
      <c r="EG374" s="19"/>
      <c r="EH374" s="19"/>
      <c r="EI374" s="19"/>
      <c r="EJ374" s="19"/>
      <c r="EK374" s="19"/>
      <c r="EL374" s="19"/>
      <c r="EM374" s="19"/>
      <c r="EN374" s="19"/>
      <c r="EO374" s="19"/>
      <c r="EP374" s="17"/>
      <c r="EQ374" s="23"/>
      <c r="ER374" s="23" t="str">
        <f t="shared" si="1"/>
        <v/>
      </c>
      <c r="ES374" s="19"/>
      <c r="ET374" s="19" t="str">
        <f t="shared" si="2"/>
        <v/>
      </c>
      <c r="EU374" s="19"/>
      <c r="EV374" s="19"/>
      <c r="EW374" s="19"/>
      <c r="EX374" s="19"/>
      <c r="EY374" s="19"/>
      <c r="EZ374" s="19"/>
      <c r="FA374" s="19"/>
      <c r="FB374" s="19"/>
    </row>
    <row r="375" ht="15.75" customHeight="1">
      <c r="A375" s="19"/>
      <c r="F375" s="19"/>
      <c r="AH375" s="23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  <c r="BD375" s="19"/>
      <c r="BE375" s="19"/>
      <c r="BF375" s="19"/>
      <c r="BG375" s="19"/>
      <c r="BH375" s="19"/>
      <c r="BI375" s="19"/>
      <c r="BJ375" s="19"/>
      <c r="BK375" s="19"/>
      <c r="BL375" s="19"/>
      <c r="BM375" s="19"/>
      <c r="BN375" s="19"/>
      <c r="BO375" s="19"/>
      <c r="BP375" s="19"/>
      <c r="BQ375" s="19"/>
      <c r="BR375" s="19"/>
      <c r="BS375" s="19"/>
      <c r="BT375" s="19"/>
      <c r="BU375" s="19"/>
      <c r="BV375" s="19"/>
      <c r="BW375" s="19"/>
      <c r="BX375" s="19"/>
      <c r="BY375" s="19"/>
      <c r="BZ375" s="19"/>
      <c r="CA375" s="19"/>
      <c r="CB375" s="19"/>
      <c r="CC375" s="19"/>
      <c r="CD375" s="19"/>
      <c r="CE375" s="19"/>
      <c r="CF375" s="19"/>
      <c r="CG375" s="19"/>
      <c r="CH375" s="19"/>
      <c r="CI375" s="19"/>
      <c r="CJ375" s="19"/>
      <c r="CK375" s="19"/>
      <c r="CL375" s="19"/>
      <c r="CM375" s="19"/>
      <c r="CN375" s="19"/>
      <c r="CO375" s="19"/>
      <c r="CP375" s="19"/>
      <c r="CQ375" s="19"/>
      <c r="CR375" s="19"/>
      <c r="CS375" s="19"/>
      <c r="CT375" s="19"/>
      <c r="CU375" s="19"/>
      <c r="CV375" s="19"/>
      <c r="CW375" s="19"/>
      <c r="CX375" s="19"/>
      <c r="CY375" s="19"/>
      <c r="CZ375" s="19"/>
      <c r="DA375" s="19"/>
      <c r="DB375" s="19"/>
      <c r="DC375" s="19"/>
      <c r="DD375" s="19"/>
      <c r="DE375" s="19"/>
      <c r="DF375" s="19"/>
      <c r="DG375" s="19"/>
      <c r="DH375" s="19"/>
      <c r="DI375" s="19"/>
      <c r="DJ375" s="19"/>
      <c r="DK375" s="19"/>
      <c r="DL375" s="19"/>
      <c r="DM375" s="19"/>
      <c r="DN375" s="19"/>
      <c r="DO375" s="19"/>
      <c r="DP375" s="19"/>
      <c r="DQ375" s="19"/>
      <c r="DR375" s="19"/>
      <c r="DS375" s="19"/>
      <c r="DT375" s="19"/>
      <c r="DU375" s="19"/>
      <c r="DV375" s="19"/>
      <c r="DW375" s="19"/>
      <c r="DX375" s="19"/>
      <c r="DY375" s="19"/>
      <c r="DZ375" s="19"/>
      <c r="EA375" s="19"/>
      <c r="EB375" s="19"/>
      <c r="EC375" s="19"/>
      <c r="ED375" s="19"/>
      <c r="EE375" s="19"/>
      <c r="EF375" s="19"/>
      <c r="EG375" s="19"/>
      <c r="EH375" s="19"/>
      <c r="EI375" s="19"/>
      <c r="EJ375" s="19"/>
      <c r="EK375" s="19"/>
      <c r="EL375" s="19"/>
      <c r="EM375" s="19"/>
      <c r="EN375" s="19"/>
      <c r="EO375" s="19"/>
      <c r="EP375" s="17"/>
      <c r="EQ375" s="23"/>
      <c r="ER375" s="23" t="str">
        <f t="shared" si="1"/>
        <v/>
      </c>
      <c r="ES375" s="19"/>
      <c r="ET375" s="19" t="str">
        <f t="shared" si="2"/>
        <v/>
      </c>
      <c r="EU375" s="19"/>
      <c r="EV375" s="19"/>
      <c r="EW375" s="19"/>
      <c r="EX375" s="19"/>
      <c r="EY375" s="19"/>
      <c r="EZ375" s="19"/>
      <c r="FA375" s="19"/>
      <c r="FB375" s="19"/>
    </row>
    <row r="376" ht="15.75" customHeight="1">
      <c r="A376" s="19"/>
      <c r="F376" s="19"/>
      <c r="AH376" s="23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  <c r="BD376" s="19"/>
      <c r="BE376" s="19"/>
      <c r="BF376" s="19"/>
      <c r="BG376" s="19"/>
      <c r="BH376" s="19"/>
      <c r="BI376" s="19"/>
      <c r="BJ376" s="19"/>
      <c r="BK376" s="19"/>
      <c r="BL376" s="19"/>
      <c r="BM376" s="19"/>
      <c r="BN376" s="19"/>
      <c r="BO376" s="19"/>
      <c r="BP376" s="19"/>
      <c r="BQ376" s="19"/>
      <c r="BR376" s="19"/>
      <c r="BS376" s="19"/>
      <c r="BT376" s="19"/>
      <c r="BU376" s="19"/>
      <c r="BV376" s="19"/>
      <c r="BW376" s="19"/>
      <c r="BX376" s="19"/>
      <c r="BY376" s="19"/>
      <c r="BZ376" s="19"/>
      <c r="CA376" s="19"/>
      <c r="CB376" s="19"/>
      <c r="CC376" s="19"/>
      <c r="CD376" s="19"/>
      <c r="CE376" s="19"/>
      <c r="CF376" s="19"/>
      <c r="CG376" s="19"/>
      <c r="CH376" s="19"/>
      <c r="CI376" s="19"/>
      <c r="CJ376" s="19"/>
      <c r="CK376" s="19"/>
      <c r="CL376" s="19"/>
      <c r="CM376" s="19"/>
      <c r="CN376" s="19"/>
      <c r="CO376" s="19"/>
      <c r="CP376" s="19"/>
      <c r="CQ376" s="19"/>
      <c r="CR376" s="19"/>
      <c r="CS376" s="19"/>
      <c r="CT376" s="19"/>
      <c r="CU376" s="19"/>
      <c r="CV376" s="19"/>
      <c r="CW376" s="19"/>
      <c r="CX376" s="19"/>
      <c r="CY376" s="19"/>
      <c r="CZ376" s="19"/>
      <c r="DA376" s="19"/>
      <c r="DB376" s="19"/>
      <c r="DC376" s="19"/>
      <c r="DD376" s="19"/>
      <c r="DE376" s="19"/>
      <c r="DF376" s="19"/>
      <c r="DG376" s="19"/>
      <c r="DH376" s="19"/>
      <c r="DI376" s="19"/>
      <c r="DJ376" s="19"/>
      <c r="DK376" s="19"/>
      <c r="DL376" s="19"/>
      <c r="DM376" s="19"/>
      <c r="DN376" s="19"/>
      <c r="DO376" s="19"/>
      <c r="DP376" s="19"/>
      <c r="DQ376" s="19"/>
      <c r="DR376" s="19"/>
      <c r="DS376" s="19"/>
      <c r="DT376" s="19"/>
      <c r="DU376" s="19"/>
      <c r="DV376" s="19"/>
      <c r="DW376" s="19"/>
      <c r="DX376" s="19"/>
      <c r="DY376" s="19"/>
      <c r="DZ376" s="19"/>
      <c r="EA376" s="19"/>
      <c r="EB376" s="19"/>
      <c r="EC376" s="19"/>
      <c r="ED376" s="19"/>
      <c r="EE376" s="19"/>
      <c r="EF376" s="19"/>
      <c r="EG376" s="19"/>
      <c r="EH376" s="19"/>
      <c r="EI376" s="19"/>
      <c r="EJ376" s="19"/>
      <c r="EK376" s="19"/>
      <c r="EL376" s="19"/>
      <c r="EM376" s="19"/>
      <c r="EN376" s="19"/>
      <c r="EO376" s="19"/>
      <c r="EP376" s="17"/>
      <c r="EQ376" s="23"/>
      <c r="ER376" s="23" t="str">
        <f t="shared" si="1"/>
        <v/>
      </c>
      <c r="ES376" s="19"/>
      <c r="ET376" s="19" t="str">
        <f t="shared" si="2"/>
        <v/>
      </c>
      <c r="EU376" s="19"/>
      <c r="EV376" s="19"/>
      <c r="EW376" s="19"/>
      <c r="EX376" s="19"/>
      <c r="EY376" s="19"/>
      <c r="EZ376" s="19"/>
      <c r="FA376" s="19"/>
      <c r="FB376" s="19"/>
    </row>
    <row r="377" ht="15.75" customHeight="1">
      <c r="A377" s="19"/>
      <c r="F377" s="19"/>
      <c r="AH377" s="23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  <c r="BD377" s="19"/>
      <c r="BE377" s="19"/>
      <c r="BF377" s="19"/>
      <c r="BG377" s="19"/>
      <c r="BH377" s="19"/>
      <c r="BI377" s="19"/>
      <c r="BJ377" s="19"/>
      <c r="BK377" s="19"/>
      <c r="BL377" s="19"/>
      <c r="BM377" s="19"/>
      <c r="BN377" s="19"/>
      <c r="BO377" s="19"/>
      <c r="BP377" s="19"/>
      <c r="BQ377" s="19"/>
      <c r="BR377" s="19"/>
      <c r="BS377" s="19"/>
      <c r="BT377" s="19"/>
      <c r="BU377" s="19"/>
      <c r="BV377" s="19"/>
      <c r="BW377" s="19"/>
      <c r="BX377" s="19"/>
      <c r="BY377" s="19"/>
      <c r="BZ377" s="19"/>
      <c r="CA377" s="19"/>
      <c r="CB377" s="19"/>
      <c r="CC377" s="19"/>
      <c r="CD377" s="19"/>
      <c r="CE377" s="19"/>
      <c r="CF377" s="19"/>
      <c r="CG377" s="19"/>
      <c r="CH377" s="19"/>
      <c r="CI377" s="19"/>
      <c r="CJ377" s="19"/>
      <c r="CK377" s="19"/>
      <c r="CL377" s="19"/>
      <c r="CM377" s="19"/>
      <c r="CN377" s="19"/>
      <c r="CO377" s="19"/>
      <c r="CP377" s="19"/>
      <c r="CQ377" s="19"/>
      <c r="CR377" s="19"/>
      <c r="CS377" s="19"/>
      <c r="CT377" s="19"/>
      <c r="CU377" s="19"/>
      <c r="CV377" s="19"/>
      <c r="CW377" s="19"/>
      <c r="CX377" s="19"/>
      <c r="CY377" s="19"/>
      <c r="CZ377" s="19"/>
      <c r="DA377" s="19"/>
      <c r="DB377" s="19"/>
      <c r="DC377" s="19"/>
      <c r="DD377" s="19"/>
      <c r="DE377" s="19"/>
      <c r="DF377" s="19"/>
      <c r="DG377" s="19"/>
      <c r="DH377" s="19"/>
      <c r="DI377" s="19"/>
      <c r="DJ377" s="19"/>
      <c r="DK377" s="19"/>
      <c r="DL377" s="19"/>
      <c r="DM377" s="19"/>
      <c r="DN377" s="19"/>
      <c r="DO377" s="19"/>
      <c r="DP377" s="19"/>
      <c r="DQ377" s="19"/>
      <c r="DR377" s="19"/>
      <c r="DS377" s="19"/>
      <c r="DT377" s="19"/>
      <c r="DU377" s="19"/>
      <c r="DV377" s="19"/>
      <c r="DW377" s="19"/>
      <c r="DX377" s="19"/>
      <c r="DY377" s="19"/>
      <c r="DZ377" s="19"/>
      <c r="EA377" s="19"/>
      <c r="EB377" s="19"/>
      <c r="EC377" s="19"/>
      <c r="ED377" s="19"/>
      <c r="EE377" s="19"/>
      <c r="EF377" s="19"/>
      <c r="EG377" s="19"/>
      <c r="EH377" s="19"/>
      <c r="EI377" s="19"/>
      <c r="EJ377" s="19"/>
      <c r="EK377" s="19"/>
      <c r="EL377" s="19"/>
      <c r="EM377" s="19"/>
      <c r="EN377" s="19"/>
      <c r="EO377" s="19"/>
      <c r="EP377" s="17"/>
      <c r="EQ377" s="23"/>
      <c r="ER377" s="23" t="str">
        <f t="shared" si="1"/>
        <v/>
      </c>
      <c r="ES377" s="19"/>
      <c r="ET377" s="19" t="str">
        <f t="shared" si="2"/>
        <v/>
      </c>
      <c r="EU377" s="19"/>
      <c r="EV377" s="19"/>
      <c r="EW377" s="19"/>
      <c r="EX377" s="19"/>
      <c r="EY377" s="19"/>
      <c r="EZ377" s="19"/>
      <c r="FA377" s="19"/>
      <c r="FB377" s="19"/>
    </row>
    <row r="378" ht="15.75" customHeight="1">
      <c r="A378" s="19"/>
      <c r="F378" s="19"/>
      <c r="AH378" s="23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  <c r="BD378" s="19"/>
      <c r="BE378" s="19"/>
      <c r="BF378" s="19"/>
      <c r="BG378" s="19"/>
      <c r="BH378" s="19"/>
      <c r="BI378" s="19"/>
      <c r="BJ378" s="19"/>
      <c r="BK378" s="19"/>
      <c r="BL378" s="19"/>
      <c r="BM378" s="19"/>
      <c r="BN378" s="19"/>
      <c r="BO378" s="19"/>
      <c r="BP378" s="19"/>
      <c r="BQ378" s="19"/>
      <c r="BR378" s="19"/>
      <c r="BS378" s="19"/>
      <c r="BT378" s="19"/>
      <c r="BU378" s="19"/>
      <c r="BV378" s="19"/>
      <c r="BW378" s="19"/>
      <c r="BX378" s="19"/>
      <c r="BY378" s="19"/>
      <c r="BZ378" s="19"/>
      <c r="CA378" s="19"/>
      <c r="CB378" s="19"/>
      <c r="CC378" s="19"/>
      <c r="CD378" s="19"/>
      <c r="CE378" s="19"/>
      <c r="CF378" s="19"/>
      <c r="CG378" s="19"/>
      <c r="CH378" s="19"/>
      <c r="CI378" s="19"/>
      <c r="CJ378" s="19"/>
      <c r="CK378" s="19"/>
      <c r="CL378" s="19"/>
      <c r="CM378" s="19"/>
      <c r="CN378" s="19"/>
      <c r="CO378" s="19"/>
      <c r="CP378" s="19"/>
      <c r="CQ378" s="19"/>
      <c r="CR378" s="19"/>
      <c r="CS378" s="19"/>
      <c r="CT378" s="19"/>
      <c r="CU378" s="19"/>
      <c r="CV378" s="19"/>
      <c r="CW378" s="19"/>
      <c r="CX378" s="19"/>
      <c r="CY378" s="19"/>
      <c r="CZ378" s="19"/>
      <c r="DA378" s="19"/>
      <c r="DB378" s="19"/>
      <c r="DC378" s="19"/>
      <c r="DD378" s="19"/>
      <c r="DE378" s="19"/>
      <c r="DF378" s="19"/>
      <c r="DG378" s="19"/>
      <c r="DH378" s="19"/>
      <c r="DI378" s="19"/>
      <c r="DJ378" s="19"/>
      <c r="DK378" s="19"/>
      <c r="DL378" s="19"/>
      <c r="DM378" s="19"/>
      <c r="DN378" s="19"/>
      <c r="DO378" s="19"/>
      <c r="DP378" s="19"/>
      <c r="DQ378" s="19"/>
      <c r="DR378" s="19"/>
      <c r="DS378" s="19"/>
      <c r="DT378" s="19"/>
      <c r="DU378" s="19"/>
      <c r="DV378" s="19"/>
      <c r="DW378" s="19"/>
      <c r="DX378" s="19"/>
      <c r="DY378" s="19"/>
      <c r="DZ378" s="19"/>
      <c r="EA378" s="19"/>
      <c r="EB378" s="19"/>
      <c r="EC378" s="19"/>
      <c r="ED378" s="19"/>
      <c r="EE378" s="19"/>
      <c r="EF378" s="19"/>
      <c r="EG378" s="19"/>
      <c r="EH378" s="19"/>
      <c r="EI378" s="19"/>
      <c r="EJ378" s="19"/>
      <c r="EK378" s="19"/>
      <c r="EL378" s="19"/>
      <c r="EM378" s="19"/>
      <c r="EN378" s="19"/>
      <c r="EO378" s="19"/>
      <c r="EP378" s="17"/>
      <c r="EQ378" s="23"/>
      <c r="ER378" s="23" t="str">
        <f t="shared" si="1"/>
        <v/>
      </c>
      <c r="ES378" s="19"/>
      <c r="ET378" s="19" t="str">
        <f t="shared" si="2"/>
        <v/>
      </c>
      <c r="EU378" s="19"/>
      <c r="EV378" s="19"/>
      <c r="EW378" s="19"/>
      <c r="EX378" s="19"/>
      <c r="EY378" s="19"/>
      <c r="EZ378" s="19"/>
      <c r="FA378" s="19"/>
      <c r="FB378" s="19"/>
    </row>
    <row r="379" ht="15.75" customHeight="1">
      <c r="A379" s="19"/>
      <c r="F379" s="19"/>
      <c r="AH379" s="23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  <c r="BD379" s="19"/>
      <c r="BE379" s="19"/>
      <c r="BF379" s="19"/>
      <c r="BG379" s="19"/>
      <c r="BH379" s="19"/>
      <c r="BI379" s="19"/>
      <c r="BJ379" s="19"/>
      <c r="BK379" s="19"/>
      <c r="BL379" s="19"/>
      <c r="BM379" s="19"/>
      <c r="BN379" s="19"/>
      <c r="BO379" s="19"/>
      <c r="BP379" s="19"/>
      <c r="BQ379" s="19"/>
      <c r="BR379" s="19"/>
      <c r="BS379" s="19"/>
      <c r="BT379" s="19"/>
      <c r="BU379" s="19"/>
      <c r="BV379" s="19"/>
      <c r="BW379" s="19"/>
      <c r="BX379" s="19"/>
      <c r="BY379" s="19"/>
      <c r="BZ379" s="19"/>
      <c r="CA379" s="19"/>
      <c r="CB379" s="19"/>
      <c r="CC379" s="19"/>
      <c r="CD379" s="19"/>
      <c r="CE379" s="19"/>
      <c r="CF379" s="19"/>
      <c r="CG379" s="19"/>
      <c r="CH379" s="19"/>
      <c r="CI379" s="19"/>
      <c r="CJ379" s="19"/>
      <c r="CK379" s="19"/>
      <c r="CL379" s="19"/>
      <c r="CM379" s="19"/>
      <c r="CN379" s="19"/>
      <c r="CO379" s="19"/>
      <c r="CP379" s="19"/>
      <c r="CQ379" s="19"/>
      <c r="CR379" s="19"/>
      <c r="CS379" s="19"/>
      <c r="CT379" s="19"/>
      <c r="CU379" s="19"/>
      <c r="CV379" s="19"/>
      <c r="CW379" s="19"/>
      <c r="CX379" s="19"/>
      <c r="CY379" s="19"/>
      <c r="CZ379" s="19"/>
      <c r="DA379" s="19"/>
      <c r="DB379" s="19"/>
      <c r="DC379" s="19"/>
      <c r="DD379" s="19"/>
      <c r="DE379" s="19"/>
      <c r="DF379" s="19"/>
      <c r="DG379" s="19"/>
      <c r="DH379" s="19"/>
      <c r="DI379" s="19"/>
      <c r="DJ379" s="19"/>
      <c r="DK379" s="19"/>
      <c r="DL379" s="19"/>
      <c r="DM379" s="19"/>
      <c r="DN379" s="19"/>
      <c r="DO379" s="19"/>
      <c r="DP379" s="19"/>
      <c r="DQ379" s="19"/>
      <c r="DR379" s="19"/>
      <c r="DS379" s="19"/>
      <c r="DT379" s="19"/>
      <c r="DU379" s="19"/>
      <c r="DV379" s="19"/>
      <c r="DW379" s="19"/>
      <c r="DX379" s="19"/>
      <c r="DY379" s="19"/>
      <c r="DZ379" s="19"/>
      <c r="EA379" s="19"/>
      <c r="EB379" s="19"/>
      <c r="EC379" s="19"/>
      <c r="ED379" s="19"/>
      <c r="EE379" s="19"/>
      <c r="EF379" s="19"/>
      <c r="EG379" s="19"/>
      <c r="EH379" s="19"/>
      <c r="EI379" s="19"/>
      <c r="EJ379" s="19"/>
      <c r="EK379" s="19"/>
      <c r="EL379" s="19"/>
      <c r="EM379" s="19"/>
      <c r="EN379" s="19"/>
      <c r="EO379" s="19"/>
      <c r="EP379" s="17"/>
      <c r="EQ379" s="23"/>
      <c r="ER379" s="23" t="str">
        <f t="shared" si="1"/>
        <v/>
      </c>
      <c r="ES379" s="19"/>
      <c r="ET379" s="19" t="str">
        <f t="shared" si="2"/>
        <v/>
      </c>
      <c r="EU379" s="19"/>
      <c r="EV379" s="19"/>
      <c r="EW379" s="19"/>
      <c r="EX379" s="19"/>
      <c r="EY379" s="19"/>
      <c r="EZ379" s="19"/>
      <c r="FA379" s="19"/>
      <c r="FB379" s="19"/>
    </row>
    <row r="380" ht="15.75" customHeight="1">
      <c r="A380" s="19"/>
      <c r="F380" s="19"/>
      <c r="AH380" s="23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  <c r="BD380" s="19"/>
      <c r="BE380" s="19"/>
      <c r="BF380" s="19"/>
      <c r="BG380" s="19"/>
      <c r="BH380" s="19"/>
      <c r="BI380" s="19"/>
      <c r="BJ380" s="19"/>
      <c r="BK380" s="19"/>
      <c r="BL380" s="19"/>
      <c r="BM380" s="19"/>
      <c r="BN380" s="19"/>
      <c r="BO380" s="19"/>
      <c r="BP380" s="19"/>
      <c r="BQ380" s="19"/>
      <c r="BR380" s="19"/>
      <c r="BS380" s="19"/>
      <c r="BT380" s="19"/>
      <c r="BU380" s="19"/>
      <c r="BV380" s="19"/>
      <c r="BW380" s="19"/>
      <c r="BX380" s="19"/>
      <c r="BY380" s="19"/>
      <c r="BZ380" s="19"/>
      <c r="CA380" s="19"/>
      <c r="CB380" s="19"/>
      <c r="CC380" s="19"/>
      <c r="CD380" s="19"/>
      <c r="CE380" s="19"/>
      <c r="CF380" s="19"/>
      <c r="CG380" s="19"/>
      <c r="CH380" s="19"/>
      <c r="CI380" s="19"/>
      <c r="CJ380" s="19"/>
      <c r="CK380" s="19"/>
      <c r="CL380" s="19"/>
      <c r="CM380" s="19"/>
      <c r="CN380" s="19"/>
      <c r="CO380" s="19"/>
      <c r="CP380" s="19"/>
      <c r="CQ380" s="19"/>
      <c r="CR380" s="19"/>
      <c r="CS380" s="19"/>
      <c r="CT380" s="19"/>
      <c r="CU380" s="19"/>
      <c r="CV380" s="19"/>
      <c r="CW380" s="19"/>
      <c r="CX380" s="19"/>
      <c r="CY380" s="19"/>
      <c r="CZ380" s="19"/>
      <c r="DA380" s="19"/>
      <c r="DB380" s="19"/>
      <c r="DC380" s="19"/>
      <c r="DD380" s="19"/>
      <c r="DE380" s="19"/>
      <c r="DF380" s="19"/>
      <c r="DG380" s="19"/>
      <c r="DH380" s="19"/>
      <c r="DI380" s="19"/>
      <c r="DJ380" s="19"/>
      <c r="DK380" s="19"/>
      <c r="DL380" s="19"/>
      <c r="DM380" s="19"/>
      <c r="DN380" s="19"/>
      <c r="DO380" s="19"/>
      <c r="DP380" s="19"/>
      <c r="DQ380" s="19"/>
      <c r="DR380" s="19"/>
      <c r="DS380" s="19"/>
      <c r="DT380" s="19"/>
      <c r="DU380" s="19"/>
      <c r="DV380" s="19"/>
      <c r="DW380" s="19"/>
      <c r="DX380" s="19"/>
      <c r="DY380" s="19"/>
      <c r="DZ380" s="19"/>
      <c r="EA380" s="19"/>
      <c r="EB380" s="19"/>
      <c r="EC380" s="19"/>
      <c r="ED380" s="19"/>
      <c r="EE380" s="19"/>
      <c r="EF380" s="19"/>
      <c r="EG380" s="19"/>
      <c r="EH380" s="19"/>
      <c r="EI380" s="19"/>
      <c r="EJ380" s="19"/>
      <c r="EK380" s="19"/>
      <c r="EL380" s="19"/>
      <c r="EM380" s="19"/>
      <c r="EN380" s="19"/>
      <c r="EO380" s="19"/>
      <c r="EP380" s="17"/>
      <c r="EQ380" s="23"/>
      <c r="ER380" s="23" t="str">
        <f t="shared" si="1"/>
        <v/>
      </c>
      <c r="ES380" s="19"/>
      <c r="ET380" s="19" t="str">
        <f t="shared" si="2"/>
        <v/>
      </c>
      <c r="EU380" s="19"/>
      <c r="EV380" s="19"/>
      <c r="EW380" s="19"/>
      <c r="EX380" s="19"/>
      <c r="EY380" s="19"/>
      <c r="EZ380" s="19"/>
      <c r="FA380" s="19"/>
      <c r="FB380" s="19"/>
    </row>
    <row r="381" ht="15.75" customHeight="1">
      <c r="A381" s="19"/>
      <c r="F381" s="19"/>
      <c r="AH381" s="23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  <c r="BD381" s="19"/>
      <c r="BE381" s="19"/>
      <c r="BF381" s="19"/>
      <c r="BG381" s="19"/>
      <c r="BH381" s="19"/>
      <c r="BI381" s="19"/>
      <c r="BJ381" s="19"/>
      <c r="BK381" s="19"/>
      <c r="BL381" s="19"/>
      <c r="BM381" s="19"/>
      <c r="BN381" s="19"/>
      <c r="BO381" s="19"/>
      <c r="BP381" s="19"/>
      <c r="BQ381" s="19"/>
      <c r="BR381" s="19"/>
      <c r="BS381" s="19"/>
      <c r="BT381" s="19"/>
      <c r="BU381" s="19"/>
      <c r="BV381" s="19"/>
      <c r="BW381" s="19"/>
      <c r="BX381" s="19"/>
      <c r="BY381" s="19"/>
      <c r="BZ381" s="19"/>
      <c r="CA381" s="19"/>
      <c r="CB381" s="19"/>
      <c r="CC381" s="19"/>
      <c r="CD381" s="19"/>
      <c r="CE381" s="19"/>
      <c r="CF381" s="19"/>
      <c r="CG381" s="19"/>
      <c r="CH381" s="19"/>
      <c r="CI381" s="19"/>
      <c r="CJ381" s="19"/>
      <c r="CK381" s="19"/>
      <c r="CL381" s="19"/>
      <c r="CM381" s="19"/>
      <c r="CN381" s="19"/>
      <c r="CO381" s="19"/>
      <c r="CP381" s="19"/>
      <c r="CQ381" s="19"/>
      <c r="CR381" s="19"/>
      <c r="CS381" s="19"/>
      <c r="CT381" s="19"/>
      <c r="CU381" s="19"/>
      <c r="CV381" s="19"/>
      <c r="CW381" s="19"/>
      <c r="CX381" s="19"/>
      <c r="CY381" s="19"/>
      <c r="CZ381" s="19"/>
      <c r="DA381" s="19"/>
      <c r="DB381" s="19"/>
      <c r="DC381" s="19"/>
      <c r="DD381" s="19"/>
      <c r="DE381" s="19"/>
      <c r="DF381" s="19"/>
      <c r="DG381" s="19"/>
      <c r="DH381" s="19"/>
      <c r="DI381" s="19"/>
      <c r="DJ381" s="19"/>
      <c r="DK381" s="19"/>
      <c r="DL381" s="19"/>
      <c r="DM381" s="19"/>
      <c r="DN381" s="19"/>
      <c r="DO381" s="19"/>
      <c r="DP381" s="19"/>
      <c r="DQ381" s="19"/>
      <c r="DR381" s="19"/>
      <c r="DS381" s="19"/>
      <c r="DT381" s="19"/>
      <c r="DU381" s="19"/>
      <c r="DV381" s="19"/>
      <c r="DW381" s="19"/>
      <c r="DX381" s="19"/>
      <c r="DY381" s="19"/>
      <c r="DZ381" s="19"/>
      <c r="EA381" s="19"/>
      <c r="EB381" s="19"/>
      <c r="EC381" s="19"/>
      <c r="ED381" s="19"/>
      <c r="EE381" s="19"/>
      <c r="EF381" s="19"/>
      <c r="EG381" s="19"/>
      <c r="EH381" s="19"/>
      <c r="EI381" s="19"/>
      <c r="EJ381" s="19"/>
      <c r="EK381" s="19"/>
      <c r="EL381" s="19"/>
      <c r="EM381" s="19"/>
      <c r="EN381" s="19"/>
      <c r="EO381" s="19"/>
      <c r="EP381" s="17"/>
      <c r="EQ381" s="23"/>
      <c r="ER381" s="23" t="str">
        <f t="shared" si="1"/>
        <v/>
      </c>
      <c r="ES381" s="19"/>
      <c r="ET381" s="19" t="str">
        <f t="shared" si="2"/>
        <v/>
      </c>
      <c r="EU381" s="19"/>
      <c r="EV381" s="19"/>
      <c r="EW381" s="19"/>
      <c r="EX381" s="19"/>
      <c r="EY381" s="19"/>
      <c r="EZ381" s="19"/>
      <c r="FA381" s="19"/>
      <c r="FB381" s="19"/>
    </row>
    <row r="382" ht="15.75" customHeight="1">
      <c r="A382" s="19"/>
      <c r="F382" s="19"/>
      <c r="AH382" s="23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  <c r="BD382" s="19"/>
      <c r="BE382" s="19"/>
      <c r="BF382" s="19"/>
      <c r="BG382" s="19"/>
      <c r="BH382" s="19"/>
      <c r="BI382" s="19"/>
      <c r="BJ382" s="19"/>
      <c r="BK382" s="19"/>
      <c r="BL382" s="19"/>
      <c r="BM382" s="19"/>
      <c r="BN382" s="19"/>
      <c r="BO382" s="19"/>
      <c r="BP382" s="19"/>
      <c r="BQ382" s="19"/>
      <c r="BR382" s="19"/>
      <c r="BS382" s="19"/>
      <c r="BT382" s="19"/>
      <c r="BU382" s="19"/>
      <c r="BV382" s="19"/>
      <c r="BW382" s="19"/>
      <c r="BX382" s="19"/>
      <c r="BY382" s="19"/>
      <c r="BZ382" s="19"/>
      <c r="CA382" s="19"/>
      <c r="CB382" s="19"/>
      <c r="CC382" s="19"/>
      <c r="CD382" s="19"/>
      <c r="CE382" s="19"/>
      <c r="CF382" s="19"/>
      <c r="CG382" s="19"/>
      <c r="CH382" s="19"/>
      <c r="CI382" s="19"/>
      <c r="CJ382" s="19"/>
      <c r="CK382" s="19"/>
      <c r="CL382" s="19"/>
      <c r="CM382" s="19"/>
      <c r="CN382" s="19"/>
      <c r="CO382" s="19"/>
      <c r="CP382" s="19"/>
      <c r="CQ382" s="19"/>
      <c r="CR382" s="19"/>
      <c r="CS382" s="19"/>
      <c r="CT382" s="19"/>
      <c r="CU382" s="19"/>
      <c r="CV382" s="19"/>
      <c r="CW382" s="19"/>
      <c r="CX382" s="19"/>
      <c r="CY382" s="19"/>
      <c r="CZ382" s="19"/>
      <c r="DA382" s="19"/>
      <c r="DB382" s="19"/>
      <c r="DC382" s="19"/>
      <c r="DD382" s="19"/>
      <c r="DE382" s="19"/>
      <c r="DF382" s="19"/>
      <c r="DG382" s="19"/>
      <c r="DH382" s="19"/>
      <c r="DI382" s="19"/>
      <c r="DJ382" s="19"/>
      <c r="DK382" s="19"/>
      <c r="DL382" s="19"/>
      <c r="DM382" s="19"/>
      <c r="DN382" s="19"/>
      <c r="DO382" s="19"/>
      <c r="DP382" s="19"/>
      <c r="DQ382" s="19"/>
      <c r="DR382" s="19"/>
      <c r="DS382" s="19"/>
      <c r="DT382" s="19"/>
      <c r="DU382" s="19"/>
      <c r="DV382" s="19"/>
      <c r="DW382" s="19"/>
      <c r="DX382" s="19"/>
      <c r="DY382" s="19"/>
      <c r="DZ382" s="19"/>
      <c r="EA382" s="19"/>
      <c r="EB382" s="19"/>
      <c r="EC382" s="19"/>
      <c r="ED382" s="19"/>
      <c r="EE382" s="19"/>
      <c r="EF382" s="19"/>
      <c r="EG382" s="19"/>
      <c r="EH382" s="19"/>
      <c r="EI382" s="19"/>
      <c r="EJ382" s="19"/>
      <c r="EK382" s="19"/>
      <c r="EL382" s="19"/>
      <c r="EM382" s="19"/>
      <c r="EN382" s="19"/>
      <c r="EO382" s="19"/>
      <c r="EP382" s="17"/>
      <c r="EQ382" s="23"/>
      <c r="ER382" s="23" t="str">
        <f t="shared" si="1"/>
        <v/>
      </c>
      <c r="ES382" s="19"/>
      <c r="ET382" s="19" t="str">
        <f t="shared" si="2"/>
        <v/>
      </c>
      <c r="EU382" s="19"/>
      <c r="EV382" s="19"/>
      <c r="EW382" s="19"/>
      <c r="EX382" s="19"/>
      <c r="EY382" s="19"/>
      <c r="EZ382" s="19"/>
      <c r="FA382" s="19"/>
      <c r="FB382" s="19"/>
    </row>
    <row r="383" ht="15.75" customHeight="1">
      <c r="A383" s="19"/>
      <c r="F383" s="19"/>
      <c r="AH383" s="23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  <c r="BD383" s="19"/>
      <c r="BE383" s="19"/>
      <c r="BF383" s="19"/>
      <c r="BG383" s="19"/>
      <c r="BH383" s="19"/>
      <c r="BI383" s="19"/>
      <c r="BJ383" s="19"/>
      <c r="BK383" s="19"/>
      <c r="BL383" s="19"/>
      <c r="BM383" s="19"/>
      <c r="BN383" s="19"/>
      <c r="BO383" s="19"/>
      <c r="BP383" s="19"/>
      <c r="BQ383" s="19"/>
      <c r="BR383" s="19"/>
      <c r="BS383" s="19"/>
      <c r="BT383" s="19"/>
      <c r="BU383" s="19"/>
      <c r="BV383" s="19"/>
      <c r="BW383" s="19"/>
      <c r="BX383" s="19"/>
      <c r="BY383" s="19"/>
      <c r="BZ383" s="19"/>
      <c r="CA383" s="19"/>
      <c r="CB383" s="19"/>
      <c r="CC383" s="19"/>
      <c r="CD383" s="19"/>
      <c r="CE383" s="19"/>
      <c r="CF383" s="19"/>
      <c r="CG383" s="19"/>
      <c r="CH383" s="19"/>
      <c r="CI383" s="19"/>
      <c r="CJ383" s="19"/>
      <c r="CK383" s="19"/>
      <c r="CL383" s="19"/>
      <c r="CM383" s="19"/>
      <c r="CN383" s="19"/>
      <c r="CO383" s="19"/>
      <c r="CP383" s="19"/>
      <c r="CQ383" s="19"/>
      <c r="CR383" s="19"/>
      <c r="CS383" s="19"/>
      <c r="CT383" s="19"/>
      <c r="CU383" s="19"/>
      <c r="CV383" s="19"/>
      <c r="CW383" s="19"/>
      <c r="CX383" s="19"/>
      <c r="CY383" s="19"/>
      <c r="CZ383" s="19"/>
      <c r="DA383" s="19"/>
      <c r="DB383" s="19"/>
      <c r="DC383" s="19"/>
      <c r="DD383" s="19"/>
      <c r="DE383" s="19"/>
      <c r="DF383" s="19"/>
      <c r="DG383" s="19"/>
      <c r="DH383" s="19"/>
      <c r="DI383" s="19"/>
      <c r="DJ383" s="19"/>
      <c r="DK383" s="19"/>
      <c r="DL383" s="19"/>
      <c r="DM383" s="19"/>
      <c r="DN383" s="19"/>
      <c r="DO383" s="19"/>
      <c r="DP383" s="19"/>
      <c r="DQ383" s="19"/>
      <c r="DR383" s="19"/>
      <c r="DS383" s="19"/>
      <c r="DT383" s="19"/>
      <c r="DU383" s="19"/>
      <c r="DV383" s="19"/>
      <c r="DW383" s="19"/>
      <c r="DX383" s="19"/>
      <c r="DY383" s="19"/>
      <c r="DZ383" s="19"/>
      <c r="EA383" s="19"/>
      <c r="EB383" s="19"/>
      <c r="EC383" s="19"/>
      <c r="ED383" s="19"/>
      <c r="EE383" s="19"/>
      <c r="EF383" s="19"/>
      <c r="EG383" s="19"/>
      <c r="EH383" s="19"/>
      <c r="EI383" s="19"/>
      <c r="EJ383" s="19"/>
      <c r="EK383" s="19"/>
      <c r="EL383" s="19"/>
      <c r="EM383" s="19"/>
      <c r="EN383" s="19"/>
      <c r="EO383" s="19"/>
      <c r="EP383" s="17"/>
      <c r="EQ383" s="23"/>
      <c r="ER383" s="23" t="str">
        <f t="shared" si="1"/>
        <v/>
      </c>
      <c r="ES383" s="19"/>
      <c r="ET383" s="19" t="str">
        <f t="shared" si="2"/>
        <v/>
      </c>
      <c r="EU383" s="19"/>
      <c r="EV383" s="19"/>
      <c r="EW383" s="19"/>
      <c r="EX383" s="19"/>
      <c r="EY383" s="19"/>
      <c r="EZ383" s="19"/>
      <c r="FA383" s="19"/>
      <c r="FB383" s="19"/>
    </row>
    <row r="384" ht="15.75" customHeight="1">
      <c r="A384" s="19"/>
      <c r="F384" s="19"/>
      <c r="AH384" s="23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  <c r="BD384" s="19"/>
      <c r="BE384" s="19"/>
      <c r="BF384" s="19"/>
      <c r="BG384" s="19"/>
      <c r="BH384" s="19"/>
      <c r="BI384" s="19"/>
      <c r="BJ384" s="19"/>
      <c r="BK384" s="19"/>
      <c r="BL384" s="19"/>
      <c r="BM384" s="19"/>
      <c r="BN384" s="19"/>
      <c r="BO384" s="19"/>
      <c r="BP384" s="19"/>
      <c r="BQ384" s="19"/>
      <c r="BR384" s="19"/>
      <c r="BS384" s="19"/>
      <c r="BT384" s="19"/>
      <c r="BU384" s="19"/>
      <c r="BV384" s="19"/>
      <c r="BW384" s="19"/>
      <c r="BX384" s="19"/>
      <c r="BY384" s="19"/>
      <c r="BZ384" s="19"/>
      <c r="CA384" s="19"/>
      <c r="CB384" s="19"/>
      <c r="CC384" s="19"/>
      <c r="CD384" s="19"/>
      <c r="CE384" s="19"/>
      <c r="CF384" s="19"/>
      <c r="CG384" s="19"/>
      <c r="CH384" s="19"/>
      <c r="CI384" s="19"/>
      <c r="CJ384" s="19"/>
      <c r="CK384" s="19"/>
      <c r="CL384" s="19"/>
      <c r="CM384" s="19"/>
      <c r="CN384" s="19"/>
      <c r="CO384" s="19"/>
      <c r="CP384" s="19"/>
      <c r="CQ384" s="19"/>
      <c r="CR384" s="19"/>
      <c r="CS384" s="19"/>
      <c r="CT384" s="19"/>
      <c r="CU384" s="19"/>
      <c r="CV384" s="19"/>
      <c r="CW384" s="19"/>
      <c r="CX384" s="19"/>
      <c r="CY384" s="19"/>
      <c r="CZ384" s="19"/>
      <c r="DA384" s="19"/>
      <c r="DB384" s="19"/>
      <c r="DC384" s="19"/>
      <c r="DD384" s="19"/>
      <c r="DE384" s="19"/>
      <c r="DF384" s="19"/>
      <c r="DG384" s="19"/>
      <c r="DH384" s="19"/>
      <c r="DI384" s="19"/>
      <c r="DJ384" s="19"/>
      <c r="DK384" s="19"/>
      <c r="DL384" s="19"/>
      <c r="DM384" s="19"/>
      <c r="DN384" s="19"/>
      <c r="DO384" s="19"/>
      <c r="DP384" s="19"/>
      <c r="DQ384" s="19"/>
      <c r="DR384" s="19"/>
      <c r="DS384" s="19"/>
      <c r="DT384" s="19"/>
      <c r="DU384" s="19"/>
      <c r="DV384" s="19"/>
      <c r="DW384" s="19"/>
      <c r="DX384" s="19"/>
      <c r="DY384" s="19"/>
      <c r="DZ384" s="19"/>
      <c r="EA384" s="19"/>
      <c r="EB384" s="19"/>
      <c r="EC384" s="19"/>
      <c r="ED384" s="19"/>
      <c r="EE384" s="19"/>
      <c r="EF384" s="19"/>
      <c r="EG384" s="19"/>
      <c r="EH384" s="19"/>
      <c r="EI384" s="19"/>
      <c r="EJ384" s="19"/>
      <c r="EK384" s="19"/>
      <c r="EL384" s="19"/>
      <c r="EM384" s="19"/>
      <c r="EN384" s="19"/>
      <c r="EO384" s="19"/>
      <c r="EP384" s="17"/>
      <c r="EQ384" s="23"/>
      <c r="ER384" s="23" t="str">
        <f t="shared" si="1"/>
        <v/>
      </c>
      <c r="ES384" s="19"/>
      <c r="ET384" s="19" t="str">
        <f t="shared" si="2"/>
        <v/>
      </c>
      <c r="EU384" s="19"/>
      <c r="EV384" s="19"/>
      <c r="EW384" s="19"/>
      <c r="EX384" s="19"/>
      <c r="EY384" s="19"/>
      <c r="EZ384" s="19"/>
      <c r="FA384" s="19"/>
      <c r="FB384" s="19"/>
    </row>
    <row r="385" ht="15.75" customHeight="1">
      <c r="A385" s="19"/>
      <c r="F385" s="19"/>
      <c r="AH385" s="23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  <c r="BD385" s="19"/>
      <c r="BE385" s="19"/>
      <c r="BF385" s="19"/>
      <c r="BG385" s="19"/>
      <c r="BH385" s="19"/>
      <c r="BI385" s="19"/>
      <c r="BJ385" s="19"/>
      <c r="BK385" s="19"/>
      <c r="BL385" s="19"/>
      <c r="BM385" s="19"/>
      <c r="BN385" s="19"/>
      <c r="BO385" s="19"/>
      <c r="BP385" s="19"/>
      <c r="BQ385" s="19"/>
      <c r="BR385" s="19"/>
      <c r="BS385" s="19"/>
      <c r="BT385" s="19"/>
      <c r="BU385" s="19"/>
      <c r="BV385" s="19"/>
      <c r="BW385" s="19"/>
      <c r="BX385" s="19"/>
      <c r="BY385" s="19"/>
      <c r="BZ385" s="19"/>
      <c r="CA385" s="19"/>
      <c r="CB385" s="19"/>
      <c r="CC385" s="19"/>
      <c r="CD385" s="19"/>
      <c r="CE385" s="19"/>
      <c r="CF385" s="19"/>
      <c r="CG385" s="19"/>
      <c r="CH385" s="19"/>
      <c r="CI385" s="19"/>
      <c r="CJ385" s="19"/>
      <c r="CK385" s="19"/>
      <c r="CL385" s="19"/>
      <c r="CM385" s="19"/>
      <c r="CN385" s="19"/>
      <c r="CO385" s="19"/>
      <c r="CP385" s="19"/>
      <c r="CQ385" s="19"/>
      <c r="CR385" s="19"/>
      <c r="CS385" s="19"/>
      <c r="CT385" s="19"/>
      <c r="CU385" s="19"/>
      <c r="CV385" s="19"/>
      <c r="CW385" s="19"/>
      <c r="CX385" s="19"/>
      <c r="CY385" s="19"/>
      <c r="CZ385" s="19"/>
      <c r="DA385" s="19"/>
      <c r="DB385" s="19"/>
      <c r="DC385" s="19"/>
      <c r="DD385" s="19"/>
      <c r="DE385" s="19"/>
      <c r="DF385" s="19"/>
      <c r="DG385" s="19"/>
      <c r="DH385" s="19"/>
      <c r="DI385" s="19"/>
      <c r="DJ385" s="19"/>
      <c r="DK385" s="19"/>
      <c r="DL385" s="19"/>
      <c r="DM385" s="19"/>
      <c r="DN385" s="19"/>
      <c r="DO385" s="19"/>
      <c r="DP385" s="19"/>
      <c r="DQ385" s="19"/>
      <c r="DR385" s="19"/>
      <c r="DS385" s="19"/>
      <c r="DT385" s="19"/>
      <c r="DU385" s="19"/>
      <c r="DV385" s="19"/>
      <c r="DW385" s="19"/>
      <c r="DX385" s="19"/>
      <c r="DY385" s="19"/>
      <c r="DZ385" s="19"/>
      <c r="EA385" s="19"/>
      <c r="EB385" s="19"/>
      <c r="EC385" s="19"/>
      <c r="ED385" s="19"/>
      <c r="EE385" s="19"/>
      <c r="EF385" s="19"/>
      <c r="EG385" s="19"/>
      <c r="EH385" s="19"/>
      <c r="EI385" s="19"/>
      <c r="EJ385" s="19"/>
      <c r="EK385" s="19"/>
      <c r="EL385" s="19"/>
      <c r="EM385" s="19"/>
      <c r="EN385" s="19"/>
      <c r="EO385" s="19"/>
      <c r="EP385" s="17"/>
      <c r="EQ385" s="23"/>
      <c r="ER385" s="23" t="str">
        <f t="shared" si="1"/>
        <v/>
      </c>
      <c r="ES385" s="19"/>
      <c r="ET385" s="19" t="str">
        <f t="shared" si="2"/>
        <v/>
      </c>
      <c r="EU385" s="19"/>
      <c r="EV385" s="19"/>
      <c r="EW385" s="19"/>
      <c r="EX385" s="19"/>
      <c r="EY385" s="19"/>
      <c r="EZ385" s="19"/>
      <c r="FA385" s="19"/>
      <c r="FB385" s="19"/>
    </row>
    <row r="386" ht="15.75" customHeight="1">
      <c r="A386" s="19"/>
      <c r="F386" s="19"/>
      <c r="AH386" s="23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  <c r="BD386" s="19"/>
      <c r="BE386" s="19"/>
      <c r="BF386" s="19"/>
      <c r="BG386" s="19"/>
      <c r="BH386" s="19"/>
      <c r="BI386" s="19"/>
      <c r="BJ386" s="19"/>
      <c r="BK386" s="19"/>
      <c r="BL386" s="19"/>
      <c r="BM386" s="19"/>
      <c r="BN386" s="19"/>
      <c r="BO386" s="19"/>
      <c r="BP386" s="19"/>
      <c r="BQ386" s="19"/>
      <c r="BR386" s="19"/>
      <c r="BS386" s="19"/>
      <c r="BT386" s="19"/>
      <c r="BU386" s="19"/>
      <c r="BV386" s="19"/>
      <c r="BW386" s="19"/>
      <c r="BX386" s="19"/>
      <c r="BY386" s="19"/>
      <c r="BZ386" s="19"/>
      <c r="CA386" s="19"/>
      <c r="CB386" s="19"/>
      <c r="CC386" s="19"/>
      <c r="CD386" s="19"/>
      <c r="CE386" s="19"/>
      <c r="CF386" s="19"/>
      <c r="CG386" s="19"/>
      <c r="CH386" s="19"/>
      <c r="CI386" s="19"/>
      <c r="CJ386" s="19"/>
      <c r="CK386" s="19"/>
      <c r="CL386" s="19"/>
      <c r="CM386" s="19"/>
      <c r="CN386" s="19"/>
      <c r="CO386" s="19"/>
      <c r="CP386" s="19"/>
      <c r="CQ386" s="19"/>
      <c r="CR386" s="19"/>
      <c r="CS386" s="19"/>
      <c r="CT386" s="19"/>
      <c r="CU386" s="19"/>
      <c r="CV386" s="19"/>
      <c r="CW386" s="19"/>
      <c r="CX386" s="19"/>
      <c r="CY386" s="19"/>
      <c r="CZ386" s="19"/>
      <c r="DA386" s="19"/>
      <c r="DB386" s="19"/>
      <c r="DC386" s="19"/>
      <c r="DD386" s="19"/>
      <c r="DE386" s="19"/>
      <c r="DF386" s="19"/>
      <c r="DG386" s="19"/>
      <c r="DH386" s="19"/>
      <c r="DI386" s="19"/>
      <c r="DJ386" s="19"/>
      <c r="DK386" s="19"/>
      <c r="DL386" s="19"/>
      <c r="DM386" s="19"/>
      <c r="DN386" s="19"/>
      <c r="DO386" s="19"/>
      <c r="DP386" s="19"/>
      <c r="DQ386" s="19"/>
      <c r="DR386" s="19"/>
      <c r="DS386" s="19"/>
      <c r="DT386" s="19"/>
      <c r="DU386" s="19"/>
      <c r="DV386" s="19"/>
      <c r="DW386" s="19"/>
      <c r="DX386" s="19"/>
      <c r="DY386" s="19"/>
      <c r="DZ386" s="19"/>
      <c r="EA386" s="19"/>
      <c r="EB386" s="19"/>
      <c r="EC386" s="19"/>
      <c r="ED386" s="19"/>
      <c r="EE386" s="19"/>
      <c r="EF386" s="19"/>
      <c r="EG386" s="19"/>
      <c r="EH386" s="19"/>
      <c r="EI386" s="19"/>
      <c r="EJ386" s="19"/>
      <c r="EK386" s="19"/>
      <c r="EL386" s="19"/>
      <c r="EM386" s="19"/>
      <c r="EN386" s="19"/>
      <c r="EO386" s="19"/>
      <c r="EP386" s="17"/>
      <c r="EQ386" s="23"/>
      <c r="ER386" s="23" t="str">
        <f t="shared" si="1"/>
        <v/>
      </c>
      <c r="ES386" s="19"/>
      <c r="ET386" s="19" t="str">
        <f t="shared" si="2"/>
        <v/>
      </c>
      <c r="EU386" s="19"/>
      <c r="EV386" s="19"/>
      <c r="EW386" s="19"/>
      <c r="EX386" s="19"/>
      <c r="EY386" s="19"/>
      <c r="EZ386" s="19"/>
      <c r="FA386" s="19"/>
      <c r="FB386" s="19"/>
    </row>
    <row r="387" ht="15.75" customHeight="1">
      <c r="A387" s="19"/>
      <c r="F387" s="19"/>
      <c r="AH387" s="23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  <c r="BD387" s="19"/>
      <c r="BE387" s="19"/>
      <c r="BF387" s="19"/>
      <c r="BG387" s="19"/>
      <c r="BH387" s="19"/>
      <c r="BI387" s="19"/>
      <c r="BJ387" s="19"/>
      <c r="BK387" s="19"/>
      <c r="BL387" s="19"/>
      <c r="BM387" s="19"/>
      <c r="BN387" s="19"/>
      <c r="BO387" s="19"/>
      <c r="BP387" s="19"/>
      <c r="BQ387" s="19"/>
      <c r="BR387" s="19"/>
      <c r="BS387" s="19"/>
      <c r="BT387" s="19"/>
      <c r="BU387" s="19"/>
      <c r="BV387" s="19"/>
      <c r="BW387" s="19"/>
      <c r="BX387" s="19"/>
      <c r="BY387" s="19"/>
      <c r="BZ387" s="19"/>
      <c r="CA387" s="19"/>
      <c r="CB387" s="19"/>
      <c r="CC387" s="19"/>
      <c r="CD387" s="19"/>
      <c r="CE387" s="19"/>
      <c r="CF387" s="19"/>
      <c r="CG387" s="19"/>
      <c r="CH387" s="19"/>
      <c r="CI387" s="19"/>
      <c r="CJ387" s="19"/>
      <c r="CK387" s="19"/>
      <c r="CL387" s="19"/>
      <c r="CM387" s="19"/>
      <c r="CN387" s="19"/>
      <c r="CO387" s="19"/>
      <c r="CP387" s="19"/>
      <c r="CQ387" s="19"/>
      <c r="CR387" s="19"/>
      <c r="CS387" s="19"/>
      <c r="CT387" s="19"/>
      <c r="CU387" s="19"/>
      <c r="CV387" s="19"/>
      <c r="CW387" s="19"/>
      <c r="CX387" s="19"/>
      <c r="CY387" s="19"/>
      <c r="CZ387" s="19"/>
      <c r="DA387" s="19"/>
      <c r="DB387" s="19"/>
      <c r="DC387" s="19"/>
      <c r="DD387" s="19"/>
      <c r="DE387" s="19"/>
      <c r="DF387" s="19"/>
      <c r="DG387" s="19"/>
      <c r="DH387" s="19"/>
      <c r="DI387" s="19"/>
      <c r="DJ387" s="19"/>
      <c r="DK387" s="19"/>
      <c r="DL387" s="19"/>
      <c r="DM387" s="19"/>
      <c r="DN387" s="19"/>
      <c r="DO387" s="19"/>
      <c r="DP387" s="19"/>
      <c r="DQ387" s="19"/>
      <c r="DR387" s="19"/>
      <c r="DS387" s="19"/>
      <c r="DT387" s="19"/>
      <c r="DU387" s="19"/>
      <c r="DV387" s="19"/>
      <c r="DW387" s="19"/>
      <c r="DX387" s="19"/>
      <c r="DY387" s="19"/>
      <c r="DZ387" s="19"/>
      <c r="EA387" s="19"/>
      <c r="EB387" s="19"/>
      <c r="EC387" s="19"/>
      <c r="ED387" s="19"/>
      <c r="EE387" s="19"/>
      <c r="EF387" s="19"/>
      <c r="EG387" s="19"/>
      <c r="EH387" s="19"/>
      <c r="EI387" s="19"/>
      <c r="EJ387" s="19"/>
      <c r="EK387" s="19"/>
      <c r="EL387" s="19"/>
      <c r="EM387" s="19"/>
      <c r="EN387" s="19"/>
      <c r="EO387" s="19"/>
      <c r="EP387" s="17"/>
      <c r="EQ387" s="23"/>
      <c r="ER387" s="23" t="str">
        <f t="shared" si="1"/>
        <v/>
      </c>
      <c r="ES387" s="19"/>
      <c r="ET387" s="19" t="str">
        <f t="shared" si="2"/>
        <v/>
      </c>
      <c r="EU387" s="19"/>
      <c r="EV387" s="19"/>
      <c r="EW387" s="19"/>
      <c r="EX387" s="19"/>
      <c r="EY387" s="19"/>
      <c r="EZ387" s="19"/>
      <c r="FA387" s="19"/>
      <c r="FB387" s="19"/>
    </row>
    <row r="388" ht="15.75" customHeight="1">
      <c r="A388" s="19"/>
      <c r="F388" s="19"/>
      <c r="AH388" s="23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  <c r="BD388" s="19"/>
      <c r="BE388" s="19"/>
      <c r="BF388" s="19"/>
      <c r="BG388" s="19"/>
      <c r="BH388" s="19"/>
      <c r="BI388" s="19"/>
      <c r="BJ388" s="19"/>
      <c r="BK388" s="19"/>
      <c r="BL388" s="19"/>
      <c r="BM388" s="19"/>
      <c r="BN388" s="19"/>
      <c r="BO388" s="19"/>
      <c r="BP388" s="19"/>
      <c r="BQ388" s="19"/>
      <c r="BR388" s="19"/>
      <c r="BS388" s="19"/>
      <c r="BT388" s="19"/>
      <c r="BU388" s="19"/>
      <c r="BV388" s="19"/>
      <c r="BW388" s="19"/>
      <c r="BX388" s="19"/>
      <c r="BY388" s="19"/>
      <c r="BZ388" s="19"/>
      <c r="CA388" s="19"/>
      <c r="CB388" s="19"/>
      <c r="CC388" s="19"/>
      <c r="CD388" s="19"/>
      <c r="CE388" s="19"/>
      <c r="CF388" s="19"/>
      <c r="CG388" s="19"/>
      <c r="CH388" s="19"/>
      <c r="CI388" s="19"/>
      <c r="CJ388" s="19"/>
      <c r="CK388" s="19"/>
      <c r="CL388" s="19"/>
      <c r="CM388" s="19"/>
      <c r="CN388" s="19"/>
      <c r="CO388" s="19"/>
      <c r="CP388" s="19"/>
      <c r="CQ388" s="19"/>
      <c r="CR388" s="19"/>
      <c r="CS388" s="19"/>
      <c r="CT388" s="19"/>
      <c r="CU388" s="19"/>
      <c r="CV388" s="19"/>
      <c r="CW388" s="19"/>
      <c r="CX388" s="19"/>
      <c r="CY388" s="19"/>
      <c r="CZ388" s="19"/>
      <c r="DA388" s="19"/>
      <c r="DB388" s="19"/>
      <c r="DC388" s="19"/>
      <c r="DD388" s="19"/>
      <c r="DE388" s="19"/>
      <c r="DF388" s="19"/>
      <c r="DG388" s="19"/>
      <c r="DH388" s="19"/>
      <c r="DI388" s="19"/>
      <c r="DJ388" s="19"/>
      <c r="DK388" s="19"/>
      <c r="DL388" s="19"/>
      <c r="DM388" s="19"/>
      <c r="DN388" s="19"/>
      <c r="DO388" s="19"/>
      <c r="DP388" s="19"/>
      <c r="DQ388" s="19"/>
      <c r="DR388" s="19"/>
      <c r="DS388" s="19"/>
      <c r="DT388" s="19"/>
      <c r="DU388" s="19"/>
      <c r="DV388" s="19"/>
      <c r="DW388" s="19"/>
      <c r="DX388" s="19"/>
      <c r="DY388" s="19"/>
      <c r="DZ388" s="19"/>
      <c r="EA388" s="19"/>
      <c r="EB388" s="19"/>
      <c r="EC388" s="19"/>
      <c r="ED388" s="19"/>
      <c r="EE388" s="19"/>
      <c r="EF388" s="19"/>
      <c r="EG388" s="19"/>
      <c r="EH388" s="19"/>
      <c r="EI388" s="19"/>
      <c r="EJ388" s="19"/>
      <c r="EK388" s="19"/>
      <c r="EL388" s="19"/>
      <c r="EM388" s="19"/>
      <c r="EN388" s="19"/>
      <c r="EO388" s="19"/>
      <c r="EP388" s="17"/>
      <c r="EQ388" s="23"/>
      <c r="ER388" s="23" t="str">
        <f t="shared" si="1"/>
        <v/>
      </c>
      <c r="ES388" s="19"/>
      <c r="ET388" s="19" t="str">
        <f t="shared" si="2"/>
        <v/>
      </c>
      <c r="EU388" s="19"/>
      <c r="EV388" s="19"/>
      <c r="EW388" s="19"/>
      <c r="EX388" s="19"/>
      <c r="EY388" s="19"/>
      <c r="EZ388" s="19"/>
      <c r="FA388" s="19"/>
      <c r="FB388" s="19"/>
    </row>
    <row r="389" ht="15.75" customHeight="1">
      <c r="A389" s="19"/>
      <c r="F389" s="19"/>
      <c r="AH389" s="23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  <c r="BD389" s="19"/>
      <c r="BE389" s="19"/>
      <c r="BF389" s="19"/>
      <c r="BG389" s="19"/>
      <c r="BH389" s="19"/>
      <c r="BI389" s="19"/>
      <c r="BJ389" s="19"/>
      <c r="BK389" s="19"/>
      <c r="BL389" s="19"/>
      <c r="BM389" s="19"/>
      <c r="BN389" s="19"/>
      <c r="BO389" s="19"/>
      <c r="BP389" s="19"/>
      <c r="BQ389" s="19"/>
      <c r="BR389" s="19"/>
      <c r="BS389" s="19"/>
      <c r="BT389" s="19"/>
      <c r="BU389" s="19"/>
      <c r="BV389" s="19"/>
      <c r="BW389" s="19"/>
      <c r="BX389" s="19"/>
      <c r="BY389" s="19"/>
      <c r="BZ389" s="19"/>
      <c r="CA389" s="19"/>
      <c r="CB389" s="19"/>
      <c r="CC389" s="19"/>
      <c r="CD389" s="19"/>
      <c r="CE389" s="19"/>
      <c r="CF389" s="19"/>
      <c r="CG389" s="19"/>
      <c r="CH389" s="19"/>
      <c r="CI389" s="19"/>
      <c r="CJ389" s="19"/>
      <c r="CK389" s="19"/>
      <c r="CL389" s="19"/>
      <c r="CM389" s="19"/>
      <c r="CN389" s="19"/>
      <c r="CO389" s="19"/>
      <c r="CP389" s="19"/>
      <c r="CQ389" s="19"/>
      <c r="CR389" s="19"/>
      <c r="CS389" s="19"/>
      <c r="CT389" s="19"/>
      <c r="CU389" s="19"/>
      <c r="CV389" s="19"/>
      <c r="CW389" s="19"/>
      <c r="CX389" s="19"/>
      <c r="CY389" s="19"/>
      <c r="CZ389" s="19"/>
      <c r="DA389" s="19"/>
      <c r="DB389" s="19"/>
      <c r="DC389" s="19"/>
      <c r="DD389" s="19"/>
      <c r="DE389" s="19"/>
      <c r="DF389" s="19"/>
      <c r="DG389" s="19"/>
      <c r="DH389" s="19"/>
      <c r="DI389" s="19"/>
      <c r="DJ389" s="19"/>
      <c r="DK389" s="19"/>
      <c r="DL389" s="19"/>
      <c r="DM389" s="19"/>
      <c r="DN389" s="19"/>
      <c r="DO389" s="19"/>
      <c r="DP389" s="19"/>
      <c r="DQ389" s="19"/>
      <c r="DR389" s="19"/>
      <c r="DS389" s="19"/>
      <c r="DT389" s="19"/>
      <c r="DU389" s="19"/>
      <c r="DV389" s="19"/>
      <c r="DW389" s="19"/>
      <c r="DX389" s="19"/>
      <c r="DY389" s="19"/>
      <c r="DZ389" s="19"/>
      <c r="EA389" s="19"/>
      <c r="EB389" s="19"/>
      <c r="EC389" s="19"/>
      <c r="ED389" s="19"/>
      <c r="EE389" s="19"/>
      <c r="EF389" s="19"/>
      <c r="EG389" s="19"/>
      <c r="EH389" s="19"/>
      <c r="EI389" s="19"/>
      <c r="EJ389" s="19"/>
      <c r="EK389" s="19"/>
      <c r="EL389" s="19"/>
      <c r="EM389" s="19"/>
      <c r="EN389" s="19"/>
      <c r="EO389" s="19"/>
      <c r="EP389" s="17"/>
      <c r="EQ389" s="23"/>
      <c r="ER389" s="23" t="str">
        <f t="shared" si="1"/>
        <v/>
      </c>
      <c r="ES389" s="19"/>
      <c r="ET389" s="19" t="str">
        <f t="shared" si="2"/>
        <v/>
      </c>
      <c r="EU389" s="19"/>
      <c r="EV389" s="19"/>
      <c r="EW389" s="19"/>
      <c r="EX389" s="19"/>
      <c r="EY389" s="19"/>
      <c r="EZ389" s="19"/>
      <c r="FA389" s="19"/>
      <c r="FB389" s="19"/>
    </row>
    <row r="390" ht="15.75" customHeight="1">
      <c r="A390" s="19"/>
      <c r="F390" s="19"/>
      <c r="AH390" s="23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  <c r="BD390" s="19"/>
      <c r="BE390" s="19"/>
      <c r="BF390" s="19"/>
      <c r="BG390" s="19"/>
      <c r="BH390" s="19"/>
      <c r="BI390" s="19"/>
      <c r="BJ390" s="19"/>
      <c r="BK390" s="19"/>
      <c r="BL390" s="19"/>
      <c r="BM390" s="19"/>
      <c r="BN390" s="19"/>
      <c r="BO390" s="19"/>
      <c r="BP390" s="19"/>
      <c r="BQ390" s="19"/>
      <c r="BR390" s="19"/>
      <c r="BS390" s="19"/>
      <c r="BT390" s="19"/>
      <c r="BU390" s="19"/>
      <c r="BV390" s="19"/>
      <c r="BW390" s="19"/>
      <c r="BX390" s="19"/>
      <c r="BY390" s="19"/>
      <c r="BZ390" s="19"/>
      <c r="CA390" s="19"/>
      <c r="CB390" s="19"/>
      <c r="CC390" s="19"/>
      <c r="CD390" s="19"/>
      <c r="CE390" s="19"/>
      <c r="CF390" s="19"/>
      <c r="CG390" s="19"/>
      <c r="CH390" s="19"/>
      <c r="CI390" s="19"/>
      <c r="CJ390" s="19"/>
      <c r="CK390" s="19"/>
      <c r="CL390" s="19"/>
      <c r="CM390" s="19"/>
      <c r="CN390" s="19"/>
      <c r="CO390" s="19"/>
      <c r="CP390" s="19"/>
      <c r="CQ390" s="19"/>
      <c r="CR390" s="19"/>
      <c r="CS390" s="19"/>
      <c r="CT390" s="19"/>
      <c r="CU390" s="19"/>
      <c r="CV390" s="19"/>
      <c r="CW390" s="19"/>
      <c r="CX390" s="19"/>
      <c r="CY390" s="19"/>
      <c r="CZ390" s="19"/>
      <c r="DA390" s="19"/>
      <c r="DB390" s="19"/>
      <c r="DC390" s="19"/>
      <c r="DD390" s="19"/>
      <c r="DE390" s="19"/>
      <c r="DF390" s="19"/>
      <c r="DG390" s="19"/>
      <c r="DH390" s="19"/>
      <c r="DI390" s="19"/>
      <c r="DJ390" s="19"/>
      <c r="DK390" s="19"/>
      <c r="DL390" s="19"/>
      <c r="DM390" s="19"/>
      <c r="DN390" s="19"/>
      <c r="DO390" s="19"/>
      <c r="DP390" s="19"/>
      <c r="DQ390" s="19"/>
      <c r="DR390" s="19"/>
      <c r="DS390" s="19"/>
      <c r="DT390" s="19"/>
      <c r="DU390" s="19"/>
      <c r="DV390" s="19"/>
      <c r="DW390" s="19"/>
      <c r="DX390" s="19"/>
      <c r="DY390" s="19"/>
      <c r="DZ390" s="19"/>
      <c r="EA390" s="19"/>
      <c r="EB390" s="19"/>
      <c r="EC390" s="19"/>
      <c r="ED390" s="19"/>
      <c r="EE390" s="19"/>
      <c r="EF390" s="19"/>
      <c r="EG390" s="19"/>
      <c r="EH390" s="19"/>
      <c r="EI390" s="19"/>
      <c r="EJ390" s="19"/>
      <c r="EK390" s="19"/>
      <c r="EL390" s="19"/>
      <c r="EM390" s="19"/>
      <c r="EN390" s="19"/>
      <c r="EO390" s="19"/>
      <c r="EP390" s="17"/>
      <c r="EQ390" s="23"/>
      <c r="ER390" s="23" t="str">
        <f t="shared" si="1"/>
        <v/>
      </c>
      <c r="ES390" s="19"/>
      <c r="ET390" s="19" t="str">
        <f t="shared" si="2"/>
        <v/>
      </c>
      <c r="EU390" s="19"/>
      <c r="EV390" s="19"/>
      <c r="EW390" s="19"/>
      <c r="EX390" s="19"/>
      <c r="EY390" s="19"/>
      <c r="EZ390" s="19"/>
      <c r="FA390" s="19"/>
      <c r="FB390" s="19"/>
    </row>
    <row r="391" ht="15.75" customHeight="1">
      <c r="A391" s="19"/>
      <c r="F391" s="19"/>
      <c r="AH391" s="23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  <c r="BD391" s="19"/>
      <c r="BE391" s="19"/>
      <c r="BF391" s="19"/>
      <c r="BG391" s="19"/>
      <c r="BH391" s="19"/>
      <c r="BI391" s="19"/>
      <c r="BJ391" s="19"/>
      <c r="BK391" s="19"/>
      <c r="BL391" s="19"/>
      <c r="BM391" s="19"/>
      <c r="BN391" s="19"/>
      <c r="BO391" s="19"/>
      <c r="BP391" s="19"/>
      <c r="BQ391" s="19"/>
      <c r="BR391" s="19"/>
      <c r="BS391" s="19"/>
      <c r="BT391" s="19"/>
      <c r="BU391" s="19"/>
      <c r="BV391" s="19"/>
      <c r="BW391" s="19"/>
      <c r="BX391" s="19"/>
      <c r="BY391" s="19"/>
      <c r="BZ391" s="19"/>
      <c r="CA391" s="19"/>
      <c r="CB391" s="19"/>
      <c r="CC391" s="19"/>
      <c r="CD391" s="19"/>
      <c r="CE391" s="19"/>
      <c r="CF391" s="19"/>
      <c r="CG391" s="19"/>
      <c r="CH391" s="19"/>
      <c r="CI391" s="19"/>
      <c r="CJ391" s="19"/>
      <c r="CK391" s="19"/>
      <c r="CL391" s="19"/>
      <c r="CM391" s="19"/>
      <c r="CN391" s="19"/>
      <c r="CO391" s="19"/>
      <c r="CP391" s="19"/>
      <c r="CQ391" s="19"/>
      <c r="CR391" s="19"/>
      <c r="CS391" s="19"/>
      <c r="CT391" s="19"/>
      <c r="CU391" s="19"/>
      <c r="CV391" s="19"/>
      <c r="CW391" s="19"/>
      <c r="CX391" s="19"/>
      <c r="CY391" s="19"/>
      <c r="CZ391" s="19"/>
      <c r="DA391" s="19"/>
      <c r="DB391" s="19"/>
      <c r="DC391" s="19"/>
      <c r="DD391" s="19"/>
      <c r="DE391" s="19"/>
      <c r="DF391" s="19"/>
      <c r="DG391" s="19"/>
      <c r="DH391" s="19"/>
      <c r="DI391" s="19"/>
      <c r="DJ391" s="19"/>
      <c r="DK391" s="19"/>
      <c r="DL391" s="19"/>
      <c r="DM391" s="19"/>
      <c r="DN391" s="19"/>
      <c r="DO391" s="19"/>
      <c r="DP391" s="19"/>
      <c r="DQ391" s="19"/>
      <c r="DR391" s="19"/>
      <c r="DS391" s="19"/>
      <c r="DT391" s="19"/>
      <c r="DU391" s="19"/>
      <c r="DV391" s="19"/>
      <c r="DW391" s="19"/>
      <c r="DX391" s="19"/>
      <c r="DY391" s="19"/>
      <c r="DZ391" s="19"/>
      <c r="EA391" s="19"/>
      <c r="EB391" s="19"/>
      <c r="EC391" s="19"/>
      <c r="ED391" s="19"/>
      <c r="EE391" s="19"/>
      <c r="EF391" s="19"/>
      <c r="EG391" s="19"/>
      <c r="EH391" s="19"/>
      <c r="EI391" s="19"/>
      <c r="EJ391" s="19"/>
      <c r="EK391" s="19"/>
      <c r="EL391" s="19"/>
      <c r="EM391" s="19"/>
      <c r="EN391" s="19"/>
      <c r="EO391" s="19"/>
      <c r="EP391" s="17"/>
      <c r="EQ391" s="23"/>
      <c r="ER391" s="23" t="str">
        <f t="shared" si="1"/>
        <v/>
      </c>
      <c r="ES391" s="19"/>
      <c r="ET391" s="19" t="str">
        <f t="shared" si="2"/>
        <v/>
      </c>
      <c r="EU391" s="19"/>
      <c r="EV391" s="19"/>
      <c r="EW391" s="19"/>
      <c r="EX391" s="19"/>
      <c r="EY391" s="19"/>
      <c r="EZ391" s="19"/>
      <c r="FA391" s="19"/>
      <c r="FB391" s="19"/>
    </row>
    <row r="392" ht="15.75" customHeight="1">
      <c r="A392" s="19"/>
      <c r="F392" s="19"/>
      <c r="AH392" s="23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  <c r="BD392" s="19"/>
      <c r="BE392" s="19"/>
      <c r="BF392" s="19"/>
      <c r="BG392" s="19"/>
      <c r="BH392" s="19"/>
      <c r="BI392" s="19"/>
      <c r="BJ392" s="19"/>
      <c r="BK392" s="19"/>
      <c r="BL392" s="19"/>
      <c r="BM392" s="19"/>
      <c r="BN392" s="19"/>
      <c r="BO392" s="19"/>
      <c r="BP392" s="19"/>
      <c r="BQ392" s="19"/>
      <c r="BR392" s="19"/>
      <c r="BS392" s="19"/>
      <c r="BT392" s="19"/>
      <c r="BU392" s="19"/>
      <c r="BV392" s="19"/>
      <c r="BW392" s="19"/>
      <c r="BX392" s="19"/>
      <c r="BY392" s="19"/>
      <c r="BZ392" s="19"/>
      <c r="CA392" s="19"/>
      <c r="CB392" s="19"/>
      <c r="CC392" s="19"/>
      <c r="CD392" s="19"/>
      <c r="CE392" s="19"/>
      <c r="CF392" s="19"/>
      <c r="CG392" s="19"/>
      <c r="CH392" s="19"/>
      <c r="CI392" s="19"/>
      <c r="CJ392" s="19"/>
      <c r="CK392" s="19"/>
      <c r="CL392" s="19"/>
      <c r="CM392" s="19"/>
      <c r="CN392" s="19"/>
      <c r="CO392" s="19"/>
      <c r="CP392" s="19"/>
      <c r="CQ392" s="19"/>
      <c r="CR392" s="19"/>
      <c r="CS392" s="19"/>
      <c r="CT392" s="19"/>
      <c r="CU392" s="19"/>
      <c r="CV392" s="19"/>
      <c r="CW392" s="19"/>
      <c r="CX392" s="19"/>
      <c r="CY392" s="19"/>
      <c r="CZ392" s="19"/>
      <c r="DA392" s="19"/>
      <c r="DB392" s="19"/>
      <c r="DC392" s="19"/>
      <c r="DD392" s="19"/>
      <c r="DE392" s="19"/>
      <c r="DF392" s="19"/>
      <c r="DG392" s="19"/>
      <c r="DH392" s="19"/>
      <c r="DI392" s="19"/>
      <c r="DJ392" s="19"/>
      <c r="DK392" s="19"/>
      <c r="DL392" s="19"/>
      <c r="DM392" s="19"/>
      <c r="DN392" s="19"/>
      <c r="DO392" s="19"/>
      <c r="DP392" s="19"/>
      <c r="DQ392" s="19"/>
      <c r="DR392" s="19"/>
      <c r="DS392" s="19"/>
      <c r="DT392" s="19"/>
      <c r="DU392" s="19"/>
      <c r="DV392" s="19"/>
      <c r="DW392" s="19"/>
      <c r="DX392" s="19"/>
      <c r="DY392" s="19"/>
      <c r="DZ392" s="19"/>
      <c r="EA392" s="19"/>
      <c r="EB392" s="19"/>
      <c r="EC392" s="19"/>
      <c r="ED392" s="19"/>
      <c r="EE392" s="19"/>
      <c r="EF392" s="19"/>
      <c r="EG392" s="19"/>
      <c r="EH392" s="19"/>
      <c r="EI392" s="19"/>
      <c r="EJ392" s="19"/>
      <c r="EK392" s="19"/>
      <c r="EL392" s="19"/>
      <c r="EM392" s="19"/>
      <c r="EN392" s="19"/>
      <c r="EO392" s="19"/>
      <c r="EP392" s="17"/>
      <c r="EQ392" s="23"/>
      <c r="ER392" s="23" t="str">
        <f t="shared" si="1"/>
        <v/>
      </c>
      <c r="ES392" s="19"/>
      <c r="ET392" s="19" t="str">
        <f t="shared" si="2"/>
        <v/>
      </c>
      <c r="EU392" s="19"/>
      <c r="EV392" s="19"/>
      <c r="EW392" s="19"/>
      <c r="EX392" s="19"/>
      <c r="EY392" s="19"/>
      <c r="EZ392" s="19"/>
      <c r="FA392" s="19"/>
      <c r="FB392" s="19"/>
    </row>
    <row r="393" ht="15.75" customHeight="1">
      <c r="A393" s="19"/>
      <c r="F393" s="19"/>
      <c r="AH393" s="23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  <c r="BD393" s="19"/>
      <c r="BE393" s="19"/>
      <c r="BF393" s="19"/>
      <c r="BG393" s="19"/>
      <c r="BH393" s="19"/>
      <c r="BI393" s="19"/>
      <c r="BJ393" s="19"/>
      <c r="BK393" s="19"/>
      <c r="BL393" s="19"/>
      <c r="BM393" s="19"/>
      <c r="BN393" s="19"/>
      <c r="BO393" s="19"/>
      <c r="BP393" s="19"/>
      <c r="BQ393" s="19"/>
      <c r="BR393" s="19"/>
      <c r="BS393" s="19"/>
      <c r="BT393" s="19"/>
      <c r="BU393" s="19"/>
      <c r="BV393" s="19"/>
      <c r="BW393" s="19"/>
      <c r="BX393" s="19"/>
      <c r="BY393" s="19"/>
      <c r="BZ393" s="19"/>
      <c r="CA393" s="19"/>
      <c r="CB393" s="19"/>
      <c r="CC393" s="19"/>
      <c r="CD393" s="19"/>
      <c r="CE393" s="19"/>
      <c r="CF393" s="19"/>
      <c r="CG393" s="19"/>
      <c r="CH393" s="19"/>
      <c r="CI393" s="19"/>
      <c r="CJ393" s="19"/>
      <c r="CK393" s="19"/>
      <c r="CL393" s="19"/>
      <c r="CM393" s="19"/>
      <c r="CN393" s="19"/>
      <c r="CO393" s="19"/>
      <c r="CP393" s="19"/>
      <c r="CQ393" s="19"/>
      <c r="CR393" s="19"/>
      <c r="CS393" s="19"/>
      <c r="CT393" s="19"/>
      <c r="CU393" s="19"/>
      <c r="CV393" s="19"/>
      <c r="CW393" s="19"/>
      <c r="CX393" s="19"/>
      <c r="CY393" s="19"/>
      <c r="CZ393" s="19"/>
      <c r="DA393" s="19"/>
      <c r="DB393" s="19"/>
      <c r="DC393" s="19"/>
      <c r="DD393" s="19"/>
      <c r="DE393" s="19"/>
      <c r="DF393" s="19"/>
      <c r="DG393" s="19"/>
      <c r="DH393" s="19"/>
      <c r="DI393" s="19"/>
      <c r="DJ393" s="19"/>
      <c r="DK393" s="19"/>
      <c r="DL393" s="19"/>
      <c r="DM393" s="19"/>
      <c r="DN393" s="19"/>
      <c r="DO393" s="19"/>
      <c r="DP393" s="19"/>
      <c r="DQ393" s="19"/>
      <c r="DR393" s="19"/>
      <c r="DS393" s="19"/>
      <c r="DT393" s="19"/>
      <c r="DU393" s="19"/>
      <c r="DV393" s="19"/>
      <c r="DW393" s="19"/>
      <c r="DX393" s="19"/>
      <c r="DY393" s="19"/>
      <c r="DZ393" s="19"/>
      <c r="EA393" s="19"/>
      <c r="EB393" s="19"/>
      <c r="EC393" s="19"/>
      <c r="ED393" s="19"/>
      <c r="EE393" s="19"/>
      <c r="EF393" s="19"/>
      <c r="EG393" s="19"/>
      <c r="EH393" s="19"/>
      <c r="EI393" s="19"/>
      <c r="EJ393" s="19"/>
      <c r="EK393" s="19"/>
      <c r="EL393" s="19"/>
      <c r="EM393" s="19"/>
      <c r="EN393" s="19"/>
      <c r="EO393" s="19"/>
      <c r="EP393" s="17"/>
      <c r="EQ393" s="23"/>
      <c r="ER393" s="23" t="str">
        <f t="shared" si="1"/>
        <v/>
      </c>
      <c r="ES393" s="19"/>
      <c r="ET393" s="19" t="str">
        <f t="shared" si="2"/>
        <v/>
      </c>
      <c r="EU393" s="19"/>
      <c r="EV393" s="19"/>
      <c r="EW393" s="19"/>
      <c r="EX393" s="19"/>
      <c r="EY393" s="19"/>
      <c r="EZ393" s="19"/>
      <c r="FA393" s="19"/>
      <c r="FB393" s="19"/>
    </row>
    <row r="394" ht="15.75" customHeight="1">
      <c r="A394" s="19"/>
      <c r="F394" s="19"/>
      <c r="AH394" s="23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  <c r="BD394" s="19"/>
      <c r="BE394" s="19"/>
      <c r="BF394" s="19"/>
      <c r="BG394" s="19"/>
      <c r="BH394" s="19"/>
      <c r="BI394" s="19"/>
      <c r="BJ394" s="19"/>
      <c r="BK394" s="19"/>
      <c r="BL394" s="19"/>
      <c r="BM394" s="19"/>
      <c r="BN394" s="19"/>
      <c r="BO394" s="19"/>
      <c r="BP394" s="19"/>
      <c r="BQ394" s="19"/>
      <c r="BR394" s="19"/>
      <c r="BS394" s="19"/>
      <c r="BT394" s="19"/>
      <c r="BU394" s="19"/>
      <c r="BV394" s="19"/>
      <c r="BW394" s="19"/>
      <c r="BX394" s="19"/>
      <c r="BY394" s="19"/>
      <c r="BZ394" s="19"/>
      <c r="CA394" s="19"/>
      <c r="CB394" s="19"/>
      <c r="CC394" s="19"/>
      <c r="CD394" s="19"/>
      <c r="CE394" s="19"/>
      <c r="CF394" s="19"/>
      <c r="CG394" s="19"/>
      <c r="CH394" s="19"/>
      <c r="CI394" s="19"/>
      <c r="CJ394" s="19"/>
      <c r="CK394" s="19"/>
      <c r="CL394" s="19"/>
      <c r="CM394" s="19"/>
      <c r="CN394" s="19"/>
      <c r="CO394" s="19"/>
      <c r="CP394" s="19"/>
      <c r="CQ394" s="19"/>
      <c r="CR394" s="19"/>
      <c r="CS394" s="19"/>
      <c r="CT394" s="19"/>
      <c r="CU394" s="19"/>
      <c r="CV394" s="19"/>
      <c r="CW394" s="19"/>
      <c r="CX394" s="19"/>
      <c r="CY394" s="19"/>
      <c r="CZ394" s="19"/>
      <c r="DA394" s="19"/>
      <c r="DB394" s="19"/>
      <c r="DC394" s="19"/>
      <c r="DD394" s="19"/>
      <c r="DE394" s="19"/>
      <c r="DF394" s="19"/>
      <c r="DG394" s="19"/>
      <c r="DH394" s="19"/>
      <c r="DI394" s="19"/>
      <c r="DJ394" s="19"/>
      <c r="DK394" s="19"/>
      <c r="DL394" s="19"/>
      <c r="DM394" s="19"/>
      <c r="DN394" s="19"/>
      <c r="DO394" s="19"/>
      <c r="DP394" s="19"/>
      <c r="DQ394" s="19"/>
      <c r="DR394" s="19"/>
      <c r="DS394" s="19"/>
      <c r="DT394" s="19"/>
      <c r="DU394" s="19"/>
      <c r="DV394" s="19"/>
      <c r="DW394" s="19"/>
      <c r="DX394" s="19"/>
      <c r="DY394" s="19"/>
      <c r="DZ394" s="19"/>
      <c r="EA394" s="19"/>
      <c r="EB394" s="19"/>
      <c r="EC394" s="19"/>
      <c r="ED394" s="19"/>
      <c r="EE394" s="19"/>
      <c r="EF394" s="19"/>
      <c r="EG394" s="19"/>
      <c r="EH394" s="19"/>
      <c r="EI394" s="19"/>
      <c r="EJ394" s="19"/>
      <c r="EK394" s="19"/>
      <c r="EL394" s="19"/>
      <c r="EM394" s="19"/>
      <c r="EN394" s="19"/>
      <c r="EO394" s="19"/>
      <c r="EP394" s="17"/>
      <c r="EQ394" s="23"/>
      <c r="ER394" s="23" t="str">
        <f t="shared" si="1"/>
        <v/>
      </c>
      <c r="ES394" s="19"/>
      <c r="ET394" s="19" t="str">
        <f t="shared" si="2"/>
        <v/>
      </c>
      <c r="EU394" s="19"/>
      <c r="EV394" s="19"/>
      <c r="EW394" s="19"/>
      <c r="EX394" s="19"/>
      <c r="EY394" s="19"/>
      <c r="EZ394" s="19"/>
      <c r="FA394" s="19"/>
      <c r="FB394" s="19"/>
    </row>
    <row r="395" ht="15.75" customHeight="1">
      <c r="A395" s="19"/>
      <c r="F395" s="19"/>
      <c r="AH395" s="23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  <c r="BD395" s="19"/>
      <c r="BE395" s="19"/>
      <c r="BF395" s="19"/>
      <c r="BG395" s="19"/>
      <c r="BH395" s="19"/>
      <c r="BI395" s="19"/>
      <c r="BJ395" s="19"/>
      <c r="BK395" s="19"/>
      <c r="BL395" s="19"/>
      <c r="BM395" s="19"/>
      <c r="BN395" s="19"/>
      <c r="BO395" s="19"/>
      <c r="BP395" s="19"/>
      <c r="BQ395" s="19"/>
      <c r="BR395" s="19"/>
      <c r="BS395" s="19"/>
      <c r="BT395" s="19"/>
      <c r="BU395" s="19"/>
      <c r="BV395" s="19"/>
      <c r="BW395" s="19"/>
      <c r="BX395" s="19"/>
      <c r="BY395" s="19"/>
      <c r="BZ395" s="19"/>
      <c r="CA395" s="19"/>
      <c r="CB395" s="19"/>
      <c r="CC395" s="19"/>
      <c r="CD395" s="19"/>
      <c r="CE395" s="19"/>
      <c r="CF395" s="19"/>
      <c r="CG395" s="19"/>
      <c r="CH395" s="19"/>
      <c r="CI395" s="19"/>
      <c r="CJ395" s="19"/>
      <c r="CK395" s="19"/>
      <c r="CL395" s="19"/>
      <c r="CM395" s="19"/>
      <c r="CN395" s="19"/>
      <c r="CO395" s="19"/>
      <c r="CP395" s="19"/>
      <c r="CQ395" s="19"/>
      <c r="CR395" s="19"/>
      <c r="CS395" s="19"/>
      <c r="CT395" s="19"/>
      <c r="CU395" s="19"/>
      <c r="CV395" s="19"/>
      <c r="CW395" s="19"/>
      <c r="CX395" s="19"/>
      <c r="CY395" s="19"/>
      <c r="CZ395" s="19"/>
      <c r="DA395" s="19"/>
      <c r="DB395" s="19"/>
      <c r="DC395" s="19"/>
      <c r="DD395" s="19"/>
      <c r="DE395" s="19"/>
      <c r="DF395" s="19"/>
      <c r="DG395" s="19"/>
      <c r="DH395" s="19"/>
      <c r="DI395" s="19"/>
      <c r="DJ395" s="19"/>
      <c r="DK395" s="19"/>
      <c r="DL395" s="19"/>
      <c r="DM395" s="19"/>
      <c r="DN395" s="19"/>
      <c r="DO395" s="19"/>
      <c r="DP395" s="19"/>
      <c r="DQ395" s="19"/>
      <c r="DR395" s="19"/>
      <c r="DS395" s="19"/>
      <c r="DT395" s="19"/>
      <c r="DU395" s="19"/>
      <c r="DV395" s="19"/>
      <c r="DW395" s="19"/>
      <c r="DX395" s="19"/>
      <c r="DY395" s="19"/>
      <c r="DZ395" s="19"/>
      <c r="EA395" s="19"/>
      <c r="EB395" s="19"/>
      <c r="EC395" s="19"/>
      <c r="ED395" s="19"/>
      <c r="EE395" s="19"/>
      <c r="EF395" s="19"/>
      <c r="EG395" s="19"/>
      <c r="EH395" s="19"/>
      <c r="EI395" s="19"/>
      <c r="EJ395" s="19"/>
      <c r="EK395" s="19"/>
      <c r="EL395" s="19"/>
      <c r="EM395" s="19"/>
      <c r="EN395" s="19"/>
      <c r="EO395" s="19"/>
      <c r="EP395" s="17"/>
      <c r="EQ395" s="23"/>
      <c r="ER395" s="23" t="str">
        <f t="shared" si="1"/>
        <v/>
      </c>
      <c r="ES395" s="19"/>
      <c r="ET395" s="19" t="str">
        <f t="shared" si="2"/>
        <v/>
      </c>
      <c r="EU395" s="19"/>
      <c r="EV395" s="19"/>
      <c r="EW395" s="19"/>
      <c r="EX395" s="19"/>
      <c r="EY395" s="19"/>
      <c r="EZ395" s="19"/>
      <c r="FA395" s="19"/>
      <c r="FB395" s="19"/>
    </row>
    <row r="396" ht="15.75" customHeight="1">
      <c r="A396" s="19"/>
      <c r="F396" s="19"/>
      <c r="AH396" s="23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  <c r="BD396" s="19"/>
      <c r="BE396" s="19"/>
      <c r="BF396" s="19"/>
      <c r="BG396" s="19"/>
      <c r="BH396" s="19"/>
      <c r="BI396" s="19"/>
      <c r="BJ396" s="19"/>
      <c r="BK396" s="19"/>
      <c r="BL396" s="19"/>
      <c r="BM396" s="19"/>
      <c r="BN396" s="19"/>
      <c r="BO396" s="19"/>
      <c r="BP396" s="19"/>
      <c r="BQ396" s="19"/>
      <c r="BR396" s="19"/>
      <c r="BS396" s="19"/>
      <c r="BT396" s="19"/>
      <c r="BU396" s="19"/>
      <c r="BV396" s="19"/>
      <c r="BW396" s="19"/>
      <c r="BX396" s="19"/>
      <c r="BY396" s="19"/>
      <c r="BZ396" s="19"/>
      <c r="CA396" s="19"/>
      <c r="CB396" s="19"/>
      <c r="CC396" s="19"/>
      <c r="CD396" s="19"/>
      <c r="CE396" s="19"/>
      <c r="CF396" s="19"/>
      <c r="CG396" s="19"/>
      <c r="CH396" s="19"/>
      <c r="CI396" s="19"/>
      <c r="CJ396" s="19"/>
      <c r="CK396" s="19"/>
      <c r="CL396" s="19"/>
      <c r="CM396" s="19"/>
      <c r="CN396" s="19"/>
      <c r="CO396" s="19"/>
      <c r="CP396" s="19"/>
      <c r="CQ396" s="19"/>
      <c r="CR396" s="19"/>
      <c r="CS396" s="19"/>
      <c r="CT396" s="19"/>
      <c r="CU396" s="19"/>
      <c r="CV396" s="19"/>
      <c r="CW396" s="19"/>
      <c r="CX396" s="19"/>
      <c r="CY396" s="19"/>
      <c r="CZ396" s="19"/>
      <c r="DA396" s="19"/>
      <c r="DB396" s="19"/>
      <c r="DC396" s="19"/>
      <c r="DD396" s="19"/>
      <c r="DE396" s="19"/>
      <c r="DF396" s="19"/>
      <c r="DG396" s="19"/>
      <c r="DH396" s="19"/>
      <c r="DI396" s="19"/>
      <c r="DJ396" s="19"/>
      <c r="DK396" s="19"/>
      <c r="DL396" s="19"/>
      <c r="DM396" s="19"/>
      <c r="DN396" s="19"/>
      <c r="DO396" s="19"/>
      <c r="DP396" s="19"/>
      <c r="DQ396" s="19"/>
      <c r="DR396" s="19"/>
      <c r="DS396" s="19"/>
      <c r="DT396" s="19"/>
      <c r="DU396" s="19"/>
      <c r="DV396" s="19"/>
      <c r="DW396" s="19"/>
      <c r="DX396" s="19"/>
      <c r="DY396" s="19"/>
      <c r="DZ396" s="19"/>
      <c r="EA396" s="19"/>
      <c r="EB396" s="19"/>
      <c r="EC396" s="19"/>
      <c r="ED396" s="19"/>
      <c r="EE396" s="19"/>
      <c r="EF396" s="19"/>
      <c r="EG396" s="19"/>
      <c r="EH396" s="19"/>
      <c r="EI396" s="19"/>
      <c r="EJ396" s="19"/>
      <c r="EK396" s="19"/>
      <c r="EL396" s="19"/>
      <c r="EM396" s="19"/>
      <c r="EN396" s="19"/>
      <c r="EO396" s="19"/>
      <c r="EP396" s="17"/>
      <c r="EQ396" s="23"/>
      <c r="ER396" s="23" t="str">
        <f t="shared" si="1"/>
        <v/>
      </c>
      <c r="ES396" s="19"/>
      <c r="ET396" s="19" t="str">
        <f t="shared" si="2"/>
        <v/>
      </c>
      <c r="EU396" s="19"/>
      <c r="EV396" s="19"/>
      <c r="EW396" s="19"/>
      <c r="EX396" s="19"/>
      <c r="EY396" s="19"/>
      <c r="EZ396" s="19"/>
      <c r="FA396" s="19"/>
      <c r="FB396" s="19"/>
    </row>
    <row r="397" ht="15.75" customHeight="1">
      <c r="A397" s="19"/>
      <c r="F397" s="19"/>
      <c r="AH397" s="23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  <c r="BD397" s="19"/>
      <c r="BE397" s="19"/>
      <c r="BF397" s="19"/>
      <c r="BG397" s="19"/>
      <c r="BH397" s="19"/>
      <c r="BI397" s="19"/>
      <c r="BJ397" s="19"/>
      <c r="BK397" s="19"/>
      <c r="BL397" s="19"/>
      <c r="BM397" s="19"/>
      <c r="BN397" s="19"/>
      <c r="BO397" s="19"/>
      <c r="BP397" s="19"/>
      <c r="BQ397" s="19"/>
      <c r="BR397" s="19"/>
      <c r="BS397" s="19"/>
      <c r="BT397" s="19"/>
      <c r="BU397" s="19"/>
      <c r="BV397" s="19"/>
      <c r="BW397" s="19"/>
      <c r="BX397" s="19"/>
      <c r="BY397" s="19"/>
      <c r="BZ397" s="19"/>
      <c r="CA397" s="19"/>
      <c r="CB397" s="19"/>
      <c r="CC397" s="19"/>
      <c r="CD397" s="19"/>
      <c r="CE397" s="19"/>
      <c r="CF397" s="19"/>
      <c r="CG397" s="19"/>
      <c r="CH397" s="19"/>
      <c r="CI397" s="19"/>
      <c r="CJ397" s="19"/>
      <c r="CK397" s="19"/>
      <c r="CL397" s="19"/>
      <c r="CM397" s="19"/>
      <c r="CN397" s="19"/>
      <c r="CO397" s="19"/>
      <c r="CP397" s="19"/>
      <c r="CQ397" s="19"/>
      <c r="CR397" s="19"/>
      <c r="CS397" s="19"/>
      <c r="CT397" s="19"/>
      <c r="CU397" s="19"/>
      <c r="CV397" s="19"/>
      <c r="CW397" s="19"/>
      <c r="CX397" s="19"/>
      <c r="CY397" s="19"/>
      <c r="CZ397" s="19"/>
      <c r="DA397" s="19"/>
      <c r="DB397" s="19"/>
      <c r="DC397" s="19"/>
      <c r="DD397" s="19"/>
      <c r="DE397" s="19"/>
      <c r="DF397" s="19"/>
      <c r="DG397" s="19"/>
      <c r="DH397" s="19"/>
      <c r="DI397" s="19"/>
      <c r="DJ397" s="19"/>
      <c r="DK397" s="19"/>
      <c r="DL397" s="19"/>
      <c r="DM397" s="19"/>
      <c r="DN397" s="19"/>
      <c r="DO397" s="19"/>
      <c r="DP397" s="19"/>
      <c r="DQ397" s="19"/>
      <c r="DR397" s="19"/>
      <c r="DS397" s="19"/>
      <c r="DT397" s="19"/>
      <c r="DU397" s="19"/>
      <c r="DV397" s="19"/>
      <c r="DW397" s="19"/>
      <c r="DX397" s="19"/>
      <c r="DY397" s="19"/>
      <c r="DZ397" s="19"/>
      <c r="EA397" s="19"/>
      <c r="EB397" s="19"/>
      <c r="EC397" s="19"/>
      <c r="ED397" s="19"/>
      <c r="EE397" s="19"/>
      <c r="EF397" s="19"/>
      <c r="EG397" s="19"/>
      <c r="EH397" s="19"/>
      <c r="EI397" s="19"/>
      <c r="EJ397" s="19"/>
      <c r="EK397" s="19"/>
      <c r="EL397" s="19"/>
      <c r="EM397" s="19"/>
      <c r="EN397" s="19"/>
      <c r="EO397" s="19"/>
      <c r="EP397" s="17"/>
      <c r="EQ397" s="23"/>
      <c r="ER397" s="23" t="str">
        <f t="shared" si="1"/>
        <v/>
      </c>
      <c r="ES397" s="19"/>
      <c r="ET397" s="19" t="str">
        <f t="shared" si="2"/>
        <v/>
      </c>
      <c r="EU397" s="19"/>
      <c r="EV397" s="19"/>
      <c r="EW397" s="19"/>
      <c r="EX397" s="19"/>
      <c r="EY397" s="19"/>
      <c r="EZ397" s="19"/>
      <c r="FA397" s="19"/>
      <c r="FB397" s="19"/>
    </row>
    <row r="398" ht="15.75" customHeight="1">
      <c r="A398" s="19"/>
      <c r="F398" s="19"/>
      <c r="AH398" s="23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  <c r="BD398" s="19"/>
      <c r="BE398" s="19"/>
      <c r="BF398" s="19"/>
      <c r="BG398" s="19"/>
      <c r="BH398" s="19"/>
      <c r="BI398" s="19"/>
      <c r="BJ398" s="19"/>
      <c r="BK398" s="19"/>
      <c r="BL398" s="19"/>
      <c r="BM398" s="19"/>
      <c r="BN398" s="19"/>
      <c r="BO398" s="19"/>
      <c r="BP398" s="19"/>
      <c r="BQ398" s="19"/>
      <c r="BR398" s="19"/>
      <c r="BS398" s="19"/>
      <c r="BT398" s="19"/>
      <c r="BU398" s="19"/>
      <c r="BV398" s="19"/>
      <c r="BW398" s="19"/>
      <c r="BX398" s="19"/>
      <c r="BY398" s="19"/>
      <c r="BZ398" s="19"/>
      <c r="CA398" s="19"/>
      <c r="CB398" s="19"/>
      <c r="CC398" s="19"/>
      <c r="CD398" s="19"/>
      <c r="CE398" s="19"/>
      <c r="CF398" s="19"/>
      <c r="CG398" s="19"/>
      <c r="CH398" s="19"/>
      <c r="CI398" s="19"/>
      <c r="CJ398" s="19"/>
      <c r="CK398" s="19"/>
      <c r="CL398" s="19"/>
      <c r="CM398" s="19"/>
      <c r="CN398" s="19"/>
      <c r="CO398" s="19"/>
      <c r="CP398" s="19"/>
      <c r="CQ398" s="19"/>
      <c r="CR398" s="19"/>
      <c r="CS398" s="19"/>
      <c r="CT398" s="19"/>
      <c r="CU398" s="19"/>
      <c r="CV398" s="19"/>
      <c r="CW398" s="19"/>
      <c r="CX398" s="19"/>
      <c r="CY398" s="19"/>
      <c r="CZ398" s="19"/>
      <c r="DA398" s="19"/>
      <c r="DB398" s="19"/>
      <c r="DC398" s="19"/>
      <c r="DD398" s="19"/>
      <c r="DE398" s="19"/>
      <c r="DF398" s="19"/>
      <c r="DG398" s="19"/>
      <c r="DH398" s="19"/>
      <c r="DI398" s="19"/>
      <c r="DJ398" s="19"/>
      <c r="DK398" s="19"/>
      <c r="DL398" s="19"/>
      <c r="DM398" s="19"/>
      <c r="DN398" s="19"/>
      <c r="DO398" s="19"/>
      <c r="DP398" s="19"/>
      <c r="DQ398" s="19"/>
      <c r="DR398" s="19"/>
      <c r="DS398" s="19"/>
      <c r="DT398" s="19"/>
      <c r="DU398" s="19"/>
      <c r="DV398" s="19"/>
      <c r="DW398" s="19"/>
      <c r="DX398" s="19"/>
      <c r="DY398" s="19"/>
      <c r="DZ398" s="19"/>
      <c r="EA398" s="19"/>
      <c r="EB398" s="19"/>
      <c r="EC398" s="19"/>
      <c r="ED398" s="19"/>
      <c r="EE398" s="19"/>
      <c r="EF398" s="19"/>
      <c r="EG398" s="19"/>
      <c r="EH398" s="19"/>
      <c r="EI398" s="19"/>
      <c r="EJ398" s="19"/>
      <c r="EK398" s="19"/>
      <c r="EL398" s="19"/>
      <c r="EM398" s="19"/>
      <c r="EN398" s="19"/>
      <c r="EO398" s="19"/>
      <c r="EP398" s="17"/>
      <c r="EQ398" s="23"/>
      <c r="ER398" s="23" t="str">
        <f t="shared" si="1"/>
        <v/>
      </c>
      <c r="ES398" s="19"/>
      <c r="ET398" s="19" t="str">
        <f t="shared" si="2"/>
        <v/>
      </c>
      <c r="EU398" s="19"/>
      <c r="EV398" s="19"/>
      <c r="EW398" s="19"/>
      <c r="EX398" s="19"/>
      <c r="EY398" s="19"/>
      <c r="EZ398" s="19"/>
      <c r="FA398" s="19"/>
      <c r="FB398" s="19"/>
    </row>
    <row r="399" ht="15.75" customHeight="1">
      <c r="A399" s="19"/>
      <c r="F399" s="19"/>
      <c r="AH399" s="23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  <c r="BD399" s="19"/>
      <c r="BE399" s="19"/>
      <c r="BF399" s="19"/>
      <c r="BG399" s="19"/>
      <c r="BH399" s="19"/>
      <c r="BI399" s="19"/>
      <c r="BJ399" s="19"/>
      <c r="BK399" s="19"/>
      <c r="BL399" s="19"/>
      <c r="BM399" s="19"/>
      <c r="BN399" s="19"/>
      <c r="BO399" s="19"/>
      <c r="BP399" s="19"/>
      <c r="BQ399" s="19"/>
      <c r="BR399" s="19"/>
      <c r="BS399" s="19"/>
      <c r="BT399" s="19"/>
      <c r="BU399" s="19"/>
      <c r="BV399" s="19"/>
      <c r="BW399" s="19"/>
      <c r="BX399" s="19"/>
      <c r="BY399" s="19"/>
      <c r="BZ399" s="19"/>
      <c r="CA399" s="19"/>
      <c r="CB399" s="19"/>
      <c r="CC399" s="19"/>
      <c r="CD399" s="19"/>
      <c r="CE399" s="19"/>
      <c r="CF399" s="19"/>
      <c r="CG399" s="19"/>
      <c r="CH399" s="19"/>
      <c r="CI399" s="19"/>
      <c r="CJ399" s="19"/>
      <c r="CK399" s="19"/>
      <c r="CL399" s="19"/>
      <c r="CM399" s="19"/>
      <c r="CN399" s="19"/>
      <c r="CO399" s="19"/>
      <c r="CP399" s="19"/>
      <c r="CQ399" s="19"/>
      <c r="CR399" s="19"/>
      <c r="CS399" s="19"/>
      <c r="CT399" s="19"/>
      <c r="CU399" s="19"/>
      <c r="CV399" s="19"/>
      <c r="CW399" s="19"/>
      <c r="CX399" s="19"/>
      <c r="CY399" s="19"/>
      <c r="CZ399" s="19"/>
      <c r="DA399" s="19"/>
      <c r="DB399" s="19"/>
      <c r="DC399" s="19"/>
      <c r="DD399" s="19"/>
      <c r="DE399" s="19"/>
      <c r="DF399" s="19"/>
      <c r="DG399" s="19"/>
      <c r="DH399" s="19"/>
      <c r="DI399" s="19"/>
      <c r="DJ399" s="19"/>
      <c r="DK399" s="19"/>
      <c r="DL399" s="19"/>
      <c r="DM399" s="19"/>
      <c r="DN399" s="19"/>
      <c r="DO399" s="19"/>
      <c r="DP399" s="19"/>
      <c r="DQ399" s="19"/>
      <c r="DR399" s="19"/>
      <c r="DS399" s="19"/>
      <c r="DT399" s="19"/>
      <c r="DU399" s="19"/>
      <c r="DV399" s="19"/>
      <c r="DW399" s="19"/>
      <c r="DX399" s="19"/>
      <c r="DY399" s="19"/>
      <c r="DZ399" s="19"/>
      <c r="EA399" s="19"/>
      <c r="EB399" s="19"/>
      <c r="EC399" s="19"/>
      <c r="ED399" s="19"/>
      <c r="EE399" s="19"/>
      <c r="EF399" s="19"/>
      <c r="EG399" s="19"/>
      <c r="EH399" s="19"/>
      <c r="EI399" s="19"/>
      <c r="EJ399" s="19"/>
      <c r="EK399" s="19"/>
      <c r="EL399" s="19"/>
      <c r="EM399" s="19"/>
      <c r="EN399" s="19"/>
      <c r="EO399" s="19"/>
      <c r="EP399" s="17"/>
      <c r="EQ399" s="23"/>
      <c r="ER399" s="23" t="str">
        <f t="shared" si="1"/>
        <v/>
      </c>
      <c r="ES399" s="19"/>
      <c r="ET399" s="19" t="str">
        <f t="shared" si="2"/>
        <v/>
      </c>
      <c r="EU399" s="19"/>
      <c r="EV399" s="19"/>
      <c r="EW399" s="19"/>
      <c r="EX399" s="19"/>
      <c r="EY399" s="19"/>
      <c r="EZ399" s="19"/>
      <c r="FA399" s="19"/>
      <c r="FB399" s="19"/>
    </row>
    <row r="400" ht="15.75" customHeight="1">
      <c r="A400" s="19"/>
      <c r="F400" s="19"/>
      <c r="AH400" s="23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  <c r="BD400" s="19"/>
      <c r="BE400" s="19"/>
      <c r="BF400" s="19"/>
      <c r="BG400" s="19"/>
      <c r="BH400" s="19"/>
      <c r="BI400" s="19"/>
      <c r="BJ400" s="19"/>
      <c r="BK400" s="19"/>
      <c r="BL400" s="19"/>
      <c r="BM400" s="19"/>
      <c r="BN400" s="19"/>
      <c r="BO400" s="19"/>
      <c r="BP400" s="19"/>
      <c r="BQ400" s="19"/>
      <c r="BR400" s="19"/>
      <c r="BS400" s="19"/>
      <c r="BT400" s="19"/>
      <c r="BU400" s="19"/>
      <c r="BV400" s="19"/>
      <c r="BW400" s="19"/>
      <c r="BX400" s="19"/>
      <c r="BY400" s="19"/>
      <c r="BZ400" s="19"/>
      <c r="CA400" s="19"/>
      <c r="CB400" s="19"/>
      <c r="CC400" s="19"/>
      <c r="CD400" s="19"/>
      <c r="CE400" s="19"/>
      <c r="CF400" s="19"/>
      <c r="CG400" s="19"/>
      <c r="CH400" s="19"/>
      <c r="CI400" s="19"/>
      <c r="CJ400" s="19"/>
      <c r="CK400" s="19"/>
      <c r="CL400" s="19"/>
      <c r="CM400" s="19"/>
      <c r="CN400" s="19"/>
      <c r="CO400" s="19"/>
      <c r="CP400" s="19"/>
      <c r="CQ400" s="19"/>
      <c r="CR400" s="19"/>
      <c r="CS400" s="19"/>
      <c r="CT400" s="19"/>
      <c r="CU400" s="19"/>
      <c r="CV400" s="19"/>
      <c r="CW400" s="19"/>
      <c r="CX400" s="19"/>
      <c r="CY400" s="19"/>
      <c r="CZ400" s="19"/>
      <c r="DA400" s="19"/>
      <c r="DB400" s="19"/>
      <c r="DC400" s="19"/>
      <c r="DD400" s="19"/>
      <c r="DE400" s="19"/>
      <c r="DF400" s="19"/>
      <c r="DG400" s="19"/>
      <c r="DH400" s="19"/>
      <c r="DI400" s="19"/>
      <c r="DJ400" s="19"/>
      <c r="DK400" s="19"/>
      <c r="DL400" s="19"/>
      <c r="DM400" s="19"/>
      <c r="DN400" s="19"/>
      <c r="DO400" s="19"/>
      <c r="DP400" s="19"/>
      <c r="DQ400" s="19"/>
      <c r="DR400" s="19"/>
      <c r="DS400" s="19"/>
      <c r="DT400" s="19"/>
      <c r="DU400" s="19"/>
      <c r="DV400" s="19"/>
      <c r="DW400" s="19"/>
      <c r="DX400" s="19"/>
      <c r="DY400" s="19"/>
      <c r="DZ400" s="19"/>
      <c r="EA400" s="19"/>
      <c r="EB400" s="19"/>
      <c r="EC400" s="19"/>
      <c r="ED400" s="19"/>
      <c r="EE400" s="19"/>
      <c r="EF400" s="19"/>
      <c r="EG400" s="19"/>
      <c r="EH400" s="19"/>
      <c r="EI400" s="19"/>
      <c r="EJ400" s="19"/>
      <c r="EK400" s="19"/>
      <c r="EL400" s="19"/>
      <c r="EM400" s="19"/>
      <c r="EN400" s="19"/>
      <c r="EO400" s="19"/>
      <c r="EP400" s="17"/>
      <c r="EQ400" s="23"/>
      <c r="ER400" s="23" t="str">
        <f t="shared" si="1"/>
        <v/>
      </c>
      <c r="ES400" s="19"/>
      <c r="ET400" s="19" t="str">
        <f t="shared" si="2"/>
        <v/>
      </c>
      <c r="EU400" s="19"/>
      <c r="EV400" s="19"/>
      <c r="EW400" s="19"/>
      <c r="EX400" s="19"/>
      <c r="EY400" s="19"/>
      <c r="EZ400" s="19"/>
      <c r="FA400" s="19"/>
      <c r="FB400" s="19"/>
    </row>
    <row r="401" ht="15.75" customHeight="1">
      <c r="A401" s="19"/>
      <c r="F401" s="19"/>
      <c r="AH401" s="23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  <c r="BD401" s="19"/>
      <c r="BE401" s="19"/>
      <c r="BF401" s="19"/>
      <c r="BG401" s="19"/>
      <c r="BH401" s="19"/>
      <c r="BI401" s="19"/>
      <c r="BJ401" s="19"/>
      <c r="BK401" s="19"/>
      <c r="BL401" s="19"/>
      <c r="BM401" s="19"/>
      <c r="BN401" s="19"/>
      <c r="BO401" s="19"/>
      <c r="BP401" s="19"/>
      <c r="BQ401" s="19"/>
      <c r="BR401" s="19"/>
      <c r="BS401" s="19"/>
      <c r="BT401" s="19"/>
      <c r="BU401" s="19"/>
      <c r="BV401" s="19"/>
      <c r="BW401" s="19"/>
      <c r="BX401" s="19"/>
      <c r="BY401" s="19"/>
      <c r="BZ401" s="19"/>
      <c r="CA401" s="19"/>
      <c r="CB401" s="19"/>
      <c r="CC401" s="19"/>
      <c r="CD401" s="19"/>
      <c r="CE401" s="19"/>
      <c r="CF401" s="19"/>
      <c r="CG401" s="19"/>
      <c r="CH401" s="19"/>
      <c r="CI401" s="19"/>
      <c r="CJ401" s="19"/>
      <c r="CK401" s="19"/>
      <c r="CL401" s="19"/>
      <c r="CM401" s="19"/>
      <c r="CN401" s="19"/>
      <c r="CO401" s="19"/>
      <c r="CP401" s="19"/>
      <c r="CQ401" s="19"/>
      <c r="CR401" s="19"/>
      <c r="CS401" s="19"/>
      <c r="CT401" s="19"/>
      <c r="CU401" s="19"/>
      <c r="CV401" s="19"/>
      <c r="CW401" s="19"/>
      <c r="CX401" s="19"/>
      <c r="CY401" s="19"/>
      <c r="CZ401" s="19"/>
      <c r="DA401" s="19"/>
      <c r="DB401" s="19"/>
      <c r="DC401" s="19"/>
      <c r="DD401" s="19"/>
      <c r="DE401" s="19"/>
      <c r="DF401" s="19"/>
      <c r="DG401" s="19"/>
      <c r="DH401" s="19"/>
      <c r="DI401" s="19"/>
      <c r="DJ401" s="19"/>
      <c r="DK401" s="19"/>
      <c r="DL401" s="19"/>
      <c r="DM401" s="19"/>
      <c r="DN401" s="19"/>
      <c r="DO401" s="19"/>
      <c r="DP401" s="19"/>
      <c r="DQ401" s="19"/>
      <c r="DR401" s="19"/>
      <c r="DS401" s="19"/>
      <c r="DT401" s="19"/>
      <c r="DU401" s="19"/>
      <c r="DV401" s="19"/>
      <c r="DW401" s="19"/>
      <c r="DX401" s="19"/>
      <c r="DY401" s="19"/>
      <c r="DZ401" s="19"/>
      <c r="EA401" s="19"/>
      <c r="EB401" s="19"/>
      <c r="EC401" s="19"/>
      <c r="ED401" s="19"/>
      <c r="EE401" s="19"/>
      <c r="EF401" s="19"/>
      <c r="EG401" s="19"/>
      <c r="EH401" s="19"/>
      <c r="EI401" s="19"/>
      <c r="EJ401" s="19"/>
      <c r="EK401" s="19"/>
      <c r="EL401" s="19"/>
      <c r="EM401" s="19"/>
      <c r="EN401" s="19"/>
      <c r="EO401" s="19"/>
      <c r="EP401" s="17"/>
      <c r="EQ401" s="23"/>
      <c r="ER401" s="23" t="str">
        <f t="shared" si="1"/>
        <v/>
      </c>
      <c r="ES401" s="19"/>
      <c r="ET401" s="19" t="str">
        <f t="shared" si="2"/>
        <v/>
      </c>
      <c r="EU401" s="19"/>
      <c r="EV401" s="19"/>
      <c r="EW401" s="19"/>
      <c r="EX401" s="19"/>
      <c r="EY401" s="19"/>
      <c r="EZ401" s="19"/>
      <c r="FA401" s="19"/>
      <c r="FB401" s="19"/>
    </row>
    <row r="402" ht="15.75" customHeight="1">
      <c r="A402" s="19"/>
      <c r="F402" s="19"/>
      <c r="AH402" s="23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19"/>
      <c r="BL402" s="19"/>
      <c r="BM402" s="19"/>
      <c r="BN402" s="19"/>
      <c r="BO402" s="19"/>
      <c r="BP402" s="19"/>
      <c r="BQ402" s="19"/>
      <c r="BR402" s="19"/>
      <c r="BS402" s="19"/>
      <c r="BT402" s="19"/>
      <c r="BU402" s="19"/>
      <c r="BV402" s="19"/>
      <c r="BW402" s="19"/>
      <c r="BX402" s="19"/>
      <c r="BY402" s="19"/>
      <c r="BZ402" s="19"/>
      <c r="CA402" s="19"/>
      <c r="CB402" s="19"/>
      <c r="CC402" s="19"/>
      <c r="CD402" s="19"/>
      <c r="CE402" s="19"/>
      <c r="CF402" s="19"/>
      <c r="CG402" s="19"/>
      <c r="CH402" s="19"/>
      <c r="CI402" s="19"/>
      <c r="CJ402" s="19"/>
      <c r="CK402" s="19"/>
      <c r="CL402" s="19"/>
      <c r="CM402" s="19"/>
      <c r="CN402" s="19"/>
      <c r="CO402" s="19"/>
      <c r="CP402" s="19"/>
      <c r="CQ402" s="19"/>
      <c r="CR402" s="19"/>
      <c r="CS402" s="19"/>
      <c r="CT402" s="19"/>
      <c r="CU402" s="19"/>
      <c r="CV402" s="19"/>
      <c r="CW402" s="19"/>
      <c r="CX402" s="19"/>
      <c r="CY402" s="19"/>
      <c r="CZ402" s="19"/>
      <c r="DA402" s="19"/>
      <c r="DB402" s="19"/>
      <c r="DC402" s="19"/>
      <c r="DD402" s="19"/>
      <c r="DE402" s="19"/>
      <c r="DF402" s="19"/>
      <c r="DG402" s="19"/>
      <c r="DH402" s="19"/>
      <c r="DI402" s="19"/>
      <c r="DJ402" s="19"/>
      <c r="DK402" s="19"/>
      <c r="DL402" s="19"/>
      <c r="DM402" s="19"/>
      <c r="DN402" s="19"/>
      <c r="DO402" s="19"/>
      <c r="DP402" s="19"/>
      <c r="DQ402" s="19"/>
      <c r="DR402" s="19"/>
      <c r="DS402" s="19"/>
      <c r="DT402" s="19"/>
      <c r="DU402" s="19"/>
      <c r="DV402" s="19"/>
      <c r="DW402" s="19"/>
      <c r="DX402" s="19"/>
      <c r="DY402" s="19"/>
      <c r="DZ402" s="19"/>
      <c r="EA402" s="19"/>
      <c r="EB402" s="19"/>
      <c r="EC402" s="19"/>
      <c r="ED402" s="19"/>
      <c r="EE402" s="19"/>
      <c r="EF402" s="19"/>
      <c r="EG402" s="19"/>
      <c r="EH402" s="19"/>
      <c r="EI402" s="19"/>
      <c r="EJ402" s="19"/>
      <c r="EK402" s="19"/>
      <c r="EL402" s="19"/>
      <c r="EM402" s="19"/>
      <c r="EN402" s="19"/>
      <c r="EO402" s="19"/>
      <c r="EP402" s="17"/>
      <c r="EQ402" s="23"/>
      <c r="ER402" s="23" t="str">
        <f t="shared" si="1"/>
        <v/>
      </c>
      <c r="ES402" s="19"/>
      <c r="ET402" s="19" t="str">
        <f t="shared" si="2"/>
        <v/>
      </c>
      <c r="EU402" s="19"/>
      <c r="EV402" s="19"/>
      <c r="EW402" s="19"/>
      <c r="EX402" s="19"/>
      <c r="EY402" s="19"/>
      <c r="EZ402" s="19"/>
      <c r="FA402" s="19"/>
      <c r="FB402" s="19"/>
    </row>
    <row r="403" ht="15.75" customHeight="1">
      <c r="A403" s="19"/>
      <c r="F403" s="19"/>
      <c r="AH403" s="23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19"/>
      <c r="BP403" s="19"/>
      <c r="BQ403" s="19"/>
      <c r="BR403" s="19"/>
      <c r="BS403" s="19"/>
      <c r="BT403" s="19"/>
      <c r="BU403" s="19"/>
      <c r="BV403" s="19"/>
      <c r="BW403" s="19"/>
      <c r="BX403" s="19"/>
      <c r="BY403" s="19"/>
      <c r="BZ403" s="19"/>
      <c r="CA403" s="19"/>
      <c r="CB403" s="19"/>
      <c r="CC403" s="19"/>
      <c r="CD403" s="19"/>
      <c r="CE403" s="19"/>
      <c r="CF403" s="19"/>
      <c r="CG403" s="19"/>
      <c r="CH403" s="19"/>
      <c r="CI403" s="19"/>
      <c r="CJ403" s="19"/>
      <c r="CK403" s="19"/>
      <c r="CL403" s="19"/>
      <c r="CM403" s="19"/>
      <c r="CN403" s="19"/>
      <c r="CO403" s="19"/>
      <c r="CP403" s="19"/>
      <c r="CQ403" s="19"/>
      <c r="CR403" s="19"/>
      <c r="CS403" s="19"/>
      <c r="CT403" s="19"/>
      <c r="CU403" s="19"/>
      <c r="CV403" s="19"/>
      <c r="CW403" s="19"/>
      <c r="CX403" s="19"/>
      <c r="CY403" s="19"/>
      <c r="CZ403" s="19"/>
      <c r="DA403" s="19"/>
      <c r="DB403" s="19"/>
      <c r="DC403" s="19"/>
      <c r="DD403" s="19"/>
      <c r="DE403" s="19"/>
      <c r="DF403" s="19"/>
      <c r="DG403" s="19"/>
      <c r="DH403" s="19"/>
      <c r="DI403" s="19"/>
      <c r="DJ403" s="19"/>
      <c r="DK403" s="19"/>
      <c r="DL403" s="19"/>
      <c r="DM403" s="19"/>
      <c r="DN403" s="19"/>
      <c r="DO403" s="19"/>
      <c r="DP403" s="19"/>
      <c r="DQ403" s="19"/>
      <c r="DR403" s="19"/>
      <c r="DS403" s="19"/>
      <c r="DT403" s="19"/>
      <c r="DU403" s="19"/>
      <c r="DV403" s="19"/>
      <c r="DW403" s="19"/>
      <c r="DX403" s="19"/>
      <c r="DY403" s="19"/>
      <c r="DZ403" s="19"/>
      <c r="EA403" s="19"/>
      <c r="EB403" s="19"/>
      <c r="EC403" s="19"/>
      <c r="ED403" s="19"/>
      <c r="EE403" s="19"/>
      <c r="EF403" s="19"/>
      <c r="EG403" s="19"/>
      <c r="EH403" s="19"/>
      <c r="EI403" s="19"/>
      <c r="EJ403" s="19"/>
      <c r="EK403" s="19"/>
      <c r="EL403" s="19"/>
      <c r="EM403" s="19"/>
      <c r="EN403" s="19"/>
      <c r="EO403" s="19"/>
      <c r="EP403" s="17"/>
      <c r="EQ403" s="23"/>
      <c r="ER403" s="23" t="str">
        <f t="shared" si="1"/>
        <v/>
      </c>
      <c r="ES403" s="19"/>
      <c r="ET403" s="19" t="str">
        <f t="shared" si="2"/>
        <v/>
      </c>
      <c r="EU403" s="19"/>
      <c r="EV403" s="19"/>
      <c r="EW403" s="19"/>
      <c r="EX403" s="19"/>
      <c r="EY403" s="19"/>
      <c r="EZ403" s="19"/>
      <c r="FA403" s="19"/>
      <c r="FB403" s="19"/>
    </row>
    <row r="404" ht="15.75" customHeight="1">
      <c r="A404" s="19"/>
      <c r="F404" s="19"/>
      <c r="AH404" s="23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/>
      <c r="BQ404" s="19"/>
      <c r="BR404" s="19"/>
      <c r="BS404" s="19"/>
      <c r="BT404" s="19"/>
      <c r="BU404" s="19"/>
      <c r="BV404" s="19"/>
      <c r="BW404" s="19"/>
      <c r="BX404" s="19"/>
      <c r="BY404" s="19"/>
      <c r="BZ404" s="19"/>
      <c r="CA404" s="19"/>
      <c r="CB404" s="19"/>
      <c r="CC404" s="19"/>
      <c r="CD404" s="19"/>
      <c r="CE404" s="19"/>
      <c r="CF404" s="19"/>
      <c r="CG404" s="19"/>
      <c r="CH404" s="19"/>
      <c r="CI404" s="19"/>
      <c r="CJ404" s="19"/>
      <c r="CK404" s="19"/>
      <c r="CL404" s="19"/>
      <c r="CM404" s="19"/>
      <c r="CN404" s="19"/>
      <c r="CO404" s="19"/>
      <c r="CP404" s="19"/>
      <c r="CQ404" s="19"/>
      <c r="CR404" s="19"/>
      <c r="CS404" s="19"/>
      <c r="CT404" s="19"/>
      <c r="CU404" s="19"/>
      <c r="CV404" s="19"/>
      <c r="CW404" s="19"/>
      <c r="CX404" s="19"/>
      <c r="CY404" s="19"/>
      <c r="CZ404" s="19"/>
      <c r="DA404" s="19"/>
      <c r="DB404" s="19"/>
      <c r="DC404" s="19"/>
      <c r="DD404" s="19"/>
      <c r="DE404" s="19"/>
      <c r="DF404" s="19"/>
      <c r="DG404" s="19"/>
      <c r="DH404" s="19"/>
      <c r="DI404" s="19"/>
      <c r="DJ404" s="19"/>
      <c r="DK404" s="19"/>
      <c r="DL404" s="19"/>
      <c r="DM404" s="19"/>
      <c r="DN404" s="19"/>
      <c r="DO404" s="19"/>
      <c r="DP404" s="19"/>
      <c r="DQ404" s="19"/>
      <c r="DR404" s="19"/>
      <c r="DS404" s="19"/>
      <c r="DT404" s="19"/>
      <c r="DU404" s="19"/>
      <c r="DV404" s="19"/>
      <c r="DW404" s="19"/>
      <c r="DX404" s="19"/>
      <c r="DY404" s="19"/>
      <c r="DZ404" s="19"/>
      <c r="EA404" s="19"/>
      <c r="EB404" s="19"/>
      <c r="EC404" s="19"/>
      <c r="ED404" s="19"/>
      <c r="EE404" s="19"/>
      <c r="EF404" s="19"/>
      <c r="EG404" s="19"/>
      <c r="EH404" s="19"/>
      <c r="EI404" s="19"/>
      <c r="EJ404" s="19"/>
      <c r="EK404" s="19"/>
      <c r="EL404" s="19"/>
      <c r="EM404" s="19"/>
      <c r="EN404" s="19"/>
      <c r="EO404" s="19"/>
      <c r="EP404" s="17"/>
      <c r="EQ404" s="23"/>
      <c r="ER404" s="23" t="str">
        <f t="shared" si="1"/>
        <v/>
      </c>
      <c r="ES404" s="19"/>
      <c r="ET404" s="19" t="str">
        <f t="shared" si="2"/>
        <v/>
      </c>
      <c r="EU404" s="19"/>
      <c r="EV404" s="19"/>
      <c r="EW404" s="19"/>
      <c r="EX404" s="19"/>
      <c r="EY404" s="19"/>
      <c r="EZ404" s="19"/>
      <c r="FA404" s="19"/>
      <c r="FB404" s="19"/>
    </row>
    <row r="405" ht="15.75" customHeight="1">
      <c r="A405" s="19"/>
      <c r="F405" s="19"/>
      <c r="AH405" s="23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  <c r="BD405" s="19"/>
      <c r="BE405" s="19"/>
      <c r="BF405" s="19"/>
      <c r="BG405" s="19"/>
      <c r="BH405" s="19"/>
      <c r="BI405" s="19"/>
      <c r="BJ405" s="19"/>
      <c r="BK405" s="19"/>
      <c r="BL405" s="19"/>
      <c r="BM405" s="19"/>
      <c r="BN405" s="19"/>
      <c r="BO405" s="19"/>
      <c r="BP405" s="19"/>
      <c r="BQ405" s="19"/>
      <c r="BR405" s="19"/>
      <c r="BS405" s="19"/>
      <c r="BT405" s="19"/>
      <c r="BU405" s="19"/>
      <c r="BV405" s="19"/>
      <c r="BW405" s="19"/>
      <c r="BX405" s="19"/>
      <c r="BY405" s="19"/>
      <c r="BZ405" s="19"/>
      <c r="CA405" s="19"/>
      <c r="CB405" s="19"/>
      <c r="CC405" s="19"/>
      <c r="CD405" s="19"/>
      <c r="CE405" s="19"/>
      <c r="CF405" s="19"/>
      <c r="CG405" s="19"/>
      <c r="CH405" s="19"/>
      <c r="CI405" s="19"/>
      <c r="CJ405" s="19"/>
      <c r="CK405" s="19"/>
      <c r="CL405" s="19"/>
      <c r="CM405" s="19"/>
      <c r="CN405" s="19"/>
      <c r="CO405" s="19"/>
      <c r="CP405" s="19"/>
      <c r="CQ405" s="19"/>
      <c r="CR405" s="19"/>
      <c r="CS405" s="19"/>
      <c r="CT405" s="19"/>
      <c r="CU405" s="19"/>
      <c r="CV405" s="19"/>
      <c r="CW405" s="19"/>
      <c r="CX405" s="19"/>
      <c r="CY405" s="19"/>
      <c r="CZ405" s="19"/>
      <c r="DA405" s="19"/>
      <c r="DB405" s="19"/>
      <c r="DC405" s="19"/>
      <c r="DD405" s="19"/>
      <c r="DE405" s="19"/>
      <c r="DF405" s="19"/>
      <c r="DG405" s="19"/>
      <c r="DH405" s="19"/>
      <c r="DI405" s="19"/>
      <c r="DJ405" s="19"/>
      <c r="DK405" s="19"/>
      <c r="DL405" s="19"/>
      <c r="DM405" s="19"/>
      <c r="DN405" s="19"/>
      <c r="DO405" s="19"/>
      <c r="DP405" s="19"/>
      <c r="DQ405" s="19"/>
      <c r="DR405" s="19"/>
      <c r="DS405" s="19"/>
      <c r="DT405" s="19"/>
      <c r="DU405" s="19"/>
      <c r="DV405" s="19"/>
      <c r="DW405" s="19"/>
      <c r="DX405" s="19"/>
      <c r="DY405" s="19"/>
      <c r="DZ405" s="19"/>
      <c r="EA405" s="19"/>
      <c r="EB405" s="19"/>
      <c r="EC405" s="19"/>
      <c r="ED405" s="19"/>
      <c r="EE405" s="19"/>
      <c r="EF405" s="19"/>
      <c r="EG405" s="19"/>
      <c r="EH405" s="19"/>
      <c r="EI405" s="19"/>
      <c r="EJ405" s="19"/>
      <c r="EK405" s="19"/>
      <c r="EL405" s="19"/>
      <c r="EM405" s="19"/>
      <c r="EN405" s="19"/>
      <c r="EO405" s="19"/>
      <c r="EP405" s="17"/>
      <c r="EQ405" s="23"/>
      <c r="ER405" s="23" t="str">
        <f t="shared" si="1"/>
        <v/>
      </c>
      <c r="ES405" s="19"/>
      <c r="ET405" s="19" t="str">
        <f t="shared" si="2"/>
        <v/>
      </c>
      <c r="EU405" s="19"/>
      <c r="EV405" s="19"/>
      <c r="EW405" s="19"/>
      <c r="EX405" s="19"/>
      <c r="EY405" s="19"/>
      <c r="EZ405" s="19"/>
      <c r="FA405" s="19"/>
      <c r="FB405" s="19"/>
    </row>
    <row r="406" ht="15.75" customHeight="1">
      <c r="A406" s="19"/>
      <c r="F406" s="19"/>
      <c r="AH406" s="23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19"/>
      <c r="BR406" s="19"/>
      <c r="BS406" s="19"/>
      <c r="BT406" s="19"/>
      <c r="BU406" s="19"/>
      <c r="BV406" s="19"/>
      <c r="BW406" s="19"/>
      <c r="BX406" s="19"/>
      <c r="BY406" s="19"/>
      <c r="BZ406" s="19"/>
      <c r="CA406" s="19"/>
      <c r="CB406" s="19"/>
      <c r="CC406" s="19"/>
      <c r="CD406" s="19"/>
      <c r="CE406" s="19"/>
      <c r="CF406" s="19"/>
      <c r="CG406" s="19"/>
      <c r="CH406" s="19"/>
      <c r="CI406" s="19"/>
      <c r="CJ406" s="19"/>
      <c r="CK406" s="19"/>
      <c r="CL406" s="19"/>
      <c r="CM406" s="19"/>
      <c r="CN406" s="19"/>
      <c r="CO406" s="19"/>
      <c r="CP406" s="19"/>
      <c r="CQ406" s="19"/>
      <c r="CR406" s="19"/>
      <c r="CS406" s="19"/>
      <c r="CT406" s="19"/>
      <c r="CU406" s="19"/>
      <c r="CV406" s="19"/>
      <c r="CW406" s="19"/>
      <c r="CX406" s="19"/>
      <c r="CY406" s="19"/>
      <c r="CZ406" s="19"/>
      <c r="DA406" s="19"/>
      <c r="DB406" s="19"/>
      <c r="DC406" s="19"/>
      <c r="DD406" s="19"/>
      <c r="DE406" s="19"/>
      <c r="DF406" s="19"/>
      <c r="DG406" s="19"/>
      <c r="DH406" s="19"/>
      <c r="DI406" s="19"/>
      <c r="DJ406" s="19"/>
      <c r="DK406" s="19"/>
      <c r="DL406" s="19"/>
      <c r="DM406" s="19"/>
      <c r="DN406" s="19"/>
      <c r="DO406" s="19"/>
      <c r="DP406" s="19"/>
      <c r="DQ406" s="19"/>
      <c r="DR406" s="19"/>
      <c r="DS406" s="19"/>
      <c r="DT406" s="19"/>
      <c r="DU406" s="19"/>
      <c r="DV406" s="19"/>
      <c r="DW406" s="19"/>
      <c r="DX406" s="19"/>
      <c r="DY406" s="19"/>
      <c r="DZ406" s="19"/>
      <c r="EA406" s="19"/>
      <c r="EB406" s="19"/>
      <c r="EC406" s="19"/>
      <c r="ED406" s="19"/>
      <c r="EE406" s="19"/>
      <c r="EF406" s="19"/>
      <c r="EG406" s="19"/>
      <c r="EH406" s="19"/>
      <c r="EI406" s="19"/>
      <c r="EJ406" s="19"/>
      <c r="EK406" s="19"/>
      <c r="EL406" s="19"/>
      <c r="EM406" s="19"/>
      <c r="EN406" s="19"/>
      <c r="EO406" s="19"/>
      <c r="EP406" s="17"/>
      <c r="EQ406" s="23"/>
      <c r="ER406" s="23" t="str">
        <f t="shared" si="1"/>
        <v/>
      </c>
      <c r="ES406" s="19"/>
      <c r="ET406" s="19" t="str">
        <f t="shared" si="2"/>
        <v/>
      </c>
      <c r="EU406" s="19"/>
      <c r="EV406" s="19"/>
      <c r="EW406" s="19"/>
      <c r="EX406" s="19"/>
      <c r="EY406" s="19"/>
      <c r="EZ406" s="19"/>
      <c r="FA406" s="19"/>
      <c r="FB406" s="19"/>
    </row>
    <row r="407" ht="15.75" customHeight="1">
      <c r="A407" s="19"/>
      <c r="F407" s="19"/>
      <c r="AH407" s="23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  <c r="BD407" s="19"/>
      <c r="BE407" s="19"/>
      <c r="BF407" s="19"/>
      <c r="BG407" s="19"/>
      <c r="BH407" s="19"/>
      <c r="BI407" s="19"/>
      <c r="BJ407" s="19"/>
      <c r="BK407" s="19"/>
      <c r="BL407" s="19"/>
      <c r="BM407" s="19"/>
      <c r="BN407" s="19"/>
      <c r="BO407" s="19"/>
      <c r="BP407" s="19"/>
      <c r="BQ407" s="19"/>
      <c r="BR407" s="19"/>
      <c r="BS407" s="19"/>
      <c r="BT407" s="19"/>
      <c r="BU407" s="19"/>
      <c r="BV407" s="19"/>
      <c r="BW407" s="19"/>
      <c r="BX407" s="19"/>
      <c r="BY407" s="19"/>
      <c r="BZ407" s="19"/>
      <c r="CA407" s="19"/>
      <c r="CB407" s="19"/>
      <c r="CC407" s="19"/>
      <c r="CD407" s="19"/>
      <c r="CE407" s="19"/>
      <c r="CF407" s="19"/>
      <c r="CG407" s="19"/>
      <c r="CH407" s="19"/>
      <c r="CI407" s="19"/>
      <c r="CJ407" s="19"/>
      <c r="CK407" s="19"/>
      <c r="CL407" s="19"/>
      <c r="CM407" s="19"/>
      <c r="CN407" s="19"/>
      <c r="CO407" s="19"/>
      <c r="CP407" s="19"/>
      <c r="CQ407" s="19"/>
      <c r="CR407" s="19"/>
      <c r="CS407" s="19"/>
      <c r="CT407" s="19"/>
      <c r="CU407" s="19"/>
      <c r="CV407" s="19"/>
      <c r="CW407" s="19"/>
      <c r="CX407" s="19"/>
      <c r="CY407" s="19"/>
      <c r="CZ407" s="19"/>
      <c r="DA407" s="19"/>
      <c r="DB407" s="19"/>
      <c r="DC407" s="19"/>
      <c r="DD407" s="19"/>
      <c r="DE407" s="19"/>
      <c r="DF407" s="19"/>
      <c r="DG407" s="19"/>
      <c r="DH407" s="19"/>
      <c r="DI407" s="19"/>
      <c r="DJ407" s="19"/>
      <c r="DK407" s="19"/>
      <c r="DL407" s="19"/>
      <c r="DM407" s="19"/>
      <c r="DN407" s="19"/>
      <c r="DO407" s="19"/>
      <c r="DP407" s="19"/>
      <c r="DQ407" s="19"/>
      <c r="DR407" s="19"/>
      <c r="DS407" s="19"/>
      <c r="DT407" s="19"/>
      <c r="DU407" s="19"/>
      <c r="DV407" s="19"/>
      <c r="DW407" s="19"/>
      <c r="DX407" s="19"/>
      <c r="DY407" s="19"/>
      <c r="DZ407" s="19"/>
      <c r="EA407" s="19"/>
      <c r="EB407" s="19"/>
      <c r="EC407" s="19"/>
      <c r="ED407" s="19"/>
      <c r="EE407" s="19"/>
      <c r="EF407" s="19"/>
      <c r="EG407" s="19"/>
      <c r="EH407" s="19"/>
      <c r="EI407" s="19"/>
      <c r="EJ407" s="19"/>
      <c r="EK407" s="19"/>
      <c r="EL407" s="19"/>
      <c r="EM407" s="19"/>
      <c r="EN407" s="19"/>
      <c r="EO407" s="19"/>
      <c r="EP407" s="17"/>
      <c r="EQ407" s="23"/>
      <c r="ER407" s="23" t="str">
        <f t="shared" si="1"/>
        <v/>
      </c>
      <c r="ES407" s="19"/>
      <c r="ET407" s="19" t="str">
        <f t="shared" si="2"/>
        <v/>
      </c>
      <c r="EU407" s="19"/>
      <c r="EV407" s="19"/>
      <c r="EW407" s="19"/>
      <c r="EX407" s="19"/>
      <c r="EY407" s="19"/>
      <c r="EZ407" s="19"/>
      <c r="FA407" s="19"/>
      <c r="FB407" s="19"/>
    </row>
    <row r="408" ht="15.75" customHeight="1">
      <c r="A408" s="19"/>
      <c r="F408" s="19"/>
      <c r="AH408" s="23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  <c r="BD408" s="19"/>
      <c r="BE408" s="19"/>
      <c r="BF408" s="19"/>
      <c r="BG408" s="19"/>
      <c r="BH408" s="19"/>
      <c r="BI408" s="19"/>
      <c r="BJ408" s="19"/>
      <c r="BK408" s="19"/>
      <c r="BL408" s="19"/>
      <c r="BM408" s="19"/>
      <c r="BN408" s="19"/>
      <c r="BO408" s="19"/>
      <c r="BP408" s="19"/>
      <c r="BQ408" s="19"/>
      <c r="BR408" s="19"/>
      <c r="BS408" s="19"/>
      <c r="BT408" s="19"/>
      <c r="BU408" s="19"/>
      <c r="BV408" s="19"/>
      <c r="BW408" s="19"/>
      <c r="BX408" s="19"/>
      <c r="BY408" s="19"/>
      <c r="BZ408" s="19"/>
      <c r="CA408" s="19"/>
      <c r="CB408" s="19"/>
      <c r="CC408" s="19"/>
      <c r="CD408" s="19"/>
      <c r="CE408" s="19"/>
      <c r="CF408" s="19"/>
      <c r="CG408" s="19"/>
      <c r="CH408" s="19"/>
      <c r="CI408" s="19"/>
      <c r="CJ408" s="19"/>
      <c r="CK408" s="19"/>
      <c r="CL408" s="19"/>
      <c r="CM408" s="19"/>
      <c r="CN408" s="19"/>
      <c r="CO408" s="19"/>
      <c r="CP408" s="19"/>
      <c r="CQ408" s="19"/>
      <c r="CR408" s="19"/>
      <c r="CS408" s="19"/>
      <c r="CT408" s="19"/>
      <c r="CU408" s="19"/>
      <c r="CV408" s="19"/>
      <c r="CW408" s="19"/>
      <c r="CX408" s="19"/>
      <c r="CY408" s="19"/>
      <c r="CZ408" s="19"/>
      <c r="DA408" s="19"/>
      <c r="DB408" s="19"/>
      <c r="DC408" s="19"/>
      <c r="DD408" s="19"/>
      <c r="DE408" s="19"/>
      <c r="DF408" s="19"/>
      <c r="DG408" s="19"/>
      <c r="DH408" s="19"/>
      <c r="DI408" s="19"/>
      <c r="DJ408" s="19"/>
      <c r="DK408" s="19"/>
      <c r="DL408" s="19"/>
      <c r="DM408" s="19"/>
      <c r="DN408" s="19"/>
      <c r="DO408" s="19"/>
      <c r="DP408" s="19"/>
      <c r="DQ408" s="19"/>
      <c r="DR408" s="19"/>
      <c r="DS408" s="19"/>
      <c r="DT408" s="19"/>
      <c r="DU408" s="19"/>
      <c r="DV408" s="19"/>
      <c r="DW408" s="19"/>
      <c r="DX408" s="19"/>
      <c r="DY408" s="19"/>
      <c r="DZ408" s="19"/>
      <c r="EA408" s="19"/>
      <c r="EB408" s="19"/>
      <c r="EC408" s="19"/>
      <c r="ED408" s="19"/>
      <c r="EE408" s="19"/>
      <c r="EF408" s="19"/>
      <c r="EG408" s="19"/>
      <c r="EH408" s="19"/>
      <c r="EI408" s="19"/>
      <c r="EJ408" s="19"/>
      <c r="EK408" s="19"/>
      <c r="EL408" s="19"/>
      <c r="EM408" s="19"/>
      <c r="EN408" s="19"/>
      <c r="EO408" s="19"/>
      <c r="EP408" s="17"/>
      <c r="EQ408" s="23"/>
      <c r="ER408" s="23" t="str">
        <f t="shared" si="1"/>
        <v/>
      </c>
      <c r="ES408" s="19"/>
      <c r="ET408" s="19" t="str">
        <f t="shared" si="2"/>
        <v/>
      </c>
      <c r="EU408" s="19"/>
      <c r="EV408" s="19"/>
      <c r="EW408" s="19"/>
      <c r="EX408" s="19"/>
      <c r="EY408" s="19"/>
      <c r="EZ408" s="19"/>
      <c r="FA408" s="19"/>
      <c r="FB408" s="19"/>
    </row>
    <row r="409" ht="15.75" customHeight="1">
      <c r="A409" s="19"/>
      <c r="F409" s="19"/>
      <c r="AH409" s="23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  <c r="BD409" s="19"/>
      <c r="BE409" s="19"/>
      <c r="BF409" s="19"/>
      <c r="BG409" s="19"/>
      <c r="BH409" s="19"/>
      <c r="BI409" s="19"/>
      <c r="BJ409" s="19"/>
      <c r="BK409" s="19"/>
      <c r="BL409" s="19"/>
      <c r="BM409" s="19"/>
      <c r="BN409" s="19"/>
      <c r="BO409" s="19"/>
      <c r="BP409" s="19"/>
      <c r="BQ409" s="19"/>
      <c r="BR409" s="19"/>
      <c r="BS409" s="19"/>
      <c r="BT409" s="19"/>
      <c r="BU409" s="19"/>
      <c r="BV409" s="19"/>
      <c r="BW409" s="19"/>
      <c r="BX409" s="19"/>
      <c r="BY409" s="19"/>
      <c r="BZ409" s="19"/>
      <c r="CA409" s="19"/>
      <c r="CB409" s="19"/>
      <c r="CC409" s="19"/>
      <c r="CD409" s="19"/>
      <c r="CE409" s="19"/>
      <c r="CF409" s="19"/>
      <c r="CG409" s="19"/>
      <c r="CH409" s="19"/>
      <c r="CI409" s="19"/>
      <c r="CJ409" s="19"/>
      <c r="CK409" s="19"/>
      <c r="CL409" s="19"/>
      <c r="CM409" s="19"/>
      <c r="CN409" s="19"/>
      <c r="CO409" s="19"/>
      <c r="CP409" s="19"/>
      <c r="CQ409" s="19"/>
      <c r="CR409" s="19"/>
      <c r="CS409" s="19"/>
      <c r="CT409" s="19"/>
      <c r="CU409" s="19"/>
      <c r="CV409" s="19"/>
      <c r="CW409" s="19"/>
      <c r="CX409" s="19"/>
      <c r="CY409" s="19"/>
      <c r="CZ409" s="19"/>
      <c r="DA409" s="19"/>
      <c r="DB409" s="19"/>
      <c r="DC409" s="19"/>
      <c r="DD409" s="19"/>
      <c r="DE409" s="19"/>
      <c r="DF409" s="19"/>
      <c r="DG409" s="19"/>
      <c r="DH409" s="19"/>
      <c r="DI409" s="19"/>
      <c r="DJ409" s="19"/>
      <c r="DK409" s="19"/>
      <c r="DL409" s="19"/>
      <c r="DM409" s="19"/>
      <c r="DN409" s="19"/>
      <c r="DO409" s="19"/>
      <c r="DP409" s="19"/>
      <c r="DQ409" s="19"/>
      <c r="DR409" s="19"/>
      <c r="DS409" s="19"/>
      <c r="DT409" s="19"/>
      <c r="DU409" s="19"/>
      <c r="DV409" s="19"/>
      <c r="DW409" s="19"/>
      <c r="DX409" s="19"/>
      <c r="DY409" s="19"/>
      <c r="DZ409" s="19"/>
      <c r="EA409" s="19"/>
      <c r="EB409" s="19"/>
      <c r="EC409" s="19"/>
      <c r="ED409" s="19"/>
      <c r="EE409" s="19"/>
      <c r="EF409" s="19"/>
      <c r="EG409" s="19"/>
      <c r="EH409" s="19"/>
      <c r="EI409" s="19"/>
      <c r="EJ409" s="19"/>
      <c r="EK409" s="19"/>
      <c r="EL409" s="19"/>
      <c r="EM409" s="19"/>
      <c r="EN409" s="19"/>
      <c r="EO409" s="19"/>
      <c r="EP409" s="17"/>
      <c r="EQ409" s="23"/>
      <c r="ER409" s="23" t="str">
        <f t="shared" si="1"/>
        <v/>
      </c>
      <c r="ES409" s="19"/>
      <c r="ET409" s="19" t="str">
        <f t="shared" si="2"/>
        <v/>
      </c>
      <c r="EU409" s="19"/>
      <c r="EV409" s="19"/>
      <c r="EW409" s="19"/>
      <c r="EX409" s="19"/>
      <c r="EY409" s="19"/>
      <c r="EZ409" s="19"/>
      <c r="FA409" s="19"/>
      <c r="FB409" s="19"/>
    </row>
    <row r="410" ht="15.75" customHeight="1">
      <c r="A410" s="19"/>
      <c r="F410" s="19"/>
      <c r="AH410" s="23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  <c r="BD410" s="19"/>
      <c r="BE410" s="19"/>
      <c r="BF410" s="19"/>
      <c r="BG410" s="19"/>
      <c r="BH410" s="19"/>
      <c r="BI410" s="19"/>
      <c r="BJ410" s="19"/>
      <c r="BK410" s="19"/>
      <c r="BL410" s="19"/>
      <c r="BM410" s="19"/>
      <c r="BN410" s="19"/>
      <c r="BO410" s="19"/>
      <c r="BP410" s="19"/>
      <c r="BQ410" s="19"/>
      <c r="BR410" s="19"/>
      <c r="BS410" s="19"/>
      <c r="BT410" s="19"/>
      <c r="BU410" s="19"/>
      <c r="BV410" s="19"/>
      <c r="BW410" s="19"/>
      <c r="BX410" s="19"/>
      <c r="BY410" s="19"/>
      <c r="BZ410" s="19"/>
      <c r="CA410" s="19"/>
      <c r="CB410" s="19"/>
      <c r="CC410" s="19"/>
      <c r="CD410" s="19"/>
      <c r="CE410" s="19"/>
      <c r="CF410" s="19"/>
      <c r="CG410" s="19"/>
      <c r="CH410" s="19"/>
      <c r="CI410" s="19"/>
      <c r="CJ410" s="19"/>
      <c r="CK410" s="19"/>
      <c r="CL410" s="19"/>
      <c r="CM410" s="19"/>
      <c r="CN410" s="19"/>
      <c r="CO410" s="19"/>
      <c r="CP410" s="19"/>
      <c r="CQ410" s="19"/>
      <c r="CR410" s="19"/>
      <c r="CS410" s="19"/>
      <c r="CT410" s="19"/>
      <c r="CU410" s="19"/>
      <c r="CV410" s="19"/>
      <c r="CW410" s="19"/>
      <c r="CX410" s="19"/>
      <c r="CY410" s="19"/>
      <c r="CZ410" s="19"/>
      <c r="DA410" s="19"/>
      <c r="DB410" s="19"/>
      <c r="DC410" s="19"/>
      <c r="DD410" s="19"/>
      <c r="DE410" s="19"/>
      <c r="DF410" s="19"/>
      <c r="DG410" s="19"/>
      <c r="DH410" s="19"/>
      <c r="DI410" s="19"/>
      <c r="DJ410" s="19"/>
      <c r="DK410" s="19"/>
      <c r="DL410" s="19"/>
      <c r="DM410" s="19"/>
      <c r="DN410" s="19"/>
      <c r="DO410" s="19"/>
      <c r="DP410" s="19"/>
      <c r="DQ410" s="19"/>
      <c r="DR410" s="19"/>
      <c r="DS410" s="19"/>
      <c r="DT410" s="19"/>
      <c r="DU410" s="19"/>
      <c r="DV410" s="19"/>
      <c r="DW410" s="19"/>
      <c r="DX410" s="19"/>
      <c r="DY410" s="19"/>
      <c r="DZ410" s="19"/>
      <c r="EA410" s="19"/>
      <c r="EB410" s="19"/>
      <c r="EC410" s="19"/>
      <c r="ED410" s="19"/>
      <c r="EE410" s="19"/>
      <c r="EF410" s="19"/>
      <c r="EG410" s="19"/>
      <c r="EH410" s="19"/>
      <c r="EI410" s="19"/>
      <c r="EJ410" s="19"/>
      <c r="EK410" s="19"/>
      <c r="EL410" s="19"/>
      <c r="EM410" s="19"/>
      <c r="EN410" s="19"/>
      <c r="EO410" s="19"/>
      <c r="EP410" s="17"/>
      <c r="EQ410" s="23"/>
      <c r="ER410" s="23" t="str">
        <f t="shared" si="1"/>
        <v/>
      </c>
      <c r="ES410" s="19"/>
      <c r="ET410" s="19" t="str">
        <f t="shared" si="2"/>
        <v/>
      </c>
      <c r="EU410" s="19"/>
      <c r="EV410" s="19"/>
      <c r="EW410" s="19"/>
      <c r="EX410" s="19"/>
      <c r="EY410" s="19"/>
      <c r="EZ410" s="19"/>
      <c r="FA410" s="19"/>
      <c r="FB410" s="19"/>
    </row>
    <row r="411" ht="15.75" customHeight="1">
      <c r="A411" s="19"/>
      <c r="F411" s="19"/>
      <c r="AH411" s="23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  <c r="BD411" s="19"/>
      <c r="BE411" s="19"/>
      <c r="BF411" s="19"/>
      <c r="BG411" s="19"/>
      <c r="BH411" s="19"/>
      <c r="BI411" s="19"/>
      <c r="BJ411" s="19"/>
      <c r="BK411" s="19"/>
      <c r="BL411" s="19"/>
      <c r="BM411" s="19"/>
      <c r="BN411" s="19"/>
      <c r="BO411" s="19"/>
      <c r="BP411" s="19"/>
      <c r="BQ411" s="19"/>
      <c r="BR411" s="19"/>
      <c r="BS411" s="19"/>
      <c r="BT411" s="19"/>
      <c r="BU411" s="19"/>
      <c r="BV411" s="19"/>
      <c r="BW411" s="19"/>
      <c r="BX411" s="19"/>
      <c r="BY411" s="19"/>
      <c r="BZ411" s="19"/>
      <c r="CA411" s="19"/>
      <c r="CB411" s="19"/>
      <c r="CC411" s="19"/>
      <c r="CD411" s="19"/>
      <c r="CE411" s="19"/>
      <c r="CF411" s="19"/>
      <c r="CG411" s="19"/>
      <c r="CH411" s="19"/>
      <c r="CI411" s="19"/>
      <c r="CJ411" s="19"/>
      <c r="CK411" s="19"/>
      <c r="CL411" s="19"/>
      <c r="CM411" s="19"/>
      <c r="CN411" s="19"/>
      <c r="CO411" s="19"/>
      <c r="CP411" s="19"/>
      <c r="CQ411" s="19"/>
      <c r="CR411" s="19"/>
      <c r="CS411" s="19"/>
      <c r="CT411" s="19"/>
      <c r="CU411" s="19"/>
      <c r="CV411" s="19"/>
      <c r="CW411" s="19"/>
      <c r="CX411" s="19"/>
      <c r="CY411" s="19"/>
      <c r="CZ411" s="19"/>
      <c r="DA411" s="19"/>
      <c r="DB411" s="19"/>
      <c r="DC411" s="19"/>
      <c r="DD411" s="19"/>
      <c r="DE411" s="19"/>
      <c r="DF411" s="19"/>
      <c r="DG411" s="19"/>
      <c r="DH411" s="19"/>
      <c r="DI411" s="19"/>
      <c r="DJ411" s="19"/>
      <c r="DK411" s="19"/>
      <c r="DL411" s="19"/>
      <c r="DM411" s="19"/>
      <c r="DN411" s="19"/>
      <c r="DO411" s="19"/>
      <c r="DP411" s="19"/>
      <c r="DQ411" s="19"/>
      <c r="DR411" s="19"/>
      <c r="DS411" s="19"/>
      <c r="DT411" s="19"/>
      <c r="DU411" s="19"/>
      <c r="DV411" s="19"/>
      <c r="DW411" s="19"/>
      <c r="DX411" s="19"/>
      <c r="DY411" s="19"/>
      <c r="DZ411" s="19"/>
      <c r="EA411" s="19"/>
      <c r="EB411" s="19"/>
      <c r="EC411" s="19"/>
      <c r="ED411" s="19"/>
      <c r="EE411" s="19"/>
      <c r="EF411" s="19"/>
      <c r="EG411" s="19"/>
      <c r="EH411" s="19"/>
      <c r="EI411" s="19"/>
      <c r="EJ411" s="19"/>
      <c r="EK411" s="19"/>
      <c r="EL411" s="19"/>
      <c r="EM411" s="19"/>
      <c r="EN411" s="19"/>
      <c r="EO411" s="19"/>
      <c r="EP411" s="17"/>
      <c r="EQ411" s="23"/>
      <c r="ER411" s="23" t="str">
        <f t="shared" si="1"/>
        <v/>
      </c>
      <c r="ES411" s="19"/>
      <c r="ET411" s="19" t="str">
        <f t="shared" si="2"/>
        <v/>
      </c>
      <c r="EU411" s="19"/>
      <c r="EV411" s="19"/>
      <c r="EW411" s="19"/>
      <c r="EX411" s="19"/>
      <c r="EY411" s="19"/>
      <c r="EZ411" s="19"/>
      <c r="FA411" s="19"/>
      <c r="FB411" s="19"/>
    </row>
    <row r="412" ht="15.75" customHeight="1">
      <c r="A412" s="19"/>
      <c r="F412" s="19"/>
      <c r="AH412" s="23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  <c r="BD412" s="19"/>
      <c r="BE412" s="19"/>
      <c r="BF412" s="19"/>
      <c r="BG412" s="19"/>
      <c r="BH412" s="19"/>
      <c r="BI412" s="19"/>
      <c r="BJ412" s="19"/>
      <c r="BK412" s="19"/>
      <c r="BL412" s="19"/>
      <c r="BM412" s="19"/>
      <c r="BN412" s="19"/>
      <c r="BO412" s="19"/>
      <c r="BP412" s="19"/>
      <c r="BQ412" s="19"/>
      <c r="BR412" s="19"/>
      <c r="BS412" s="19"/>
      <c r="BT412" s="19"/>
      <c r="BU412" s="19"/>
      <c r="BV412" s="19"/>
      <c r="BW412" s="19"/>
      <c r="BX412" s="19"/>
      <c r="BY412" s="19"/>
      <c r="BZ412" s="19"/>
      <c r="CA412" s="19"/>
      <c r="CB412" s="19"/>
      <c r="CC412" s="19"/>
      <c r="CD412" s="19"/>
      <c r="CE412" s="19"/>
      <c r="CF412" s="19"/>
      <c r="CG412" s="19"/>
      <c r="CH412" s="19"/>
      <c r="CI412" s="19"/>
      <c r="CJ412" s="19"/>
      <c r="CK412" s="19"/>
      <c r="CL412" s="19"/>
      <c r="CM412" s="19"/>
      <c r="CN412" s="19"/>
      <c r="CO412" s="19"/>
      <c r="CP412" s="19"/>
      <c r="CQ412" s="19"/>
      <c r="CR412" s="19"/>
      <c r="CS412" s="19"/>
      <c r="CT412" s="19"/>
      <c r="CU412" s="19"/>
      <c r="CV412" s="19"/>
      <c r="CW412" s="19"/>
      <c r="CX412" s="19"/>
      <c r="CY412" s="19"/>
      <c r="CZ412" s="19"/>
      <c r="DA412" s="19"/>
      <c r="DB412" s="19"/>
      <c r="DC412" s="19"/>
      <c r="DD412" s="19"/>
      <c r="DE412" s="19"/>
      <c r="DF412" s="19"/>
      <c r="DG412" s="19"/>
      <c r="DH412" s="19"/>
      <c r="DI412" s="19"/>
      <c r="DJ412" s="19"/>
      <c r="DK412" s="19"/>
      <c r="DL412" s="19"/>
      <c r="DM412" s="19"/>
      <c r="DN412" s="19"/>
      <c r="DO412" s="19"/>
      <c r="DP412" s="19"/>
      <c r="DQ412" s="19"/>
      <c r="DR412" s="19"/>
      <c r="DS412" s="19"/>
      <c r="DT412" s="19"/>
      <c r="DU412" s="19"/>
      <c r="DV412" s="19"/>
      <c r="DW412" s="19"/>
      <c r="DX412" s="19"/>
      <c r="DY412" s="19"/>
      <c r="DZ412" s="19"/>
      <c r="EA412" s="19"/>
      <c r="EB412" s="19"/>
      <c r="EC412" s="19"/>
      <c r="ED412" s="19"/>
      <c r="EE412" s="19"/>
      <c r="EF412" s="19"/>
      <c r="EG412" s="19"/>
      <c r="EH412" s="19"/>
      <c r="EI412" s="19"/>
      <c r="EJ412" s="19"/>
      <c r="EK412" s="19"/>
      <c r="EL412" s="19"/>
      <c r="EM412" s="19"/>
      <c r="EN412" s="19"/>
      <c r="EO412" s="19"/>
      <c r="EP412" s="17"/>
      <c r="EQ412" s="23"/>
      <c r="ER412" s="23" t="str">
        <f t="shared" si="1"/>
        <v/>
      </c>
      <c r="ES412" s="19"/>
      <c r="ET412" s="19" t="str">
        <f t="shared" si="2"/>
        <v/>
      </c>
      <c r="EU412" s="19"/>
      <c r="EV412" s="19"/>
      <c r="EW412" s="19"/>
      <c r="EX412" s="19"/>
      <c r="EY412" s="19"/>
      <c r="EZ412" s="19"/>
      <c r="FA412" s="19"/>
      <c r="FB412" s="19"/>
    </row>
    <row r="413" ht="15.75" customHeight="1">
      <c r="A413" s="19"/>
      <c r="F413" s="19"/>
      <c r="AH413" s="23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  <c r="BD413" s="19"/>
      <c r="BE413" s="19"/>
      <c r="BF413" s="19"/>
      <c r="BG413" s="19"/>
      <c r="BH413" s="19"/>
      <c r="BI413" s="19"/>
      <c r="BJ413" s="19"/>
      <c r="BK413" s="19"/>
      <c r="BL413" s="19"/>
      <c r="BM413" s="19"/>
      <c r="BN413" s="19"/>
      <c r="BO413" s="19"/>
      <c r="BP413" s="19"/>
      <c r="BQ413" s="19"/>
      <c r="BR413" s="19"/>
      <c r="BS413" s="19"/>
      <c r="BT413" s="19"/>
      <c r="BU413" s="19"/>
      <c r="BV413" s="19"/>
      <c r="BW413" s="19"/>
      <c r="BX413" s="19"/>
      <c r="BY413" s="19"/>
      <c r="BZ413" s="19"/>
      <c r="CA413" s="19"/>
      <c r="CB413" s="19"/>
      <c r="CC413" s="19"/>
      <c r="CD413" s="19"/>
      <c r="CE413" s="19"/>
      <c r="CF413" s="19"/>
      <c r="CG413" s="19"/>
      <c r="CH413" s="19"/>
      <c r="CI413" s="19"/>
      <c r="CJ413" s="19"/>
      <c r="CK413" s="19"/>
      <c r="CL413" s="19"/>
      <c r="CM413" s="19"/>
      <c r="CN413" s="19"/>
      <c r="CO413" s="19"/>
      <c r="CP413" s="19"/>
      <c r="CQ413" s="19"/>
      <c r="CR413" s="19"/>
      <c r="CS413" s="19"/>
      <c r="CT413" s="19"/>
      <c r="CU413" s="19"/>
      <c r="CV413" s="19"/>
      <c r="CW413" s="19"/>
      <c r="CX413" s="19"/>
      <c r="CY413" s="19"/>
      <c r="CZ413" s="19"/>
      <c r="DA413" s="19"/>
      <c r="DB413" s="19"/>
      <c r="DC413" s="19"/>
      <c r="DD413" s="19"/>
      <c r="DE413" s="19"/>
      <c r="DF413" s="19"/>
      <c r="DG413" s="19"/>
      <c r="DH413" s="19"/>
      <c r="DI413" s="19"/>
      <c r="DJ413" s="19"/>
      <c r="DK413" s="19"/>
      <c r="DL413" s="19"/>
      <c r="DM413" s="19"/>
      <c r="DN413" s="19"/>
      <c r="DO413" s="19"/>
      <c r="DP413" s="19"/>
      <c r="DQ413" s="19"/>
      <c r="DR413" s="19"/>
      <c r="DS413" s="19"/>
      <c r="DT413" s="19"/>
      <c r="DU413" s="19"/>
      <c r="DV413" s="19"/>
      <c r="DW413" s="19"/>
      <c r="DX413" s="19"/>
      <c r="DY413" s="19"/>
      <c r="DZ413" s="19"/>
      <c r="EA413" s="19"/>
      <c r="EB413" s="19"/>
      <c r="EC413" s="19"/>
      <c r="ED413" s="19"/>
      <c r="EE413" s="19"/>
      <c r="EF413" s="19"/>
      <c r="EG413" s="19"/>
      <c r="EH413" s="19"/>
      <c r="EI413" s="19"/>
      <c r="EJ413" s="19"/>
      <c r="EK413" s="19"/>
      <c r="EL413" s="19"/>
      <c r="EM413" s="19"/>
      <c r="EN413" s="19"/>
      <c r="EO413" s="19"/>
      <c r="EP413" s="17"/>
      <c r="EQ413" s="23"/>
      <c r="ER413" s="23" t="str">
        <f t="shared" si="1"/>
        <v/>
      </c>
      <c r="ES413" s="19"/>
      <c r="ET413" s="19" t="str">
        <f t="shared" si="2"/>
        <v/>
      </c>
      <c r="EU413" s="19"/>
      <c r="EV413" s="19"/>
      <c r="EW413" s="19"/>
      <c r="EX413" s="19"/>
      <c r="EY413" s="19"/>
      <c r="EZ413" s="19"/>
      <c r="FA413" s="19"/>
      <c r="FB413" s="19"/>
    </row>
    <row r="414" ht="15.75" customHeight="1">
      <c r="A414" s="19"/>
      <c r="F414" s="19"/>
      <c r="AH414" s="23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  <c r="BD414" s="19"/>
      <c r="BE414" s="19"/>
      <c r="BF414" s="19"/>
      <c r="BG414" s="19"/>
      <c r="BH414" s="19"/>
      <c r="BI414" s="19"/>
      <c r="BJ414" s="19"/>
      <c r="BK414" s="19"/>
      <c r="BL414" s="19"/>
      <c r="BM414" s="19"/>
      <c r="BN414" s="19"/>
      <c r="BO414" s="19"/>
      <c r="BP414" s="19"/>
      <c r="BQ414" s="19"/>
      <c r="BR414" s="19"/>
      <c r="BS414" s="19"/>
      <c r="BT414" s="19"/>
      <c r="BU414" s="19"/>
      <c r="BV414" s="19"/>
      <c r="BW414" s="19"/>
      <c r="BX414" s="19"/>
      <c r="BY414" s="19"/>
      <c r="BZ414" s="19"/>
      <c r="CA414" s="19"/>
      <c r="CB414" s="19"/>
      <c r="CC414" s="19"/>
      <c r="CD414" s="19"/>
      <c r="CE414" s="19"/>
      <c r="CF414" s="19"/>
      <c r="CG414" s="19"/>
      <c r="CH414" s="19"/>
      <c r="CI414" s="19"/>
      <c r="CJ414" s="19"/>
      <c r="CK414" s="19"/>
      <c r="CL414" s="19"/>
      <c r="CM414" s="19"/>
      <c r="CN414" s="19"/>
      <c r="CO414" s="19"/>
      <c r="CP414" s="19"/>
      <c r="CQ414" s="19"/>
      <c r="CR414" s="19"/>
      <c r="CS414" s="19"/>
      <c r="CT414" s="19"/>
      <c r="CU414" s="19"/>
      <c r="CV414" s="19"/>
      <c r="CW414" s="19"/>
      <c r="CX414" s="19"/>
      <c r="CY414" s="19"/>
      <c r="CZ414" s="19"/>
      <c r="DA414" s="19"/>
      <c r="DB414" s="19"/>
      <c r="DC414" s="19"/>
      <c r="DD414" s="19"/>
      <c r="DE414" s="19"/>
      <c r="DF414" s="19"/>
      <c r="DG414" s="19"/>
      <c r="DH414" s="19"/>
      <c r="DI414" s="19"/>
      <c r="DJ414" s="19"/>
      <c r="DK414" s="19"/>
      <c r="DL414" s="19"/>
      <c r="DM414" s="19"/>
      <c r="DN414" s="19"/>
      <c r="DO414" s="19"/>
      <c r="DP414" s="19"/>
      <c r="DQ414" s="19"/>
      <c r="DR414" s="19"/>
      <c r="DS414" s="19"/>
      <c r="DT414" s="19"/>
      <c r="DU414" s="19"/>
      <c r="DV414" s="19"/>
      <c r="DW414" s="19"/>
      <c r="DX414" s="19"/>
      <c r="DY414" s="19"/>
      <c r="DZ414" s="19"/>
      <c r="EA414" s="19"/>
      <c r="EB414" s="19"/>
      <c r="EC414" s="19"/>
      <c r="ED414" s="19"/>
      <c r="EE414" s="19"/>
      <c r="EF414" s="19"/>
      <c r="EG414" s="19"/>
      <c r="EH414" s="19"/>
      <c r="EI414" s="19"/>
      <c r="EJ414" s="19"/>
      <c r="EK414" s="19"/>
      <c r="EL414" s="19"/>
      <c r="EM414" s="19"/>
      <c r="EN414" s="19"/>
      <c r="EO414" s="19"/>
      <c r="EP414" s="17"/>
      <c r="EQ414" s="23"/>
      <c r="ER414" s="23" t="str">
        <f t="shared" si="1"/>
        <v/>
      </c>
      <c r="ES414" s="19"/>
      <c r="ET414" s="19" t="str">
        <f t="shared" si="2"/>
        <v/>
      </c>
      <c r="EU414" s="19"/>
      <c r="EV414" s="19"/>
      <c r="EW414" s="19"/>
      <c r="EX414" s="19"/>
      <c r="EY414" s="19"/>
      <c r="EZ414" s="19"/>
      <c r="FA414" s="19"/>
      <c r="FB414" s="19"/>
    </row>
    <row r="415" ht="15.75" customHeight="1">
      <c r="A415" s="19"/>
      <c r="F415" s="19"/>
      <c r="AH415" s="23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  <c r="BD415" s="19"/>
      <c r="BE415" s="19"/>
      <c r="BF415" s="19"/>
      <c r="BG415" s="19"/>
      <c r="BH415" s="19"/>
      <c r="BI415" s="19"/>
      <c r="BJ415" s="19"/>
      <c r="BK415" s="19"/>
      <c r="BL415" s="19"/>
      <c r="BM415" s="19"/>
      <c r="BN415" s="19"/>
      <c r="BO415" s="19"/>
      <c r="BP415" s="19"/>
      <c r="BQ415" s="19"/>
      <c r="BR415" s="19"/>
      <c r="BS415" s="19"/>
      <c r="BT415" s="19"/>
      <c r="BU415" s="19"/>
      <c r="BV415" s="19"/>
      <c r="BW415" s="19"/>
      <c r="BX415" s="19"/>
      <c r="BY415" s="19"/>
      <c r="BZ415" s="19"/>
      <c r="CA415" s="19"/>
      <c r="CB415" s="19"/>
      <c r="CC415" s="19"/>
      <c r="CD415" s="19"/>
      <c r="CE415" s="19"/>
      <c r="CF415" s="19"/>
      <c r="CG415" s="19"/>
      <c r="CH415" s="19"/>
      <c r="CI415" s="19"/>
      <c r="CJ415" s="19"/>
      <c r="CK415" s="19"/>
      <c r="CL415" s="19"/>
      <c r="CM415" s="19"/>
      <c r="CN415" s="19"/>
      <c r="CO415" s="19"/>
      <c r="CP415" s="19"/>
      <c r="CQ415" s="19"/>
      <c r="CR415" s="19"/>
      <c r="CS415" s="19"/>
      <c r="CT415" s="19"/>
      <c r="CU415" s="19"/>
      <c r="CV415" s="19"/>
      <c r="CW415" s="19"/>
      <c r="CX415" s="19"/>
      <c r="CY415" s="19"/>
      <c r="CZ415" s="19"/>
      <c r="DA415" s="19"/>
      <c r="DB415" s="19"/>
      <c r="DC415" s="19"/>
      <c r="DD415" s="19"/>
      <c r="DE415" s="19"/>
      <c r="DF415" s="19"/>
      <c r="DG415" s="19"/>
      <c r="DH415" s="19"/>
      <c r="DI415" s="19"/>
      <c r="DJ415" s="19"/>
      <c r="DK415" s="19"/>
      <c r="DL415" s="19"/>
      <c r="DM415" s="19"/>
      <c r="DN415" s="19"/>
      <c r="DO415" s="19"/>
      <c r="DP415" s="19"/>
      <c r="DQ415" s="19"/>
      <c r="DR415" s="19"/>
      <c r="DS415" s="19"/>
      <c r="DT415" s="19"/>
      <c r="DU415" s="19"/>
      <c r="DV415" s="19"/>
      <c r="DW415" s="19"/>
      <c r="DX415" s="19"/>
      <c r="DY415" s="19"/>
      <c r="DZ415" s="19"/>
      <c r="EA415" s="19"/>
      <c r="EB415" s="19"/>
      <c r="EC415" s="19"/>
      <c r="ED415" s="19"/>
      <c r="EE415" s="19"/>
      <c r="EF415" s="19"/>
      <c r="EG415" s="19"/>
      <c r="EH415" s="19"/>
      <c r="EI415" s="19"/>
      <c r="EJ415" s="19"/>
      <c r="EK415" s="19"/>
      <c r="EL415" s="19"/>
      <c r="EM415" s="19"/>
      <c r="EN415" s="19"/>
      <c r="EO415" s="19"/>
      <c r="EP415" s="17"/>
      <c r="EQ415" s="23"/>
      <c r="ER415" s="23" t="str">
        <f t="shared" si="1"/>
        <v/>
      </c>
      <c r="ES415" s="19"/>
      <c r="ET415" s="19" t="str">
        <f t="shared" si="2"/>
        <v/>
      </c>
      <c r="EU415" s="19"/>
      <c r="EV415" s="19"/>
      <c r="EW415" s="19"/>
      <c r="EX415" s="19"/>
      <c r="EY415" s="19"/>
      <c r="EZ415" s="19"/>
      <c r="FA415" s="19"/>
      <c r="FB415" s="19"/>
    </row>
    <row r="416" ht="15.75" customHeight="1">
      <c r="A416" s="19"/>
      <c r="F416" s="19"/>
      <c r="AH416" s="23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  <c r="BD416" s="19"/>
      <c r="BE416" s="19"/>
      <c r="BF416" s="19"/>
      <c r="BG416" s="19"/>
      <c r="BH416" s="19"/>
      <c r="BI416" s="19"/>
      <c r="BJ416" s="19"/>
      <c r="BK416" s="19"/>
      <c r="BL416" s="19"/>
      <c r="BM416" s="19"/>
      <c r="BN416" s="19"/>
      <c r="BO416" s="19"/>
      <c r="BP416" s="19"/>
      <c r="BQ416" s="19"/>
      <c r="BR416" s="19"/>
      <c r="BS416" s="19"/>
      <c r="BT416" s="19"/>
      <c r="BU416" s="19"/>
      <c r="BV416" s="19"/>
      <c r="BW416" s="19"/>
      <c r="BX416" s="19"/>
      <c r="BY416" s="19"/>
      <c r="BZ416" s="19"/>
      <c r="CA416" s="19"/>
      <c r="CB416" s="19"/>
      <c r="CC416" s="19"/>
      <c r="CD416" s="19"/>
      <c r="CE416" s="19"/>
      <c r="CF416" s="19"/>
      <c r="CG416" s="19"/>
      <c r="CH416" s="19"/>
      <c r="CI416" s="19"/>
      <c r="CJ416" s="19"/>
      <c r="CK416" s="19"/>
      <c r="CL416" s="19"/>
      <c r="CM416" s="19"/>
      <c r="CN416" s="19"/>
      <c r="CO416" s="19"/>
      <c r="CP416" s="19"/>
      <c r="CQ416" s="19"/>
      <c r="CR416" s="19"/>
      <c r="CS416" s="19"/>
      <c r="CT416" s="19"/>
      <c r="CU416" s="19"/>
      <c r="CV416" s="19"/>
      <c r="CW416" s="19"/>
      <c r="CX416" s="19"/>
      <c r="CY416" s="19"/>
      <c r="CZ416" s="19"/>
      <c r="DA416" s="19"/>
      <c r="DB416" s="19"/>
      <c r="DC416" s="19"/>
      <c r="DD416" s="19"/>
      <c r="DE416" s="19"/>
      <c r="DF416" s="19"/>
      <c r="DG416" s="19"/>
      <c r="DH416" s="19"/>
      <c r="DI416" s="19"/>
      <c r="DJ416" s="19"/>
      <c r="DK416" s="19"/>
      <c r="DL416" s="19"/>
      <c r="DM416" s="19"/>
      <c r="DN416" s="19"/>
      <c r="DO416" s="19"/>
      <c r="DP416" s="19"/>
      <c r="DQ416" s="19"/>
      <c r="DR416" s="19"/>
      <c r="DS416" s="19"/>
      <c r="DT416" s="19"/>
      <c r="DU416" s="19"/>
      <c r="DV416" s="19"/>
      <c r="DW416" s="19"/>
      <c r="DX416" s="19"/>
      <c r="DY416" s="19"/>
      <c r="DZ416" s="19"/>
      <c r="EA416" s="19"/>
      <c r="EB416" s="19"/>
      <c r="EC416" s="19"/>
      <c r="ED416" s="19"/>
      <c r="EE416" s="19"/>
      <c r="EF416" s="19"/>
      <c r="EG416" s="19"/>
      <c r="EH416" s="19"/>
      <c r="EI416" s="19"/>
      <c r="EJ416" s="19"/>
      <c r="EK416" s="19"/>
      <c r="EL416" s="19"/>
      <c r="EM416" s="19"/>
      <c r="EN416" s="19"/>
      <c r="EO416" s="19"/>
      <c r="EP416" s="17"/>
      <c r="EQ416" s="23"/>
      <c r="ER416" s="23" t="str">
        <f t="shared" si="1"/>
        <v/>
      </c>
      <c r="ES416" s="19"/>
      <c r="ET416" s="19" t="str">
        <f t="shared" si="2"/>
        <v/>
      </c>
      <c r="EU416" s="19"/>
      <c r="EV416" s="19"/>
      <c r="EW416" s="19"/>
      <c r="EX416" s="19"/>
      <c r="EY416" s="19"/>
      <c r="EZ416" s="19"/>
      <c r="FA416" s="19"/>
      <c r="FB416" s="19"/>
    </row>
    <row r="417" ht="15.75" customHeight="1">
      <c r="A417" s="19"/>
      <c r="F417" s="19"/>
      <c r="AH417" s="23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  <c r="BD417" s="19"/>
      <c r="BE417" s="19"/>
      <c r="BF417" s="19"/>
      <c r="BG417" s="19"/>
      <c r="BH417" s="19"/>
      <c r="BI417" s="19"/>
      <c r="BJ417" s="19"/>
      <c r="BK417" s="19"/>
      <c r="BL417" s="19"/>
      <c r="BM417" s="19"/>
      <c r="BN417" s="19"/>
      <c r="BO417" s="19"/>
      <c r="BP417" s="19"/>
      <c r="BQ417" s="19"/>
      <c r="BR417" s="19"/>
      <c r="BS417" s="19"/>
      <c r="BT417" s="19"/>
      <c r="BU417" s="19"/>
      <c r="BV417" s="19"/>
      <c r="BW417" s="19"/>
      <c r="BX417" s="19"/>
      <c r="BY417" s="19"/>
      <c r="BZ417" s="19"/>
      <c r="CA417" s="19"/>
      <c r="CB417" s="19"/>
      <c r="CC417" s="19"/>
      <c r="CD417" s="19"/>
      <c r="CE417" s="19"/>
      <c r="CF417" s="19"/>
      <c r="CG417" s="19"/>
      <c r="CH417" s="19"/>
      <c r="CI417" s="19"/>
      <c r="CJ417" s="19"/>
      <c r="CK417" s="19"/>
      <c r="CL417" s="19"/>
      <c r="CM417" s="19"/>
      <c r="CN417" s="19"/>
      <c r="CO417" s="19"/>
      <c r="CP417" s="19"/>
      <c r="CQ417" s="19"/>
      <c r="CR417" s="19"/>
      <c r="CS417" s="19"/>
      <c r="CT417" s="19"/>
      <c r="CU417" s="19"/>
      <c r="CV417" s="19"/>
      <c r="CW417" s="19"/>
      <c r="CX417" s="19"/>
      <c r="CY417" s="19"/>
      <c r="CZ417" s="19"/>
      <c r="DA417" s="19"/>
      <c r="DB417" s="19"/>
      <c r="DC417" s="19"/>
      <c r="DD417" s="19"/>
      <c r="DE417" s="19"/>
      <c r="DF417" s="19"/>
      <c r="DG417" s="19"/>
      <c r="DH417" s="19"/>
      <c r="DI417" s="19"/>
      <c r="DJ417" s="19"/>
      <c r="DK417" s="19"/>
      <c r="DL417" s="19"/>
      <c r="DM417" s="19"/>
      <c r="DN417" s="19"/>
      <c r="DO417" s="19"/>
      <c r="DP417" s="19"/>
      <c r="DQ417" s="19"/>
      <c r="DR417" s="19"/>
      <c r="DS417" s="19"/>
      <c r="DT417" s="19"/>
      <c r="DU417" s="19"/>
      <c r="DV417" s="19"/>
      <c r="DW417" s="19"/>
      <c r="DX417" s="19"/>
      <c r="DY417" s="19"/>
      <c r="DZ417" s="19"/>
      <c r="EA417" s="19"/>
      <c r="EB417" s="19"/>
      <c r="EC417" s="19"/>
      <c r="ED417" s="19"/>
      <c r="EE417" s="19"/>
      <c r="EF417" s="19"/>
      <c r="EG417" s="19"/>
      <c r="EH417" s="19"/>
      <c r="EI417" s="19"/>
      <c r="EJ417" s="19"/>
      <c r="EK417" s="19"/>
      <c r="EL417" s="19"/>
      <c r="EM417" s="19"/>
      <c r="EN417" s="19"/>
      <c r="EO417" s="19"/>
      <c r="EP417" s="17"/>
      <c r="EQ417" s="23"/>
      <c r="ER417" s="23" t="str">
        <f t="shared" si="1"/>
        <v/>
      </c>
      <c r="ES417" s="19"/>
      <c r="ET417" s="19" t="str">
        <f t="shared" si="2"/>
        <v/>
      </c>
      <c r="EU417" s="19"/>
      <c r="EV417" s="19"/>
      <c r="EW417" s="19"/>
      <c r="EX417" s="19"/>
      <c r="EY417" s="19"/>
      <c r="EZ417" s="19"/>
      <c r="FA417" s="19"/>
      <c r="FB417" s="19"/>
    </row>
    <row r="418" ht="15.75" customHeight="1">
      <c r="A418" s="19"/>
      <c r="F418" s="19"/>
      <c r="AH418" s="23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  <c r="BD418" s="19"/>
      <c r="BE418" s="19"/>
      <c r="BF418" s="19"/>
      <c r="BG418" s="19"/>
      <c r="BH418" s="19"/>
      <c r="BI418" s="19"/>
      <c r="BJ418" s="19"/>
      <c r="BK418" s="19"/>
      <c r="BL418" s="19"/>
      <c r="BM418" s="19"/>
      <c r="BN418" s="19"/>
      <c r="BO418" s="19"/>
      <c r="BP418" s="19"/>
      <c r="BQ418" s="19"/>
      <c r="BR418" s="19"/>
      <c r="BS418" s="19"/>
      <c r="BT418" s="19"/>
      <c r="BU418" s="19"/>
      <c r="BV418" s="19"/>
      <c r="BW418" s="19"/>
      <c r="BX418" s="19"/>
      <c r="BY418" s="19"/>
      <c r="BZ418" s="19"/>
      <c r="CA418" s="19"/>
      <c r="CB418" s="19"/>
      <c r="CC418" s="19"/>
      <c r="CD418" s="19"/>
      <c r="CE418" s="19"/>
      <c r="CF418" s="19"/>
      <c r="CG418" s="19"/>
      <c r="CH418" s="19"/>
      <c r="CI418" s="19"/>
      <c r="CJ418" s="19"/>
      <c r="CK418" s="19"/>
      <c r="CL418" s="19"/>
      <c r="CM418" s="19"/>
      <c r="CN418" s="19"/>
      <c r="CO418" s="19"/>
      <c r="CP418" s="19"/>
      <c r="CQ418" s="19"/>
      <c r="CR418" s="19"/>
      <c r="CS418" s="19"/>
      <c r="CT418" s="19"/>
      <c r="CU418" s="19"/>
      <c r="CV418" s="19"/>
      <c r="CW418" s="19"/>
      <c r="CX418" s="19"/>
      <c r="CY418" s="19"/>
      <c r="CZ418" s="19"/>
      <c r="DA418" s="19"/>
      <c r="DB418" s="19"/>
      <c r="DC418" s="19"/>
      <c r="DD418" s="19"/>
      <c r="DE418" s="19"/>
      <c r="DF418" s="19"/>
      <c r="DG418" s="19"/>
      <c r="DH418" s="19"/>
      <c r="DI418" s="19"/>
      <c r="DJ418" s="19"/>
      <c r="DK418" s="19"/>
      <c r="DL418" s="19"/>
      <c r="DM418" s="19"/>
      <c r="DN418" s="19"/>
      <c r="DO418" s="19"/>
      <c r="DP418" s="19"/>
      <c r="DQ418" s="19"/>
      <c r="DR418" s="19"/>
      <c r="DS418" s="19"/>
      <c r="DT418" s="19"/>
      <c r="DU418" s="19"/>
      <c r="DV418" s="19"/>
      <c r="DW418" s="19"/>
      <c r="DX418" s="19"/>
      <c r="DY418" s="19"/>
      <c r="DZ418" s="19"/>
      <c r="EA418" s="19"/>
      <c r="EB418" s="19"/>
      <c r="EC418" s="19"/>
      <c r="ED418" s="19"/>
      <c r="EE418" s="19"/>
      <c r="EF418" s="19"/>
      <c r="EG418" s="19"/>
      <c r="EH418" s="19"/>
      <c r="EI418" s="19"/>
      <c r="EJ418" s="19"/>
      <c r="EK418" s="19"/>
      <c r="EL418" s="19"/>
      <c r="EM418" s="19"/>
      <c r="EN418" s="19"/>
      <c r="EO418" s="19"/>
      <c r="EP418" s="17"/>
      <c r="EQ418" s="23"/>
      <c r="ER418" s="23" t="str">
        <f t="shared" si="1"/>
        <v/>
      </c>
      <c r="ES418" s="19"/>
      <c r="ET418" s="19" t="str">
        <f t="shared" si="2"/>
        <v/>
      </c>
      <c r="EU418" s="19"/>
      <c r="EV418" s="19"/>
      <c r="EW418" s="19"/>
      <c r="EX418" s="19"/>
      <c r="EY418" s="19"/>
      <c r="EZ418" s="19"/>
      <c r="FA418" s="19"/>
      <c r="FB418" s="19"/>
    </row>
    <row r="419" ht="15.75" customHeight="1">
      <c r="A419" s="19"/>
      <c r="F419" s="19"/>
      <c r="AH419" s="23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  <c r="BD419" s="19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  <c r="BP419" s="19"/>
      <c r="BQ419" s="19"/>
      <c r="BR419" s="19"/>
      <c r="BS419" s="19"/>
      <c r="BT419" s="19"/>
      <c r="BU419" s="19"/>
      <c r="BV419" s="19"/>
      <c r="BW419" s="19"/>
      <c r="BX419" s="19"/>
      <c r="BY419" s="19"/>
      <c r="BZ419" s="19"/>
      <c r="CA419" s="19"/>
      <c r="CB419" s="19"/>
      <c r="CC419" s="19"/>
      <c r="CD419" s="19"/>
      <c r="CE419" s="19"/>
      <c r="CF419" s="19"/>
      <c r="CG419" s="19"/>
      <c r="CH419" s="19"/>
      <c r="CI419" s="19"/>
      <c r="CJ419" s="19"/>
      <c r="CK419" s="19"/>
      <c r="CL419" s="19"/>
      <c r="CM419" s="19"/>
      <c r="CN419" s="19"/>
      <c r="CO419" s="19"/>
      <c r="CP419" s="19"/>
      <c r="CQ419" s="19"/>
      <c r="CR419" s="19"/>
      <c r="CS419" s="19"/>
      <c r="CT419" s="19"/>
      <c r="CU419" s="19"/>
      <c r="CV419" s="19"/>
      <c r="CW419" s="19"/>
      <c r="CX419" s="19"/>
      <c r="CY419" s="19"/>
      <c r="CZ419" s="19"/>
      <c r="DA419" s="19"/>
      <c r="DB419" s="19"/>
      <c r="DC419" s="19"/>
      <c r="DD419" s="19"/>
      <c r="DE419" s="19"/>
      <c r="DF419" s="19"/>
      <c r="DG419" s="19"/>
      <c r="DH419" s="19"/>
      <c r="DI419" s="19"/>
      <c r="DJ419" s="19"/>
      <c r="DK419" s="19"/>
      <c r="DL419" s="19"/>
      <c r="DM419" s="19"/>
      <c r="DN419" s="19"/>
      <c r="DO419" s="19"/>
      <c r="DP419" s="19"/>
      <c r="DQ419" s="19"/>
      <c r="DR419" s="19"/>
      <c r="DS419" s="19"/>
      <c r="DT419" s="19"/>
      <c r="DU419" s="19"/>
      <c r="DV419" s="19"/>
      <c r="DW419" s="19"/>
      <c r="DX419" s="19"/>
      <c r="DY419" s="19"/>
      <c r="DZ419" s="19"/>
      <c r="EA419" s="19"/>
      <c r="EB419" s="19"/>
      <c r="EC419" s="19"/>
      <c r="ED419" s="19"/>
      <c r="EE419" s="19"/>
      <c r="EF419" s="19"/>
      <c r="EG419" s="19"/>
      <c r="EH419" s="19"/>
      <c r="EI419" s="19"/>
      <c r="EJ419" s="19"/>
      <c r="EK419" s="19"/>
      <c r="EL419" s="19"/>
      <c r="EM419" s="19"/>
      <c r="EN419" s="19"/>
      <c r="EO419" s="19"/>
      <c r="EP419" s="17"/>
      <c r="EQ419" s="23"/>
      <c r="ER419" s="23" t="str">
        <f t="shared" si="1"/>
        <v/>
      </c>
      <c r="ES419" s="19"/>
      <c r="ET419" s="19" t="str">
        <f t="shared" si="2"/>
        <v/>
      </c>
      <c r="EU419" s="19"/>
      <c r="EV419" s="19"/>
      <c r="EW419" s="19"/>
      <c r="EX419" s="19"/>
      <c r="EY419" s="19"/>
      <c r="EZ419" s="19"/>
      <c r="FA419" s="19"/>
      <c r="FB419" s="19"/>
    </row>
    <row r="420" ht="15.75" customHeight="1">
      <c r="A420" s="19"/>
      <c r="F420" s="19"/>
      <c r="AH420" s="23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  <c r="BD420" s="19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  <c r="BP420" s="19"/>
      <c r="BQ420" s="19"/>
      <c r="BR420" s="19"/>
      <c r="BS420" s="19"/>
      <c r="BT420" s="19"/>
      <c r="BU420" s="19"/>
      <c r="BV420" s="19"/>
      <c r="BW420" s="19"/>
      <c r="BX420" s="19"/>
      <c r="BY420" s="19"/>
      <c r="BZ420" s="19"/>
      <c r="CA420" s="19"/>
      <c r="CB420" s="19"/>
      <c r="CC420" s="19"/>
      <c r="CD420" s="19"/>
      <c r="CE420" s="19"/>
      <c r="CF420" s="19"/>
      <c r="CG420" s="19"/>
      <c r="CH420" s="19"/>
      <c r="CI420" s="19"/>
      <c r="CJ420" s="19"/>
      <c r="CK420" s="19"/>
      <c r="CL420" s="19"/>
      <c r="CM420" s="19"/>
      <c r="CN420" s="19"/>
      <c r="CO420" s="19"/>
      <c r="CP420" s="19"/>
      <c r="CQ420" s="19"/>
      <c r="CR420" s="19"/>
      <c r="CS420" s="19"/>
      <c r="CT420" s="19"/>
      <c r="CU420" s="19"/>
      <c r="CV420" s="19"/>
      <c r="CW420" s="19"/>
      <c r="CX420" s="19"/>
      <c r="CY420" s="19"/>
      <c r="CZ420" s="19"/>
      <c r="DA420" s="19"/>
      <c r="DB420" s="19"/>
      <c r="DC420" s="19"/>
      <c r="DD420" s="19"/>
      <c r="DE420" s="19"/>
      <c r="DF420" s="19"/>
      <c r="DG420" s="19"/>
      <c r="DH420" s="19"/>
      <c r="DI420" s="19"/>
      <c r="DJ420" s="19"/>
      <c r="DK420" s="19"/>
      <c r="DL420" s="19"/>
      <c r="DM420" s="19"/>
      <c r="DN420" s="19"/>
      <c r="DO420" s="19"/>
      <c r="DP420" s="19"/>
      <c r="DQ420" s="19"/>
      <c r="DR420" s="19"/>
      <c r="DS420" s="19"/>
      <c r="DT420" s="19"/>
      <c r="DU420" s="19"/>
      <c r="DV420" s="19"/>
      <c r="DW420" s="19"/>
      <c r="DX420" s="19"/>
      <c r="DY420" s="19"/>
      <c r="DZ420" s="19"/>
      <c r="EA420" s="19"/>
      <c r="EB420" s="19"/>
      <c r="EC420" s="19"/>
      <c r="ED420" s="19"/>
      <c r="EE420" s="19"/>
      <c r="EF420" s="19"/>
      <c r="EG420" s="19"/>
      <c r="EH420" s="19"/>
      <c r="EI420" s="19"/>
      <c r="EJ420" s="19"/>
      <c r="EK420" s="19"/>
      <c r="EL420" s="19"/>
      <c r="EM420" s="19"/>
      <c r="EN420" s="19"/>
      <c r="EO420" s="19"/>
      <c r="EP420" s="17"/>
      <c r="EQ420" s="23"/>
      <c r="ER420" s="23" t="str">
        <f t="shared" si="1"/>
        <v/>
      </c>
      <c r="ES420" s="19"/>
      <c r="ET420" s="19" t="str">
        <f t="shared" si="2"/>
        <v/>
      </c>
      <c r="EU420" s="19"/>
      <c r="EV420" s="19"/>
      <c r="EW420" s="19"/>
      <c r="EX420" s="19"/>
      <c r="EY420" s="19"/>
      <c r="EZ420" s="19"/>
      <c r="FA420" s="19"/>
      <c r="FB420" s="19"/>
    </row>
    <row r="421" ht="15.75" customHeight="1">
      <c r="A421" s="19"/>
      <c r="F421" s="19"/>
      <c r="AH421" s="23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  <c r="BD421" s="19"/>
      <c r="BE421" s="19"/>
      <c r="BF421" s="19"/>
      <c r="BG421" s="19"/>
      <c r="BH421" s="19"/>
      <c r="BI421" s="19"/>
      <c r="BJ421" s="19"/>
      <c r="BK421" s="19"/>
      <c r="BL421" s="19"/>
      <c r="BM421" s="19"/>
      <c r="BN421" s="19"/>
      <c r="BO421" s="19"/>
      <c r="BP421" s="19"/>
      <c r="BQ421" s="19"/>
      <c r="BR421" s="19"/>
      <c r="BS421" s="19"/>
      <c r="BT421" s="19"/>
      <c r="BU421" s="19"/>
      <c r="BV421" s="19"/>
      <c r="BW421" s="19"/>
      <c r="BX421" s="19"/>
      <c r="BY421" s="19"/>
      <c r="BZ421" s="19"/>
      <c r="CA421" s="19"/>
      <c r="CB421" s="19"/>
      <c r="CC421" s="19"/>
      <c r="CD421" s="19"/>
      <c r="CE421" s="19"/>
      <c r="CF421" s="19"/>
      <c r="CG421" s="19"/>
      <c r="CH421" s="19"/>
      <c r="CI421" s="19"/>
      <c r="CJ421" s="19"/>
      <c r="CK421" s="19"/>
      <c r="CL421" s="19"/>
      <c r="CM421" s="19"/>
      <c r="CN421" s="19"/>
      <c r="CO421" s="19"/>
      <c r="CP421" s="19"/>
      <c r="CQ421" s="19"/>
      <c r="CR421" s="19"/>
      <c r="CS421" s="19"/>
      <c r="CT421" s="19"/>
      <c r="CU421" s="19"/>
      <c r="CV421" s="19"/>
      <c r="CW421" s="19"/>
      <c r="CX421" s="19"/>
      <c r="CY421" s="19"/>
      <c r="CZ421" s="19"/>
      <c r="DA421" s="19"/>
      <c r="DB421" s="19"/>
      <c r="DC421" s="19"/>
      <c r="DD421" s="19"/>
      <c r="DE421" s="19"/>
      <c r="DF421" s="19"/>
      <c r="DG421" s="19"/>
      <c r="DH421" s="19"/>
      <c r="DI421" s="19"/>
      <c r="DJ421" s="19"/>
      <c r="DK421" s="19"/>
      <c r="DL421" s="19"/>
      <c r="DM421" s="19"/>
      <c r="DN421" s="19"/>
      <c r="DO421" s="19"/>
      <c r="DP421" s="19"/>
      <c r="DQ421" s="19"/>
      <c r="DR421" s="19"/>
      <c r="DS421" s="19"/>
      <c r="DT421" s="19"/>
      <c r="DU421" s="19"/>
      <c r="DV421" s="19"/>
      <c r="DW421" s="19"/>
      <c r="DX421" s="19"/>
      <c r="DY421" s="19"/>
      <c r="DZ421" s="19"/>
      <c r="EA421" s="19"/>
      <c r="EB421" s="19"/>
      <c r="EC421" s="19"/>
      <c r="ED421" s="19"/>
      <c r="EE421" s="19"/>
      <c r="EF421" s="19"/>
      <c r="EG421" s="19"/>
      <c r="EH421" s="19"/>
      <c r="EI421" s="19"/>
      <c r="EJ421" s="19"/>
      <c r="EK421" s="19"/>
      <c r="EL421" s="19"/>
      <c r="EM421" s="19"/>
      <c r="EN421" s="19"/>
      <c r="EO421" s="19"/>
      <c r="EP421" s="17"/>
      <c r="EQ421" s="23"/>
      <c r="ER421" s="23" t="str">
        <f t="shared" si="1"/>
        <v/>
      </c>
      <c r="ES421" s="19"/>
      <c r="ET421" s="19" t="str">
        <f t="shared" si="2"/>
        <v/>
      </c>
      <c r="EU421" s="19"/>
      <c r="EV421" s="19"/>
      <c r="EW421" s="19"/>
      <c r="EX421" s="19"/>
      <c r="EY421" s="19"/>
      <c r="EZ421" s="19"/>
      <c r="FA421" s="19"/>
      <c r="FB421" s="19"/>
    </row>
    <row r="422" ht="15.75" customHeight="1">
      <c r="A422" s="19"/>
      <c r="F422" s="19"/>
      <c r="AH422" s="23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  <c r="BD422" s="19"/>
      <c r="BE422" s="19"/>
      <c r="BF422" s="19"/>
      <c r="BG422" s="19"/>
      <c r="BH422" s="19"/>
      <c r="BI422" s="19"/>
      <c r="BJ422" s="19"/>
      <c r="BK422" s="19"/>
      <c r="BL422" s="19"/>
      <c r="BM422" s="19"/>
      <c r="BN422" s="19"/>
      <c r="BO422" s="19"/>
      <c r="BP422" s="19"/>
      <c r="BQ422" s="19"/>
      <c r="BR422" s="19"/>
      <c r="BS422" s="19"/>
      <c r="BT422" s="19"/>
      <c r="BU422" s="19"/>
      <c r="BV422" s="19"/>
      <c r="BW422" s="19"/>
      <c r="BX422" s="19"/>
      <c r="BY422" s="19"/>
      <c r="BZ422" s="19"/>
      <c r="CA422" s="19"/>
      <c r="CB422" s="19"/>
      <c r="CC422" s="19"/>
      <c r="CD422" s="19"/>
      <c r="CE422" s="19"/>
      <c r="CF422" s="19"/>
      <c r="CG422" s="19"/>
      <c r="CH422" s="19"/>
      <c r="CI422" s="19"/>
      <c r="CJ422" s="19"/>
      <c r="CK422" s="19"/>
      <c r="CL422" s="19"/>
      <c r="CM422" s="19"/>
      <c r="CN422" s="19"/>
      <c r="CO422" s="19"/>
      <c r="CP422" s="19"/>
      <c r="CQ422" s="19"/>
      <c r="CR422" s="19"/>
      <c r="CS422" s="19"/>
      <c r="CT422" s="19"/>
      <c r="CU422" s="19"/>
      <c r="CV422" s="19"/>
      <c r="CW422" s="19"/>
      <c r="CX422" s="19"/>
      <c r="CY422" s="19"/>
      <c r="CZ422" s="19"/>
      <c r="DA422" s="19"/>
      <c r="DB422" s="19"/>
      <c r="DC422" s="19"/>
      <c r="DD422" s="19"/>
      <c r="DE422" s="19"/>
      <c r="DF422" s="19"/>
      <c r="DG422" s="19"/>
      <c r="DH422" s="19"/>
      <c r="DI422" s="19"/>
      <c r="DJ422" s="19"/>
      <c r="DK422" s="19"/>
      <c r="DL422" s="19"/>
      <c r="DM422" s="19"/>
      <c r="DN422" s="19"/>
      <c r="DO422" s="19"/>
      <c r="DP422" s="19"/>
      <c r="DQ422" s="19"/>
      <c r="DR422" s="19"/>
      <c r="DS422" s="19"/>
      <c r="DT422" s="19"/>
      <c r="DU422" s="19"/>
      <c r="DV422" s="19"/>
      <c r="DW422" s="19"/>
      <c r="DX422" s="19"/>
      <c r="DY422" s="19"/>
      <c r="DZ422" s="19"/>
      <c r="EA422" s="19"/>
      <c r="EB422" s="19"/>
      <c r="EC422" s="19"/>
      <c r="ED422" s="19"/>
      <c r="EE422" s="19"/>
      <c r="EF422" s="19"/>
      <c r="EG422" s="19"/>
      <c r="EH422" s="19"/>
      <c r="EI422" s="19"/>
      <c r="EJ422" s="19"/>
      <c r="EK422" s="19"/>
      <c r="EL422" s="19"/>
      <c r="EM422" s="19"/>
      <c r="EN422" s="19"/>
      <c r="EO422" s="19"/>
      <c r="EP422" s="17"/>
      <c r="EQ422" s="23"/>
      <c r="ER422" s="23" t="str">
        <f t="shared" si="1"/>
        <v/>
      </c>
      <c r="ES422" s="19"/>
      <c r="ET422" s="19" t="str">
        <f t="shared" si="2"/>
        <v/>
      </c>
      <c r="EU422" s="19"/>
      <c r="EV422" s="19"/>
      <c r="EW422" s="19"/>
      <c r="EX422" s="19"/>
      <c r="EY422" s="19"/>
      <c r="EZ422" s="19"/>
      <c r="FA422" s="19"/>
      <c r="FB422" s="19"/>
    </row>
    <row r="423" ht="15.75" customHeight="1">
      <c r="A423" s="19"/>
      <c r="F423" s="19"/>
      <c r="AH423" s="23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  <c r="BD423" s="19"/>
      <c r="BE423" s="19"/>
      <c r="BF423" s="19"/>
      <c r="BG423" s="19"/>
      <c r="BH423" s="19"/>
      <c r="BI423" s="19"/>
      <c r="BJ423" s="19"/>
      <c r="BK423" s="19"/>
      <c r="BL423" s="19"/>
      <c r="BM423" s="19"/>
      <c r="BN423" s="19"/>
      <c r="BO423" s="19"/>
      <c r="BP423" s="19"/>
      <c r="BQ423" s="19"/>
      <c r="BR423" s="19"/>
      <c r="BS423" s="19"/>
      <c r="BT423" s="19"/>
      <c r="BU423" s="19"/>
      <c r="BV423" s="19"/>
      <c r="BW423" s="19"/>
      <c r="BX423" s="19"/>
      <c r="BY423" s="19"/>
      <c r="BZ423" s="19"/>
      <c r="CA423" s="19"/>
      <c r="CB423" s="19"/>
      <c r="CC423" s="19"/>
      <c r="CD423" s="19"/>
      <c r="CE423" s="19"/>
      <c r="CF423" s="19"/>
      <c r="CG423" s="19"/>
      <c r="CH423" s="19"/>
      <c r="CI423" s="19"/>
      <c r="CJ423" s="19"/>
      <c r="CK423" s="19"/>
      <c r="CL423" s="19"/>
      <c r="CM423" s="19"/>
      <c r="CN423" s="19"/>
      <c r="CO423" s="19"/>
      <c r="CP423" s="19"/>
      <c r="CQ423" s="19"/>
      <c r="CR423" s="19"/>
      <c r="CS423" s="19"/>
      <c r="CT423" s="19"/>
      <c r="CU423" s="19"/>
      <c r="CV423" s="19"/>
      <c r="CW423" s="19"/>
      <c r="CX423" s="19"/>
      <c r="CY423" s="19"/>
      <c r="CZ423" s="19"/>
      <c r="DA423" s="19"/>
      <c r="DB423" s="19"/>
      <c r="DC423" s="19"/>
      <c r="DD423" s="19"/>
      <c r="DE423" s="19"/>
      <c r="DF423" s="19"/>
      <c r="DG423" s="19"/>
      <c r="DH423" s="19"/>
      <c r="DI423" s="19"/>
      <c r="DJ423" s="19"/>
      <c r="DK423" s="19"/>
      <c r="DL423" s="19"/>
      <c r="DM423" s="19"/>
      <c r="DN423" s="19"/>
      <c r="DO423" s="19"/>
      <c r="DP423" s="19"/>
      <c r="DQ423" s="19"/>
      <c r="DR423" s="19"/>
      <c r="DS423" s="19"/>
      <c r="DT423" s="19"/>
      <c r="DU423" s="19"/>
      <c r="DV423" s="19"/>
      <c r="DW423" s="19"/>
      <c r="DX423" s="19"/>
      <c r="DY423" s="19"/>
      <c r="DZ423" s="19"/>
      <c r="EA423" s="19"/>
      <c r="EB423" s="19"/>
      <c r="EC423" s="19"/>
      <c r="ED423" s="19"/>
      <c r="EE423" s="19"/>
      <c r="EF423" s="19"/>
      <c r="EG423" s="19"/>
      <c r="EH423" s="19"/>
      <c r="EI423" s="19"/>
      <c r="EJ423" s="19"/>
      <c r="EK423" s="19"/>
      <c r="EL423" s="19"/>
      <c r="EM423" s="19"/>
      <c r="EN423" s="19"/>
      <c r="EO423" s="19"/>
      <c r="EP423" s="17"/>
      <c r="EQ423" s="23"/>
      <c r="ER423" s="23" t="str">
        <f t="shared" si="1"/>
        <v/>
      </c>
      <c r="ES423" s="19"/>
      <c r="ET423" s="19" t="str">
        <f t="shared" si="2"/>
        <v/>
      </c>
      <c r="EU423" s="19"/>
      <c r="EV423" s="19"/>
      <c r="EW423" s="19"/>
      <c r="EX423" s="19"/>
      <c r="EY423" s="19"/>
      <c r="EZ423" s="19"/>
      <c r="FA423" s="19"/>
      <c r="FB423" s="19"/>
    </row>
    <row r="424" ht="15.75" customHeight="1">
      <c r="A424" s="19"/>
      <c r="F424" s="19"/>
      <c r="AH424" s="23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  <c r="BD424" s="19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  <c r="BP424" s="19"/>
      <c r="BQ424" s="19"/>
      <c r="BR424" s="19"/>
      <c r="BS424" s="19"/>
      <c r="BT424" s="19"/>
      <c r="BU424" s="19"/>
      <c r="BV424" s="19"/>
      <c r="BW424" s="19"/>
      <c r="BX424" s="19"/>
      <c r="BY424" s="19"/>
      <c r="BZ424" s="19"/>
      <c r="CA424" s="19"/>
      <c r="CB424" s="19"/>
      <c r="CC424" s="19"/>
      <c r="CD424" s="19"/>
      <c r="CE424" s="19"/>
      <c r="CF424" s="19"/>
      <c r="CG424" s="19"/>
      <c r="CH424" s="19"/>
      <c r="CI424" s="19"/>
      <c r="CJ424" s="19"/>
      <c r="CK424" s="19"/>
      <c r="CL424" s="19"/>
      <c r="CM424" s="19"/>
      <c r="CN424" s="19"/>
      <c r="CO424" s="19"/>
      <c r="CP424" s="19"/>
      <c r="CQ424" s="19"/>
      <c r="CR424" s="19"/>
      <c r="CS424" s="19"/>
      <c r="CT424" s="19"/>
      <c r="CU424" s="19"/>
      <c r="CV424" s="19"/>
      <c r="CW424" s="19"/>
      <c r="CX424" s="19"/>
      <c r="CY424" s="19"/>
      <c r="CZ424" s="19"/>
      <c r="DA424" s="19"/>
      <c r="DB424" s="19"/>
      <c r="DC424" s="19"/>
      <c r="DD424" s="19"/>
      <c r="DE424" s="19"/>
      <c r="DF424" s="19"/>
      <c r="DG424" s="19"/>
      <c r="DH424" s="19"/>
      <c r="DI424" s="19"/>
      <c r="DJ424" s="19"/>
      <c r="DK424" s="19"/>
      <c r="DL424" s="19"/>
      <c r="DM424" s="19"/>
      <c r="DN424" s="19"/>
      <c r="DO424" s="19"/>
      <c r="DP424" s="19"/>
      <c r="DQ424" s="19"/>
      <c r="DR424" s="19"/>
      <c r="DS424" s="19"/>
      <c r="DT424" s="19"/>
      <c r="DU424" s="19"/>
      <c r="DV424" s="19"/>
      <c r="DW424" s="19"/>
      <c r="DX424" s="19"/>
      <c r="DY424" s="19"/>
      <c r="DZ424" s="19"/>
      <c r="EA424" s="19"/>
      <c r="EB424" s="19"/>
      <c r="EC424" s="19"/>
      <c r="ED424" s="19"/>
      <c r="EE424" s="19"/>
      <c r="EF424" s="19"/>
      <c r="EG424" s="19"/>
      <c r="EH424" s="19"/>
      <c r="EI424" s="19"/>
      <c r="EJ424" s="19"/>
      <c r="EK424" s="19"/>
      <c r="EL424" s="19"/>
      <c r="EM424" s="19"/>
      <c r="EN424" s="19"/>
      <c r="EO424" s="19"/>
      <c r="EP424" s="17"/>
      <c r="EQ424" s="23"/>
      <c r="ER424" s="23" t="str">
        <f t="shared" si="1"/>
        <v/>
      </c>
      <c r="ES424" s="19"/>
      <c r="ET424" s="19" t="str">
        <f t="shared" si="2"/>
        <v/>
      </c>
      <c r="EU424" s="19"/>
      <c r="EV424" s="19"/>
      <c r="EW424" s="19"/>
      <c r="EX424" s="19"/>
      <c r="EY424" s="19"/>
      <c r="EZ424" s="19"/>
      <c r="FA424" s="19"/>
      <c r="FB424" s="19"/>
    </row>
    <row r="425" ht="15.75" customHeight="1">
      <c r="A425" s="19"/>
      <c r="F425" s="19"/>
      <c r="AH425" s="23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  <c r="BD425" s="19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  <c r="BP425" s="19"/>
      <c r="BQ425" s="19"/>
      <c r="BR425" s="19"/>
      <c r="BS425" s="19"/>
      <c r="BT425" s="19"/>
      <c r="BU425" s="19"/>
      <c r="BV425" s="19"/>
      <c r="BW425" s="19"/>
      <c r="BX425" s="19"/>
      <c r="BY425" s="19"/>
      <c r="BZ425" s="19"/>
      <c r="CA425" s="19"/>
      <c r="CB425" s="19"/>
      <c r="CC425" s="19"/>
      <c r="CD425" s="19"/>
      <c r="CE425" s="19"/>
      <c r="CF425" s="19"/>
      <c r="CG425" s="19"/>
      <c r="CH425" s="19"/>
      <c r="CI425" s="19"/>
      <c r="CJ425" s="19"/>
      <c r="CK425" s="19"/>
      <c r="CL425" s="19"/>
      <c r="CM425" s="19"/>
      <c r="CN425" s="19"/>
      <c r="CO425" s="19"/>
      <c r="CP425" s="19"/>
      <c r="CQ425" s="19"/>
      <c r="CR425" s="19"/>
      <c r="CS425" s="19"/>
      <c r="CT425" s="19"/>
      <c r="CU425" s="19"/>
      <c r="CV425" s="19"/>
      <c r="CW425" s="19"/>
      <c r="CX425" s="19"/>
      <c r="CY425" s="19"/>
      <c r="CZ425" s="19"/>
      <c r="DA425" s="19"/>
      <c r="DB425" s="19"/>
      <c r="DC425" s="19"/>
      <c r="DD425" s="19"/>
      <c r="DE425" s="19"/>
      <c r="DF425" s="19"/>
      <c r="DG425" s="19"/>
      <c r="DH425" s="19"/>
      <c r="DI425" s="19"/>
      <c r="DJ425" s="19"/>
      <c r="DK425" s="19"/>
      <c r="DL425" s="19"/>
      <c r="DM425" s="19"/>
      <c r="DN425" s="19"/>
      <c r="DO425" s="19"/>
      <c r="DP425" s="19"/>
      <c r="DQ425" s="19"/>
      <c r="DR425" s="19"/>
      <c r="DS425" s="19"/>
      <c r="DT425" s="19"/>
      <c r="DU425" s="19"/>
      <c r="DV425" s="19"/>
      <c r="DW425" s="19"/>
      <c r="DX425" s="19"/>
      <c r="DY425" s="19"/>
      <c r="DZ425" s="19"/>
      <c r="EA425" s="19"/>
      <c r="EB425" s="19"/>
      <c r="EC425" s="19"/>
      <c r="ED425" s="19"/>
      <c r="EE425" s="19"/>
      <c r="EF425" s="19"/>
      <c r="EG425" s="19"/>
      <c r="EH425" s="19"/>
      <c r="EI425" s="19"/>
      <c r="EJ425" s="19"/>
      <c r="EK425" s="19"/>
      <c r="EL425" s="19"/>
      <c r="EM425" s="19"/>
      <c r="EN425" s="19"/>
      <c r="EO425" s="19"/>
      <c r="EP425" s="17"/>
      <c r="EQ425" s="23"/>
      <c r="ER425" s="23" t="str">
        <f t="shared" si="1"/>
        <v/>
      </c>
      <c r="ES425" s="19"/>
      <c r="ET425" s="19" t="str">
        <f t="shared" si="2"/>
        <v/>
      </c>
      <c r="EU425" s="19"/>
      <c r="EV425" s="19"/>
      <c r="EW425" s="19"/>
      <c r="EX425" s="19"/>
      <c r="EY425" s="19"/>
      <c r="EZ425" s="19"/>
      <c r="FA425" s="19"/>
      <c r="FB425" s="19"/>
    </row>
    <row r="426" ht="15.75" customHeight="1">
      <c r="A426" s="19"/>
      <c r="F426" s="19"/>
      <c r="AH426" s="23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  <c r="BD426" s="19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  <c r="BP426" s="19"/>
      <c r="BQ426" s="19"/>
      <c r="BR426" s="19"/>
      <c r="BS426" s="19"/>
      <c r="BT426" s="19"/>
      <c r="BU426" s="19"/>
      <c r="BV426" s="19"/>
      <c r="BW426" s="19"/>
      <c r="BX426" s="19"/>
      <c r="BY426" s="19"/>
      <c r="BZ426" s="19"/>
      <c r="CA426" s="19"/>
      <c r="CB426" s="19"/>
      <c r="CC426" s="19"/>
      <c r="CD426" s="19"/>
      <c r="CE426" s="19"/>
      <c r="CF426" s="19"/>
      <c r="CG426" s="19"/>
      <c r="CH426" s="19"/>
      <c r="CI426" s="19"/>
      <c r="CJ426" s="19"/>
      <c r="CK426" s="19"/>
      <c r="CL426" s="19"/>
      <c r="CM426" s="19"/>
      <c r="CN426" s="19"/>
      <c r="CO426" s="19"/>
      <c r="CP426" s="19"/>
      <c r="CQ426" s="19"/>
      <c r="CR426" s="19"/>
      <c r="CS426" s="19"/>
      <c r="CT426" s="19"/>
      <c r="CU426" s="19"/>
      <c r="CV426" s="19"/>
      <c r="CW426" s="19"/>
      <c r="CX426" s="19"/>
      <c r="CY426" s="19"/>
      <c r="CZ426" s="19"/>
      <c r="DA426" s="19"/>
      <c r="DB426" s="19"/>
      <c r="DC426" s="19"/>
      <c r="DD426" s="19"/>
      <c r="DE426" s="19"/>
      <c r="DF426" s="19"/>
      <c r="DG426" s="19"/>
      <c r="DH426" s="19"/>
      <c r="DI426" s="19"/>
      <c r="DJ426" s="19"/>
      <c r="DK426" s="19"/>
      <c r="DL426" s="19"/>
      <c r="DM426" s="19"/>
      <c r="DN426" s="19"/>
      <c r="DO426" s="19"/>
      <c r="DP426" s="19"/>
      <c r="DQ426" s="19"/>
      <c r="DR426" s="19"/>
      <c r="DS426" s="19"/>
      <c r="DT426" s="19"/>
      <c r="DU426" s="19"/>
      <c r="DV426" s="19"/>
      <c r="DW426" s="19"/>
      <c r="DX426" s="19"/>
      <c r="DY426" s="19"/>
      <c r="DZ426" s="19"/>
      <c r="EA426" s="19"/>
      <c r="EB426" s="19"/>
      <c r="EC426" s="19"/>
      <c r="ED426" s="19"/>
      <c r="EE426" s="19"/>
      <c r="EF426" s="19"/>
      <c r="EG426" s="19"/>
      <c r="EH426" s="19"/>
      <c r="EI426" s="19"/>
      <c r="EJ426" s="19"/>
      <c r="EK426" s="19"/>
      <c r="EL426" s="19"/>
      <c r="EM426" s="19"/>
      <c r="EN426" s="19"/>
      <c r="EO426" s="19"/>
      <c r="EP426" s="17"/>
      <c r="EQ426" s="23"/>
      <c r="ER426" s="23" t="str">
        <f t="shared" si="1"/>
        <v/>
      </c>
      <c r="ES426" s="19"/>
      <c r="ET426" s="19" t="str">
        <f t="shared" si="2"/>
        <v/>
      </c>
      <c r="EU426" s="19"/>
      <c r="EV426" s="19"/>
      <c r="EW426" s="19"/>
      <c r="EX426" s="19"/>
      <c r="EY426" s="19"/>
      <c r="EZ426" s="19"/>
      <c r="FA426" s="19"/>
      <c r="FB426" s="19"/>
    </row>
    <row r="427" ht="15.75" customHeight="1">
      <c r="A427" s="19"/>
      <c r="F427" s="19"/>
      <c r="AH427" s="23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  <c r="BD427" s="19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  <c r="BP427" s="19"/>
      <c r="BQ427" s="19"/>
      <c r="BR427" s="19"/>
      <c r="BS427" s="19"/>
      <c r="BT427" s="19"/>
      <c r="BU427" s="19"/>
      <c r="BV427" s="19"/>
      <c r="BW427" s="19"/>
      <c r="BX427" s="19"/>
      <c r="BY427" s="19"/>
      <c r="BZ427" s="19"/>
      <c r="CA427" s="19"/>
      <c r="CB427" s="19"/>
      <c r="CC427" s="19"/>
      <c r="CD427" s="19"/>
      <c r="CE427" s="19"/>
      <c r="CF427" s="19"/>
      <c r="CG427" s="19"/>
      <c r="CH427" s="19"/>
      <c r="CI427" s="19"/>
      <c r="CJ427" s="19"/>
      <c r="CK427" s="19"/>
      <c r="CL427" s="19"/>
      <c r="CM427" s="19"/>
      <c r="CN427" s="19"/>
      <c r="CO427" s="19"/>
      <c r="CP427" s="19"/>
      <c r="CQ427" s="19"/>
      <c r="CR427" s="19"/>
      <c r="CS427" s="19"/>
      <c r="CT427" s="19"/>
      <c r="CU427" s="19"/>
      <c r="CV427" s="19"/>
      <c r="CW427" s="19"/>
      <c r="CX427" s="19"/>
      <c r="CY427" s="19"/>
      <c r="CZ427" s="19"/>
      <c r="DA427" s="19"/>
      <c r="DB427" s="19"/>
      <c r="DC427" s="19"/>
      <c r="DD427" s="19"/>
      <c r="DE427" s="19"/>
      <c r="DF427" s="19"/>
      <c r="DG427" s="19"/>
      <c r="DH427" s="19"/>
      <c r="DI427" s="19"/>
      <c r="DJ427" s="19"/>
      <c r="DK427" s="19"/>
      <c r="DL427" s="19"/>
      <c r="DM427" s="19"/>
      <c r="DN427" s="19"/>
      <c r="DO427" s="19"/>
      <c r="DP427" s="19"/>
      <c r="DQ427" s="19"/>
      <c r="DR427" s="19"/>
      <c r="DS427" s="19"/>
      <c r="DT427" s="19"/>
      <c r="DU427" s="19"/>
      <c r="DV427" s="19"/>
      <c r="DW427" s="19"/>
      <c r="DX427" s="19"/>
      <c r="DY427" s="19"/>
      <c r="DZ427" s="19"/>
      <c r="EA427" s="19"/>
      <c r="EB427" s="19"/>
      <c r="EC427" s="19"/>
      <c r="ED427" s="19"/>
      <c r="EE427" s="19"/>
      <c r="EF427" s="19"/>
      <c r="EG427" s="19"/>
      <c r="EH427" s="19"/>
      <c r="EI427" s="19"/>
      <c r="EJ427" s="19"/>
      <c r="EK427" s="19"/>
      <c r="EL427" s="19"/>
      <c r="EM427" s="19"/>
      <c r="EN427" s="19"/>
      <c r="EO427" s="19"/>
      <c r="EP427" s="17"/>
      <c r="EQ427" s="23"/>
      <c r="ER427" s="23" t="str">
        <f t="shared" si="1"/>
        <v/>
      </c>
      <c r="ES427" s="19"/>
      <c r="ET427" s="19" t="str">
        <f t="shared" si="2"/>
        <v/>
      </c>
      <c r="EU427" s="19"/>
      <c r="EV427" s="19"/>
      <c r="EW427" s="19"/>
      <c r="EX427" s="19"/>
      <c r="EY427" s="19"/>
      <c r="EZ427" s="19"/>
      <c r="FA427" s="19"/>
      <c r="FB427" s="19"/>
    </row>
    <row r="428" ht="15.75" customHeight="1">
      <c r="A428" s="19"/>
      <c r="F428" s="19"/>
      <c r="AH428" s="23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  <c r="BD428" s="19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  <c r="BP428" s="19"/>
      <c r="BQ428" s="19"/>
      <c r="BR428" s="19"/>
      <c r="BS428" s="19"/>
      <c r="BT428" s="19"/>
      <c r="BU428" s="19"/>
      <c r="BV428" s="19"/>
      <c r="BW428" s="19"/>
      <c r="BX428" s="19"/>
      <c r="BY428" s="19"/>
      <c r="BZ428" s="19"/>
      <c r="CA428" s="19"/>
      <c r="CB428" s="19"/>
      <c r="CC428" s="19"/>
      <c r="CD428" s="19"/>
      <c r="CE428" s="19"/>
      <c r="CF428" s="19"/>
      <c r="CG428" s="19"/>
      <c r="CH428" s="19"/>
      <c r="CI428" s="19"/>
      <c r="CJ428" s="19"/>
      <c r="CK428" s="19"/>
      <c r="CL428" s="19"/>
      <c r="CM428" s="19"/>
      <c r="CN428" s="19"/>
      <c r="CO428" s="19"/>
      <c r="CP428" s="19"/>
      <c r="CQ428" s="19"/>
      <c r="CR428" s="19"/>
      <c r="CS428" s="19"/>
      <c r="CT428" s="19"/>
      <c r="CU428" s="19"/>
      <c r="CV428" s="19"/>
      <c r="CW428" s="19"/>
      <c r="CX428" s="19"/>
      <c r="CY428" s="19"/>
      <c r="CZ428" s="19"/>
      <c r="DA428" s="19"/>
      <c r="DB428" s="19"/>
      <c r="DC428" s="19"/>
      <c r="DD428" s="19"/>
      <c r="DE428" s="19"/>
      <c r="DF428" s="19"/>
      <c r="DG428" s="19"/>
      <c r="DH428" s="19"/>
      <c r="DI428" s="19"/>
      <c r="DJ428" s="19"/>
      <c r="DK428" s="19"/>
      <c r="DL428" s="19"/>
      <c r="DM428" s="19"/>
      <c r="DN428" s="19"/>
      <c r="DO428" s="19"/>
      <c r="DP428" s="19"/>
      <c r="DQ428" s="19"/>
      <c r="DR428" s="19"/>
      <c r="DS428" s="19"/>
      <c r="DT428" s="19"/>
      <c r="DU428" s="19"/>
      <c r="DV428" s="19"/>
      <c r="DW428" s="19"/>
      <c r="DX428" s="19"/>
      <c r="DY428" s="19"/>
      <c r="DZ428" s="19"/>
      <c r="EA428" s="19"/>
      <c r="EB428" s="19"/>
      <c r="EC428" s="19"/>
      <c r="ED428" s="19"/>
      <c r="EE428" s="19"/>
      <c r="EF428" s="19"/>
      <c r="EG428" s="19"/>
      <c r="EH428" s="19"/>
      <c r="EI428" s="19"/>
      <c r="EJ428" s="19"/>
      <c r="EK428" s="19"/>
      <c r="EL428" s="19"/>
      <c r="EM428" s="19"/>
      <c r="EN428" s="19"/>
      <c r="EO428" s="19"/>
      <c r="EP428" s="17"/>
      <c r="EQ428" s="23"/>
      <c r="ER428" s="23" t="str">
        <f t="shared" si="1"/>
        <v/>
      </c>
      <c r="ES428" s="19"/>
      <c r="ET428" s="19" t="str">
        <f t="shared" si="2"/>
        <v/>
      </c>
      <c r="EU428" s="19"/>
      <c r="EV428" s="19"/>
      <c r="EW428" s="19"/>
      <c r="EX428" s="19"/>
      <c r="EY428" s="19"/>
      <c r="EZ428" s="19"/>
      <c r="FA428" s="19"/>
      <c r="FB428" s="19"/>
    </row>
    <row r="429" ht="15.75" customHeight="1">
      <c r="A429" s="19"/>
      <c r="F429" s="19"/>
      <c r="AH429" s="23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  <c r="BD429" s="19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  <c r="BP429" s="19"/>
      <c r="BQ429" s="19"/>
      <c r="BR429" s="19"/>
      <c r="BS429" s="19"/>
      <c r="BT429" s="19"/>
      <c r="BU429" s="19"/>
      <c r="BV429" s="19"/>
      <c r="BW429" s="19"/>
      <c r="BX429" s="19"/>
      <c r="BY429" s="19"/>
      <c r="BZ429" s="19"/>
      <c r="CA429" s="19"/>
      <c r="CB429" s="19"/>
      <c r="CC429" s="19"/>
      <c r="CD429" s="19"/>
      <c r="CE429" s="19"/>
      <c r="CF429" s="19"/>
      <c r="CG429" s="19"/>
      <c r="CH429" s="19"/>
      <c r="CI429" s="19"/>
      <c r="CJ429" s="19"/>
      <c r="CK429" s="19"/>
      <c r="CL429" s="19"/>
      <c r="CM429" s="19"/>
      <c r="CN429" s="19"/>
      <c r="CO429" s="19"/>
      <c r="CP429" s="19"/>
      <c r="CQ429" s="19"/>
      <c r="CR429" s="19"/>
      <c r="CS429" s="19"/>
      <c r="CT429" s="19"/>
      <c r="CU429" s="19"/>
      <c r="CV429" s="19"/>
      <c r="CW429" s="19"/>
      <c r="CX429" s="19"/>
      <c r="CY429" s="19"/>
      <c r="CZ429" s="19"/>
      <c r="DA429" s="19"/>
      <c r="DB429" s="19"/>
      <c r="DC429" s="19"/>
      <c r="DD429" s="19"/>
      <c r="DE429" s="19"/>
      <c r="DF429" s="19"/>
      <c r="DG429" s="19"/>
      <c r="DH429" s="19"/>
      <c r="DI429" s="19"/>
      <c r="DJ429" s="19"/>
      <c r="DK429" s="19"/>
      <c r="DL429" s="19"/>
      <c r="DM429" s="19"/>
      <c r="DN429" s="19"/>
      <c r="DO429" s="19"/>
      <c r="DP429" s="19"/>
      <c r="DQ429" s="19"/>
      <c r="DR429" s="19"/>
      <c r="DS429" s="19"/>
      <c r="DT429" s="19"/>
      <c r="DU429" s="19"/>
      <c r="DV429" s="19"/>
      <c r="DW429" s="19"/>
      <c r="DX429" s="19"/>
      <c r="DY429" s="19"/>
      <c r="DZ429" s="19"/>
      <c r="EA429" s="19"/>
      <c r="EB429" s="19"/>
      <c r="EC429" s="19"/>
      <c r="ED429" s="19"/>
      <c r="EE429" s="19"/>
      <c r="EF429" s="19"/>
      <c r="EG429" s="19"/>
      <c r="EH429" s="19"/>
      <c r="EI429" s="19"/>
      <c r="EJ429" s="19"/>
      <c r="EK429" s="19"/>
      <c r="EL429" s="19"/>
      <c r="EM429" s="19"/>
      <c r="EN429" s="19"/>
      <c r="EO429" s="19"/>
      <c r="EP429" s="17"/>
      <c r="EQ429" s="23"/>
      <c r="ER429" s="23" t="str">
        <f t="shared" si="1"/>
        <v/>
      </c>
      <c r="ES429" s="19"/>
      <c r="ET429" s="19" t="str">
        <f t="shared" si="2"/>
        <v/>
      </c>
      <c r="EU429" s="19"/>
      <c r="EV429" s="19"/>
      <c r="EW429" s="19"/>
      <c r="EX429" s="19"/>
      <c r="EY429" s="19"/>
      <c r="EZ429" s="19"/>
      <c r="FA429" s="19"/>
      <c r="FB429" s="19"/>
    </row>
    <row r="430" ht="15.75" customHeight="1">
      <c r="A430" s="19"/>
      <c r="F430" s="19"/>
      <c r="AH430" s="23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  <c r="BD430" s="19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  <c r="BP430" s="19"/>
      <c r="BQ430" s="19"/>
      <c r="BR430" s="19"/>
      <c r="BS430" s="19"/>
      <c r="BT430" s="19"/>
      <c r="BU430" s="19"/>
      <c r="BV430" s="19"/>
      <c r="BW430" s="19"/>
      <c r="BX430" s="19"/>
      <c r="BY430" s="19"/>
      <c r="BZ430" s="19"/>
      <c r="CA430" s="19"/>
      <c r="CB430" s="19"/>
      <c r="CC430" s="19"/>
      <c r="CD430" s="19"/>
      <c r="CE430" s="19"/>
      <c r="CF430" s="19"/>
      <c r="CG430" s="19"/>
      <c r="CH430" s="19"/>
      <c r="CI430" s="19"/>
      <c r="CJ430" s="19"/>
      <c r="CK430" s="19"/>
      <c r="CL430" s="19"/>
      <c r="CM430" s="19"/>
      <c r="CN430" s="19"/>
      <c r="CO430" s="19"/>
      <c r="CP430" s="19"/>
      <c r="CQ430" s="19"/>
      <c r="CR430" s="19"/>
      <c r="CS430" s="19"/>
      <c r="CT430" s="19"/>
      <c r="CU430" s="19"/>
      <c r="CV430" s="19"/>
      <c r="CW430" s="19"/>
      <c r="CX430" s="19"/>
      <c r="CY430" s="19"/>
      <c r="CZ430" s="19"/>
      <c r="DA430" s="19"/>
      <c r="DB430" s="19"/>
      <c r="DC430" s="19"/>
      <c r="DD430" s="19"/>
      <c r="DE430" s="19"/>
      <c r="DF430" s="19"/>
      <c r="DG430" s="19"/>
      <c r="DH430" s="19"/>
      <c r="DI430" s="19"/>
      <c r="DJ430" s="19"/>
      <c r="DK430" s="19"/>
      <c r="DL430" s="19"/>
      <c r="DM430" s="19"/>
      <c r="DN430" s="19"/>
      <c r="DO430" s="19"/>
      <c r="DP430" s="19"/>
      <c r="DQ430" s="19"/>
      <c r="DR430" s="19"/>
      <c r="DS430" s="19"/>
      <c r="DT430" s="19"/>
      <c r="DU430" s="19"/>
      <c r="DV430" s="19"/>
      <c r="DW430" s="19"/>
      <c r="DX430" s="19"/>
      <c r="DY430" s="19"/>
      <c r="DZ430" s="19"/>
      <c r="EA430" s="19"/>
      <c r="EB430" s="19"/>
      <c r="EC430" s="19"/>
      <c r="ED430" s="19"/>
      <c r="EE430" s="19"/>
      <c r="EF430" s="19"/>
      <c r="EG430" s="19"/>
      <c r="EH430" s="19"/>
      <c r="EI430" s="19"/>
      <c r="EJ430" s="19"/>
      <c r="EK430" s="19"/>
      <c r="EL430" s="19"/>
      <c r="EM430" s="19"/>
      <c r="EN430" s="19"/>
      <c r="EO430" s="19"/>
      <c r="EP430" s="17"/>
      <c r="EQ430" s="23"/>
      <c r="ER430" s="23" t="str">
        <f t="shared" si="1"/>
        <v/>
      </c>
      <c r="ES430" s="19"/>
      <c r="ET430" s="19" t="str">
        <f t="shared" si="2"/>
        <v/>
      </c>
      <c r="EU430" s="19"/>
      <c r="EV430" s="19"/>
      <c r="EW430" s="19"/>
      <c r="EX430" s="19"/>
      <c r="EY430" s="19"/>
      <c r="EZ430" s="19"/>
      <c r="FA430" s="19"/>
      <c r="FB430" s="19"/>
    </row>
    <row r="431" ht="15.75" customHeight="1">
      <c r="A431" s="19"/>
      <c r="F431" s="19"/>
      <c r="AH431" s="23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  <c r="BD431" s="19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  <c r="BP431" s="19"/>
      <c r="BQ431" s="19"/>
      <c r="BR431" s="19"/>
      <c r="BS431" s="19"/>
      <c r="BT431" s="19"/>
      <c r="BU431" s="19"/>
      <c r="BV431" s="19"/>
      <c r="BW431" s="19"/>
      <c r="BX431" s="19"/>
      <c r="BY431" s="19"/>
      <c r="BZ431" s="19"/>
      <c r="CA431" s="19"/>
      <c r="CB431" s="19"/>
      <c r="CC431" s="19"/>
      <c r="CD431" s="19"/>
      <c r="CE431" s="19"/>
      <c r="CF431" s="19"/>
      <c r="CG431" s="19"/>
      <c r="CH431" s="19"/>
      <c r="CI431" s="19"/>
      <c r="CJ431" s="19"/>
      <c r="CK431" s="19"/>
      <c r="CL431" s="19"/>
      <c r="CM431" s="19"/>
      <c r="CN431" s="19"/>
      <c r="CO431" s="19"/>
      <c r="CP431" s="19"/>
      <c r="CQ431" s="19"/>
      <c r="CR431" s="19"/>
      <c r="CS431" s="19"/>
      <c r="CT431" s="19"/>
      <c r="CU431" s="19"/>
      <c r="CV431" s="19"/>
      <c r="CW431" s="19"/>
      <c r="CX431" s="19"/>
      <c r="CY431" s="19"/>
      <c r="CZ431" s="19"/>
      <c r="DA431" s="19"/>
      <c r="DB431" s="19"/>
      <c r="DC431" s="19"/>
      <c r="DD431" s="19"/>
      <c r="DE431" s="19"/>
      <c r="DF431" s="19"/>
      <c r="DG431" s="19"/>
      <c r="DH431" s="19"/>
      <c r="DI431" s="19"/>
      <c r="DJ431" s="19"/>
      <c r="DK431" s="19"/>
      <c r="DL431" s="19"/>
      <c r="DM431" s="19"/>
      <c r="DN431" s="19"/>
      <c r="DO431" s="19"/>
      <c r="DP431" s="19"/>
      <c r="DQ431" s="19"/>
      <c r="DR431" s="19"/>
      <c r="DS431" s="19"/>
      <c r="DT431" s="19"/>
      <c r="DU431" s="19"/>
      <c r="DV431" s="19"/>
      <c r="DW431" s="19"/>
      <c r="DX431" s="19"/>
      <c r="DY431" s="19"/>
      <c r="DZ431" s="19"/>
      <c r="EA431" s="19"/>
      <c r="EB431" s="19"/>
      <c r="EC431" s="19"/>
      <c r="ED431" s="19"/>
      <c r="EE431" s="19"/>
      <c r="EF431" s="19"/>
      <c r="EG431" s="19"/>
      <c r="EH431" s="19"/>
      <c r="EI431" s="19"/>
      <c r="EJ431" s="19"/>
      <c r="EK431" s="19"/>
      <c r="EL431" s="19"/>
      <c r="EM431" s="19"/>
      <c r="EN431" s="19"/>
      <c r="EO431" s="19"/>
      <c r="EP431" s="17"/>
      <c r="EQ431" s="23"/>
      <c r="ER431" s="23" t="str">
        <f t="shared" si="1"/>
        <v/>
      </c>
      <c r="ES431" s="19"/>
      <c r="ET431" s="19" t="str">
        <f t="shared" si="2"/>
        <v/>
      </c>
      <c r="EU431" s="19"/>
      <c r="EV431" s="19"/>
      <c r="EW431" s="19"/>
      <c r="EX431" s="19"/>
      <c r="EY431" s="19"/>
      <c r="EZ431" s="19"/>
      <c r="FA431" s="19"/>
      <c r="FB431" s="19"/>
    </row>
    <row r="432" ht="15.75" customHeight="1">
      <c r="A432" s="19"/>
      <c r="F432" s="19"/>
      <c r="AH432" s="23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  <c r="BD432" s="19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  <c r="BP432" s="19"/>
      <c r="BQ432" s="19"/>
      <c r="BR432" s="19"/>
      <c r="BS432" s="19"/>
      <c r="BT432" s="19"/>
      <c r="BU432" s="19"/>
      <c r="BV432" s="19"/>
      <c r="BW432" s="19"/>
      <c r="BX432" s="19"/>
      <c r="BY432" s="19"/>
      <c r="BZ432" s="19"/>
      <c r="CA432" s="19"/>
      <c r="CB432" s="19"/>
      <c r="CC432" s="19"/>
      <c r="CD432" s="19"/>
      <c r="CE432" s="19"/>
      <c r="CF432" s="19"/>
      <c r="CG432" s="19"/>
      <c r="CH432" s="19"/>
      <c r="CI432" s="19"/>
      <c r="CJ432" s="19"/>
      <c r="CK432" s="19"/>
      <c r="CL432" s="19"/>
      <c r="CM432" s="19"/>
      <c r="CN432" s="19"/>
      <c r="CO432" s="19"/>
      <c r="CP432" s="19"/>
      <c r="CQ432" s="19"/>
      <c r="CR432" s="19"/>
      <c r="CS432" s="19"/>
      <c r="CT432" s="19"/>
      <c r="CU432" s="19"/>
      <c r="CV432" s="19"/>
      <c r="CW432" s="19"/>
      <c r="CX432" s="19"/>
      <c r="CY432" s="19"/>
      <c r="CZ432" s="19"/>
      <c r="DA432" s="19"/>
      <c r="DB432" s="19"/>
      <c r="DC432" s="19"/>
      <c r="DD432" s="19"/>
      <c r="DE432" s="19"/>
      <c r="DF432" s="19"/>
      <c r="DG432" s="19"/>
      <c r="DH432" s="19"/>
      <c r="DI432" s="19"/>
      <c r="DJ432" s="19"/>
      <c r="DK432" s="19"/>
      <c r="DL432" s="19"/>
      <c r="DM432" s="19"/>
      <c r="DN432" s="19"/>
      <c r="DO432" s="19"/>
      <c r="DP432" s="19"/>
      <c r="DQ432" s="19"/>
      <c r="DR432" s="19"/>
      <c r="DS432" s="19"/>
      <c r="DT432" s="19"/>
      <c r="DU432" s="19"/>
      <c r="DV432" s="19"/>
      <c r="DW432" s="19"/>
      <c r="DX432" s="19"/>
      <c r="DY432" s="19"/>
      <c r="DZ432" s="19"/>
      <c r="EA432" s="19"/>
      <c r="EB432" s="19"/>
      <c r="EC432" s="19"/>
      <c r="ED432" s="19"/>
      <c r="EE432" s="19"/>
      <c r="EF432" s="19"/>
      <c r="EG432" s="19"/>
      <c r="EH432" s="19"/>
      <c r="EI432" s="19"/>
      <c r="EJ432" s="19"/>
      <c r="EK432" s="19"/>
      <c r="EL432" s="19"/>
      <c r="EM432" s="19"/>
      <c r="EN432" s="19"/>
      <c r="EO432" s="19"/>
      <c r="EP432" s="17"/>
      <c r="EQ432" s="23"/>
      <c r="ER432" s="23" t="str">
        <f t="shared" si="1"/>
        <v/>
      </c>
      <c r="ES432" s="19"/>
      <c r="ET432" s="19" t="str">
        <f t="shared" si="2"/>
        <v/>
      </c>
      <c r="EU432" s="19"/>
      <c r="EV432" s="19"/>
      <c r="EW432" s="19"/>
      <c r="EX432" s="19"/>
      <c r="EY432" s="19"/>
      <c r="EZ432" s="19"/>
      <c r="FA432" s="19"/>
      <c r="FB432" s="19"/>
    </row>
    <row r="433" ht="15.75" customHeight="1">
      <c r="A433" s="19"/>
      <c r="F433" s="19"/>
      <c r="AH433" s="23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  <c r="BD433" s="19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  <c r="BP433" s="19"/>
      <c r="BQ433" s="19"/>
      <c r="BR433" s="19"/>
      <c r="BS433" s="19"/>
      <c r="BT433" s="19"/>
      <c r="BU433" s="19"/>
      <c r="BV433" s="19"/>
      <c r="BW433" s="19"/>
      <c r="BX433" s="19"/>
      <c r="BY433" s="19"/>
      <c r="BZ433" s="19"/>
      <c r="CA433" s="19"/>
      <c r="CB433" s="19"/>
      <c r="CC433" s="19"/>
      <c r="CD433" s="19"/>
      <c r="CE433" s="19"/>
      <c r="CF433" s="19"/>
      <c r="CG433" s="19"/>
      <c r="CH433" s="19"/>
      <c r="CI433" s="19"/>
      <c r="CJ433" s="19"/>
      <c r="CK433" s="19"/>
      <c r="CL433" s="19"/>
      <c r="CM433" s="19"/>
      <c r="CN433" s="19"/>
      <c r="CO433" s="19"/>
      <c r="CP433" s="19"/>
      <c r="CQ433" s="19"/>
      <c r="CR433" s="19"/>
      <c r="CS433" s="19"/>
      <c r="CT433" s="19"/>
      <c r="CU433" s="19"/>
      <c r="CV433" s="19"/>
      <c r="CW433" s="19"/>
      <c r="CX433" s="19"/>
      <c r="CY433" s="19"/>
      <c r="CZ433" s="19"/>
      <c r="DA433" s="19"/>
      <c r="DB433" s="19"/>
      <c r="DC433" s="19"/>
      <c r="DD433" s="19"/>
      <c r="DE433" s="19"/>
      <c r="DF433" s="19"/>
      <c r="DG433" s="19"/>
      <c r="DH433" s="19"/>
      <c r="DI433" s="19"/>
      <c r="DJ433" s="19"/>
      <c r="DK433" s="19"/>
      <c r="DL433" s="19"/>
      <c r="DM433" s="19"/>
      <c r="DN433" s="19"/>
      <c r="DO433" s="19"/>
      <c r="DP433" s="19"/>
      <c r="DQ433" s="19"/>
      <c r="DR433" s="19"/>
      <c r="DS433" s="19"/>
      <c r="DT433" s="19"/>
      <c r="DU433" s="19"/>
      <c r="DV433" s="19"/>
      <c r="DW433" s="19"/>
      <c r="DX433" s="19"/>
      <c r="DY433" s="19"/>
      <c r="DZ433" s="19"/>
      <c r="EA433" s="19"/>
      <c r="EB433" s="19"/>
      <c r="EC433" s="19"/>
      <c r="ED433" s="19"/>
      <c r="EE433" s="19"/>
      <c r="EF433" s="19"/>
      <c r="EG433" s="19"/>
      <c r="EH433" s="19"/>
      <c r="EI433" s="19"/>
      <c r="EJ433" s="19"/>
      <c r="EK433" s="19"/>
      <c r="EL433" s="19"/>
      <c r="EM433" s="19"/>
      <c r="EN433" s="19"/>
      <c r="EO433" s="19"/>
      <c r="EP433" s="17"/>
      <c r="EQ433" s="23"/>
      <c r="ER433" s="23" t="str">
        <f t="shared" si="1"/>
        <v/>
      </c>
      <c r="ES433" s="19"/>
      <c r="ET433" s="19" t="str">
        <f t="shared" si="2"/>
        <v/>
      </c>
      <c r="EU433" s="19"/>
      <c r="EV433" s="19"/>
      <c r="EW433" s="19"/>
      <c r="EX433" s="19"/>
      <c r="EY433" s="19"/>
      <c r="EZ433" s="19"/>
      <c r="FA433" s="19"/>
      <c r="FB433" s="19"/>
    </row>
    <row r="434" ht="15.75" customHeight="1">
      <c r="A434" s="19"/>
      <c r="F434" s="19"/>
      <c r="AH434" s="23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  <c r="BD434" s="19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  <c r="BP434" s="19"/>
      <c r="BQ434" s="19"/>
      <c r="BR434" s="19"/>
      <c r="BS434" s="19"/>
      <c r="BT434" s="19"/>
      <c r="BU434" s="19"/>
      <c r="BV434" s="19"/>
      <c r="BW434" s="19"/>
      <c r="BX434" s="19"/>
      <c r="BY434" s="19"/>
      <c r="BZ434" s="19"/>
      <c r="CA434" s="19"/>
      <c r="CB434" s="19"/>
      <c r="CC434" s="19"/>
      <c r="CD434" s="19"/>
      <c r="CE434" s="19"/>
      <c r="CF434" s="19"/>
      <c r="CG434" s="19"/>
      <c r="CH434" s="19"/>
      <c r="CI434" s="19"/>
      <c r="CJ434" s="19"/>
      <c r="CK434" s="19"/>
      <c r="CL434" s="19"/>
      <c r="CM434" s="19"/>
      <c r="CN434" s="19"/>
      <c r="CO434" s="19"/>
      <c r="CP434" s="19"/>
      <c r="CQ434" s="19"/>
      <c r="CR434" s="19"/>
      <c r="CS434" s="19"/>
      <c r="CT434" s="19"/>
      <c r="CU434" s="19"/>
      <c r="CV434" s="19"/>
      <c r="CW434" s="19"/>
      <c r="CX434" s="19"/>
      <c r="CY434" s="19"/>
      <c r="CZ434" s="19"/>
      <c r="DA434" s="19"/>
      <c r="DB434" s="19"/>
      <c r="DC434" s="19"/>
      <c r="DD434" s="19"/>
      <c r="DE434" s="19"/>
      <c r="DF434" s="19"/>
      <c r="DG434" s="19"/>
      <c r="DH434" s="19"/>
      <c r="DI434" s="19"/>
      <c r="DJ434" s="19"/>
      <c r="DK434" s="19"/>
      <c r="DL434" s="19"/>
      <c r="DM434" s="19"/>
      <c r="DN434" s="19"/>
      <c r="DO434" s="19"/>
      <c r="DP434" s="19"/>
      <c r="DQ434" s="19"/>
      <c r="DR434" s="19"/>
      <c r="DS434" s="19"/>
      <c r="DT434" s="19"/>
      <c r="DU434" s="19"/>
      <c r="DV434" s="19"/>
      <c r="DW434" s="19"/>
      <c r="DX434" s="19"/>
      <c r="DY434" s="19"/>
      <c r="DZ434" s="19"/>
      <c r="EA434" s="19"/>
      <c r="EB434" s="19"/>
      <c r="EC434" s="19"/>
      <c r="ED434" s="19"/>
      <c r="EE434" s="19"/>
      <c r="EF434" s="19"/>
      <c r="EG434" s="19"/>
      <c r="EH434" s="19"/>
      <c r="EI434" s="19"/>
      <c r="EJ434" s="19"/>
      <c r="EK434" s="19"/>
      <c r="EL434" s="19"/>
      <c r="EM434" s="19"/>
      <c r="EN434" s="19"/>
      <c r="EO434" s="19"/>
      <c r="EP434" s="17"/>
      <c r="EQ434" s="23"/>
      <c r="ER434" s="23" t="str">
        <f t="shared" si="1"/>
        <v/>
      </c>
      <c r="ES434" s="19"/>
      <c r="ET434" s="19" t="str">
        <f t="shared" si="2"/>
        <v/>
      </c>
      <c r="EU434" s="19"/>
      <c r="EV434" s="19"/>
      <c r="EW434" s="19"/>
      <c r="EX434" s="19"/>
      <c r="EY434" s="19"/>
      <c r="EZ434" s="19"/>
      <c r="FA434" s="19"/>
      <c r="FB434" s="19"/>
    </row>
    <row r="435" ht="15.75" customHeight="1">
      <c r="A435" s="19"/>
      <c r="F435" s="19"/>
      <c r="AH435" s="23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  <c r="BD435" s="19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  <c r="BP435" s="19"/>
      <c r="BQ435" s="19"/>
      <c r="BR435" s="19"/>
      <c r="BS435" s="19"/>
      <c r="BT435" s="19"/>
      <c r="BU435" s="19"/>
      <c r="BV435" s="19"/>
      <c r="BW435" s="19"/>
      <c r="BX435" s="19"/>
      <c r="BY435" s="19"/>
      <c r="BZ435" s="19"/>
      <c r="CA435" s="19"/>
      <c r="CB435" s="19"/>
      <c r="CC435" s="19"/>
      <c r="CD435" s="19"/>
      <c r="CE435" s="19"/>
      <c r="CF435" s="19"/>
      <c r="CG435" s="19"/>
      <c r="CH435" s="19"/>
      <c r="CI435" s="19"/>
      <c r="CJ435" s="19"/>
      <c r="CK435" s="19"/>
      <c r="CL435" s="19"/>
      <c r="CM435" s="19"/>
      <c r="CN435" s="19"/>
      <c r="CO435" s="19"/>
      <c r="CP435" s="19"/>
      <c r="CQ435" s="19"/>
      <c r="CR435" s="19"/>
      <c r="CS435" s="19"/>
      <c r="CT435" s="19"/>
      <c r="CU435" s="19"/>
      <c r="CV435" s="19"/>
      <c r="CW435" s="19"/>
      <c r="CX435" s="19"/>
      <c r="CY435" s="19"/>
      <c r="CZ435" s="19"/>
      <c r="DA435" s="19"/>
      <c r="DB435" s="19"/>
      <c r="DC435" s="19"/>
      <c r="DD435" s="19"/>
      <c r="DE435" s="19"/>
      <c r="DF435" s="19"/>
      <c r="DG435" s="19"/>
      <c r="DH435" s="19"/>
      <c r="DI435" s="19"/>
      <c r="DJ435" s="19"/>
      <c r="DK435" s="19"/>
      <c r="DL435" s="19"/>
      <c r="DM435" s="19"/>
      <c r="DN435" s="19"/>
      <c r="DO435" s="19"/>
      <c r="DP435" s="19"/>
      <c r="DQ435" s="19"/>
      <c r="DR435" s="19"/>
      <c r="DS435" s="19"/>
      <c r="DT435" s="19"/>
      <c r="DU435" s="19"/>
      <c r="DV435" s="19"/>
      <c r="DW435" s="19"/>
      <c r="DX435" s="19"/>
      <c r="DY435" s="19"/>
      <c r="DZ435" s="19"/>
      <c r="EA435" s="19"/>
      <c r="EB435" s="19"/>
      <c r="EC435" s="19"/>
      <c r="ED435" s="19"/>
      <c r="EE435" s="19"/>
      <c r="EF435" s="19"/>
      <c r="EG435" s="19"/>
      <c r="EH435" s="19"/>
      <c r="EI435" s="19"/>
      <c r="EJ435" s="19"/>
      <c r="EK435" s="19"/>
      <c r="EL435" s="19"/>
      <c r="EM435" s="19"/>
      <c r="EN435" s="19"/>
      <c r="EO435" s="19"/>
      <c r="EP435" s="17"/>
      <c r="EQ435" s="23"/>
      <c r="ER435" s="23" t="str">
        <f t="shared" si="1"/>
        <v/>
      </c>
      <c r="ES435" s="19"/>
      <c r="ET435" s="19" t="str">
        <f t="shared" si="2"/>
        <v/>
      </c>
      <c r="EU435" s="19"/>
      <c r="EV435" s="19"/>
      <c r="EW435" s="19"/>
      <c r="EX435" s="19"/>
      <c r="EY435" s="19"/>
      <c r="EZ435" s="19"/>
      <c r="FA435" s="19"/>
      <c r="FB435" s="19"/>
    </row>
    <row r="436" ht="15.75" customHeight="1">
      <c r="A436" s="19"/>
      <c r="F436" s="19"/>
      <c r="AH436" s="23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  <c r="BD436" s="19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  <c r="BP436" s="19"/>
      <c r="BQ436" s="19"/>
      <c r="BR436" s="19"/>
      <c r="BS436" s="19"/>
      <c r="BT436" s="19"/>
      <c r="BU436" s="19"/>
      <c r="BV436" s="19"/>
      <c r="BW436" s="19"/>
      <c r="BX436" s="19"/>
      <c r="BY436" s="19"/>
      <c r="BZ436" s="19"/>
      <c r="CA436" s="19"/>
      <c r="CB436" s="19"/>
      <c r="CC436" s="19"/>
      <c r="CD436" s="19"/>
      <c r="CE436" s="19"/>
      <c r="CF436" s="19"/>
      <c r="CG436" s="19"/>
      <c r="CH436" s="19"/>
      <c r="CI436" s="19"/>
      <c r="CJ436" s="19"/>
      <c r="CK436" s="19"/>
      <c r="CL436" s="19"/>
      <c r="CM436" s="19"/>
      <c r="CN436" s="19"/>
      <c r="CO436" s="19"/>
      <c r="CP436" s="19"/>
      <c r="CQ436" s="19"/>
      <c r="CR436" s="19"/>
      <c r="CS436" s="19"/>
      <c r="CT436" s="19"/>
      <c r="CU436" s="19"/>
      <c r="CV436" s="19"/>
      <c r="CW436" s="19"/>
      <c r="CX436" s="19"/>
      <c r="CY436" s="19"/>
      <c r="CZ436" s="19"/>
      <c r="DA436" s="19"/>
      <c r="DB436" s="19"/>
      <c r="DC436" s="19"/>
      <c r="DD436" s="19"/>
      <c r="DE436" s="19"/>
      <c r="DF436" s="19"/>
      <c r="DG436" s="19"/>
      <c r="DH436" s="19"/>
      <c r="DI436" s="19"/>
      <c r="DJ436" s="19"/>
      <c r="DK436" s="19"/>
      <c r="DL436" s="19"/>
      <c r="DM436" s="19"/>
      <c r="DN436" s="19"/>
      <c r="DO436" s="19"/>
      <c r="DP436" s="19"/>
      <c r="DQ436" s="19"/>
      <c r="DR436" s="19"/>
      <c r="DS436" s="19"/>
      <c r="DT436" s="19"/>
      <c r="DU436" s="19"/>
      <c r="DV436" s="19"/>
      <c r="DW436" s="19"/>
      <c r="DX436" s="19"/>
      <c r="DY436" s="19"/>
      <c r="DZ436" s="19"/>
      <c r="EA436" s="19"/>
      <c r="EB436" s="19"/>
      <c r="EC436" s="19"/>
      <c r="ED436" s="19"/>
      <c r="EE436" s="19"/>
      <c r="EF436" s="19"/>
      <c r="EG436" s="19"/>
      <c r="EH436" s="19"/>
      <c r="EI436" s="19"/>
      <c r="EJ436" s="19"/>
      <c r="EK436" s="19"/>
      <c r="EL436" s="19"/>
      <c r="EM436" s="19"/>
      <c r="EN436" s="19"/>
      <c r="EO436" s="19"/>
      <c r="EP436" s="17"/>
      <c r="EQ436" s="23"/>
      <c r="ER436" s="23" t="str">
        <f t="shared" si="1"/>
        <v/>
      </c>
      <c r="ES436" s="19"/>
      <c r="ET436" s="19" t="str">
        <f t="shared" si="2"/>
        <v/>
      </c>
      <c r="EU436" s="19"/>
      <c r="EV436" s="19"/>
      <c r="EW436" s="19"/>
      <c r="EX436" s="19"/>
      <c r="EY436" s="19"/>
      <c r="EZ436" s="19"/>
      <c r="FA436" s="19"/>
      <c r="FB436" s="19"/>
    </row>
    <row r="437" ht="15.75" customHeight="1">
      <c r="A437" s="19"/>
      <c r="F437" s="19"/>
      <c r="AH437" s="23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  <c r="BD437" s="19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  <c r="BP437" s="19"/>
      <c r="BQ437" s="19"/>
      <c r="BR437" s="19"/>
      <c r="BS437" s="19"/>
      <c r="BT437" s="19"/>
      <c r="BU437" s="19"/>
      <c r="BV437" s="19"/>
      <c r="BW437" s="19"/>
      <c r="BX437" s="19"/>
      <c r="BY437" s="19"/>
      <c r="BZ437" s="19"/>
      <c r="CA437" s="19"/>
      <c r="CB437" s="19"/>
      <c r="CC437" s="19"/>
      <c r="CD437" s="19"/>
      <c r="CE437" s="19"/>
      <c r="CF437" s="19"/>
      <c r="CG437" s="19"/>
      <c r="CH437" s="19"/>
      <c r="CI437" s="19"/>
      <c r="CJ437" s="19"/>
      <c r="CK437" s="19"/>
      <c r="CL437" s="19"/>
      <c r="CM437" s="19"/>
      <c r="CN437" s="19"/>
      <c r="CO437" s="19"/>
      <c r="CP437" s="19"/>
      <c r="CQ437" s="19"/>
      <c r="CR437" s="19"/>
      <c r="CS437" s="19"/>
      <c r="CT437" s="19"/>
      <c r="CU437" s="19"/>
      <c r="CV437" s="19"/>
      <c r="CW437" s="19"/>
      <c r="CX437" s="19"/>
      <c r="CY437" s="19"/>
      <c r="CZ437" s="19"/>
      <c r="DA437" s="19"/>
      <c r="DB437" s="19"/>
      <c r="DC437" s="19"/>
      <c r="DD437" s="19"/>
      <c r="DE437" s="19"/>
      <c r="DF437" s="19"/>
      <c r="DG437" s="19"/>
      <c r="DH437" s="19"/>
      <c r="DI437" s="19"/>
      <c r="DJ437" s="19"/>
      <c r="DK437" s="19"/>
      <c r="DL437" s="19"/>
      <c r="DM437" s="19"/>
      <c r="DN437" s="19"/>
      <c r="DO437" s="19"/>
      <c r="DP437" s="19"/>
      <c r="DQ437" s="19"/>
      <c r="DR437" s="19"/>
      <c r="DS437" s="19"/>
      <c r="DT437" s="19"/>
      <c r="DU437" s="19"/>
      <c r="DV437" s="19"/>
      <c r="DW437" s="19"/>
      <c r="DX437" s="19"/>
      <c r="DY437" s="19"/>
      <c r="DZ437" s="19"/>
      <c r="EA437" s="19"/>
      <c r="EB437" s="19"/>
      <c r="EC437" s="19"/>
      <c r="ED437" s="19"/>
      <c r="EE437" s="19"/>
      <c r="EF437" s="19"/>
      <c r="EG437" s="19"/>
      <c r="EH437" s="19"/>
      <c r="EI437" s="19"/>
      <c r="EJ437" s="19"/>
      <c r="EK437" s="19"/>
      <c r="EL437" s="19"/>
      <c r="EM437" s="19"/>
      <c r="EN437" s="19"/>
      <c r="EO437" s="19"/>
      <c r="EP437" s="17"/>
      <c r="EQ437" s="23"/>
      <c r="ER437" s="23" t="str">
        <f t="shared" si="1"/>
        <v/>
      </c>
      <c r="ES437" s="19"/>
      <c r="ET437" s="19" t="str">
        <f t="shared" si="2"/>
        <v/>
      </c>
      <c r="EU437" s="19"/>
      <c r="EV437" s="19"/>
      <c r="EW437" s="19"/>
      <c r="EX437" s="19"/>
      <c r="EY437" s="19"/>
      <c r="EZ437" s="19"/>
      <c r="FA437" s="19"/>
      <c r="FB437" s="19"/>
    </row>
    <row r="438" ht="15.75" customHeight="1">
      <c r="A438" s="19"/>
      <c r="F438" s="19"/>
      <c r="AH438" s="23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  <c r="BD438" s="19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  <c r="BP438" s="19"/>
      <c r="BQ438" s="19"/>
      <c r="BR438" s="19"/>
      <c r="BS438" s="19"/>
      <c r="BT438" s="19"/>
      <c r="BU438" s="19"/>
      <c r="BV438" s="19"/>
      <c r="BW438" s="19"/>
      <c r="BX438" s="19"/>
      <c r="BY438" s="19"/>
      <c r="BZ438" s="19"/>
      <c r="CA438" s="19"/>
      <c r="CB438" s="19"/>
      <c r="CC438" s="19"/>
      <c r="CD438" s="19"/>
      <c r="CE438" s="19"/>
      <c r="CF438" s="19"/>
      <c r="CG438" s="19"/>
      <c r="CH438" s="19"/>
      <c r="CI438" s="19"/>
      <c r="CJ438" s="19"/>
      <c r="CK438" s="19"/>
      <c r="CL438" s="19"/>
      <c r="CM438" s="19"/>
      <c r="CN438" s="19"/>
      <c r="CO438" s="19"/>
      <c r="CP438" s="19"/>
      <c r="CQ438" s="19"/>
      <c r="CR438" s="19"/>
      <c r="CS438" s="19"/>
      <c r="CT438" s="19"/>
      <c r="CU438" s="19"/>
      <c r="CV438" s="19"/>
      <c r="CW438" s="19"/>
      <c r="CX438" s="19"/>
      <c r="CY438" s="19"/>
      <c r="CZ438" s="19"/>
      <c r="DA438" s="19"/>
      <c r="DB438" s="19"/>
      <c r="DC438" s="19"/>
      <c r="DD438" s="19"/>
      <c r="DE438" s="19"/>
      <c r="DF438" s="19"/>
      <c r="DG438" s="19"/>
      <c r="DH438" s="19"/>
      <c r="DI438" s="19"/>
      <c r="DJ438" s="19"/>
      <c r="DK438" s="19"/>
      <c r="DL438" s="19"/>
      <c r="DM438" s="19"/>
      <c r="DN438" s="19"/>
      <c r="DO438" s="19"/>
      <c r="DP438" s="19"/>
      <c r="DQ438" s="19"/>
      <c r="DR438" s="19"/>
      <c r="DS438" s="19"/>
      <c r="DT438" s="19"/>
      <c r="DU438" s="19"/>
      <c r="DV438" s="19"/>
      <c r="DW438" s="19"/>
      <c r="DX438" s="19"/>
      <c r="DY438" s="19"/>
      <c r="DZ438" s="19"/>
      <c r="EA438" s="19"/>
      <c r="EB438" s="19"/>
      <c r="EC438" s="19"/>
      <c r="ED438" s="19"/>
      <c r="EE438" s="19"/>
      <c r="EF438" s="19"/>
      <c r="EG438" s="19"/>
      <c r="EH438" s="19"/>
      <c r="EI438" s="19"/>
      <c r="EJ438" s="19"/>
      <c r="EK438" s="19"/>
      <c r="EL438" s="19"/>
      <c r="EM438" s="19"/>
      <c r="EN438" s="19"/>
      <c r="EO438" s="19"/>
      <c r="EP438" s="17"/>
      <c r="EQ438" s="23"/>
      <c r="ER438" s="23" t="str">
        <f t="shared" si="1"/>
        <v/>
      </c>
      <c r="ES438" s="19"/>
      <c r="ET438" s="19" t="str">
        <f t="shared" si="2"/>
        <v/>
      </c>
      <c r="EU438" s="19"/>
      <c r="EV438" s="19"/>
      <c r="EW438" s="19"/>
      <c r="EX438" s="19"/>
      <c r="EY438" s="19"/>
      <c r="EZ438" s="19"/>
      <c r="FA438" s="19"/>
      <c r="FB438" s="19"/>
    </row>
    <row r="439" ht="15.75" customHeight="1">
      <c r="A439" s="19"/>
      <c r="F439" s="19"/>
      <c r="AH439" s="23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  <c r="BD439" s="19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  <c r="BP439" s="19"/>
      <c r="BQ439" s="19"/>
      <c r="BR439" s="19"/>
      <c r="BS439" s="19"/>
      <c r="BT439" s="19"/>
      <c r="BU439" s="19"/>
      <c r="BV439" s="19"/>
      <c r="BW439" s="19"/>
      <c r="BX439" s="19"/>
      <c r="BY439" s="19"/>
      <c r="BZ439" s="19"/>
      <c r="CA439" s="19"/>
      <c r="CB439" s="19"/>
      <c r="CC439" s="19"/>
      <c r="CD439" s="19"/>
      <c r="CE439" s="19"/>
      <c r="CF439" s="19"/>
      <c r="CG439" s="19"/>
      <c r="CH439" s="19"/>
      <c r="CI439" s="19"/>
      <c r="CJ439" s="19"/>
      <c r="CK439" s="19"/>
      <c r="CL439" s="19"/>
      <c r="CM439" s="19"/>
      <c r="CN439" s="19"/>
      <c r="CO439" s="19"/>
      <c r="CP439" s="19"/>
      <c r="CQ439" s="19"/>
      <c r="CR439" s="19"/>
      <c r="CS439" s="19"/>
      <c r="CT439" s="19"/>
      <c r="CU439" s="19"/>
      <c r="CV439" s="19"/>
      <c r="CW439" s="19"/>
      <c r="CX439" s="19"/>
      <c r="CY439" s="19"/>
      <c r="CZ439" s="19"/>
      <c r="DA439" s="19"/>
      <c r="DB439" s="19"/>
      <c r="DC439" s="19"/>
      <c r="DD439" s="19"/>
      <c r="DE439" s="19"/>
      <c r="DF439" s="19"/>
      <c r="DG439" s="19"/>
      <c r="DH439" s="19"/>
      <c r="DI439" s="19"/>
      <c r="DJ439" s="19"/>
      <c r="DK439" s="19"/>
      <c r="DL439" s="19"/>
      <c r="DM439" s="19"/>
      <c r="DN439" s="19"/>
      <c r="DO439" s="19"/>
      <c r="DP439" s="19"/>
      <c r="DQ439" s="19"/>
      <c r="DR439" s="19"/>
      <c r="DS439" s="19"/>
      <c r="DT439" s="19"/>
      <c r="DU439" s="19"/>
      <c r="DV439" s="19"/>
      <c r="DW439" s="19"/>
      <c r="DX439" s="19"/>
      <c r="DY439" s="19"/>
      <c r="DZ439" s="19"/>
      <c r="EA439" s="19"/>
      <c r="EB439" s="19"/>
      <c r="EC439" s="19"/>
      <c r="ED439" s="19"/>
      <c r="EE439" s="19"/>
      <c r="EF439" s="19"/>
      <c r="EG439" s="19"/>
      <c r="EH439" s="19"/>
      <c r="EI439" s="19"/>
      <c r="EJ439" s="19"/>
      <c r="EK439" s="19"/>
      <c r="EL439" s="19"/>
      <c r="EM439" s="19"/>
      <c r="EN439" s="19"/>
      <c r="EO439" s="19"/>
      <c r="EP439" s="17"/>
      <c r="EQ439" s="23"/>
      <c r="ER439" s="23" t="str">
        <f t="shared" si="1"/>
        <v/>
      </c>
      <c r="ES439" s="19"/>
      <c r="ET439" s="19" t="str">
        <f t="shared" si="2"/>
        <v/>
      </c>
      <c r="EU439" s="19"/>
      <c r="EV439" s="19"/>
      <c r="EW439" s="19"/>
      <c r="EX439" s="19"/>
      <c r="EY439" s="19"/>
      <c r="EZ439" s="19"/>
      <c r="FA439" s="19"/>
      <c r="FB439" s="19"/>
    </row>
    <row r="440" ht="15.75" customHeight="1">
      <c r="A440" s="19"/>
      <c r="F440" s="19"/>
      <c r="AH440" s="23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  <c r="BD440" s="19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  <c r="BP440" s="19"/>
      <c r="BQ440" s="19"/>
      <c r="BR440" s="19"/>
      <c r="BS440" s="19"/>
      <c r="BT440" s="19"/>
      <c r="BU440" s="19"/>
      <c r="BV440" s="19"/>
      <c r="BW440" s="19"/>
      <c r="BX440" s="19"/>
      <c r="BY440" s="19"/>
      <c r="BZ440" s="19"/>
      <c r="CA440" s="19"/>
      <c r="CB440" s="19"/>
      <c r="CC440" s="19"/>
      <c r="CD440" s="19"/>
      <c r="CE440" s="19"/>
      <c r="CF440" s="19"/>
      <c r="CG440" s="19"/>
      <c r="CH440" s="19"/>
      <c r="CI440" s="19"/>
      <c r="CJ440" s="19"/>
      <c r="CK440" s="19"/>
      <c r="CL440" s="19"/>
      <c r="CM440" s="19"/>
      <c r="CN440" s="19"/>
      <c r="CO440" s="19"/>
      <c r="CP440" s="19"/>
      <c r="CQ440" s="19"/>
      <c r="CR440" s="19"/>
      <c r="CS440" s="19"/>
      <c r="CT440" s="19"/>
      <c r="CU440" s="19"/>
      <c r="CV440" s="19"/>
      <c r="CW440" s="19"/>
      <c r="CX440" s="19"/>
      <c r="CY440" s="19"/>
      <c r="CZ440" s="19"/>
      <c r="DA440" s="19"/>
      <c r="DB440" s="19"/>
      <c r="DC440" s="19"/>
      <c r="DD440" s="19"/>
      <c r="DE440" s="19"/>
      <c r="DF440" s="19"/>
      <c r="DG440" s="19"/>
      <c r="DH440" s="19"/>
      <c r="DI440" s="19"/>
      <c r="DJ440" s="19"/>
      <c r="DK440" s="19"/>
      <c r="DL440" s="19"/>
      <c r="DM440" s="19"/>
      <c r="DN440" s="19"/>
      <c r="DO440" s="19"/>
      <c r="DP440" s="19"/>
      <c r="DQ440" s="19"/>
      <c r="DR440" s="19"/>
      <c r="DS440" s="19"/>
      <c r="DT440" s="19"/>
      <c r="DU440" s="19"/>
      <c r="DV440" s="19"/>
      <c r="DW440" s="19"/>
      <c r="DX440" s="19"/>
      <c r="DY440" s="19"/>
      <c r="DZ440" s="19"/>
      <c r="EA440" s="19"/>
      <c r="EB440" s="19"/>
      <c r="EC440" s="19"/>
      <c r="ED440" s="19"/>
      <c r="EE440" s="19"/>
      <c r="EF440" s="19"/>
      <c r="EG440" s="19"/>
      <c r="EH440" s="19"/>
      <c r="EI440" s="19"/>
      <c r="EJ440" s="19"/>
      <c r="EK440" s="19"/>
      <c r="EL440" s="19"/>
      <c r="EM440" s="19"/>
      <c r="EN440" s="19"/>
      <c r="EO440" s="19"/>
      <c r="EP440" s="17"/>
      <c r="EQ440" s="23"/>
      <c r="ER440" s="23" t="str">
        <f t="shared" si="1"/>
        <v/>
      </c>
      <c r="ES440" s="19"/>
      <c r="ET440" s="19" t="str">
        <f t="shared" si="2"/>
        <v/>
      </c>
      <c r="EU440" s="19"/>
      <c r="EV440" s="19"/>
      <c r="EW440" s="19"/>
      <c r="EX440" s="19"/>
      <c r="EY440" s="19"/>
      <c r="EZ440" s="19"/>
      <c r="FA440" s="19"/>
      <c r="FB440" s="19"/>
    </row>
    <row r="441" ht="15.75" customHeight="1">
      <c r="A441" s="19"/>
      <c r="F441" s="19"/>
      <c r="AH441" s="23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  <c r="BD441" s="19"/>
      <c r="BE441" s="19"/>
      <c r="BF441" s="19"/>
      <c r="BG441" s="19"/>
      <c r="BH441" s="19"/>
      <c r="BI441" s="19"/>
      <c r="BJ441" s="19"/>
      <c r="BK441" s="19"/>
      <c r="BL441" s="19"/>
      <c r="BM441" s="19"/>
      <c r="BN441" s="19"/>
      <c r="BO441" s="19"/>
      <c r="BP441" s="19"/>
      <c r="BQ441" s="19"/>
      <c r="BR441" s="19"/>
      <c r="BS441" s="19"/>
      <c r="BT441" s="19"/>
      <c r="BU441" s="19"/>
      <c r="BV441" s="19"/>
      <c r="BW441" s="19"/>
      <c r="BX441" s="19"/>
      <c r="BY441" s="19"/>
      <c r="BZ441" s="19"/>
      <c r="CA441" s="19"/>
      <c r="CB441" s="19"/>
      <c r="CC441" s="19"/>
      <c r="CD441" s="19"/>
      <c r="CE441" s="19"/>
      <c r="CF441" s="19"/>
      <c r="CG441" s="19"/>
      <c r="CH441" s="19"/>
      <c r="CI441" s="19"/>
      <c r="CJ441" s="19"/>
      <c r="CK441" s="19"/>
      <c r="CL441" s="19"/>
      <c r="CM441" s="19"/>
      <c r="CN441" s="19"/>
      <c r="CO441" s="19"/>
      <c r="CP441" s="19"/>
      <c r="CQ441" s="19"/>
      <c r="CR441" s="19"/>
      <c r="CS441" s="19"/>
      <c r="CT441" s="19"/>
      <c r="CU441" s="19"/>
      <c r="CV441" s="19"/>
      <c r="CW441" s="19"/>
      <c r="CX441" s="19"/>
      <c r="CY441" s="19"/>
      <c r="CZ441" s="19"/>
      <c r="DA441" s="19"/>
      <c r="DB441" s="19"/>
      <c r="DC441" s="19"/>
      <c r="DD441" s="19"/>
      <c r="DE441" s="19"/>
      <c r="DF441" s="19"/>
      <c r="DG441" s="19"/>
      <c r="DH441" s="19"/>
      <c r="DI441" s="19"/>
      <c r="DJ441" s="19"/>
      <c r="DK441" s="19"/>
      <c r="DL441" s="19"/>
      <c r="DM441" s="19"/>
      <c r="DN441" s="19"/>
      <c r="DO441" s="19"/>
      <c r="DP441" s="19"/>
      <c r="DQ441" s="19"/>
      <c r="DR441" s="19"/>
      <c r="DS441" s="19"/>
      <c r="DT441" s="19"/>
      <c r="DU441" s="19"/>
      <c r="DV441" s="19"/>
      <c r="DW441" s="19"/>
      <c r="DX441" s="19"/>
      <c r="DY441" s="19"/>
      <c r="DZ441" s="19"/>
      <c r="EA441" s="19"/>
      <c r="EB441" s="19"/>
      <c r="EC441" s="19"/>
      <c r="ED441" s="19"/>
      <c r="EE441" s="19"/>
      <c r="EF441" s="19"/>
      <c r="EG441" s="19"/>
      <c r="EH441" s="19"/>
      <c r="EI441" s="19"/>
      <c r="EJ441" s="19"/>
      <c r="EK441" s="19"/>
      <c r="EL441" s="19"/>
      <c r="EM441" s="19"/>
      <c r="EN441" s="19"/>
      <c r="EO441" s="19"/>
      <c r="EP441" s="17"/>
      <c r="EQ441" s="23"/>
      <c r="ER441" s="23" t="str">
        <f t="shared" si="1"/>
        <v/>
      </c>
      <c r="ES441" s="19"/>
      <c r="ET441" s="19" t="str">
        <f t="shared" si="2"/>
        <v/>
      </c>
      <c r="EU441" s="19"/>
      <c r="EV441" s="19"/>
      <c r="EW441" s="19"/>
      <c r="EX441" s="19"/>
      <c r="EY441" s="19"/>
      <c r="EZ441" s="19"/>
      <c r="FA441" s="19"/>
      <c r="FB441" s="19"/>
    </row>
    <row r="442" ht="15.75" customHeight="1">
      <c r="A442" s="19"/>
      <c r="F442" s="19"/>
      <c r="AH442" s="23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  <c r="BD442" s="19"/>
      <c r="BE442" s="19"/>
      <c r="BF442" s="19"/>
      <c r="BG442" s="19"/>
      <c r="BH442" s="19"/>
      <c r="BI442" s="19"/>
      <c r="BJ442" s="19"/>
      <c r="BK442" s="19"/>
      <c r="BL442" s="19"/>
      <c r="BM442" s="19"/>
      <c r="BN442" s="19"/>
      <c r="BO442" s="19"/>
      <c r="BP442" s="19"/>
      <c r="BQ442" s="19"/>
      <c r="BR442" s="19"/>
      <c r="BS442" s="19"/>
      <c r="BT442" s="19"/>
      <c r="BU442" s="19"/>
      <c r="BV442" s="19"/>
      <c r="BW442" s="19"/>
      <c r="BX442" s="19"/>
      <c r="BY442" s="19"/>
      <c r="BZ442" s="19"/>
      <c r="CA442" s="19"/>
      <c r="CB442" s="19"/>
      <c r="CC442" s="19"/>
      <c r="CD442" s="19"/>
      <c r="CE442" s="19"/>
      <c r="CF442" s="19"/>
      <c r="CG442" s="19"/>
      <c r="CH442" s="19"/>
      <c r="CI442" s="19"/>
      <c r="CJ442" s="19"/>
      <c r="CK442" s="19"/>
      <c r="CL442" s="19"/>
      <c r="CM442" s="19"/>
      <c r="CN442" s="19"/>
      <c r="CO442" s="19"/>
      <c r="CP442" s="19"/>
      <c r="CQ442" s="19"/>
      <c r="CR442" s="19"/>
      <c r="CS442" s="19"/>
      <c r="CT442" s="19"/>
      <c r="CU442" s="19"/>
      <c r="CV442" s="19"/>
      <c r="CW442" s="19"/>
      <c r="CX442" s="19"/>
      <c r="CY442" s="19"/>
      <c r="CZ442" s="19"/>
      <c r="DA442" s="19"/>
      <c r="DB442" s="19"/>
      <c r="DC442" s="19"/>
      <c r="DD442" s="19"/>
      <c r="DE442" s="19"/>
      <c r="DF442" s="19"/>
      <c r="DG442" s="19"/>
      <c r="DH442" s="19"/>
      <c r="DI442" s="19"/>
      <c r="DJ442" s="19"/>
      <c r="DK442" s="19"/>
      <c r="DL442" s="19"/>
      <c r="DM442" s="19"/>
      <c r="DN442" s="19"/>
      <c r="DO442" s="19"/>
      <c r="DP442" s="19"/>
      <c r="DQ442" s="19"/>
      <c r="DR442" s="19"/>
      <c r="DS442" s="19"/>
      <c r="DT442" s="19"/>
      <c r="DU442" s="19"/>
      <c r="DV442" s="19"/>
      <c r="DW442" s="19"/>
      <c r="DX442" s="19"/>
      <c r="DY442" s="19"/>
      <c r="DZ442" s="19"/>
      <c r="EA442" s="19"/>
      <c r="EB442" s="19"/>
      <c r="EC442" s="19"/>
      <c r="ED442" s="19"/>
      <c r="EE442" s="19"/>
      <c r="EF442" s="19"/>
      <c r="EG442" s="19"/>
      <c r="EH442" s="19"/>
      <c r="EI442" s="19"/>
      <c r="EJ442" s="19"/>
      <c r="EK442" s="19"/>
      <c r="EL442" s="19"/>
      <c r="EM442" s="19"/>
      <c r="EN442" s="19"/>
      <c r="EO442" s="19"/>
      <c r="EP442" s="17"/>
      <c r="EQ442" s="23"/>
      <c r="ER442" s="23" t="str">
        <f t="shared" si="1"/>
        <v/>
      </c>
      <c r="ES442" s="19"/>
      <c r="ET442" s="19" t="str">
        <f t="shared" si="2"/>
        <v/>
      </c>
      <c r="EU442" s="19"/>
      <c r="EV442" s="19"/>
      <c r="EW442" s="19"/>
      <c r="EX442" s="19"/>
      <c r="EY442" s="19"/>
      <c r="EZ442" s="19"/>
      <c r="FA442" s="19"/>
      <c r="FB442" s="19"/>
    </row>
    <row r="443" ht="15.75" customHeight="1">
      <c r="A443" s="19"/>
      <c r="F443" s="19"/>
      <c r="AH443" s="23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  <c r="BD443" s="19"/>
      <c r="BE443" s="19"/>
      <c r="BF443" s="19"/>
      <c r="BG443" s="19"/>
      <c r="BH443" s="19"/>
      <c r="BI443" s="19"/>
      <c r="BJ443" s="19"/>
      <c r="BK443" s="19"/>
      <c r="BL443" s="19"/>
      <c r="BM443" s="19"/>
      <c r="BN443" s="19"/>
      <c r="BO443" s="19"/>
      <c r="BP443" s="19"/>
      <c r="BQ443" s="19"/>
      <c r="BR443" s="19"/>
      <c r="BS443" s="19"/>
      <c r="BT443" s="19"/>
      <c r="BU443" s="19"/>
      <c r="BV443" s="19"/>
      <c r="BW443" s="19"/>
      <c r="BX443" s="19"/>
      <c r="BY443" s="19"/>
      <c r="BZ443" s="19"/>
      <c r="CA443" s="19"/>
      <c r="CB443" s="19"/>
      <c r="CC443" s="19"/>
      <c r="CD443" s="19"/>
      <c r="CE443" s="19"/>
      <c r="CF443" s="19"/>
      <c r="CG443" s="19"/>
      <c r="CH443" s="19"/>
      <c r="CI443" s="19"/>
      <c r="CJ443" s="19"/>
      <c r="CK443" s="19"/>
      <c r="CL443" s="19"/>
      <c r="CM443" s="19"/>
      <c r="CN443" s="19"/>
      <c r="CO443" s="19"/>
      <c r="CP443" s="19"/>
      <c r="CQ443" s="19"/>
      <c r="CR443" s="19"/>
      <c r="CS443" s="19"/>
      <c r="CT443" s="19"/>
      <c r="CU443" s="19"/>
      <c r="CV443" s="19"/>
      <c r="CW443" s="19"/>
      <c r="CX443" s="19"/>
      <c r="CY443" s="19"/>
      <c r="CZ443" s="19"/>
      <c r="DA443" s="19"/>
      <c r="DB443" s="19"/>
      <c r="DC443" s="19"/>
      <c r="DD443" s="19"/>
      <c r="DE443" s="19"/>
      <c r="DF443" s="19"/>
      <c r="DG443" s="19"/>
      <c r="DH443" s="19"/>
      <c r="DI443" s="19"/>
      <c r="DJ443" s="19"/>
      <c r="DK443" s="19"/>
      <c r="DL443" s="19"/>
      <c r="DM443" s="19"/>
      <c r="DN443" s="19"/>
      <c r="DO443" s="19"/>
      <c r="DP443" s="19"/>
      <c r="DQ443" s="19"/>
      <c r="DR443" s="19"/>
      <c r="DS443" s="19"/>
      <c r="DT443" s="19"/>
      <c r="DU443" s="19"/>
      <c r="DV443" s="19"/>
      <c r="DW443" s="19"/>
      <c r="DX443" s="19"/>
      <c r="DY443" s="19"/>
      <c r="DZ443" s="19"/>
      <c r="EA443" s="19"/>
      <c r="EB443" s="19"/>
      <c r="EC443" s="19"/>
      <c r="ED443" s="19"/>
      <c r="EE443" s="19"/>
      <c r="EF443" s="19"/>
      <c r="EG443" s="19"/>
      <c r="EH443" s="19"/>
      <c r="EI443" s="19"/>
      <c r="EJ443" s="19"/>
      <c r="EK443" s="19"/>
      <c r="EL443" s="19"/>
      <c r="EM443" s="19"/>
      <c r="EN443" s="19"/>
      <c r="EO443" s="19"/>
      <c r="EP443" s="17"/>
      <c r="EQ443" s="23"/>
      <c r="ER443" s="23" t="str">
        <f t="shared" si="1"/>
        <v/>
      </c>
      <c r="ES443" s="19"/>
      <c r="ET443" s="19" t="str">
        <f t="shared" si="2"/>
        <v/>
      </c>
      <c r="EU443" s="19"/>
      <c r="EV443" s="19"/>
      <c r="EW443" s="19"/>
      <c r="EX443" s="19"/>
      <c r="EY443" s="19"/>
      <c r="EZ443" s="19"/>
      <c r="FA443" s="19"/>
      <c r="FB443" s="19"/>
    </row>
    <row r="444" ht="15.75" customHeight="1">
      <c r="A444" s="19"/>
      <c r="F444" s="19"/>
      <c r="AH444" s="23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  <c r="BD444" s="19"/>
      <c r="BE444" s="19"/>
      <c r="BF444" s="19"/>
      <c r="BG444" s="19"/>
      <c r="BH444" s="19"/>
      <c r="BI444" s="19"/>
      <c r="BJ444" s="19"/>
      <c r="BK444" s="19"/>
      <c r="BL444" s="19"/>
      <c r="BM444" s="19"/>
      <c r="BN444" s="19"/>
      <c r="BO444" s="19"/>
      <c r="BP444" s="19"/>
      <c r="BQ444" s="19"/>
      <c r="BR444" s="19"/>
      <c r="BS444" s="19"/>
      <c r="BT444" s="19"/>
      <c r="BU444" s="19"/>
      <c r="BV444" s="19"/>
      <c r="BW444" s="19"/>
      <c r="BX444" s="19"/>
      <c r="BY444" s="19"/>
      <c r="BZ444" s="19"/>
      <c r="CA444" s="19"/>
      <c r="CB444" s="19"/>
      <c r="CC444" s="19"/>
      <c r="CD444" s="19"/>
      <c r="CE444" s="19"/>
      <c r="CF444" s="19"/>
      <c r="CG444" s="19"/>
      <c r="CH444" s="19"/>
      <c r="CI444" s="19"/>
      <c r="CJ444" s="19"/>
      <c r="CK444" s="19"/>
      <c r="CL444" s="19"/>
      <c r="CM444" s="19"/>
      <c r="CN444" s="19"/>
      <c r="CO444" s="19"/>
      <c r="CP444" s="19"/>
      <c r="CQ444" s="19"/>
      <c r="CR444" s="19"/>
      <c r="CS444" s="19"/>
      <c r="CT444" s="19"/>
      <c r="CU444" s="19"/>
      <c r="CV444" s="19"/>
      <c r="CW444" s="19"/>
      <c r="CX444" s="19"/>
      <c r="CY444" s="19"/>
      <c r="CZ444" s="19"/>
      <c r="DA444" s="19"/>
      <c r="DB444" s="19"/>
      <c r="DC444" s="19"/>
      <c r="DD444" s="19"/>
      <c r="DE444" s="19"/>
      <c r="DF444" s="19"/>
      <c r="DG444" s="19"/>
      <c r="DH444" s="19"/>
      <c r="DI444" s="19"/>
      <c r="DJ444" s="19"/>
      <c r="DK444" s="19"/>
      <c r="DL444" s="19"/>
      <c r="DM444" s="19"/>
      <c r="DN444" s="19"/>
      <c r="DO444" s="19"/>
      <c r="DP444" s="19"/>
      <c r="DQ444" s="19"/>
      <c r="DR444" s="19"/>
      <c r="DS444" s="19"/>
      <c r="DT444" s="19"/>
      <c r="DU444" s="19"/>
      <c r="DV444" s="19"/>
      <c r="DW444" s="19"/>
      <c r="DX444" s="19"/>
      <c r="DY444" s="19"/>
      <c r="DZ444" s="19"/>
      <c r="EA444" s="19"/>
      <c r="EB444" s="19"/>
      <c r="EC444" s="19"/>
      <c r="ED444" s="19"/>
      <c r="EE444" s="19"/>
      <c r="EF444" s="19"/>
      <c r="EG444" s="19"/>
      <c r="EH444" s="19"/>
      <c r="EI444" s="19"/>
      <c r="EJ444" s="19"/>
      <c r="EK444" s="19"/>
      <c r="EL444" s="19"/>
      <c r="EM444" s="19"/>
      <c r="EN444" s="19"/>
      <c r="EO444" s="19"/>
      <c r="EP444" s="17"/>
      <c r="EQ444" s="23"/>
      <c r="ER444" s="23" t="str">
        <f t="shared" si="1"/>
        <v/>
      </c>
      <c r="ES444" s="19"/>
      <c r="ET444" s="19" t="str">
        <f t="shared" si="2"/>
        <v/>
      </c>
      <c r="EU444" s="19"/>
      <c r="EV444" s="19"/>
      <c r="EW444" s="19"/>
      <c r="EX444" s="19"/>
      <c r="EY444" s="19"/>
      <c r="EZ444" s="19"/>
      <c r="FA444" s="19"/>
      <c r="FB444" s="19"/>
    </row>
    <row r="445" ht="15.75" customHeight="1">
      <c r="A445" s="19"/>
      <c r="F445" s="19"/>
      <c r="AH445" s="23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  <c r="BD445" s="19"/>
      <c r="BE445" s="19"/>
      <c r="BF445" s="19"/>
      <c r="BG445" s="19"/>
      <c r="BH445" s="19"/>
      <c r="BI445" s="19"/>
      <c r="BJ445" s="19"/>
      <c r="BK445" s="19"/>
      <c r="BL445" s="19"/>
      <c r="BM445" s="19"/>
      <c r="BN445" s="19"/>
      <c r="BO445" s="19"/>
      <c r="BP445" s="19"/>
      <c r="BQ445" s="19"/>
      <c r="BR445" s="19"/>
      <c r="BS445" s="19"/>
      <c r="BT445" s="19"/>
      <c r="BU445" s="19"/>
      <c r="BV445" s="19"/>
      <c r="BW445" s="19"/>
      <c r="BX445" s="19"/>
      <c r="BY445" s="19"/>
      <c r="BZ445" s="19"/>
      <c r="CA445" s="19"/>
      <c r="CB445" s="19"/>
      <c r="CC445" s="19"/>
      <c r="CD445" s="19"/>
      <c r="CE445" s="19"/>
      <c r="CF445" s="19"/>
      <c r="CG445" s="19"/>
      <c r="CH445" s="19"/>
      <c r="CI445" s="19"/>
      <c r="CJ445" s="19"/>
      <c r="CK445" s="19"/>
      <c r="CL445" s="19"/>
      <c r="CM445" s="19"/>
      <c r="CN445" s="19"/>
      <c r="CO445" s="19"/>
      <c r="CP445" s="19"/>
      <c r="CQ445" s="19"/>
      <c r="CR445" s="19"/>
      <c r="CS445" s="19"/>
      <c r="CT445" s="19"/>
      <c r="CU445" s="19"/>
      <c r="CV445" s="19"/>
      <c r="CW445" s="19"/>
      <c r="CX445" s="19"/>
      <c r="CY445" s="19"/>
      <c r="CZ445" s="19"/>
      <c r="DA445" s="19"/>
      <c r="DB445" s="19"/>
      <c r="DC445" s="19"/>
      <c r="DD445" s="19"/>
      <c r="DE445" s="19"/>
      <c r="DF445" s="19"/>
      <c r="DG445" s="19"/>
      <c r="DH445" s="19"/>
      <c r="DI445" s="19"/>
      <c r="DJ445" s="19"/>
      <c r="DK445" s="19"/>
      <c r="DL445" s="19"/>
      <c r="DM445" s="19"/>
      <c r="DN445" s="19"/>
      <c r="DO445" s="19"/>
      <c r="DP445" s="19"/>
      <c r="DQ445" s="19"/>
      <c r="DR445" s="19"/>
      <c r="DS445" s="19"/>
      <c r="DT445" s="19"/>
      <c r="DU445" s="19"/>
      <c r="DV445" s="19"/>
      <c r="DW445" s="19"/>
      <c r="DX445" s="19"/>
      <c r="DY445" s="19"/>
      <c r="DZ445" s="19"/>
      <c r="EA445" s="19"/>
      <c r="EB445" s="19"/>
      <c r="EC445" s="19"/>
      <c r="ED445" s="19"/>
      <c r="EE445" s="19"/>
      <c r="EF445" s="19"/>
      <c r="EG445" s="19"/>
      <c r="EH445" s="19"/>
      <c r="EI445" s="19"/>
      <c r="EJ445" s="19"/>
      <c r="EK445" s="19"/>
      <c r="EL445" s="19"/>
      <c r="EM445" s="19"/>
      <c r="EN445" s="19"/>
      <c r="EO445" s="19"/>
      <c r="EP445" s="17"/>
      <c r="EQ445" s="23"/>
      <c r="ER445" s="23" t="str">
        <f t="shared" si="1"/>
        <v/>
      </c>
      <c r="ES445" s="19"/>
      <c r="ET445" s="19" t="str">
        <f t="shared" si="2"/>
        <v/>
      </c>
      <c r="EU445" s="19"/>
      <c r="EV445" s="19"/>
      <c r="EW445" s="19"/>
      <c r="EX445" s="19"/>
      <c r="EY445" s="19"/>
      <c r="EZ445" s="19"/>
      <c r="FA445" s="19"/>
      <c r="FB445" s="19"/>
    </row>
    <row r="446" ht="15.75" customHeight="1">
      <c r="A446" s="19"/>
      <c r="F446" s="19"/>
      <c r="AH446" s="23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  <c r="BD446" s="19"/>
      <c r="BE446" s="19"/>
      <c r="BF446" s="19"/>
      <c r="BG446" s="19"/>
      <c r="BH446" s="19"/>
      <c r="BI446" s="19"/>
      <c r="BJ446" s="19"/>
      <c r="BK446" s="19"/>
      <c r="BL446" s="19"/>
      <c r="BM446" s="19"/>
      <c r="BN446" s="19"/>
      <c r="BO446" s="19"/>
      <c r="BP446" s="19"/>
      <c r="BQ446" s="19"/>
      <c r="BR446" s="19"/>
      <c r="BS446" s="19"/>
      <c r="BT446" s="19"/>
      <c r="BU446" s="19"/>
      <c r="BV446" s="19"/>
      <c r="BW446" s="19"/>
      <c r="BX446" s="19"/>
      <c r="BY446" s="19"/>
      <c r="BZ446" s="19"/>
      <c r="CA446" s="19"/>
      <c r="CB446" s="19"/>
      <c r="CC446" s="19"/>
      <c r="CD446" s="19"/>
      <c r="CE446" s="19"/>
      <c r="CF446" s="19"/>
      <c r="CG446" s="19"/>
      <c r="CH446" s="19"/>
      <c r="CI446" s="19"/>
      <c r="CJ446" s="19"/>
      <c r="CK446" s="19"/>
      <c r="CL446" s="19"/>
      <c r="CM446" s="19"/>
      <c r="CN446" s="19"/>
      <c r="CO446" s="19"/>
      <c r="CP446" s="19"/>
      <c r="CQ446" s="19"/>
      <c r="CR446" s="19"/>
      <c r="CS446" s="19"/>
      <c r="CT446" s="19"/>
      <c r="CU446" s="19"/>
      <c r="CV446" s="19"/>
      <c r="CW446" s="19"/>
      <c r="CX446" s="19"/>
      <c r="CY446" s="19"/>
      <c r="CZ446" s="19"/>
      <c r="DA446" s="19"/>
      <c r="DB446" s="19"/>
      <c r="DC446" s="19"/>
      <c r="DD446" s="19"/>
      <c r="DE446" s="19"/>
      <c r="DF446" s="19"/>
      <c r="DG446" s="19"/>
      <c r="DH446" s="19"/>
      <c r="DI446" s="19"/>
      <c r="DJ446" s="19"/>
      <c r="DK446" s="19"/>
      <c r="DL446" s="19"/>
      <c r="DM446" s="19"/>
      <c r="DN446" s="19"/>
      <c r="DO446" s="19"/>
      <c r="DP446" s="19"/>
      <c r="DQ446" s="19"/>
      <c r="DR446" s="19"/>
      <c r="DS446" s="19"/>
      <c r="DT446" s="19"/>
      <c r="DU446" s="19"/>
      <c r="DV446" s="19"/>
      <c r="DW446" s="19"/>
      <c r="DX446" s="19"/>
      <c r="DY446" s="19"/>
      <c r="DZ446" s="19"/>
      <c r="EA446" s="19"/>
      <c r="EB446" s="19"/>
      <c r="EC446" s="19"/>
      <c r="ED446" s="19"/>
      <c r="EE446" s="19"/>
      <c r="EF446" s="19"/>
      <c r="EG446" s="19"/>
      <c r="EH446" s="19"/>
      <c r="EI446" s="19"/>
      <c r="EJ446" s="19"/>
      <c r="EK446" s="19"/>
      <c r="EL446" s="19"/>
      <c r="EM446" s="19"/>
      <c r="EN446" s="19"/>
      <c r="EO446" s="19"/>
      <c r="EP446" s="17"/>
      <c r="EQ446" s="23"/>
      <c r="ER446" s="23" t="str">
        <f t="shared" si="1"/>
        <v/>
      </c>
      <c r="ES446" s="19"/>
      <c r="ET446" s="19" t="str">
        <f t="shared" si="2"/>
        <v/>
      </c>
      <c r="EU446" s="19"/>
      <c r="EV446" s="19"/>
      <c r="EW446" s="19"/>
      <c r="EX446" s="19"/>
      <c r="EY446" s="19"/>
      <c r="EZ446" s="19"/>
      <c r="FA446" s="19"/>
      <c r="FB446" s="19"/>
    </row>
    <row r="447" ht="15.75" customHeight="1">
      <c r="A447" s="19"/>
      <c r="F447" s="19"/>
      <c r="AH447" s="23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  <c r="BD447" s="19"/>
      <c r="BE447" s="19"/>
      <c r="BF447" s="19"/>
      <c r="BG447" s="19"/>
      <c r="BH447" s="19"/>
      <c r="BI447" s="19"/>
      <c r="BJ447" s="19"/>
      <c r="BK447" s="19"/>
      <c r="BL447" s="19"/>
      <c r="BM447" s="19"/>
      <c r="BN447" s="19"/>
      <c r="BO447" s="19"/>
      <c r="BP447" s="19"/>
      <c r="BQ447" s="19"/>
      <c r="BR447" s="19"/>
      <c r="BS447" s="19"/>
      <c r="BT447" s="19"/>
      <c r="BU447" s="19"/>
      <c r="BV447" s="19"/>
      <c r="BW447" s="19"/>
      <c r="BX447" s="19"/>
      <c r="BY447" s="19"/>
      <c r="BZ447" s="19"/>
      <c r="CA447" s="19"/>
      <c r="CB447" s="19"/>
      <c r="CC447" s="19"/>
      <c r="CD447" s="19"/>
      <c r="CE447" s="19"/>
      <c r="CF447" s="19"/>
      <c r="CG447" s="19"/>
      <c r="CH447" s="19"/>
      <c r="CI447" s="19"/>
      <c r="CJ447" s="19"/>
      <c r="CK447" s="19"/>
      <c r="CL447" s="19"/>
      <c r="CM447" s="19"/>
      <c r="CN447" s="19"/>
      <c r="CO447" s="19"/>
      <c r="CP447" s="19"/>
      <c r="CQ447" s="19"/>
      <c r="CR447" s="19"/>
      <c r="CS447" s="19"/>
      <c r="CT447" s="19"/>
      <c r="CU447" s="19"/>
      <c r="CV447" s="19"/>
      <c r="CW447" s="19"/>
      <c r="CX447" s="19"/>
      <c r="CY447" s="19"/>
      <c r="CZ447" s="19"/>
      <c r="DA447" s="19"/>
      <c r="DB447" s="19"/>
      <c r="DC447" s="19"/>
      <c r="DD447" s="19"/>
      <c r="DE447" s="19"/>
      <c r="DF447" s="19"/>
      <c r="DG447" s="19"/>
      <c r="DH447" s="19"/>
      <c r="DI447" s="19"/>
      <c r="DJ447" s="19"/>
      <c r="DK447" s="19"/>
      <c r="DL447" s="19"/>
      <c r="DM447" s="19"/>
      <c r="DN447" s="19"/>
      <c r="DO447" s="19"/>
      <c r="DP447" s="19"/>
      <c r="DQ447" s="19"/>
      <c r="DR447" s="19"/>
      <c r="DS447" s="19"/>
      <c r="DT447" s="19"/>
      <c r="DU447" s="19"/>
      <c r="DV447" s="19"/>
      <c r="DW447" s="19"/>
      <c r="DX447" s="19"/>
      <c r="DY447" s="19"/>
      <c r="DZ447" s="19"/>
      <c r="EA447" s="19"/>
      <c r="EB447" s="19"/>
      <c r="EC447" s="19"/>
      <c r="ED447" s="19"/>
      <c r="EE447" s="19"/>
      <c r="EF447" s="19"/>
      <c r="EG447" s="19"/>
      <c r="EH447" s="19"/>
      <c r="EI447" s="19"/>
      <c r="EJ447" s="19"/>
      <c r="EK447" s="19"/>
      <c r="EL447" s="19"/>
      <c r="EM447" s="19"/>
      <c r="EN447" s="19"/>
      <c r="EO447" s="19"/>
      <c r="EP447" s="17"/>
      <c r="EQ447" s="23"/>
      <c r="ER447" s="23" t="str">
        <f t="shared" si="1"/>
        <v/>
      </c>
      <c r="ES447" s="19"/>
      <c r="ET447" s="19" t="str">
        <f t="shared" si="2"/>
        <v/>
      </c>
      <c r="EU447" s="19"/>
      <c r="EV447" s="19"/>
      <c r="EW447" s="19"/>
      <c r="EX447" s="19"/>
      <c r="EY447" s="19"/>
      <c r="EZ447" s="19"/>
      <c r="FA447" s="19"/>
      <c r="FB447" s="19"/>
    </row>
    <row r="448" ht="15.75" customHeight="1">
      <c r="A448" s="19"/>
      <c r="F448" s="19"/>
      <c r="AH448" s="23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  <c r="BD448" s="19"/>
      <c r="BE448" s="19"/>
      <c r="BF448" s="19"/>
      <c r="BG448" s="19"/>
      <c r="BH448" s="19"/>
      <c r="BI448" s="19"/>
      <c r="BJ448" s="19"/>
      <c r="BK448" s="19"/>
      <c r="BL448" s="19"/>
      <c r="BM448" s="19"/>
      <c r="BN448" s="19"/>
      <c r="BO448" s="19"/>
      <c r="BP448" s="19"/>
      <c r="BQ448" s="19"/>
      <c r="BR448" s="19"/>
      <c r="BS448" s="19"/>
      <c r="BT448" s="19"/>
      <c r="BU448" s="19"/>
      <c r="BV448" s="19"/>
      <c r="BW448" s="19"/>
      <c r="BX448" s="19"/>
      <c r="BY448" s="19"/>
      <c r="BZ448" s="19"/>
      <c r="CA448" s="19"/>
      <c r="CB448" s="19"/>
      <c r="CC448" s="19"/>
      <c r="CD448" s="19"/>
      <c r="CE448" s="19"/>
      <c r="CF448" s="19"/>
      <c r="CG448" s="19"/>
      <c r="CH448" s="19"/>
      <c r="CI448" s="19"/>
      <c r="CJ448" s="19"/>
      <c r="CK448" s="19"/>
      <c r="CL448" s="19"/>
      <c r="CM448" s="19"/>
      <c r="CN448" s="19"/>
      <c r="CO448" s="19"/>
      <c r="CP448" s="19"/>
      <c r="CQ448" s="19"/>
      <c r="CR448" s="19"/>
      <c r="CS448" s="19"/>
      <c r="CT448" s="19"/>
      <c r="CU448" s="19"/>
      <c r="CV448" s="19"/>
      <c r="CW448" s="19"/>
      <c r="CX448" s="19"/>
      <c r="CY448" s="19"/>
      <c r="CZ448" s="19"/>
      <c r="DA448" s="19"/>
      <c r="DB448" s="19"/>
      <c r="DC448" s="19"/>
      <c r="DD448" s="19"/>
      <c r="DE448" s="19"/>
      <c r="DF448" s="19"/>
      <c r="DG448" s="19"/>
      <c r="DH448" s="19"/>
      <c r="DI448" s="19"/>
      <c r="DJ448" s="19"/>
      <c r="DK448" s="19"/>
      <c r="DL448" s="19"/>
      <c r="DM448" s="19"/>
      <c r="DN448" s="19"/>
      <c r="DO448" s="19"/>
      <c r="DP448" s="19"/>
      <c r="DQ448" s="19"/>
      <c r="DR448" s="19"/>
      <c r="DS448" s="19"/>
      <c r="DT448" s="19"/>
      <c r="DU448" s="19"/>
      <c r="DV448" s="19"/>
      <c r="DW448" s="19"/>
      <c r="DX448" s="19"/>
      <c r="DY448" s="19"/>
      <c r="DZ448" s="19"/>
      <c r="EA448" s="19"/>
      <c r="EB448" s="19"/>
      <c r="EC448" s="19"/>
      <c r="ED448" s="19"/>
      <c r="EE448" s="19"/>
      <c r="EF448" s="19"/>
      <c r="EG448" s="19"/>
      <c r="EH448" s="19"/>
      <c r="EI448" s="19"/>
      <c r="EJ448" s="19"/>
      <c r="EK448" s="19"/>
      <c r="EL448" s="19"/>
      <c r="EM448" s="19"/>
      <c r="EN448" s="19"/>
      <c r="EO448" s="19"/>
      <c r="EP448" s="17"/>
      <c r="EQ448" s="23"/>
      <c r="ER448" s="23" t="str">
        <f t="shared" si="1"/>
        <v/>
      </c>
      <c r="ES448" s="19"/>
      <c r="ET448" s="19" t="str">
        <f t="shared" si="2"/>
        <v/>
      </c>
      <c r="EU448" s="19"/>
      <c r="EV448" s="19"/>
      <c r="EW448" s="19"/>
      <c r="EX448" s="19"/>
      <c r="EY448" s="19"/>
      <c r="EZ448" s="19"/>
      <c r="FA448" s="19"/>
      <c r="FB448" s="19"/>
    </row>
    <row r="449" ht="15.75" customHeight="1">
      <c r="A449" s="19"/>
      <c r="F449" s="19"/>
      <c r="AH449" s="23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  <c r="BD449" s="19"/>
      <c r="BE449" s="19"/>
      <c r="BF449" s="19"/>
      <c r="BG449" s="19"/>
      <c r="BH449" s="19"/>
      <c r="BI449" s="19"/>
      <c r="BJ449" s="19"/>
      <c r="BK449" s="19"/>
      <c r="BL449" s="19"/>
      <c r="BM449" s="19"/>
      <c r="BN449" s="19"/>
      <c r="BO449" s="19"/>
      <c r="BP449" s="19"/>
      <c r="BQ449" s="19"/>
      <c r="BR449" s="19"/>
      <c r="BS449" s="19"/>
      <c r="BT449" s="19"/>
      <c r="BU449" s="19"/>
      <c r="BV449" s="19"/>
      <c r="BW449" s="19"/>
      <c r="BX449" s="19"/>
      <c r="BY449" s="19"/>
      <c r="BZ449" s="19"/>
      <c r="CA449" s="19"/>
      <c r="CB449" s="19"/>
      <c r="CC449" s="19"/>
      <c r="CD449" s="19"/>
      <c r="CE449" s="19"/>
      <c r="CF449" s="19"/>
      <c r="CG449" s="19"/>
      <c r="CH449" s="19"/>
      <c r="CI449" s="19"/>
      <c r="CJ449" s="19"/>
      <c r="CK449" s="19"/>
      <c r="CL449" s="19"/>
      <c r="CM449" s="19"/>
      <c r="CN449" s="19"/>
      <c r="CO449" s="19"/>
      <c r="CP449" s="19"/>
      <c r="CQ449" s="19"/>
      <c r="CR449" s="19"/>
      <c r="CS449" s="19"/>
      <c r="CT449" s="19"/>
      <c r="CU449" s="19"/>
      <c r="CV449" s="19"/>
      <c r="CW449" s="19"/>
      <c r="CX449" s="19"/>
      <c r="CY449" s="19"/>
      <c r="CZ449" s="19"/>
      <c r="DA449" s="19"/>
      <c r="DB449" s="19"/>
      <c r="DC449" s="19"/>
      <c r="DD449" s="19"/>
      <c r="DE449" s="19"/>
      <c r="DF449" s="19"/>
      <c r="DG449" s="19"/>
      <c r="DH449" s="19"/>
      <c r="DI449" s="19"/>
      <c r="DJ449" s="19"/>
      <c r="DK449" s="19"/>
      <c r="DL449" s="19"/>
      <c r="DM449" s="19"/>
      <c r="DN449" s="19"/>
      <c r="DO449" s="19"/>
      <c r="DP449" s="19"/>
      <c r="DQ449" s="19"/>
      <c r="DR449" s="19"/>
      <c r="DS449" s="19"/>
      <c r="DT449" s="19"/>
      <c r="DU449" s="19"/>
      <c r="DV449" s="19"/>
      <c r="DW449" s="19"/>
      <c r="DX449" s="19"/>
      <c r="DY449" s="19"/>
      <c r="DZ449" s="19"/>
      <c r="EA449" s="19"/>
      <c r="EB449" s="19"/>
      <c r="EC449" s="19"/>
      <c r="ED449" s="19"/>
      <c r="EE449" s="19"/>
      <c r="EF449" s="19"/>
      <c r="EG449" s="19"/>
      <c r="EH449" s="19"/>
      <c r="EI449" s="19"/>
      <c r="EJ449" s="19"/>
      <c r="EK449" s="19"/>
      <c r="EL449" s="19"/>
      <c r="EM449" s="19"/>
      <c r="EN449" s="19"/>
      <c r="EO449" s="19"/>
      <c r="EP449" s="17"/>
      <c r="EQ449" s="23"/>
      <c r="ER449" s="23" t="str">
        <f t="shared" si="1"/>
        <v/>
      </c>
      <c r="ES449" s="19"/>
      <c r="ET449" s="19" t="str">
        <f t="shared" si="2"/>
        <v/>
      </c>
      <c r="EU449" s="19"/>
      <c r="EV449" s="19"/>
      <c r="EW449" s="19"/>
      <c r="EX449" s="19"/>
      <c r="EY449" s="19"/>
      <c r="EZ449" s="19"/>
      <c r="FA449" s="19"/>
      <c r="FB449" s="19"/>
    </row>
    <row r="450" ht="15.75" customHeight="1">
      <c r="A450" s="19"/>
      <c r="F450" s="19"/>
      <c r="AH450" s="23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  <c r="BD450" s="19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  <c r="BP450" s="19"/>
      <c r="BQ450" s="19"/>
      <c r="BR450" s="19"/>
      <c r="BS450" s="19"/>
      <c r="BT450" s="19"/>
      <c r="BU450" s="19"/>
      <c r="BV450" s="19"/>
      <c r="BW450" s="19"/>
      <c r="BX450" s="19"/>
      <c r="BY450" s="19"/>
      <c r="BZ450" s="19"/>
      <c r="CA450" s="19"/>
      <c r="CB450" s="19"/>
      <c r="CC450" s="19"/>
      <c r="CD450" s="19"/>
      <c r="CE450" s="19"/>
      <c r="CF450" s="19"/>
      <c r="CG450" s="19"/>
      <c r="CH450" s="19"/>
      <c r="CI450" s="19"/>
      <c r="CJ450" s="19"/>
      <c r="CK450" s="19"/>
      <c r="CL450" s="19"/>
      <c r="CM450" s="19"/>
      <c r="CN450" s="19"/>
      <c r="CO450" s="19"/>
      <c r="CP450" s="19"/>
      <c r="CQ450" s="19"/>
      <c r="CR450" s="19"/>
      <c r="CS450" s="19"/>
      <c r="CT450" s="19"/>
      <c r="CU450" s="19"/>
      <c r="CV450" s="19"/>
      <c r="CW450" s="19"/>
      <c r="CX450" s="19"/>
      <c r="CY450" s="19"/>
      <c r="CZ450" s="19"/>
      <c r="DA450" s="19"/>
      <c r="DB450" s="19"/>
      <c r="DC450" s="19"/>
      <c r="DD450" s="19"/>
      <c r="DE450" s="19"/>
      <c r="DF450" s="19"/>
      <c r="DG450" s="19"/>
      <c r="DH450" s="19"/>
      <c r="DI450" s="19"/>
      <c r="DJ450" s="19"/>
      <c r="DK450" s="19"/>
      <c r="DL450" s="19"/>
      <c r="DM450" s="19"/>
      <c r="DN450" s="19"/>
      <c r="DO450" s="19"/>
      <c r="DP450" s="19"/>
      <c r="DQ450" s="19"/>
      <c r="DR450" s="19"/>
      <c r="DS450" s="19"/>
      <c r="DT450" s="19"/>
      <c r="DU450" s="19"/>
      <c r="DV450" s="19"/>
      <c r="DW450" s="19"/>
      <c r="DX450" s="19"/>
      <c r="DY450" s="19"/>
      <c r="DZ450" s="19"/>
      <c r="EA450" s="19"/>
      <c r="EB450" s="19"/>
      <c r="EC450" s="19"/>
      <c r="ED450" s="19"/>
      <c r="EE450" s="19"/>
      <c r="EF450" s="19"/>
      <c r="EG450" s="19"/>
      <c r="EH450" s="19"/>
      <c r="EI450" s="19"/>
      <c r="EJ450" s="19"/>
      <c r="EK450" s="19"/>
      <c r="EL450" s="19"/>
      <c r="EM450" s="19"/>
      <c r="EN450" s="19"/>
      <c r="EO450" s="19"/>
      <c r="EP450" s="17"/>
      <c r="EQ450" s="23"/>
      <c r="ER450" s="23" t="str">
        <f t="shared" si="1"/>
        <v/>
      </c>
      <c r="ES450" s="19"/>
      <c r="ET450" s="19" t="str">
        <f t="shared" si="2"/>
        <v/>
      </c>
      <c r="EU450" s="19"/>
      <c r="EV450" s="19"/>
      <c r="EW450" s="19"/>
      <c r="EX450" s="19"/>
      <c r="EY450" s="19"/>
      <c r="EZ450" s="19"/>
      <c r="FA450" s="19"/>
      <c r="FB450" s="19"/>
    </row>
    <row r="451" ht="15.75" customHeight="1">
      <c r="A451" s="19"/>
      <c r="F451" s="19"/>
      <c r="AH451" s="23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  <c r="BD451" s="19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  <c r="BP451" s="19"/>
      <c r="BQ451" s="19"/>
      <c r="BR451" s="19"/>
      <c r="BS451" s="19"/>
      <c r="BT451" s="19"/>
      <c r="BU451" s="19"/>
      <c r="BV451" s="19"/>
      <c r="BW451" s="19"/>
      <c r="BX451" s="19"/>
      <c r="BY451" s="19"/>
      <c r="BZ451" s="19"/>
      <c r="CA451" s="19"/>
      <c r="CB451" s="19"/>
      <c r="CC451" s="19"/>
      <c r="CD451" s="19"/>
      <c r="CE451" s="19"/>
      <c r="CF451" s="19"/>
      <c r="CG451" s="19"/>
      <c r="CH451" s="19"/>
      <c r="CI451" s="19"/>
      <c r="CJ451" s="19"/>
      <c r="CK451" s="19"/>
      <c r="CL451" s="19"/>
      <c r="CM451" s="19"/>
      <c r="CN451" s="19"/>
      <c r="CO451" s="19"/>
      <c r="CP451" s="19"/>
      <c r="CQ451" s="19"/>
      <c r="CR451" s="19"/>
      <c r="CS451" s="19"/>
      <c r="CT451" s="19"/>
      <c r="CU451" s="19"/>
      <c r="CV451" s="19"/>
      <c r="CW451" s="19"/>
      <c r="CX451" s="19"/>
      <c r="CY451" s="19"/>
      <c r="CZ451" s="19"/>
      <c r="DA451" s="19"/>
      <c r="DB451" s="19"/>
      <c r="DC451" s="19"/>
      <c r="DD451" s="19"/>
      <c r="DE451" s="19"/>
      <c r="DF451" s="19"/>
      <c r="DG451" s="19"/>
      <c r="DH451" s="19"/>
      <c r="DI451" s="19"/>
      <c r="DJ451" s="19"/>
      <c r="DK451" s="19"/>
      <c r="DL451" s="19"/>
      <c r="DM451" s="19"/>
      <c r="DN451" s="19"/>
      <c r="DO451" s="19"/>
      <c r="DP451" s="19"/>
      <c r="DQ451" s="19"/>
      <c r="DR451" s="19"/>
      <c r="DS451" s="19"/>
      <c r="DT451" s="19"/>
      <c r="DU451" s="19"/>
      <c r="DV451" s="19"/>
      <c r="DW451" s="19"/>
      <c r="DX451" s="19"/>
      <c r="DY451" s="19"/>
      <c r="DZ451" s="19"/>
      <c r="EA451" s="19"/>
      <c r="EB451" s="19"/>
      <c r="EC451" s="19"/>
      <c r="ED451" s="19"/>
      <c r="EE451" s="19"/>
      <c r="EF451" s="19"/>
      <c r="EG451" s="19"/>
      <c r="EH451" s="19"/>
      <c r="EI451" s="19"/>
      <c r="EJ451" s="19"/>
      <c r="EK451" s="19"/>
      <c r="EL451" s="19"/>
      <c r="EM451" s="19"/>
      <c r="EN451" s="19"/>
      <c r="EO451" s="19"/>
      <c r="EP451" s="17"/>
      <c r="EQ451" s="23"/>
      <c r="ER451" s="23" t="str">
        <f t="shared" si="1"/>
        <v/>
      </c>
      <c r="ES451" s="19"/>
      <c r="ET451" s="19" t="str">
        <f t="shared" si="2"/>
        <v/>
      </c>
      <c r="EU451" s="19"/>
      <c r="EV451" s="19"/>
      <c r="EW451" s="19"/>
      <c r="EX451" s="19"/>
      <c r="EY451" s="19"/>
      <c r="EZ451" s="19"/>
      <c r="FA451" s="19"/>
      <c r="FB451" s="19"/>
    </row>
    <row r="452" ht="15.75" customHeight="1">
      <c r="A452" s="19"/>
      <c r="F452" s="19"/>
      <c r="AH452" s="23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  <c r="BD452" s="19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  <c r="BP452" s="19"/>
      <c r="BQ452" s="19"/>
      <c r="BR452" s="19"/>
      <c r="BS452" s="19"/>
      <c r="BT452" s="19"/>
      <c r="BU452" s="19"/>
      <c r="BV452" s="19"/>
      <c r="BW452" s="19"/>
      <c r="BX452" s="19"/>
      <c r="BY452" s="19"/>
      <c r="BZ452" s="19"/>
      <c r="CA452" s="19"/>
      <c r="CB452" s="19"/>
      <c r="CC452" s="19"/>
      <c r="CD452" s="19"/>
      <c r="CE452" s="19"/>
      <c r="CF452" s="19"/>
      <c r="CG452" s="19"/>
      <c r="CH452" s="19"/>
      <c r="CI452" s="19"/>
      <c r="CJ452" s="19"/>
      <c r="CK452" s="19"/>
      <c r="CL452" s="19"/>
      <c r="CM452" s="19"/>
      <c r="CN452" s="19"/>
      <c r="CO452" s="19"/>
      <c r="CP452" s="19"/>
      <c r="CQ452" s="19"/>
      <c r="CR452" s="19"/>
      <c r="CS452" s="19"/>
      <c r="CT452" s="19"/>
      <c r="CU452" s="19"/>
      <c r="CV452" s="19"/>
      <c r="CW452" s="19"/>
      <c r="CX452" s="19"/>
      <c r="CY452" s="19"/>
      <c r="CZ452" s="19"/>
      <c r="DA452" s="19"/>
      <c r="DB452" s="19"/>
      <c r="DC452" s="19"/>
      <c r="DD452" s="19"/>
      <c r="DE452" s="19"/>
      <c r="DF452" s="19"/>
      <c r="DG452" s="19"/>
      <c r="DH452" s="19"/>
      <c r="DI452" s="19"/>
      <c r="DJ452" s="19"/>
      <c r="DK452" s="19"/>
      <c r="DL452" s="19"/>
      <c r="DM452" s="19"/>
      <c r="DN452" s="19"/>
      <c r="DO452" s="19"/>
      <c r="DP452" s="19"/>
      <c r="DQ452" s="19"/>
      <c r="DR452" s="19"/>
      <c r="DS452" s="19"/>
      <c r="DT452" s="19"/>
      <c r="DU452" s="19"/>
      <c r="DV452" s="19"/>
      <c r="DW452" s="19"/>
      <c r="DX452" s="19"/>
      <c r="DY452" s="19"/>
      <c r="DZ452" s="19"/>
      <c r="EA452" s="19"/>
      <c r="EB452" s="19"/>
      <c r="EC452" s="19"/>
      <c r="ED452" s="19"/>
      <c r="EE452" s="19"/>
      <c r="EF452" s="19"/>
      <c r="EG452" s="19"/>
      <c r="EH452" s="19"/>
      <c r="EI452" s="19"/>
      <c r="EJ452" s="19"/>
      <c r="EK452" s="19"/>
      <c r="EL452" s="19"/>
      <c r="EM452" s="19"/>
      <c r="EN452" s="19"/>
      <c r="EO452" s="19"/>
      <c r="EP452" s="17"/>
      <c r="EQ452" s="23"/>
      <c r="ER452" s="23" t="str">
        <f t="shared" si="1"/>
        <v/>
      </c>
      <c r="ES452" s="19"/>
      <c r="ET452" s="19" t="str">
        <f t="shared" si="2"/>
        <v/>
      </c>
      <c r="EU452" s="19"/>
      <c r="EV452" s="19"/>
      <c r="EW452" s="19"/>
      <c r="EX452" s="19"/>
      <c r="EY452" s="19"/>
      <c r="EZ452" s="19"/>
      <c r="FA452" s="19"/>
      <c r="FB452" s="19"/>
    </row>
    <row r="453" ht="15.75" customHeight="1">
      <c r="A453" s="19"/>
      <c r="F453" s="19"/>
      <c r="AH453" s="23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  <c r="BD453" s="19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  <c r="BP453" s="19"/>
      <c r="BQ453" s="19"/>
      <c r="BR453" s="19"/>
      <c r="BS453" s="19"/>
      <c r="BT453" s="19"/>
      <c r="BU453" s="19"/>
      <c r="BV453" s="19"/>
      <c r="BW453" s="19"/>
      <c r="BX453" s="19"/>
      <c r="BY453" s="19"/>
      <c r="BZ453" s="19"/>
      <c r="CA453" s="19"/>
      <c r="CB453" s="19"/>
      <c r="CC453" s="19"/>
      <c r="CD453" s="19"/>
      <c r="CE453" s="19"/>
      <c r="CF453" s="19"/>
      <c r="CG453" s="19"/>
      <c r="CH453" s="19"/>
      <c r="CI453" s="19"/>
      <c r="CJ453" s="19"/>
      <c r="CK453" s="19"/>
      <c r="CL453" s="19"/>
      <c r="CM453" s="19"/>
      <c r="CN453" s="19"/>
      <c r="CO453" s="19"/>
      <c r="CP453" s="19"/>
      <c r="CQ453" s="19"/>
      <c r="CR453" s="19"/>
      <c r="CS453" s="19"/>
      <c r="CT453" s="19"/>
      <c r="CU453" s="19"/>
      <c r="CV453" s="19"/>
      <c r="CW453" s="19"/>
      <c r="CX453" s="19"/>
      <c r="CY453" s="19"/>
      <c r="CZ453" s="19"/>
      <c r="DA453" s="19"/>
      <c r="DB453" s="19"/>
      <c r="DC453" s="19"/>
      <c r="DD453" s="19"/>
      <c r="DE453" s="19"/>
      <c r="DF453" s="19"/>
      <c r="DG453" s="19"/>
      <c r="DH453" s="19"/>
      <c r="DI453" s="19"/>
      <c r="DJ453" s="19"/>
      <c r="DK453" s="19"/>
      <c r="DL453" s="19"/>
      <c r="DM453" s="19"/>
      <c r="DN453" s="19"/>
      <c r="DO453" s="19"/>
      <c r="DP453" s="19"/>
      <c r="DQ453" s="19"/>
      <c r="DR453" s="19"/>
      <c r="DS453" s="19"/>
      <c r="DT453" s="19"/>
      <c r="DU453" s="19"/>
      <c r="DV453" s="19"/>
      <c r="DW453" s="19"/>
      <c r="DX453" s="19"/>
      <c r="DY453" s="19"/>
      <c r="DZ453" s="19"/>
      <c r="EA453" s="19"/>
      <c r="EB453" s="19"/>
      <c r="EC453" s="19"/>
      <c r="ED453" s="19"/>
      <c r="EE453" s="19"/>
      <c r="EF453" s="19"/>
      <c r="EG453" s="19"/>
      <c r="EH453" s="19"/>
      <c r="EI453" s="19"/>
      <c r="EJ453" s="19"/>
      <c r="EK453" s="19"/>
      <c r="EL453" s="19"/>
      <c r="EM453" s="19"/>
      <c r="EN453" s="19"/>
      <c r="EO453" s="19"/>
      <c r="EP453" s="17"/>
      <c r="EQ453" s="23"/>
      <c r="ER453" s="23" t="str">
        <f t="shared" si="1"/>
        <v/>
      </c>
      <c r="ES453" s="19"/>
      <c r="ET453" s="19" t="str">
        <f t="shared" si="2"/>
        <v/>
      </c>
      <c r="EU453" s="19"/>
      <c r="EV453" s="19"/>
      <c r="EW453" s="19"/>
      <c r="EX453" s="19"/>
      <c r="EY453" s="19"/>
      <c r="EZ453" s="19"/>
      <c r="FA453" s="19"/>
      <c r="FB453" s="19"/>
    </row>
    <row r="454" ht="15.75" customHeight="1">
      <c r="A454" s="19"/>
      <c r="F454" s="19"/>
      <c r="AH454" s="23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  <c r="BD454" s="19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  <c r="BP454" s="19"/>
      <c r="BQ454" s="19"/>
      <c r="BR454" s="19"/>
      <c r="BS454" s="19"/>
      <c r="BT454" s="19"/>
      <c r="BU454" s="19"/>
      <c r="BV454" s="19"/>
      <c r="BW454" s="19"/>
      <c r="BX454" s="19"/>
      <c r="BY454" s="19"/>
      <c r="BZ454" s="19"/>
      <c r="CA454" s="19"/>
      <c r="CB454" s="19"/>
      <c r="CC454" s="19"/>
      <c r="CD454" s="19"/>
      <c r="CE454" s="19"/>
      <c r="CF454" s="19"/>
      <c r="CG454" s="19"/>
      <c r="CH454" s="19"/>
      <c r="CI454" s="19"/>
      <c r="CJ454" s="19"/>
      <c r="CK454" s="19"/>
      <c r="CL454" s="19"/>
      <c r="CM454" s="19"/>
      <c r="CN454" s="19"/>
      <c r="CO454" s="19"/>
      <c r="CP454" s="19"/>
      <c r="CQ454" s="19"/>
      <c r="CR454" s="19"/>
      <c r="CS454" s="19"/>
      <c r="CT454" s="19"/>
      <c r="CU454" s="19"/>
      <c r="CV454" s="19"/>
      <c r="CW454" s="19"/>
      <c r="CX454" s="19"/>
      <c r="CY454" s="19"/>
      <c r="CZ454" s="19"/>
      <c r="DA454" s="19"/>
      <c r="DB454" s="19"/>
      <c r="DC454" s="19"/>
      <c r="DD454" s="19"/>
      <c r="DE454" s="19"/>
      <c r="DF454" s="19"/>
      <c r="DG454" s="19"/>
      <c r="DH454" s="19"/>
      <c r="DI454" s="19"/>
      <c r="DJ454" s="19"/>
      <c r="DK454" s="19"/>
      <c r="DL454" s="19"/>
      <c r="DM454" s="19"/>
      <c r="DN454" s="19"/>
      <c r="DO454" s="19"/>
      <c r="DP454" s="19"/>
      <c r="DQ454" s="19"/>
      <c r="DR454" s="19"/>
      <c r="DS454" s="19"/>
      <c r="DT454" s="19"/>
      <c r="DU454" s="19"/>
      <c r="DV454" s="19"/>
      <c r="DW454" s="19"/>
      <c r="DX454" s="19"/>
      <c r="DY454" s="19"/>
      <c r="DZ454" s="19"/>
      <c r="EA454" s="19"/>
      <c r="EB454" s="19"/>
      <c r="EC454" s="19"/>
      <c r="ED454" s="19"/>
      <c r="EE454" s="19"/>
      <c r="EF454" s="19"/>
      <c r="EG454" s="19"/>
      <c r="EH454" s="19"/>
      <c r="EI454" s="19"/>
      <c r="EJ454" s="19"/>
      <c r="EK454" s="19"/>
      <c r="EL454" s="19"/>
      <c r="EM454" s="19"/>
      <c r="EN454" s="19"/>
      <c r="EO454" s="19"/>
      <c r="EP454" s="17"/>
      <c r="EQ454" s="23"/>
      <c r="ER454" s="23" t="str">
        <f t="shared" si="1"/>
        <v/>
      </c>
      <c r="ES454" s="19"/>
      <c r="ET454" s="19" t="str">
        <f t="shared" si="2"/>
        <v/>
      </c>
      <c r="EU454" s="19"/>
      <c r="EV454" s="19"/>
      <c r="EW454" s="19"/>
      <c r="EX454" s="19"/>
      <c r="EY454" s="19"/>
      <c r="EZ454" s="19"/>
      <c r="FA454" s="19"/>
      <c r="FB454" s="19"/>
    </row>
    <row r="455" ht="15.75" customHeight="1">
      <c r="A455" s="19"/>
      <c r="F455" s="19"/>
      <c r="AH455" s="23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  <c r="BD455" s="19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  <c r="BP455" s="19"/>
      <c r="BQ455" s="19"/>
      <c r="BR455" s="19"/>
      <c r="BS455" s="19"/>
      <c r="BT455" s="19"/>
      <c r="BU455" s="19"/>
      <c r="BV455" s="19"/>
      <c r="BW455" s="19"/>
      <c r="BX455" s="19"/>
      <c r="BY455" s="19"/>
      <c r="BZ455" s="19"/>
      <c r="CA455" s="19"/>
      <c r="CB455" s="19"/>
      <c r="CC455" s="19"/>
      <c r="CD455" s="19"/>
      <c r="CE455" s="19"/>
      <c r="CF455" s="19"/>
      <c r="CG455" s="19"/>
      <c r="CH455" s="19"/>
      <c r="CI455" s="19"/>
      <c r="CJ455" s="19"/>
      <c r="CK455" s="19"/>
      <c r="CL455" s="19"/>
      <c r="CM455" s="19"/>
      <c r="CN455" s="19"/>
      <c r="CO455" s="19"/>
      <c r="CP455" s="19"/>
      <c r="CQ455" s="19"/>
      <c r="CR455" s="19"/>
      <c r="CS455" s="19"/>
      <c r="CT455" s="19"/>
      <c r="CU455" s="19"/>
      <c r="CV455" s="19"/>
      <c r="CW455" s="19"/>
      <c r="CX455" s="19"/>
      <c r="CY455" s="19"/>
      <c r="CZ455" s="19"/>
      <c r="DA455" s="19"/>
      <c r="DB455" s="19"/>
      <c r="DC455" s="19"/>
      <c r="DD455" s="19"/>
      <c r="DE455" s="19"/>
      <c r="DF455" s="19"/>
      <c r="DG455" s="19"/>
      <c r="DH455" s="19"/>
      <c r="DI455" s="19"/>
      <c r="DJ455" s="19"/>
      <c r="DK455" s="19"/>
      <c r="DL455" s="19"/>
      <c r="DM455" s="19"/>
      <c r="DN455" s="19"/>
      <c r="DO455" s="19"/>
      <c r="DP455" s="19"/>
      <c r="DQ455" s="19"/>
      <c r="DR455" s="19"/>
      <c r="DS455" s="19"/>
      <c r="DT455" s="19"/>
      <c r="DU455" s="19"/>
      <c r="DV455" s="19"/>
      <c r="DW455" s="19"/>
      <c r="DX455" s="19"/>
      <c r="DY455" s="19"/>
      <c r="DZ455" s="19"/>
      <c r="EA455" s="19"/>
      <c r="EB455" s="19"/>
      <c r="EC455" s="19"/>
      <c r="ED455" s="19"/>
      <c r="EE455" s="19"/>
      <c r="EF455" s="19"/>
      <c r="EG455" s="19"/>
      <c r="EH455" s="19"/>
      <c r="EI455" s="19"/>
      <c r="EJ455" s="19"/>
      <c r="EK455" s="19"/>
      <c r="EL455" s="19"/>
      <c r="EM455" s="19"/>
      <c r="EN455" s="19"/>
      <c r="EO455" s="19"/>
      <c r="EP455" s="17"/>
      <c r="EQ455" s="23"/>
      <c r="ER455" s="23" t="str">
        <f t="shared" si="1"/>
        <v/>
      </c>
      <c r="ES455" s="19"/>
      <c r="ET455" s="19" t="str">
        <f t="shared" si="2"/>
        <v/>
      </c>
      <c r="EU455" s="19"/>
      <c r="EV455" s="19"/>
      <c r="EW455" s="19"/>
      <c r="EX455" s="19"/>
      <c r="EY455" s="19"/>
      <c r="EZ455" s="19"/>
      <c r="FA455" s="19"/>
      <c r="FB455" s="19"/>
    </row>
    <row r="456" ht="15.75" customHeight="1">
      <c r="A456" s="19"/>
      <c r="F456" s="19"/>
      <c r="AH456" s="23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  <c r="BD456" s="19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  <c r="BP456" s="19"/>
      <c r="BQ456" s="19"/>
      <c r="BR456" s="19"/>
      <c r="BS456" s="19"/>
      <c r="BT456" s="19"/>
      <c r="BU456" s="19"/>
      <c r="BV456" s="19"/>
      <c r="BW456" s="19"/>
      <c r="BX456" s="19"/>
      <c r="BY456" s="19"/>
      <c r="BZ456" s="19"/>
      <c r="CA456" s="19"/>
      <c r="CB456" s="19"/>
      <c r="CC456" s="19"/>
      <c r="CD456" s="19"/>
      <c r="CE456" s="19"/>
      <c r="CF456" s="19"/>
      <c r="CG456" s="19"/>
      <c r="CH456" s="19"/>
      <c r="CI456" s="19"/>
      <c r="CJ456" s="19"/>
      <c r="CK456" s="19"/>
      <c r="CL456" s="19"/>
      <c r="CM456" s="19"/>
      <c r="CN456" s="19"/>
      <c r="CO456" s="19"/>
      <c r="CP456" s="19"/>
      <c r="CQ456" s="19"/>
      <c r="CR456" s="19"/>
      <c r="CS456" s="19"/>
      <c r="CT456" s="19"/>
      <c r="CU456" s="19"/>
      <c r="CV456" s="19"/>
      <c r="CW456" s="19"/>
      <c r="CX456" s="19"/>
      <c r="CY456" s="19"/>
      <c r="CZ456" s="19"/>
      <c r="DA456" s="19"/>
      <c r="DB456" s="19"/>
      <c r="DC456" s="19"/>
      <c r="DD456" s="19"/>
      <c r="DE456" s="19"/>
      <c r="DF456" s="19"/>
      <c r="DG456" s="19"/>
      <c r="DH456" s="19"/>
      <c r="DI456" s="19"/>
      <c r="DJ456" s="19"/>
      <c r="DK456" s="19"/>
      <c r="DL456" s="19"/>
      <c r="DM456" s="19"/>
      <c r="DN456" s="19"/>
      <c r="DO456" s="19"/>
      <c r="DP456" s="19"/>
      <c r="DQ456" s="19"/>
      <c r="DR456" s="19"/>
      <c r="DS456" s="19"/>
      <c r="DT456" s="19"/>
      <c r="DU456" s="19"/>
      <c r="DV456" s="19"/>
      <c r="DW456" s="19"/>
      <c r="DX456" s="19"/>
      <c r="DY456" s="19"/>
      <c r="DZ456" s="19"/>
      <c r="EA456" s="19"/>
      <c r="EB456" s="19"/>
      <c r="EC456" s="19"/>
      <c r="ED456" s="19"/>
      <c r="EE456" s="19"/>
      <c r="EF456" s="19"/>
      <c r="EG456" s="19"/>
      <c r="EH456" s="19"/>
      <c r="EI456" s="19"/>
      <c r="EJ456" s="19"/>
      <c r="EK456" s="19"/>
      <c r="EL456" s="19"/>
      <c r="EM456" s="19"/>
      <c r="EN456" s="19"/>
      <c r="EO456" s="19"/>
      <c r="EP456" s="17"/>
      <c r="EQ456" s="23"/>
      <c r="ER456" s="23" t="str">
        <f t="shared" si="1"/>
        <v/>
      </c>
      <c r="ES456" s="19"/>
      <c r="ET456" s="19" t="str">
        <f t="shared" si="2"/>
        <v/>
      </c>
      <c r="EU456" s="19"/>
      <c r="EV456" s="19"/>
      <c r="EW456" s="19"/>
      <c r="EX456" s="19"/>
      <c r="EY456" s="19"/>
      <c r="EZ456" s="19"/>
      <c r="FA456" s="19"/>
      <c r="FB456" s="19"/>
    </row>
    <row r="457" ht="15.75" customHeight="1">
      <c r="A457" s="19"/>
      <c r="F457" s="19"/>
      <c r="AH457" s="23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  <c r="BD457" s="19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  <c r="BP457" s="19"/>
      <c r="BQ457" s="19"/>
      <c r="BR457" s="19"/>
      <c r="BS457" s="19"/>
      <c r="BT457" s="19"/>
      <c r="BU457" s="19"/>
      <c r="BV457" s="19"/>
      <c r="BW457" s="19"/>
      <c r="BX457" s="19"/>
      <c r="BY457" s="19"/>
      <c r="BZ457" s="19"/>
      <c r="CA457" s="19"/>
      <c r="CB457" s="19"/>
      <c r="CC457" s="19"/>
      <c r="CD457" s="19"/>
      <c r="CE457" s="19"/>
      <c r="CF457" s="19"/>
      <c r="CG457" s="19"/>
      <c r="CH457" s="19"/>
      <c r="CI457" s="19"/>
      <c r="CJ457" s="19"/>
      <c r="CK457" s="19"/>
      <c r="CL457" s="19"/>
      <c r="CM457" s="19"/>
      <c r="CN457" s="19"/>
      <c r="CO457" s="19"/>
      <c r="CP457" s="19"/>
      <c r="CQ457" s="19"/>
      <c r="CR457" s="19"/>
      <c r="CS457" s="19"/>
      <c r="CT457" s="19"/>
      <c r="CU457" s="19"/>
      <c r="CV457" s="19"/>
      <c r="CW457" s="19"/>
      <c r="CX457" s="19"/>
      <c r="CY457" s="19"/>
      <c r="CZ457" s="19"/>
      <c r="DA457" s="19"/>
      <c r="DB457" s="19"/>
      <c r="DC457" s="19"/>
      <c r="DD457" s="19"/>
      <c r="DE457" s="19"/>
      <c r="DF457" s="19"/>
      <c r="DG457" s="19"/>
      <c r="DH457" s="19"/>
      <c r="DI457" s="19"/>
      <c r="DJ457" s="19"/>
      <c r="DK457" s="19"/>
      <c r="DL457" s="19"/>
      <c r="DM457" s="19"/>
      <c r="DN457" s="19"/>
      <c r="DO457" s="19"/>
      <c r="DP457" s="19"/>
      <c r="DQ457" s="19"/>
      <c r="DR457" s="19"/>
      <c r="DS457" s="19"/>
      <c r="DT457" s="19"/>
      <c r="DU457" s="19"/>
      <c r="DV457" s="19"/>
      <c r="DW457" s="19"/>
      <c r="DX457" s="19"/>
      <c r="DY457" s="19"/>
      <c r="DZ457" s="19"/>
      <c r="EA457" s="19"/>
      <c r="EB457" s="19"/>
      <c r="EC457" s="19"/>
      <c r="ED457" s="19"/>
      <c r="EE457" s="19"/>
      <c r="EF457" s="19"/>
      <c r="EG457" s="19"/>
      <c r="EH457" s="19"/>
      <c r="EI457" s="19"/>
      <c r="EJ457" s="19"/>
      <c r="EK457" s="19"/>
      <c r="EL457" s="19"/>
      <c r="EM457" s="19"/>
      <c r="EN457" s="19"/>
      <c r="EO457" s="19"/>
      <c r="EP457" s="17"/>
      <c r="EQ457" s="23"/>
      <c r="ER457" s="23" t="str">
        <f t="shared" si="1"/>
        <v/>
      </c>
      <c r="ES457" s="19"/>
      <c r="ET457" s="19" t="str">
        <f t="shared" si="2"/>
        <v/>
      </c>
      <c r="EU457" s="19"/>
      <c r="EV457" s="19"/>
      <c r="EW457" s="19"/>
      <c r="EX457" s="19"/>
      <c r="EY457" s="19"/>
      <c r="EZ457" s="19"/>
      <c r="FA457" s="19"/>
      <c r="FB457" s="19"/>
    </row>
    <row r="458" ht="15.75" customHeight="1">
      <c r="A458" s="19"/>
      <c r="F458" s="19"/>
      <c r="AH458" s="23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  <c r="BD458" s="19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  <c r="BP458" s="19"/>
      <c r="BQ458" s="19"/>
      <c r="BR458" s="19"/>
      <c r="BS458" s="19"/>
      <c r="BT458" s="19"/>
      <c r="BU458" s="19"/>
      <c r="BV458" s="19"/>
      <c r="BW458" s="19"/>
      <c r="BX458" s="19"/>
      <c r="BY458" s="19"/>
      <c r="BZ458" s="19"/>
      <c r="CA458" s="19"/>
      <c r="CB458" s="19"/>
      <c r="CC458" s="19"/>
      <c r="CD458" s="19"/>
      <c r="CE458" s="19"/>
      <c r="CF458" s="19"/>
      <c r="CG458" s="19"/>
      <c r="CH458" s="19"/>
      <c r="CI458" s="19"/>
      <c r="CJ458" s="19"/>
      <c r="CK458" s="19"/>
      <c r="CL458" s="19"/>
      <c r="CM458" s="19"/>
      <c r="CN458" s="19"/>
      <c r="CO458" s="19"/>
      <c r="CP458" s="19"/>
      <c r="CQ458" s="19"/>
      <c r="CR458" s="19"/>
      <c r="CS458" s="19"/>
      <c r="CT458" s="19"/>
      <c r="CU458" s="19"/>
      <c r="CV458" s="19"/>
      <c r="CW458" s="19"/>
      <c r="CX458" s="19"/>
      <c r="CY458" s="19"/>
      <c r="CZ458" s="19"/>
      <c r="DA458" s="19"/>
      <c r="DB458" s="19"/>
      <c r="DC458" s="19"/>
      <c r="DD458" s="19"/>
      <c r="DE458" s="19"/>
      <c r="DF458" s="19"/>
      <c r="DG458" s="19"/>
      <c r="DH458" s="19"/>
      <c r="DI458" s="19"/>
      <c r="DJ458" s="19"/>
      <c r="DK458" s="19"/>
      <c r="DL458" s="19"/>
      <c r="DM458" s="19"/>
      <c r="DN458" s="19"/>
      <c r="DO458" s="19"/>
      <c r="DP458" s="19"/>
      <c r="DQ458" s="19"/>
      <c r="DR458" s="19"/>
      <c r="DS458" s="19"/>
      <c r="DT458" s="19"/>
      <c r="DU458" s="19"/>
      <c r="DV458" s="19"/>
      <c r="DW458" s="19"/>
      <c r="DX458" s="19"/>
      <c r="DY458" s="19"/>
      <c r="DZ458" s="19"/>
      <c r="EA458" s="19"/>
      <c r="EB458" s="19"/>
      <c r="EC458" s="19"/>
      <c r="ED458" s="19"/>
      <c r="EE458" s="19"/>
      <c r="EF458" s="19"/>
      <c r="EG458" s="19"/>
      <c r="EH458" s="19"/>
      <c r="EI458" s="19"/>
      <c r="EJ458" s="19"/>
      <c r="EK458" s="19"/>
      <c r="EL458" s="19"/>
      <c r="EM458" s="19"/>
      <c r="EN458" s="19"/>
      <c r="EO458" s="19"/>
      <c r="EP458" s="17"/>
      <c r="EQ458" s="23"/>
      <c r="ER458" s="23" t="str">
        <f t="shared" si="1"/>
        <v/>
      </c>
      <c r="ES458" s="19"/>
      <c r="ET458" s="19" t="str">
        <f t="shared" si="2"/>
        <v/>
      </c>
      <c r="EU458" s="19"/>
      <c r="EV458" s="19"/>
      <c r="EW458" s="19"/>
      <c r="EX458" s="19"/>
      <c r="EY458" s="19"/>
      <c r="EZ458" s="19"/>
      <c r="FA458" s="19"/>
      <c r="FB458" s="19"/>
    </row>
    <row r="459" ht="15.75" customHeight="1">
      <c r="A459" s="19"/>
      <c r="F459" s="19"/>
      <c r="AH459" s="23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  <c r="BD459" s="19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  <c r="BP459" s="19"/>
      <c r="BQ459" s="19"/>
      <c r="BR459" s="19"/>
      <c r="BS459" s="19"/>
      <c r="BT459" s="19"/>
      <c r="BU459" s="19"/>
      <c r="BV459" s="19"/>
      <c r="BW459" s="19"/>
      <c r="BX459" s="19"/>
      <c r="BY459" s="19"/>
      <c r="BZ459" s="19"/>
      <c r="CA459" s="19"/>
      <c r="CB459" s="19"/>
      <c r="CC459" s="19"/>
      <c r="CD459" s="19"/>
      <c r="CE459" s="19"/>
      <c r="CF459" s="19"/>
      <c r="CG459" s="19"/>
      <c r="CH459" s="19"/>
      <c r="CI459" s="19"/>
      <c r="CJ459" s="19"/>
      <c r="CK459" s="19"/>
      <c r="CL459" s="19"/>
      <c r="CM459" s="19"/>
      <c r="CN459" s="19"/>
      <c r="CO459" s="19"/>
      <c r="CP459" s="19"/>
      <c r="CQ459" s="19"/>
      <c r="CR459" s="19"/>
      <c r="CS459" s="19"/>
      <c r="CT459" s="19"/>
      <c r="CU459" s="19"/>
      <c r="CV459" s="19"/>
      <c r="CW459" s="19"/>
      <c r="CX459" s="19"/>
      <c r="CY459" s="19"/>
      <c r="CZ459" s="19"/>
      <c r="DA459" s="19"/>
      <c r="DB459" s="19"/>
      <c r="DC459" s="19"/>
      <c r="DD459" s="19"/>
      <c r="DE459" s="19"/>
      <c r="DF459" s="19"/>
      <c r="DG459" s="19"/>
      <c r="DH459" s="19"/>
      <c r="DI459" s="19"/>
      <c r="DJ459" s="19"/>
      <c r="DK459" s="19"/>
      <c r="DL459" s="19"/>
      <c r="DM459" s="19"/>
      <c r="DN459" s="19"/>
      <c r="DO459" s="19"/>
      <c r="DP459" s="19"/>
      <c r="DQ459" s="19"/>
      <c r="DR459" s="19"/>
      <c r="DS459" s="19"/>
      <c r="DT459" s="19"/>
      <c r="DU459" s="19"/>
      <c r="DV459" s="19"/>
      <c r="DW459" s="19"/>
      <c r="DX459" s="19"/>
      <c r="DY459" s="19"/>
      <c r="DZ459" s="19"/>
      <c r="EA459" s="19"/>
      <c r="EB459" s="19"/>
      <c r="EC459" s="19"/>
      <c r="ED459" s="19"/>
      <c r="EE459" s="19"/>
      <c r="EF459" s="19"/>
      <c r="EG459" s="19"/>
      <c r="EH459" s="19"/>
      <c r="EI459" s="19"/>
      <c r="EJ459" s="19"/>
      <c r="EK459" s="19"/>
      <c r="EL459" s="19"/>
      <c r="EM459" s="19"/>
      <c r="EN459" s="19"/>
      <c r="EO459" s="19"/>
      <c r="EP459" s="17"/>
      <c r="EQ459" s="23"/>
      <c r="ER459" s="23" t="str">
        <f t="shared" si="1"/>
        <v/>
      </c>
      <c r="ES459" s="19"/>
      <c r="ET459" s="19" t="str">
        <f t="shared" si="2"/>
        <v/>
      </c>
      <c r="EU459" s="19"/>
      <c r="EV459" s="19"/>
      <c r="EW459" s="19"/>
      <c r="EX459" s="19"/>
      <c r="EY459" s="19"/>
      <c r="EZ459" s="19"/>
      <c r="FA459" s="19"/>
      <c r="FB459" s="19"/>
    </row>
    <row r="460" ht="15.75" customHeight="1">
      <c r="A460" s="19"/>
      <c r="F460" s="19"/>
      <c r="AH460" s="23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  <c r="BD460" s="19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  <c r="BP460" s="19"/>
      <c r="BQ460" s="19"/>
      <c r="BR460" s="19"/>
      <c r="BS460" s="19"/>
      <c r="BT460" s="19"/>
      <c r="BU460" s="19"/>
      <c r="BV460" s="19"/>
      <c r="BW460" s="19"/>
      <c r="BX460" s="19"/>
      <c r="BY460" s="19"/>
      <c r="BZ460" s="19"/>
      <c r="CA460" s="19"/>
      <c r="CB460" s="19"/>
      <c r="CC460" s="19"/>
      <c r="CD460" s="19"/>
      <c r="CE460" s="19"/>
      <c r="CF460" s="19"/>
      <c r="CG460" s="19"/>
      <c r="CH460" s="19"/>
      <c r="CI460" s="19"/>
      <c r="CJ460" s="19"/>
      <c r="CK460" s="19"/>
      <c r="CL460" s="19"/>
      <c r="CM460" s="19"/>
      <c r="CN460" s="19"/>
      <c r="CO460" s="19"/>
      <c r="CP460" s="19"/>
      <c r="CQ460" s="19"/>
      <c r="CR460" s="19"/>
      <c r="CS460" s="19"/>
      <c r="CT460" s="19"/>
      <c r="CU460" s="19"/>
      <c r="CV460" s="19"/>
      <c r="CW460" s="19"/>
      <c r="CX460" s="19"/>
      <c r="CY460" s="19"/>
      <c r="CZ460" s="19"/>
      <c r="DA460" s="19"/>
      <c r="DB460" s="19"/>
      <c r="DC460" s="19"/>
      <c r="DD460" s="19"/>
      <c r="DE460" s="19"/>
      <c r="DF460" s="19"/>
      <c r="DG460" s="19"/>
      <c r="DH460" s="19"/>
      <c r="DI460" s="19"/>
      <c r="DJ460" s="19"/>
      <c r="DK460" s="19"/>
      <c r="DL460" s="19"/>
      <c r="DM460" s="19"/>
      <c r="DN460" s="19"/>
      <c r="DO460" s="19"/>
      <c r="DP460" s="19"/>
      <c r="DQ460" s="19"/>
      <c r="DR460" s="19"/>
      <c r="DS460" s="19"/>
      <c r="DT460" s="19"/>
      <c r="DU460" s="19"/>
      <c r="DV460" s="19"/>
      <c r="DW460" s="19"/>
      <c r="DX460" s="19"/>
      <c r="DY460" s="19"/>
      <c r="DZ460" s="19"/>
      <c r="EA460" s="19"/>
      <c r="EB460" s="19"/>
      <c r="EC460" s="19"/>
      <c r="ED460" s="19"/>
      <c r="EE460" s="19"/>
      <c r="EF460" s="19"/>
      <c r="EG460" s="19"/>
      <c r="EH460" s="19"/>
      <c r="EI460" s="19"/>
      <c r="EJ460" s="19"/>
      <c r="EK460" s="19"/>
      <c r="EL460" s="19"/>
      <c r="EM460" s="19"/>
      <c r="EN460" s="19"/>
      <c r="EO460" s="19"/>
      <c r="EP460" s="17"/>
      <c r="EQ460" s="23"/>
      <c r="ER460" s="23" t="str">
        <f t="shared" si="1"/>
        <v/>
      </c>
      <c r="ES460" s="19"/>
      <c r="ET460" s="19" t="str">
        <f t="shared" si="2"/>
        <v/>
      </c>
      <c r="EU460" s="19"/>
      <c r="EV460" s="19"/>
      <c r="EW460" s="19"/>
      <c r="EX460" s="19"/>
      <c r="EY460" s="19"/>
      <c r="EZ460" s="19"/>
      <c r="FA460" s="19"/>
      <c r="FB460" s="19"/>
    </row>
    <row r="461" ht="15.75" customHeight="1">
      <c r="A461" s="19"/>
      <c r="F461" s="19"/>
      <c r="AH461" s="23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  <c r="BD461" s="19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  <c r="BP461" s="19"/>
      <c r="BQ461" s="19"/>
      <c r="BR461" s="19"/>
      <c r="BS461" s="19"/>
      <c r="BT461" s="19"/>
      <c r="BU461" s="19"/>
      <c r="BV461" s="19"/>
      <c r="BW461" s="19"/>
      <c r="BX461" s="19"/>
      <c r="BY461" s="19"/>
      <c r="BZ461" s="19"/>
      <c r="CA461" s="19"/>
      <c r="CB461" s="19"/>
      <c r="CC461" s="19"/>
      <c r="CD461" s="19"/>
      <c r="CE461" s="19"/>
      <c r="CF461" s="19"/>
      <c r="CG461" s="19"/>
      <c r="CH461" s="19"/>
      <c r="CI461" s="19"/>
      <c r="CJ461" s="19"/>
      <c r="CK461" s="19"/>
      <c r="CL461" s="19"/>
      <c r="CM461" s="19"/>
      <c r="CN461" s="19"/>
      <c r="CO461" s="19"/>
      <c r="CP461" s="19"/>
      <c r="CQ461" s="19"/>
      <c r="CR461" s="19"/>
      <c r="CS461" s="19"/>
      <c r="CT461" s="19"/>
      <c r="CU461" s="19"/>
      <c r="CV461" s="19"/>
      <c r="CW461" s="19"/>
      <c r="CX461" s="19"/>
      <c r="CY461" s="19"/>
      <c r="CZ461" s="19"/>
      <c r="DA461" s="19"/>
      <c r="DB461" s="19"/>
      <c r="DC461" s="19"/>
      <c r="DD461" s="19"/>
      <c r="DE461" s="19"/>
      <c r="DF461" s="19"/>
      <c r="DG461" s="19"/>
      <c r="DH461" s="19"/>
      <c r="DI461" s="19"/>
      <c r="DJ461" s="19"/>
      <c r="DK461" s="19"/>
      <c r="DL461" s="19"/>
      <c r="DM461" s="19"/>
      <c r="DN461" s="19"/>
      <c r="DO461" s="19"/>
      <c r="DP461" s="19"/>
      <c r="DQ461" s="19"/>
      <c r="DR461" s="19"/>
      <c r="DS461" s="19"/>
      <c r="DT461" s="19"/>
      <c r="DU461" s="19"/>
      <c r="DV461" s="19"/>
      <c r="DW461" s="19"/>
      <c r="DX461" s="19"/>
      <c r="DY461" s="19"/>
      <c r="DZ461" s="19"/>
      <c r="EA461" s="19"/>
      <c r="EB461" s="19"/>
      <c r="EC461" s="19"/>
      <c r="ED461" s="19"/>
      <c r="EE461" s="19"/>
      <c r="EF461" s="19"/>
      <c r="EG461" s="19"/>
      <c r="EH461" s="19"/>
      <c r="EI461" s="19"/>
      <c r="EJ461" s="19"/>
      <c r="EK461" s="19"/>
      <c r="EL461" s="19"/>
      <c r="EM461" s="19"/>
      <c r="EN461" s="19"/>
      <c r="EO461" s="19"/>
      <c r="EP461" s="17"/>
      <c r="EQ461" s="23"/>
      <c r="ER461" s="23" t="str">
        <f t="shared" si="1"/>
        <v/>
      </c>
      <c r="ES461" s="19"/>
      <c r="ET461" s="19" t="str">
        <f t="shared" si="2"/>
        <v/>
      </c>
      <c r="EU461" s="19"/>
      <c r="EV461" s="19"/>
      <c r="EW461" s="19"/>
      <c r="EX461" s="19"/>
      <c r="EY461" s="19"/>
      <c r="EZ461" s="19"/>
      <c r="FA461" s="19"/>
      <c r="FB461" s="19"/>
    </row>
    <row r="462" ht="15.75" customHeight="1">
      <c r="A462" s="19"/>
      <c r="F462" s="19"/>
      <c r="AH462" s="23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  <c r="BD462" s="19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  <c r="BP462" s="19"/>
      <c r="BQ462" s="19"/>
      <c r="BR462" s="19"/>
      <c r="BS462" s="19"/>
      <c r="BT462" s="19"/>
      <c r="BU462" s="19"/>
      <c r="BV462" s="19"/>
      <c r="BW462" s="19"/>
      <c r="BX462" s="19"/>
      <c r="BY462" s="19"/>
      <c r="BZ462" s="19"/>
      <c r="CA462" s="19"/>
      <c r="CB462" s="19"/>
      <c r="CC462" s="19"/>
      <c r="CD462" s="19"/>
      <c r="CE462" s="19"/>
      <c r="CF462" s="19"/>
      <c r="CG462" s="19"/>
      <c r="CH462" s="19"/>
      <c r="CI462" s="19"/>
      <c r="CJ462" s="19"/>
      <c r="CK462" s="19"/>
      <c r="CL462" s="19"/>
      <c r="CM462" s="19"/>
      <c r="CN462" s="19"/>
      <c r="CO462" s="19"/>
      <c r="CP462" s="19"/>
      <c r="CQ462" s="19"/>
      <c r="CR462" s="19"/>
      <c r="CS462" s="19"/>
      <c r="CT462" s="19"/>
      <c r="CU462" s="19"/>
      <c r="CV462" s="19"/>
      <c r="CW462" s="19"/>
      <c r="CX462" s="19"/>
      <c r="CY462" s="19"/>
      <c r="CZ462" s="19"/>
      <c r="DA462" s="19"/>
      <c r="DB462" s="19"/>
      <c r="DC462" s="19"/>
      <c r="DD462" s="19"/>
      <c r="DE462" s="19"/>
      <c r="DF462" s="19"/>
      <c r="DG462" s="19"/>
      <c r="DH462" s="19"/>
      <c r="DI462" s="19"/>
      <c r="DJ462" s="19"/>
      <c r="DK462" s="19"/>
      <c r="DL462" s="19"/>
      <c r="DM462" s="19"/>
      <c r="DN462" s="19"/>
      <c r="DO462" s="19"/>
      <c r="DP462" s="19"/>
      <c r="DQ462" s="19"/>
      <c r="DR462" s="19"/>
      <c r="DS462" s="19"/>
      <c r="DT462" s="19"/>
      <c r="DU462" s="19"/>
      <c r="DV462" s="19"/>
      <c r="DW462" s="19"/>
      <c r="DX462" s="19"/>
      <c r="DY462" s="19"/>
      <c r="DZ462" s="19"/>
      <c r="EA462" s="19"/>
      <c r="EB462" s="19"/>
      <c r="EC462" s="19"/>
      <c r="ED462" s="19"/>
      <c r="EE462" s="19"/>
      <c r="EF462" s="19"/>
      <c r="EG462" s="19"/>
      <c r="EH462" s="19"/>
      <c r="EI462" s="19"/>
      <c r="EJ462" s="19"/>
      <c r="EK462" s="19"/>
      <c r="EL462" s="19"/>
      <c r="EM462" s="19"/>
      <c r="EN462" s="19"/>
      <c r="EO462" s="19"/>
      <c r="EP462" s="17"/>
      <c r="EQ462" s="23"/>
      <c r="ER462" s="23" t="str">
        <f t="shared" si="1"/>
        <v/>
      </c>
      <c r="ES462" s="19"/>
      <c r="ET462" s="19" t="str">
        <f t="shared" si="2"/>
        <v/>
      </c>
      <c r="EU462" s="19"/>
      <c r="EV462" s="19"/>
      <c r="EW462" s="19"/>
      <c r="EX462" s="19"/>
      <c r="EY462" s="19"/>
      <c r="EZ462" s="19"/>
      <c r="FA462" s="19"/>
      <c r="FB462" s="19"/>
    </row>
    <row r="463" ht="15.75" customHeight="1">
      <c r="A463" s="19"/>
      <c r="F463" s="19"/>
      <c r="AH463" s="23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  <c r="BD463" s="19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  <c r="BP463" s="19"/>
      <c r="BQ463" s="19"/>
      <c r="BR463" s="19"/>
      <c r="BS463" s="19"/>
      <c r="BT463" s="19"/>
      <c r="BU463" s="19"/>
      <c r="BV463" s="19"/>
      <c r="BW463" s="19"/>
      <c r="BX463" s="19"/>
      <c r="BY463" s="19"/>
      <c r="BZ463" s="19"/>
      <c r="CA463" s="19"/>
      <c r="CB463" s="19"/>
      <c r="CC463" s="19"/>
      <c r="CD463" s="19"/>
      <c r="CE463" s="19"/>
      <c r="CF463" s="19"/>
      <c r="CG463" s="19"/>
      <c r="CH463" s="19"/>
      <c r="CI463" s="19"/>
      <c r="CJ463" s="19"/>
      <c r="CK463" s="19"/>
      <c r="CL463" s="19"/>
      <c r="CM463" s="19"/>
      <c r="CN463" s="19"/>
      <c r="CO463" s="19"/>
      <c r="CP463" s="19"/>
      <c r="CQ463" s="19"/>
      <c r="CR463" s="19"/>
      <c r="CS463" s="19"/>
      <c r="CT463" s="19"/>
      <c r="CU463" s="19"/>
      <c r="CV463" s="19"/>
      <c r="CW463" s="19"/>
      <c r="CX463" s="19"/>
      <c r="CY463" s="19"/>
      <c r="CZ463" s="19"/>
      <c r="DA463" s="19"/>
      <c r="DB463" s="19"/>
      <c r="DC463" s="19"/>
      <c r="DD463" s="19"/>
      <c r="DE463" s="19"/>
      <c r="DF463" s="19"/>
      <c r="DG463" s="19"/>
      <c r="DH463" s="19"/>
      <c r="DI463" s="19"/>
      <c r="DJ463" s="19"/>
      <c r="DK463" s="19"/>
      <c r="DL463" s="19"/>
      <c r="DM463" s="19"/>
      <c r="DN463" s="19"/>
      <c r="DO463" s="19"/>
      <c r="DP463" s="19"/>
      <c r="DQ463" s="19"/>
      <c r="DR463" s="19"/>
      <c r="DS463" s="19"/>
      <c r="DT463" s="19"/>
      <c r="DU463" s="19"/>
      <c r="DV463" s="19"/>
      <c r="DW463" s="19"/>
      <c r="DX463" s="19"/>
      <c r="DY463" s="19"/>
      <c r="DZ463" s="19"/>
      <c r="EA463" s="19"/>
      <c r="EB463" s="19"/>
      <c r="EC463" s="19"/>
      <c r="ED463" s="19"/>
      <c r="EE463" s="19"/>
      <c r="EF463" s="19"/>
      <c r="EG463" s="19"/>
      <c r="EH463" s="19"/>
      <c r="EI463" s="19"/>
      <c r="EJ463" s="19"/>
      <c r="EK463" s="19"/>
      <c r="EL463" s="19"/>
      <c r="EM463" s="19"/>
      <c r="EN463" s="19"/>
      <c r="EO463" s="19"/>
      <c r="EP463" s="17"/>
      <c r="EQ463" s="23"/>
      <c r="ER463" s="23" t="str">
        <f t="shared" si="1"/>
        <v/>
      </c>
      <c r="ES463" s="19"/>
      <c r="ET463" s="19" t="str">
        <f t="shared" si="2"/>
        <v/>
      </c>
      <c r="EU463" s="19"/>
      <c r="EV463" s="19"/>
      <c r="EW463" s="19"/>
      <c r="EX463" s="19"/>
      <c r="EY463" s="19"/>
      <c r="EZ463" s="19"/>
      <c r="FA463" s="19"/>
      <c r="FB463" s="19"/>
    </row>
    <row r="464" ht="15.75" customHeight="1">
      <c r="A464" s="19"/>
      <c r="F464" s="19"/>
      <c r="AH464" s="23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  <c r="BD464" s="19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  <c r="BP464" s="19"/>
      <c r="BQ464" s="19"/>
      <c r="BR464" s="19"/>
      <c r="BS464" s="19"/>
      <c r="BT464" s="19"/>
      <c r="BU464" s="19"/>
      <c r="BV464" s="19"/>
      <c r="BW464" s="19"/>
      <c r="BX464" s="19"/>
      <c r="BY464" s="19"/>
      <c r="BZ464" s="19"/>
      <c r="CA464" s="19"/>
      <c r="CB464" s="19"/>
      <c r="CC464" s="19"/>
      <c r="CD464" s="19"/>
      <c r="CE464" s="19"/>
      <c r="CF464" s="19"/>
      <c r="CG464" s="19"/>
      <c r="CH464" s="19"/>
      <c r="CI464" s="19"/>
      <c r="CJ464" s="19"/>
      <c r="CK464" s="19"/>
      <c r="CL464" s="19"/>
      <c r="CM464" s="19"/>
      <c r="CN464" s="19"/>
      <c r="CO464" s="19"/>
      <c r="CP464" s="19"/>
      <c r="CQ464" s="19"/>
      <c r="CR464" s="19"/>
      <c r="CS464" s="19"/>
      <c r="CT464" s="19"/>
      <c r="CU464" s="19"/>
      <c r="CV464" s="19"/>
      <c r="CW464" s="19"/>
      <c r="CX464" s="19"/>
      <c r="CY464" s="19"/>
      <c r="CZ464" s="19"/>
      <c r="DA464" s="19"/>
      <c r="DB464" s="19"/>
      <c r="DC464" s="19"/>
      <c r="DD464" s="19"/>
      <c r="DE464" s="19"/>
      <c r="DF464" s="19"/>
      <c r="DG464" s="19"/>
      <c r="DH464" s="19"/>
      <c r="DI464" s="19"/>
      <c r="DJ464" s="19"/>
      <c r="DK464" s="19"/>
      <c r="DL464" s="19"/>
      <c r="DM464" s="19"/>
      <c r="DN464" s="19"/>
      <c r="DO464" s="19"/>
      <c r="DP464" s="19"/>
      <c r="DQ464" s="19"/>
      <c r="DR464" s="19"/>
      <c r="DS464" s="19"/>
      <c r="DT464" s="19"/>
      <c r="DU464" s="19"/>
      <c r="DV464" s="19"/>
      <c r="DW464" s="19"/>
      <c r="DX464" s="19"/>
      <c r="DY464" s="19"/>
      <c r="DZ464" s="19"/>
      <c r="EA464" s="19"/>
      <c r="EB464" s="19"/>
      <c r="EC464" s="19"/>
      <c r="ED464" s="19"/>
      <c r="EE464" s="19"/>
      <c r="EF464" s="19"/>
      <c r="EG464" s="19"/>
      <c r="EH464" s="19"/>
      <c r="EI464" s="19"/>
      <c r="EJ464" s="19"/>
      <c r="EK464" s="19"/>
      <c r="EL464" s="19"/>
      <c r="EM464" s="19"/>
      <c r="EN464" s="19"/>
      <c r="EO464" s="19"/>
      <c r="EP464" s="17"/>
      <c r="EQ464" s="23"/>
      <c r="ER464" s="23" t="str">
        <f t="shared" si="1"/>
        <v/>
      </c>
      <c r="ES464" s="19"/>
      <c r="ET464" s="19" t="str">
        <f t="shared" si="2"/>
        <v/>
      </c>
      <c r="EU464" s="19"/>
      <c r="EV464" s="19"/>
      <c r="EW464" s="19"/>
      <c r="EX464" s="19"/>
      <c r="EY464" s="19"/>
      <c r="EZ464" s="19"/>
      <c r="FA464" s="19"/>
      <c r="FB464" s="19"/>
    </row>
    <row r="465" ht="15.75" customHeight="1">
      <c r="A465" s="19"/>
      <c r="F465" s="19"/>
      <c r="AH465" s="23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  <c r="BD465" s="19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  <c r="BP465" s="19"/>
      <c r="BQ465" s="19"/>
      <c r="BR465" s="19"/>
      <c r="BS465" s="19"/>
      <c r="BT465" s="19"/>
      <c r="BU465" s="19"/>
      <c r="BV465" s="19"/>
      <c r="BW465" s="19"/>
      <c r="BX465" s="19"/>
      <c r="BY465" s="19"/>
      <c r="BZ465" s="19"/>
      <c r="CA465" s="19"/>
      <c r="CB465" s="19"/>
      <c r="CC465" s="19"/>
      <c r="CD465" s="19"/>
      <c r="CE465" s="19"/>
      <c r="CF465" s="19"/>
      <c r="CG465" s="19"/>
      <c r="CH465" s="19"/>
      <c r="CI465" s="19"/>
      <c r="CJ465" s="19"/>
      <c r="CK465" s="19"/>
      <c r="CL465" s="19"/>
      <c r="CM465" s="19"/>
      <c r="CN465" s="19"/>
      <c r="CO465" s="19"/>
      <c r="CP465" s="19"/>
      <c r="CQ465" s="19"/>
      <c r="CR465" s="19"/>
      <c r="CS465" s="19"/>
      <c r="CT465" s="19"/>
      <c r="CU465" s="19"/>
      <c r="CV465" s="19"/>
      <c r="CW465" s="19"/>
      <c r="CX465" s="19"/>
      <c r="CY465" s="19"/>
      <c r="CZ465" s="19"/>
      <c r="DA465" s="19"/>
      <c r="DB465" s="19"/>
      <c r="DC465" s="19"/>
      <c r="DD465" s="19"/>
      <c r="DE465" s="19"/>
      <c r="DF465" s="19"/>
      <c r="DG465" s="19"/>
      <c r="DH465" s="19"/>
      <c r="DI465" s="19"/>
      <c r="DJ465" s="19"/>
      <c r="DK465" s="19"/>
      <c r="DL465" s="19"/>
      <c r="DM465" s="19"/>
      <c r="DN465" s="19"/>
      <c r="DO465" s="19"/>
      <c r="DP465" s="19"/>
      <c r="DQ465" s="19"/>
      <c r="DR465" s="19"/>
      <c r="DS465" s="19"/>
      <c r="DT465" s="19"/>
      <c r="DU465" s="19"/>
      <c r="DV465" s="19"/>
      <c r="DW465" s="19"/>
      <c r="DX465" s="19"/>
      <c r="DY465" s="19"/>
      <c r="DZ465" s="19"/>
      <c r="EA465" s="19"/>
      <c r="EB465" s="19"/>
      <c r="EC465" s="19"/>
      <c r="ED465" s="19"/>
      <c r="EE465" s="19"/>
      <c r="EF465" s="19"/>
      <c r="EG465" s="19"/>
      <c r="EH465" s="19"/>
      <c r="EI465" s="19"/>
      <c r="EJ465" s="19"/>
      <c r="EK465" s="19"/>
      <c r="EL465" s="19"/>
      <c r="EM465" s="19"/>
      <c r="EN465" s="19"/>
      <c r="EO465" s="19"/>
      <c r="EP465" s="17"/>
      <c r="EQ465" s="23"/>
      <c r="ER465" s="23" t="str">
        <f t="shared" si="1"/>
        <v/>
      </c>
      <c r="ES465" s="19"/>
      <c r="ET465" s="19" t="str">
        <f t="shared" si="2"/>
        <v/>
      </c>
      <c r="EU465" s="19"/>
      <c r="EV465" s="19"/>
      <c r="EW465" s="19"/>
      <c r="EX465" s="19"/>
      <c r="EY465" s="19"/>
      <c r="EZ465" s="19"/>
      <c r="FA465" s="19"/>
      <c r="FB465" s="19"/>
    </row>
    <row r="466" ht="15.75" customHeight="1">
      <c r="A466" s="19"/>
      <c r="F466" s="19"/>
      <c r="AH466" s="23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  <c r="BD466" s="19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  <c r="BP466" s="19"/>
      <c r="BQ466" s="19"/>
      <c r="BR466" s="19"/>
      <c r="BS466" s="19"/>
      <c r="BT466" s="19"/>
      <c r="BU466" s="19"/>
      <c r="BV466" s="19"/>
      <c r="BW466" s="19"/>
      <c r="BX466" s="19"/>
      <c r="BY466" s="19"/>
      <c r="BZ466" s="19"/>
      <c r="CA466" s="19"/>
      <c r="CB466" s="19"/>
      <c r="CC466" s="19"/>
      <c r="CD466" s="19"/>
      <c r="CE466" s="19"/>
      <c r="CF466" s="19"/>
      <c r="CG466" s="19"/>
      <c r="CH466" s="19"/>
      <c r="CI466" s="19"/>
      <c r="CJ466" s="19"/>
      <c r="CK466" s="19"/>
      <c r="CL466" s="19"/>
      <c r="CM466" s="19"/>
      <c r="CN466" s="19"/>
      <c r="CO466" s="19"/>
      <c r="CP466" s="19"/>
      <c r="CQ466" s="19"/>
      <c r="CR466" s="19"/>
      <c r="CS466" s="19"/>
      <c r="CT466" s="19"/>
      <c r="CU466" s="19"/>
      <c r="CV466" s="19"/>
      <c r="CW466" s="19"/>
      <c r="CX466" s="19"/>
      <c r="CY466" s="19"/>
      <c r="CZ466" s="19"/>
      <c r="DA466" s="19"/>
      <c r="DB466" s="19"/>
      <c r="DC466" s="19"/>
      <c r="DD466" s="19"/>
      <c r="DE466" s="19"/>
      <c r="DF466" s="19"/>
      <c r="DG466" s="19"/>
      <c r="DH466" s="19"/>
      <c r="DI466" s="19"/>
      <c r="DJ466" s="19"/>
      <c r="DK466" s="19"/>
      <c r="DL466" s="19"/>
      <c r="DM466" s="19"/>
      <c r="DN466" s="19"/>
      <c r="DO466" s="19"/>
      <c r="DP466" s="19"/>
      <c r="DQ466" s="19"/>
      <c r="DR466" s="19"/>
      <c r="DS466" s="19"/>
      <c r="DT466" s="19"/>
      <c r="DU466" s="19"/>
      <c r="DV466" s="19"/>
      <c r="DW466" s="19"/>
      <c r="DX466" s="19"/>
      <c r="DY466" s="19"/>
      <c r="DZ466" s="19"/>
      <c r="EA466" s="19"/>
      <c r="EB466" s="19"/>
      <c r="EC466" s="19"/>
      <c r="ED466" s="19"/>
      <c r="EE466" s="19"/>
      <c r="EF466" s="19"/>
      <c r="EG466" s="19"/>
      <c r="EH466" s="19"/>
      <c r="EI466" s="19"/>
      <c r="EJ466" s="19"/>
      <c r="EK466" s="19"/>
      <c r="EL466" s="19"/>
      <c r="EM466" s="19"/>
      <c r="EN466" s="19"/>
      <c r="EO466" s="19"/>
      <c r="EP466" s="17"/>
      <c r="EQ466" s="23"/>
      <c r="ER466" s="23" t="str">
        <f t="shared" si="1"/>
        <v/>
      </c>
      <c r="ES466" s="19"/>
      <c r="ET466" s="19" t="str">
        <f t="shared" si="2"/>
        <v/>
      </c>
      <c r="EU466" s="19"/>
      <c r="EV466" s="19"/>
      <c r="EW466" s="19"/>
      <c r="EX466" s="19"/>
      <c r="EY466" s="19"/>
      <c r="EZ466" s="19"/>
      <c r="FA466" s="19"/>
      <c r="FB466" s="19"/>
    </row>
    <row r="467" ht="15.75" customHeight="1">
      <c r="A467" s="19"/>
      <c r="F467" s="19"/>
      <c r="AH467" s="23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  <c r="BD467" s="19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  <c r="BP467" s="19"/>
      <c r="BQ467" s="19"/>
      <c r="BR467" s="19"/>
      <c r="BS467" s="19"/>
      <c r="BT467" s="19"/>
      <c r="BU467" s="19"/>
      <c r="BV467" s="19"/>
      <c r="BW467" s="19"/>
      <c r="BX467" s="19"/>
      <c r="BY467" s="19"/>
      <c r="BZ467" s="19"/>
      <c r="CA467" s="19"/>
      <c r="CB467" s="19"/>
      <c r="CC467" s="19"/>
      <c r="CD467" s="19"/>
      <c r="CE467" s="19"/>
      <c r="CF467" s="19"/>
      <c r="CG467" s="19"/>
      <c r="CH467" s="19"/>
      <c r="CI467" s="19"/>
      <c r="CJ467" s="19"/>
      <c r="CK467" s="19"/>
      <c r="CL467" s="19"/>
      <c r="CM467" s="19"/>
      <c r="CN467" s="19"/>
      <c r="CO467" s="19"/>
      <c r="CP467" s="19"/>
      <c r="CQ467" s="19"/>
      <c r="CR467" s="19"/>
      <c r="CS467" s="19"/>
      <c r="CT467" s="19"/>
      <c r="CU467" s="19"/>
      <c r="CV467" s="19"/>
      <c r="CW467" s="19"/>
      <c r="CX467" s="19"/>
      <c r="CY467" s="19"/>
      <c r="CZ467" s="19"/>
      <c r="DA467" s="19"/>
      <c r="DB467" s="19"/>
      <c r="DC467" s="19"/>
      <c r="DD467" s="19"/>
      <c r="DE467" s="19"/>
      <c r="DF467" s="19"/>
      <c r="DG467" s="19"/>
      <c r="DH467" s="19"/>
      <c r="DI467" s="19"/>
      <c r="DJ467" s="19"/>
      <c r="DK467" s="19"/>
      <c r="DL467" s="19"/>
      <c r="DM467" s="19"/>
      <c r="DN467" s="19"/>
      <c r="DO467" s="19"/>
      <c r="DP467" s="19"/>
      <c r="DQ467" s="19"/>
      <c r="DR467" s="19"/>
      <c r="DS467" s="19"/>
      <c r="DT467" s="19"/>
      <c r="DU467" s="19"/>
      <c r="DV467" s="19"/>
      <c r="DW467" s="19"/>
      <c r="DX467" s="19"/>
      <c r="DY467" s="19"/>
      <c r="DZ467" s="19"/>
      <c r="EA467" s="19"/>
      <c r="EB467" s="19"/>
      <c r="EC467" s="19"/>
      <c r="ED467" s="19"/>
      <c r="EE467" s="19"/>
      <c r="EF467" s="19"/>
      <c r="EG467" s="19"/>
      <c r="EH467" s="19"/>
      <c r="EI467" s="19"/>
      <c r="EJ467" s="19"/>
      <c r="EK467" s="19"/>
      <c r="EL467" s="19"/>
      <c r="EM467" s="19"/>
      <c r="EN467" s="19"/>
      <c r="EO467" s="19"/>
      <c r="EP467" s="17"/>
      <c r="EQ467" s="23"/>
      <c r="ER467" s="23" t="str">
        <f t="shared" si="1"/>
        <v/>
      </c>
      <c r="ES467" s="19"/>
      <c r="ET467" s="19" t="str">
        <f t="shared" si="2"/>
        <v/>
      </c>
      <c r="EU467" s="19"/>
      <c r="EV467" s="19"/>
      <c r="EW467" s="19"/>
      <c r="EX467" s="19"/>
      <c r="EY467" s="19"/>
      <c r="EZ467" s="19"/>
      <c r="FA467" s="19"/>
      <c r="FB467" s="19"/>
    </row>
    <row r="468" ht="15.75" customHeight="1">
      <c r="A468" s="19"/>
      <c r="F468" s="19"/>
      <c r="AH468" s="23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  <c r="BD468" s="19"/>
      <c r="BE468" s="19"/>
      <c r="BF468" s="19"/>
      <c r="BG468" s="19"/>
      <c r="BH468" s="19"/>
      <c r="BI468" s="19"/>
      <c r="BJ468" s="19"/>
      <c r="BK468" s="19"/>
      <c r="BL468" s="19"/>
      <c r="BM468" s="19"/>
      <c r="BN468" s="19"/>
      <c r="BO468" s="19"/>
      <c r="BP468" s="19"/>
      <c r="BQ468" s="19"/>
      <c r="BR468" s="19"/>
      <c r="BS468" s="19"/>
      <c r="BT468" s="19"/>
      <c r="BU468" s="19"/>
      <c r="BV468" s="19"/>
      <c r="BW468" s="19"/>
      <c r="BX468" s="19"/>
      <c r="BY468" s="19"/>
      <c r="BZ468" s="19"/>
      <c r="CA468" s="19"/>
      <c r="CB468" s="19"/>
      <c r="CC468" s="19"/>
      <c r="CD468" s="19"/>
      <c r="CE468" s="19"/>
      <c r="CF468" s="19"/>
      <c r="CG468" s="19"/>
      <c r="CH468" s="19"/>
      <c r="CI468" s="19"/>
      <c r="CJ468" s="19"/>
      <c r="CK468" s="19"/>
      <c r="CL468" s="19"/>
      <c r="CM468" s="19"/>
      <c r="CN468" s="19"/>
      <c r="CO468" s="19"/>
      <c r="CP468" s="19"/>
      <c r="CQ468" s="19"/>
      <c r="CR468" s="19"/>
      <c r="CS468" s="19"/>
      <c r="CT468" s="19"/>
      <c r="CU468" s="19"/>
      <c r="CV468" s="19"/>
      <c r="CW468" s="19"/>
      <c r="CX468" s="19"/>
      <c r="CY468" s="19"/>
      <c r="CZ468" s="19"/>
      <c r="DA468" s="19"/>
      <c r="DB468" s="19"/>
      <c r="DC468" s="19"/>
      <c r="DD468" s="19"/>
      <c r="DE468" s="19"/>
      <c r="DF468" s="19"/>
      <c r="DG468" s="19"/>
      <c r="DH468" s="19"/>
      <c r="DI468" s="19"/>
      <c r="DJ468" s="19"/>
      <c r="DK468" s="19"/>
      <c r="DL468" s="19"/>
      <c r="DM468" s="19"/>
      <c r="DN468" s="19"/>
      <c r="DO468" s="19"/>
      <c r="DP468" s="19"/>
      <c r="DQ468" s="19"/>
      <c r="DR468" s="19"/>
      <c r="DS468" s="19"/>
      <c r="DT468" s="19"/>
      <c r="DU468" s="19"/>
      <c r="DV468" s="19"/>
      <c r="DW468" s="19"/>
      <c r="DX468" s="19"/>
      <c r="DY468" s="19"/>
      <c r="DZ468" s="19"/>
      <c r="EA468" s="19"/>
      <c r="EB468" s="19"/>
      <c r="EC468" s="19"/>
      <c r="ED468" s="19"/>
      <c r="EE468" s="19"/>
      <c r="EF468" s="19"/>
      <c r="EG468" s="19"/>
      <c r="EH468" s="19"/>
      <c r="EI468" s="19"/>
      <c r="EJ468" s="19"/>
      <c r="EK468" s="19"/>
      <c r="EL468" s="19"/>
      <c r="EM468" s="19"/>
      <c r="EN468" s="19"/>
      <c r="EO468" s="19"/>
      <c r="EP468" s="17"/>
      <c r="EQ468" s="23"/>
      <c r="ER468" s="23" t="str">
        <f t="shared" si="1"/>
        <v/>
      </c>
      <c r="ES468" s="19"/>
      <c r="ET468" s="19" t="str">
        <f t="shared" si="2"/>
        <v/>
      </c>
      <c r="EU468" s="19"/>
      <c r="EV468" s="19"/>
      <c r="EW468" s="19"/>
      <c r="EX468" s="19"/>
      <c r="EY468" s="19"/>
      <c r="EZ468" s="19"/>
      <c r="FA468" s="19"/>
      <c r="FB468" s="19"/>
    </row>
    <row r="469" ht="15.75" customHeight="1">
      <c r="A469" s="19"/>
      <c r="F469" s="19"/>
      <c r="AH469" s="23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  <c r="BD469" s="19"/>
      <c r="BE469" s="19"/>
      <c r="BF469" s="19"/>
      <c r="BG469" s="19"/>
      <c r="BH469" s="19"/>
      <c r="BI469" s="19"/>
      <c r="BJ469" s="19"/>
      <c r="BK469" s="19"/>
      <c r="BL469" s="19"/>
      <c r="BM469" s="19"/>
      <c r="BN469" s="19"/>
      <c r="BO469" s="19"/>
      <c r="BP469" s="19"/>
      <c r="BQ469" s="19"/>
      <c r="BR469" s="19"/>
      <c r="BS469" s="19"/>
      <c r="BT469" s="19"/>
      <c r="BU469" s="19"/>
      <c r="BV469" s="19"/>
      <c r="BW469" s="19"/>
      <c r="BX469" s="19"/>
      <c r="BY469" s="19"/>
      <c r="BZ469" s="19"/>
      <c r="CA469" s="19"/>
      <c r="CB469" s="19"/>
      <c r="CC469" s="19"/>
      <c r="CD469" s="19"/>
      <c r="CE469" s="19"/>
      <c r="CF469" s="19"/>
      <c r="CG469" s="19"/>
      <c r="CH469" s="19"/>
      <c r="CI469" s="19"/>
      <c r="CJ469" s="19"/>
      <c r="CK469" s="19"/>
      <c r="CL469" s="19"/>
      <c r="CM469" s="19"/>
      <c r="CN469" s="19"/>
      <c r="CO469" s="19"/>
      <c r="CP469" s="19"/>
      <c r="CQ469" s="19"/>
      <c r="CR469" s="19"/>
      <c r="CS469" s="19"/>
      <c r="CT469" s="19"/>
      <c r="CU469" s="19"/>
      <c r="CV469" s="19"/>
      <c r="CW469" s="19"/>
      <c r="CX469" s="19"/>
      <c r="CY469" s="19"/>
      <c r="CZ469" s="19"/>
      <c r="DA469" s="19"/>
      <c r="DB469" s="19"/>
      <c r="DC469" s="19"/>
      <c r="DD469" s="19"/>
      <c r="DE469" s="19"/>
      <c r="DF469" s="19"/>
      <c r="DG469" s="19"/>
      <c r="DH469" s="19"/>
      <c r="DI469" s="19"/>
      <c r="DJ469" s="19"/>
      <c r="DK469" s="19"/>
      <c r="DL469" s="19"/>
      <c r="DM469" s="19"/>
      <c r="DN469" s="19"/>
      <c r="DO469" s="19"/>
      <c r="DP469" s="19"/>
      <c r="DQ469" s="19"/>
      <c r="DR469" s="19"/>
      <c r="DS469" s="19"/>
      <c r="DT469" s="19"/>
      <c r="DU469" s="19"/>
      <c r="DV469" s="19"/>
      <c r="DW469" s="19"/>
      <c r="DX469" s="19"/>
      <c r="DY469" s="19"/>
      <c r="DZ469" s="19"/>
      <c r="EA469" s="19"/>
      <c r="EB469" s="19"/>
      <c r="EC469" s="19"/>
      <c r="ED469" s="19"/>
      <c r="EE469" s="19"/>
      <c r="EF469" s="19"/>
      <c r="EG469" s="19"/>
      <c r="EH469" s="19"/>
      <c r="EI469" s="19"/>
      <c r="EJ469" s="19"/>
      <c r="EK469" s="19"/>
      <c r="EL469" s="19"/>
      <c r="EM469" s="19"/>
      <c r="EN469" s="19"/>
      <c r="EO469" s="19"/>
      <c r="EP469" s="17"/>
      <c r="EQ469" s="23"/>
      <c r="ER469" s="23" t="str">
        <f t="shared" si="1"/>
        <v/>
      </c>
      <c r="ES469" s="19"/>
      <c r="ET469" s="19" t="str">
        <f t="shared" si="2"/>
        <v/>
      </c>
      <c r="EU469" s="19"/>
      <c r="EV469" s="19"/>
      <c r="EW469" s="19"/>
      <c r="EX469" s="19"/>
      <c r="EY469" s="19"/>
      <c r="EZ469" s="19"/>
      <c r="FA469" s="19"/>
      <c r="FB469" s="19"/>
    </row>
    <row r="470" ht="15.75" customHeight="1">
      <c r="A470" s="19"/>
      <c r="F470" s="19"/>
      <c r="AH470" s="23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  <c r="BD470" s="19"/>
      <c r="BE470" s="19"/>
      <c r="BF470" s="19"/>
      <c r="BG470" s="19"/>
      <c r="BH470" s="19"/>
      <c r="BI470" s="19"/>
      <c r="BJ470" s="19"/>
      <c r="BK470" s="19"/>
      <c r="BL470" s="19"/>
      <c r="BM470" s="19"/>
      <c r="BN470" s="19"/>
      <c r="BO470" s="19"/>
      <c r="BP470" s="19"/>
      <c r="BQ470" s="19"/>
      <c r="BR470" s="19"/>
      <c r="BS470" s="19"/>
      <c r="BT470" s="19"/>
      <c r="BU470" s="19"/>
      <c r="BV470" s="19"/>
      <c r="BW470" s="19"/>
      <c r="BX470" s="19"/>
      <c r="BY470" s="19"/>
      <c r="BZ470" s="19"/>
      <c r="CA470" s="19"/>
      <c r="CB470" s="19"/>
      <c r="CC470" s="19"/>
      <c r="CD470" s="19"/>
      <c r="CE470" s="19"/>
      <c r="CF470" s="19"/>
      <c r="CG470" s="19"/>
      <c r="CH470" s="19"/>
      <c r="CI470" s="19"/>
      <c r="CJ470" s="19"/>
      <c r="CK470" s="19"/>
      <c r="CL470" s="19"/>
      <c r="CM470" s="19"/>
      <c r="CN470" s="19"/>
      <c r="CO470" s="19"/>
      <c r="CP470" s="19"/>
      <c r="CQ470" s="19"/>
      <c r="CR470" s="19"/>
      <c r="CS470" s="19"/>
      <c r="CT470" s="19"/>
      <c r="CU470" s="19"/>
      <c r="CV470" s="19"/>
      <c r="CW470" s="19"/>
      <c r="CX470" s="19"/>
      <c r="CY470" s="19"/>
      <c r="CZ470" s="19"/>
      <c r="DA470" s="19"/>
      <c r="DB470" s="19"/>
      <c r="DC470" s="19"/>
      <c r="DD470" s="19"/>
      <c r="DE470" s="19"/>
      <c r="DF470" s="19"/>
      <c r="DG470" s="19"/>
      <c r="DH470" s="19"/>
      <c r="DI470" s="19"/>
      <c r="DJ470" s="19"/>
      <c r="DK470" s="19"/>
      <c r="DL470" s="19"/>
      <c r="DM470" s="19"/>
      <c r="DN470" s="19"/>
      <c r="DO470" s="19"/>
      <c r="DP470" s="19"/>
      <c r="DQ470" s="19"/>
      <c r="DR470" s="19"/>
      <c r="DS470" s="19"/>
      <c r="DT470" s="19"/>
      <c r="DU470" s="19"/>
      <c r="DV470" s="19"/>
      <c r="DW470" s="19"/>
      <c r="DX470" s="19"/>
      <c r="DY470" s="19"/>
      <c r="DZ470" s="19"/>
      <c r="EA470" s="19"/>
      <c r="EB470" s="19"/>
      <c r="EC470" s="19"/>
      <c r="ED470" s="19"/>
      <c r="EE470" s="19"/>
      <c r="EF470" s="19"/>
      <c r="EG470" s="19"/>
      <c r="EH470" s="19"/>
      <c r="EI470" s="19"/>
      <c r="EJ470" s="19"/>
      <c r="EK470" s="19"/>
      <c r="EL470" s="19"/>
      <c r="EM470" s="19"/>
      <c r="EN470" s="19"/>
      <c r="EO470" s="19"/>
      <c r="EP470" s="17"/>
      <c r="EQ470" s="23"/>
      <c r="ER470" s="23" t="str">
        <f t="shared" si="1"/>
        <v/>
      </c>
      <c r="ES470" s="19"/>
      <c r="ET470" s="19" t="str">
        <f t="shared" si="2"/>
        <v/>
      </c>
      <c r="EU470" s="19"/>
      <c r="EV470" s="19"/>
      <c r="EW470" s="19"/>
      <c r="EX470" s="19"/>
      <c r="EY470" s="19"/>
      <c r="EZ470" s="19"/>
      <c r="FA470" s="19"/>
      <c r="FB470" s="19"/>
    </row>
    <row r="471" ht="15.75" customHeight="1">
      <c r="A471" s="19"/>
      <c r="F471" s="19"/>
      <c r="AH471" s="23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  <c r="BD471" s="19"/>
      <c r="BE471" s="19"/>
      <c r="BF471" s="19"/>
      <c r="BG471" s="19"/>
      <c r="BH471" s="19"/>
      <c r="BI471" s="19"/>
      <c r="BJ471" s="19"/>
      <c r="BK471" s="19"/>
      <c r="BL471" s="19"/>
      <c r="BM471" s="19"/>
      <c r="BN471" s="19"/>
      <c r="BO471" s="19"/>
      <c r="BP471" s="19"/>
      <c r="BQ471" s="19"/>
      <c r="BR471" s="19"/>
      <c r="BS471" s="19"/>
      <c r="BT471" s="19"/>
      <c r="BU471" s="19"/>
      <c r="BV471" s="19"/>
      <c r="BW471" s="19"/>
      <c r="BX471" s="19"/>
      <c r="BY471" s="19"/>
      <c r="BZ471" s="19"/>
      <c r="CA471" s="19"/>
      <c r="CB471" s="19"/>
      <c r="CC471" s="19"/>
      <c r="CD471" s="19"/>
      <c r="CE471" s="19"/>
      <c r="CF471" s="19"/>
      <c r="CG471" s="19"/>
      <c r="CH471" s="19"/>
      <c r="CI471" s="19"/>
      <c r="CJ471" s="19"/>
      <c r="CK471" s="19"/>
      <c r="CL471" s="19"/>
      <c r="CM471" s="19"/>
      <c r="CN471" s="19"/>
      <c r="CO471" s="19"/>
      <c r="CP471" s="19"/>
      <c r="CQ471" s="19"/>
      <c r="CR471" s="19"/>
      <c r="CS471" s="19"/>
      <c r="CT471" s="19"/>
      <c r="CU471" s="19"/>
      <c r="CV471" s="19"/>
      <c r="CW471" s="19"/>
      <c r="CX471" s="19"/>
      <c r="CY471" s="19"/>
      <c r="CZ471" s="19"/>
      <c r="DA471" s="19"/>
      <c r="DB471" s="19"/>
      <c r="DC471" s="19"/>
      <c r="DD471" s="19"/>
      <c r="DE471" s="19"/>
      <c r="DF471" s="19"/>
      <c r="DG471" s="19"/>
      <c r="DH471" s="19"/>
      <c r="DI471" s="19"/>
      <c r="DJ471" s="19"/>
      <c r="DK471" s="19"/>
      <c r="DL471" s="19"/>
      <c r="DM471" s="19"/>
      <c r="DN471" s="19"/>
      <c r="DO471" s="19"/>
      <c r="DP471" s="19"/>
      <c r="DQ471" s="19"/>
      <c r="DR471" s="19"/>
      <c r="DS471" s="19"/>
      <c r="DT471" s="19"/>
      <c r="DU471" s="19"/>
      <c r="DV471" s="19"/>
      <c r="DW471" s="19"/>
      <c r="DX471" s="19"/>
      <c r="DY471" s="19"/>
      <c r="DZ471" s="19"/>
      <c r="EA471" s="19"/>
      <c r="EB471" s="19"/>
      <c r="EC471" s="19"/>
      <c r="ED471" s="19"/>
      <c r="EE471" s="19"/>
      <c r="EF471" s="19"/>
      <c r="EG471" s="19"/>
      <c r="EH471" s="19"/>
      <c r="EI471" s="19"/>
      <c r="EJ471" s="19"/>
      <c r="EK471" s="19"/>
      <c r="EL471" s="19"/>
      <c r="EM471" s="19"/>
      <c r="EN471" s="19"/>
      <c r="EO471" s="19"/>
      <c r="EP471" s="17"/>
      <c r="EQ471" s="23"/>
      <c r="ER471" s="23" t="str">
        <f t="shared" si="1"/>
        <v/>
      </c>
      <c r="ES471" s="19"/>
      <c r="ET471" s="19" t="str">
        <f t="shared" si="2"/>
        <v/>
      </c>
      <c r="EU471" s="19"/>
      <c r="EV471" s="19"/>
      <c r="EW471" s="19"/>
      <c r="EX471" s="19"/>
      <c r="EY471" s="19"/>
      <c r="EZ471" s="19"/>
      <c r="FA471" s="19"/>
      <c r="FB471" s="19"/>
    </row>
    <row r="472" ht="15.75" customHeight="1">
      <c r="A472" s="19"/>
      <c r="F472" s="19"/>
      <c r="AH472" s="23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  <c r="BD472" s="19"/>
      <c r="BE472" s="19"/>
      <c r="BF472" s="19"/>
      <c r="BG472" s="19"/>
      <c r="BH472" s="19"/>
      <c r="BI472" s="19"/>
      <c r="BJ472" s="19"/>
      <c r="BK472" s="19"/>
      <c r="BL472" s="19"/>
      <c r="BM472" s="19"/>
      <c r="BN472" s="19"/>
      <c r="BO472" s="19"/>
      <c r="BP472" s="19"/>
      <c r="BQ472" s="19"/>
      <c r="BR472" s="19"/>
      <c r="BS472" s="19"/>
      <c r="BT472" s="19"/>
      <c r="BU472" s="19"/>
      <c r="BV472" s="19"/>
      <c r="BW472" s="19"/>
      <c r="BX472" s="19"/>
      <c r="BY472" s="19"/>
      <c r="BZ472" s="19"/>
      <c r="CA472" s="19"/>
      <c r="CB472" s="19"/>
      <c r="CC472" s="19"/>
      <c r="CD472" s="19"/>
      <c r="CE472" s="19"/>
      <c r="CF472" s="19"/>
      <c r="CG472" s="19"/>
      <c r="CH472" s="19"/>
      <c r="CI472" s="19"/>
      <c r="CJ472" s="19"/>
      <c r="CK472" s="19"/>
      <c r="CL472" s="19"/>
      <c r="CM472" s="19"/>
      <c r="CN472" s="19"/>
      <c r="CO472" s="19"/>
      <c r="CP472" s="19"/>
      <c r="CQ472" s="19"/>
      <c r="CR472" s="19"/>
      <c r="CS472" s="19"/>
      <c r="CT472" s="19"/>
      <c r="CU472" s="19"/>
      <c r="CV472" s="19"/>
      <c r="CW472" s="19"/>
      <c r="CX472" s="19"/>
      <c r="CY472" s="19"/>
      <c r="CZ472" s="19"/>
      <c r="DA472" s="19"/>
      <c r="DB472" s="19"/>
      <c r="DC472" s="19"/>
      <c r="DD472" s="19"/>
      <c r="DE472" s="19"/>
      <c r="DF472" s="19"/>
      <c r="DG472" s="19"/>
      <c r="DH472" s="19"/>
      <c r="DI472" s="19"/>
      <c r="DJ472" s="19"/>
      <c r="DK472" s="19"/>
      <c r="DL472" s="19"/>
      <c r="DM472" s="19"/>
      <c r="DN472" s="19"/>
      <c r="DO472" s="19"/>
      <c r="DP472" s="19"/>
      <c r="DQ472" s="19"/>
      <c r="DR472" s="19"/>
      <c r="DS472" s="19"/>
      <c r="DT472" s="19"/>
      <c r="DU472" s="19"/>
      <c r="DV472" s="19"/>
      <c r="DW472" s="19"/>
      <c r="DX472" s="19"/>
      <c r="DY472" s="19"/>
      <c r="DZ472" s="19"/>
      <c r="EA472" s="19"/>
      <c r="EB472" s="19"/>
      <c r="EC472" s="19"/>
      <c r="ED472" s="19"/>
      <c r="EE472" s="19"/>
      <c r="EF472" s="19"/>
      <c r="EG472" s="19"/>
      <c r="EH472" s="19"/>
      <c r="EI472" s="19"/>
      <c r="EJ472" s="19"/>
      <c r="EK472" s="19"/>
      <c r="EL472" s="19"/>
      <c r="EM472" s="19"/>
      <c r="EN472" s="19"/>
      <c r="EO472" s="19"/>
      <c r="EP472" s="17"/>
      <c r="EQ472" s="23"/>
      <c r="ER472" s="23" t="str">
        <f t="shared" si="1"/>
        <v/>
      </c>
      <c r="ES472" s="19"/>
      <c r="ET472" s="19" t="str">
        <f t="shared" si="2"/>
        <v/>
      </c>
      <c r="EU472" s="19"/>
      <c r="EV472" s="19"/>
      <c r="EW472" s="19"/>
      <c r="EX472" s="19"/>
      <c r="EY472" s="19"/>
      <c r="EZ472" s="19"/>
      <c r="FA472" s="19"/>
      <c r="FB472" s="19"/>
    </row>
    <row r="473" ht="15.75" customHeight="1">
      <c r="A473" s="19"/>
      <c r="F473" s="19"/>
      <c r="AH473" s="23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  <c r="BD473" s="19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  <c r="BP473" s="19"/>
      <c r="BQ473" s="19"/>
      <c r="BR473" s="19"/>
      <c r="BS473" s="19"/>
      <c r="BT473" s="19"/>
      <c r="BU473" s="19"/>
      <c r="BV473" s="19"/>
      <c r="BW473" s="19"/>
      <c r="BX473" s="19"/>
      <c r="BY473" s="19"/>
      <c r="BZ473" s="19"/>
      <c r="CA473" s="19"/>
      <c r="CB473" s="19"/>
      <c r="CC473" s="19"/>
      <c r="CD473" s="19"/>
      <c r="CE473" s="19"/>
      <c r="CF473" s="19"/>
      <c r="CG473" s="19"/>
      <c r="CH473" s="19"/>
      <c r="CI473" s="19"/>
      <c r="CJ473" s="19"/>
      <c r="CK473" s="19"/>
      <c r="CL473" s="19"/>
      <c r="CM473" s="19"/>
      <c r="CN473" s="19"/>
      <c r="CO473" s="19"/>
      <c r="CP473" s="19"/>
      <c r="CQ473" s="19"/>
      <c r="CR473" s="19"/>
      <c r="CS473" s="19"/>
      <c r="CT473" s="19"/>
      <c r="CU473" s="19"/>
      <c r="CV473" s="19"/>
      <c r="CW473" s="19"/>
      <c r="CX473" s="19"/>
      <c r="CY473" s="19"/>
      <c r="CZ473" s="19"/>
      <c r="DA473" s="19"/>
      <c r="DB473" s="19"/>
      <c r="DC473" s="19"/>
      <c r="DD473" s="19"/>
      <c r="DE473" s="19"/>
      <c r="DF473" s="19"/>
      <c r="DG473" s="19"/>
      <c r="DH473" s="19"/>
      <c r="DI473" s="19"/>
      <c r="DJ473" s="19"/>
      <c r="DK473" s="19"/>
      <c r="DL473" s="19"/>
      <c r="DM473" s="19"/>
      <c r="DN473" s="19"/>
      <c r="DO473" s="19"/>
      <c r="DP473" s="19"/>
      <c r="DQ473" s="19"/>
      <c r="DR473" s="19"/>
      <c r="DS473" s="19"/>
      <c r="DT473" s="19"/>
      <c r="DU473" s="19"/>
      <c r="DV473" s="19"/>
      <c r="DW473" s="19"/>
      <c r="DX473" s="19"/>
      <c r="DY473" s="19"/>
      <c r="DZ473" s="19"/>
      <c r="EA473" s="19"/>
      <c r="EB473" s="19"/>
      <c r="EC473" s="19"/>
      <c r="ED473" s="19"/>
      <c r="EE473" s="19"/>
      <c r="EF473" s="19"/>
      <c r="EG473" s="19"/>
      <c r="EH473" s="19"/>
      <c r="EI473" s="19"/>
      <c r="EJ473" s="19"/>
      <c r="EK473" s="19"/>
      <c r="EL473" s="19"/>
      <c r="EM473" s="19"/>
      <c r="EN473" s="19"/>
      <c r="EO473" s="19"/>
      <c r="EP473" s="17"/>
      <c r="EQ473" s="23"/>
      <c r="ER473" s="23" t="str">
        <f t="shared" si="1"/>
        <v/>
      </c>
      <c r="ES473" s="19"/>
      <c r="ET473" s="19" t="str">
        <f t="shared" si="2"/>
        <v/>
      </c>
      <c r="EU473" s="19"/>
      <c r="EV473" s="19"/>
      <c r="EW473" s="19"/>
      <c r="EX473" s="19"/>
      <c r="EY473" s="19"/>
      <c r="EZ473" s="19"/>
      <c r="FA473" s="19"/>
      <c r="FB473" s="19"/>
    </row>
    <row r="474" ht="15.75" customHeight="1">
      <c r="A474" s="19"/>
      <c r="F474" s="19"/>
      <c r="AH474" s="23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  <c r="BD474" s="19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  <c r="BP474" s="19"/>
      <c r="BQ474" s="19"/>
      <c r="BR474" s="19"/>
      <c r="BS474" s="19"/>
      <c r="BT474" s="19"/>
      <c r="BU474" s="19"/>
      <c r="BV474" s="19"/>
      <c r="BW474" s="19"/>
      <c r="BX474" s="19"/>
      <c r="BY474" s="19"/>
      <c r="BZ474" s="19"/>
      <c r="CA474" s="19"/>
      <c r="CB474" s="19"/>
      <c r="CC474" s="19"/>
      <c r="CD474" s="19"/>
      <c r="CE474" s="19"/>
      <c r="CF474" s="19"/>
      <c r="CG474" s="19"/>
      <c r="CH474" s="19"/>
      <c r="CI474" s="19"/>
      <c r="CJ474" s="19"/>
      <c r="CK474" s="19"/>
      <c r="CL474" s="19"/>
      <c r="CM474" s="19"/>
      <c r="CN474" s="19"/>
      <c r="CO474" s="19"/>
      <c r="CP474" s="19"/>
      <c r="CQ474" s="19"/>
      <c r="CR474" s="19"/>
      <c r="CS474" s="19"/>
      <c r="CT474" s="19"/>
      <c r="CU474" s="19"/>
      <c r="CV474" s="19"/>
      <c r="CW474" s="19"/>
      <c r="CX474" s="19"/>
      <c r="CY474" s="19"/>
      <c r="CZ474" s="19"/>
      <c r="DA474" s="19"/>
      <c r="DB474" s="19"/>
      <c r="DC474" s="19"/>
      <c r="DD474" s="19"/>
      <c r="DE474" s="19"/>
      <c r="DF474" s="19"/>
      <c r="DG474" s="19"/>
      <c r="DH474" s="19"/>
      <c r="DI474" s="19"/>
      <c r="DJ474" s="19"/>
      <c r="DK474" s="19"/>
      <c r="DL474" s="19"/>
      <c r="DM474" s="19"/>
      <c r="DN474" s="19"/>
      <c r="DO474" s="19"/>
      <c r="DP474" s="19"/>
      <c r="DQ474" s="19"/>
      <c r="DR474" s="19"/>
      <c r="DS474" s="19"/>
      <c r="DT474" s="19"/>
      <c r="DU474" s="19"/>
      <c r="DV474" s="19"/>
      <c r="DW474" s="19"/>
      <c r="DX474" s="19"/>
      <c r="DY474" s="19"/>
      <c r="DZ474" s="19"/>
      <c r="EA474" s="19"/>
      <c r="EB474" s="19"/>
      <c r="EC474" s="19"/>
      <c r="ED474" s="19"/>
      <c r="EE474" s="19"/>
      <c r="EF474" s="19"/>
      <c r="EG474" s="19"/>
      <c r="EH474" s="19"/>
      <c r="EI474" s="19"/>
      <c r="EJ474" s="19"/>
      <c r="EK474" s="19"/>
      <c r="EL474" s="19"/>
      <c r="EM474" s="19"/>
      <c r="EN474" s="19"/>
      <c r="EO474" s="19"/>
      <c r="EP474" s="17"/>
      <c r="EQ474" s="23"/>
      <c r="ER474" s="23" t="str">
        <f t="shared" si="1"/>
        <v/>
      </c>
      <c r="ES474" s="19"/>
      <c r="ET474" s="19" t="str">
        <f t="shared" si="2"/>
        <v/>
      </c>
      <c r="EU474" s="19"/>
      <c r="EV474" s="19"/>
      <c r="EW474" s="19"/>
      <c r="EX474" s="19"/>
      <c r="EY474" s="19"/>
      <c r="EZ474" s="19"/>
      <c r="FA474" s="19"/>
      <c r="FB474" s="19"/>
    </row>
    <row r="475" ht="15.75" customHeight="1">
      <c r="A475" s="19"/>
      <c r="F475" s="19"/>
      <c r="AH475" s="23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  <c r="BD475" s="19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  <c r="BP475" s="19"/>
      <c r="BQ475" s="19"/>
      <c r="BR475" s="19"/>
      <c r="BS475" s="19"/>
      <c r="BT475" s="19"/>
      <c r="BU475" s="19"/>
      <c r="BV475" s="19"/>
      <c r="BW475" s="19"/>
      <c r="BX475" s="19"/>
      <c r="BY475" s="19"/>
      <c r="BZ475" s="19"/>
      <c r="CA475" s="19"/>
      <c r="CB475" s="19"/>
      <c r="CC475" s="19"/>
      <c r="CD475" s="19"/>
      <c r="CE475" s="19"/>
      <c r="CF475" s="19"/>
      <c r="CG475" s="19"/>
      <c r="CH475" s="19"/>
      <c r="CI475" s="19"/>
      <c r="CJ475" s="19"/>
      <c r="CK475" s="19"/>
      <c r="CL475" s="19"/>
      <c r="CM475" s="19"/>
      <c r="CN475" s="19"/>
      <c r="CO475" s="19"/>
      <c r="CP475" s="19"/>
      <c r="CQ475" s="19"/>
      <c r="CR475" s="19"/>
      <c r="CS475" s="19"/>
      <c r="CT475" s="19"/>
      <c r="CU475" s="19"/>
      <c r="CV475" s="19"/>
      <c r="CW475" s="19"/>
      <c r="CX475" s="19"/>
      <c r="CY475" s="19"/>
      <c r="CZ475" s="19"/>
      <c r="DA475" s="19"/>
      <c r="DB475" s="19"/>
      <c r="DC475" s="19"/>
      <c r="DD475" s="19"/>
      <c r="DE475" s="19"/>
      <c r="DF475" s="19"/>
      <c r="DG475" s="19"/>
      <c r="DH475" s="19"/>
      <c r="DI475" s="19"/>
      <c r="DJ475" s="19"/>
      <c r="DK475" s="19"/>
      <c r="DL475" s="19"/>
      <c r="DM475" s="19"/>
      <c r="DN475" s="19"/>
      <c r="DO475" s="19"/>
      <c r="DP475" s="19"/>
      <c r="DQ475" s="19"/>
      <c r="DR475" s="19"/>
      <c r="DS475" s="19"/>
      <c r="DT475" s="19"/>
      <c r="DU475" s="19"/>
      <c r="DV475" s="19"/>
      <c r="DW475" s="19"/>
      <c r="DX475" s="19"/>
      <c r="DY475" s="19"/>
      <c r="DZ475" s="19"/>
      <c r="EA475" s="19"/>
      <c r="EB475" s="19"/>
      <c r="EC475" s="19"/>
      <c r="ED475" s="19"/>
      <c r="EE475" s="19"/>
      <c r="EF475" s="19"/>
      <c r="EG475" s="19"/>
      <c r="EH475" s="19"/>
      <c r="EI475" s="19"/>
      <c r="EJ475" s="19"/>
      <c r="EK475" s="19"/>
      <c r="EL475" s="19"/>
      <c r="EM475" s="19"/>
      <c r="EN475" s="19"/>
      <c r="EO475" s="19"/>
      <c r="EP475" s="17"/>
      <c r="EQ475" s="23"/>
      <c r="ER475" s="23" t="str">
        <f t="shared" si="1"/>
        <v/>
      </c>
      <c r="ES475" s="19"/>
      <c r="ET475" s="19" t="str">
        <f t="shared" si="2"/>
        <v/>
      </c>
      <c r="EU475" s="19"/>
      <c r="EV475" s="19"/>
      <c r="EW475" s="19"/>
      <c r="EX475" s="19"/>
      <c r="EY475" s="19"/>
      <c r="EZ475" s="19"/>
      <c r="FA475" s="19"/>
      <c r="FB475" s="19"/>
    </row>
    <row r="476" ht="15.75" customHeight="1">
      <c r="A476" s="19"/>
      <c r="F476" s="19"/>
      <c r="AH476" s="23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  <c r="BD476" s="19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  <c r="BP476" s="19"/>
      <c r="BQ476" s="19"/>
      <c r="BR476" s="19"/>
      <c r="BS476" s="19"/>
      <c r="BT476" s="19"/>
      <c r="BU476" s="19"/>
      <c r="BV476" s="19"/>
      <c r="BW476" s="19"/>
      <c r="BX476" s="19"/>
      <c r="BY476" s="19"/>
      <c r="BZ476" s="19"/>
      <c r="CA476" s="19"/>
      <c r="CB476" s="19"/>
      <c r="CC476" s="19"/>
      <c r="CD476" s="19"/>
      <c r="CE476" s="19"/>
      <c r="CF476" s="19"/>
      <c r="CG476" s="19"/>
      <c r="CH476" s="19"/>
      <c r="CI476" s="19"/>
      <c r="CJ476" s="19"/>
      <c r="CK476" s="19"/>
      <c r="CL476" s="19"/>
      <c r="CM476" s="19"/>
      <c r="CN476" s="19"/>
      <c r="CO476" s="19"/>
      <c r="CP476" s="19"/>
      <c r="CQ476" s="19"/>
      <c r="CR476" s="19"/>
      <c r="CS476" s="19"/>
      <c r="CT476" s="19"/>
      <c r="CU476" s="19"/>
      <c r="CV476" s="19"/>
      <c r="CW476" s="19"/>
      <c r="CX476" s="19"/>
      <c r="CY476" s="19"/>
      <c r="CZ476" s="19"/>
      <c r="DA476" s="19"/>
      <c r="DB476" s="19"/>
      <c r="DC476" s="19"/>
      <c r="DD476" s="19"/>
      <c r="DE476" s="19"/>
      <c r="DF476" s="19"/>
      <c r="DG476" s="19"/>
      <c r="DH476" s="19"/>
      <c r="DI476" s="19"/>
      <c r="DJ476" s="19"/>
      <c r="DK476" s="19"/>
      <c r="DL476" s="19"/>
      <c r="DM476" s="19"/>
      <c r="DN476" s="19"/>
      <c r="DO476" s="19"/>
      <c r="DP476" s="19"/>
      <c r="DQ476" s="19"/>
      <c r="DR476" s="19"/>
      <c r="DS476" s="19"/>
      <c r="DT476" s="19"/>
      <c r="DU476" s="19"/>
      <c r="DV476" s="19"/>
      <c r="DW476" s="19"/>
      <c r="DX476" s="19"/>
      <c r="DY476" s="19"/>
      <c r="DZ476" s="19"/>
      <c r="EA476" s="19"/>
      <c r="EB476" s="19"/>
      <c r="EC476" s="19"/>
      <c r="ED476" s="19"/>
      <c r="EE476" s="19"/>
      <c r="EF476" s="19"/>
      <c r="EG476" s="19"/>
      <c r="EH476" s="19"/>
      <c r="EI476" s="19"/>
      <c r="EJ476" s="19"/>
      <c r="EK476" s="19"/>
      <c r="EL476" s="19"/>
      <c r="EM476" s="19"/>
      <c r="EN476" s="19"/>
      <c r="EO476" s="19"/>
      <c r="EP476" s="17"/>
      <c r="EQ476" s="23"/>
      <c r="ER476" s="23" t="str">
        <f t="shared" si="1"/>
        <v/>
      </c>
      <c r="ES476" s="19"/>
      <c r="ET476" s="19" t="str">
        <f t="shared" si="2"/>
        <v/>
      </c>
      <c r="EU476" s="19"/>
      <c r="EV476" s="19"/>
      <c r="EW476" s="19"/>
      <c r="EX476" s="19"/>
      <c r="EY476" s="19"/>
      <c r="EZ476" s="19"/>
      <c r="FA476" s="19"/>
      <c r="FB476" s="19"/>
    </row>
    <row r="477" ht="15.75" customHeight="1">
      <c r="A477" s="19"/>
      <c r="F477" s="19"/>
      <c r="AH477" s="23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  <c r="BD477" s="19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  <c r="BP477" s="19"/>
      <c r="BQ477" s="19"/>
      <c r="BR477" s="19"/>
      <c r="BS477" s="19"/>
      <c r="BT477" s="19"/>
      <c r="BU477" s="19"/>
      <c r="BV477" s="19"/>
      <c r="BW477" s="19"/>
      <c r="BX477" s="19"/>
      <c r="BY477" s="19"/>
      <c r="BZ477" s="19"/>
      <c r="CA477" s="19"/>
      <c r="CB477" s="19"/>
      <c r="CC477" s="19"/>
      <c r="CD477" s="19"/>
      <c r="CE477" s="19"/>
      <c r="CF477" s="19"/>
      <c r="CG477" s="19"/>
      <c r="CH477" s="19"/>
      <c r="CI477" s="19"/>
      <c r="CJ477" s="19"/>
      <c r="CK477" s="19"/>
      <c r="CL477" s="19"/>
      <c r="CM477" s="19"/>
      <c r="CN477" s="19"/>
      <c r="CO477" s="19"/>
      <c r="CP477" s="19"/>
      <c r="CQ477" s="19"/>
      <c r="CR477" s="19"/>
      <c r="CS477" s="19"/>
      <c r="CT477" s="19"/>
      <c r="CU477" s="19"/>
      <c r="CV477" s="19"/>
      <c r="CW477" s="19"/>
      <c r="CX477" s="19"/>
      <c r="CY477" s="19"/>
      <c r="CZ477" s="19"/>
      <c r="DA477" s="19"/>
      <c r="DB477" s="19"/>
      <c r="DC477" s="19"/>
      <c r="DD477" s="19"/>
      <c r="DE477" s="19"/>
      <c r="DF477" s="19"/>
      <c r="DG477" s="19"/>
      <c r="DH477" s="19"/>
      <c r="DI477" s="19"/>
      <c r="DJ477" s="19"/>
      <c r="DK477" s="19"/>
      <c r="DL477" s="19"/>
      <c r="DM477" s="19"/>
      <c r="DN477" s="19"/>
      <c r="DO477" s="19"/>
      <c r="DP477" s="19"/>
      <c r="DQ477" s="19"/>
      <c r="DR477" s="19"/>
      <c r="DS477" s="19"/>
      <c r="DT477" s="19"/>
      <c r="DU477" s="19"/>
      <c r="DV477" s="19"/>
      <c r="DW477" s="19"/>
      <c r="DX477" s="19"/>
      <c r="DY477" s="19"/>
      <c r="DZ477" s="19"/>
      <c r="EA477" s="19"/>
      <c r="EB477" s="19"/>
      <c r="EC477" s="19"/>
      <c r="ED477" s="19"/>
      <c r="EE477" s="19"/>
      <c r="EF477" s="19"/>
      <c r="EG477" s="19"/>
      <c r="EH477" s="19"/>
      <c r="EI477" s="19"/>
      <c r="EJ477" s="19"/>
      <c r="EK477" s="19"/>
      <c r="EL477" s="19"/>
      <c r="EM477" s="19"/>
      <c r="EN477" s="19"/>
      <c r="EO477" s="19"/>
      <c r="EP477" s="17"/>
      <c r="EQ477" s="23"/>
      <c r="ER477" s="23" t="str">
        <f t="shared" si="1"/>
        <v/>
      </c>
      <c r="ES477" s="19"/>
      <c r="ET477" s="19" t="str">
        <f t="shared" si="2"/>
        <v/>
      </c>
      <c r="EU477" s="19"/>
      <c r="EV477" s="19"/>
      <c r="EW477" s="19"/>
      <c r="EX477" s="19"/>
      <c r="EY477" s="19"/>
      <c r="EZ477" s="19"/>
      <c r="FA477" s="19"/>
      <c r="FB477" s="19"/>
    </row>
    <row r="478" ht="15.75" customHeight="1">
      <c r="A478" s="19"/>
      <c r="F478" s="19"/>
      <c r="AH478" s="23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  <c r="BD478" s="19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  <c r="BP478" s="19"/>
      <c r="BQ478" s="19"/>
      <c r="BR478" s="19"/>
      <c r="BS478" s="19"/>
      <c r="BT478" s="19"/>
      <c r="BU478" s="19"/>
      <c r="BV478" s="19"/>
      <c r="BW478" s="19"/>
      <c r="BX478" s="19"/>
      <c r="BY478" s="19"/>
      <c r="BZ478" s="19"/>
      <c r="CA478" s="19"/>
      <c r="CB478" s="19"/>
      <c r="CC478" s="19"/>
      <c r="CD478" s="19"/>
      <c r="CE478" s="19"/>
      <c r="CF478" s="19"/>
      <c r="CG478" s="19"/>
      <c r="CH478" s="19"/>
      <c r="CI478" s="19"/>
      <c r="CJ478" s="19"/>
      <c r="CK478" s="19"/>
      <c r="CL478" s="19"/>
      <c r="CM478" s="19"/>
      <c r="CN478" s="19"/>
      <c r="CO478" s="19"/>
      <c r="CP478" s="19"/>
      <c r="CQ478" s="19"/>
      <c r="CR478" s="19"/>
      <c r="CS478" s="19"/>
      <c r="CT478" s="19"/>
      <c r="CU478" s="19"/>
      <c r="CV478" s="19"/>
      <c r="CW478" s="19"/>
      <c r="CX478" s="19"/>
      <c r="CY478" s="19"/>
      <c r="CZ478" s="19"/>
      <c r="DA478" s="19"/>
      <c r="DB478" s="19"/>
      <c r="DC478" s="19"/>
      <c r="DD478" s="19"/>
      <c r="DE478" s="19"/>
      <c r="DF478" s="19"/>
      <c r="DG478" s="19"/>
      <c r="DH478" s="19"/>
      <c r="DI478" s="19"/>
      <c r="DJ478" s="19"/>
      <c r="DK478" s="19"/>
      <c r="DL478" s="19"/>
      <c r="DM478" s="19"/>
      <c r="DN478" s="19"/>
      <c r="DO478" s="19"/>
      <c r="DP478" s="19"/>
      <c r="DQ478" s="19"/>
      <c r="DR478" s="19"/>
      <c r="DS478" s="19"/>
      <c r="DT478" s="19"/>
      <c r="DU478" s="19"/>
      <c r="DV478" s="19"/>
      <c r="DW478" s="19"/>
      <c r="DX478" s="19"/>
      <c r="DY478" s="19"/>
      <c r="DZ478" s="19"/>
      <c r="EA478" s="19"/>
      <c r="EB478" s="19"/>
      <c r="EC478" s="19"/>
      <c r="ED478" s="19"/>
      <c r="EE478" s="19"/>
      <c r="EF478" s="19"/>
      <c r="EG478" s="19"/>
      <c r="EH478" s="19"/>
      <c r="EI478" s="19"/>
      <c r="EJ478" s="19"/>
      <c r="EK478" s="19"/>
      <c r="EL478" s="19"/>
      <c r="EM478" s="19"/>
      <c r="EN478" s="19"/>
      <c r="EO478" s="19"/>
      <c r="EP478" s="17"/>
      <c r="EQ478" s="23"/>
      <c r="ER478" s="23" t="str">
        <f t="shared" si="1"/>
        <v/>
      </c>
      <c r="ES478" s="19"/>
      <c r="ET478" s="19" t="str">
        <f t="shared" si="2"/>
        <v/>
      </c>
      <c r="EU478" s="19"/>
      <c r="EV478" s="19"/>
      <c r="EW478" s="19"/>
      <c r="EX478" s="19"/>
      <c r="EY478" s="19"/>
      <c r="EZ478" s="19"/>
      <c r="FA478" s="19"/>
      <c r="FB478" s="19"/>
    </row>
    <row r="479" ht="15.75" customHeight="1">
      <c r="A479" s="19"/>
      <c r="F479" s="19"/>
      <c r="AH479" s="23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  <c r="BD479" s="19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  <c r="BP479" s="19"/>
      <c r="BQ479" s="19"/>
      <c r="BR479" s="19"/>
      <c r="BS479" s="19"/>
      <c r="BT479" s="19"/>
      <c r="BU479" s="19"/>
      <c r="BV479" s="19"/>
      <c r="BW479" s="19"/>
      <c r="BX479" s="19"/>
      <c r="BY479" s="19"/>
      <c r="BZ479" s="19"/>
      <c r="CA479" s="19"/>
      <c r="CB479" s="19"/>
      <c r="CC479" s="19"/>
      <c r="CD479" s="19"/>
      <c r="CE479" s="19"/>
      <c r="CF479" s="19"/>
      <c r="CG479" s="19"/>
      <c r="CH479" s="19"/>
      <c r="CI479" s="19"/>
      <c r="CJ479" s="19"/>
      <c r="CK479" s="19"/>
      <c r="CL479" s="19"/>
      <c r="CM479" s="19"/>
      <c r="CN479" s="19"/>
      <c r="CO479" s="19"/>
      <c r="CP479" s="19"/>
      <c r="CQ479" s="19"/>
      <c r="CR479" s="19"/>
      <c r="CS479" s="19"/>
      <c r="CT479" s="19"/>
      <c r="CU479" s="19"/>
      <c r="CV479" s="19"/>
      <c r="CW479" s="19"/>
      <c r="CX479" s="19"/>
      <c r="CY479" s="19"/>
      <c r="CZ479" s="19"/>
      <c r="DA479" s="19"/>
      <c r="DB479" s="19"/>
      <c r="DC479" s="19"/>
      <c r="DD479" s="19"/>
      <c r="DE479" s="19"/>
      <c r="DF479" s="19"/>
      <c r="DG479" s="19"/>
      <c r="DH479" s="19"/>
      <c r="DI479" s="19"/>
      <c r="DJ479" s="19"/>
      <c r="DK479" s="19"/>
      <c r="DL479" s="19"/>
      <c r="DM479" s="19"/>
      <c r="DN479" s="19"/>
      <c r="DO479" s="19"/>
      <c r="DP479" s="19"/>
      <c r="DQ479" s="19"/>
      <c r="DR479" s="19"/>
      <c r="DS479" s="19"/>
      <c r="DT479" s="19"/>
      <c r="DU479" s="19"/>
      <c r="DV479" s="19"/>
      <c r="DW479" s="19"/>
      <c r="DX479" s="19"/>
      <c r="DY479" s="19"/>
      <c r="DZ479" s="19"/>
      <c r="EA479" s="19"/>
      <c r="EB479" s="19"/>
      <c r="EC479" s="19"/>
      <c r="ED479" s="19"/>
      <c r="EE479" s="19"/>
      <c r="EF479" s="19"/>
      <c r="EG479" s="19"/>
      <c r="EH479" s="19"/>
      <c r="EI479" s="19"/>
      <c r="EJ479" s="19"/>
      <c r="EK479" s="19"/>
      <c r="EL479" s="19"/>
      <c r="EM479" s="19"/>
      <c r="EN479" s="19"/>
      <c r="EO479" s="19"/>
      <c r="EP479" s="17"/>
      <c r="EQ479" s="23"/>
      <c r="ER479" s="23" t="str">
        <f t="shared" si="1"/>
        <v/>
      </c>
      <c r="ES479" s="19"/>
      <c r="ET479" s="19" t="str">
        <f t="shared" si="2"/>
        <v/>
      </c>
      <c r="EU479" s="19"/>
      <c r="EV479" s="19"/>
      <c r="EW479" s="19"/>
      <c r="EX479" s="19"/>
      <c r="EY479" s="19"/>
      <c r="EZ479" s="19"/>
      <c r="FA479" s="19"/>
      <c r="FB479" s="19"/>
    </row>
    <row r="480" ht="15.75" customHeight="1">
      <c r="A480" s="19"/>
      <c r="F480" s="19"/>
      <c r="AH480" s="23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  <c r="BD480" s="19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  <c r="BP480" s="19"/>
      <c r="BQ480" s="19"/>
      <c r="BR480" s="19"/>
      <c r="BS480" s="19"/>
      <c r="BT480" s="19"/>
      <c r="BU480" s="19"/>
      <c r="BV480" s="19"/>
      <c r="BW480" s="19"/>
      <c r="BX480" s="19"/>
      <c r="BY480" s="19"/>
      <c r="BZ480" s="19"/>
      <c r="CA480" s="19"/>
      <c r="CB480" s="19"/>
      <c r="CC480" s="19"/>
      <c r="CD480" s="19"/>
      <c r="CE480" s="19"/>
      <c r="CF480" s="19"/>
      <c r="CG480" s="19"/>
      <c r="CH480" s="19"/>
      <c r="CI480" s="19"/>
      <c r="CJ480" s="19"/>
      <c r="CK480" s="19"/>
      <c r="CL480" s="19"/>
      <c r="CM480" s="19"/>
      <c r="CN480" s="19"/>
      <c r="CO480" s="19"/>
      <c r="CP480" s="19"/>
      <c r="CQ480" s="19"/>
      <c r="CR480" s="19"/>
      <c r="CS480" s="19"/>
      <c r="CT480" s="19"/>
      <c r="CU480" s="19"/>
      <c r="CV480" s="19"/>
      <c r="CW480" s="19"/>
      <c r="CX480" s="19"/>
      <c r="CY480" s="19"/>
      <c r="CZ480" s="19"/>
      <c r="DA480" s="19"/>
      <c r="DB480" s="19"/>
      <c r="DC480" s="19"/>
      <c r="DD480" s="19"/>
      <c r="DE480" s="19"/>
      <c r="DF480" s="19"/>
      <c r="DG480" s="19"/>
      <c r="DH480" s="19"/>
      <c r="DI480" s="19"/>
      <c r="DJ480" s="19"/>
      <c r="DK480" s="19"/>
      <c r="DL480" s="19"/>
      <c r="DM480" s="19"/>
      <c r="DN480" s="19"/>
      <c r="DO480" s="19"/>
      <c r="DP480" s="19"/>
      <c r="DQ480" s="19"/>
      <c r="DR480" s="19"/>
      <c r="DS480" s="19"/>
      <c r="DT480" s="19"/>
      <c r="DU480" s="19"/>
      <c r="DV480" s="19"/>
      <c r="DW480" s="19"/>
      <c r="DX480" s="19"/>
      <c r="DY480" s="19"/>
      <c r="DZ480" s="19"/>
      <c r="EA480" s="19"/>
      <c r="EB480" s="19"/>
      <c r="EC480" s="19"/>
      <c r="ED480" s="19"/>
      <c r="EE480" s="19"/>
      <c r="EF480" s="19"/>
      <c r="EG480" s="19"/>
      <c r="EH480" s="19"/>
      <c r="EI480" s="19"/>
      <c r="EJ480" s="19"/>
      <c r="EK480" s="19"/>
      <c r="EL480" s="19"/>
      <c r="EM480" s="19"/>
      <c r="EN480" s="19"/>
      <c r="EO480" s="19"/>
      <c r="EP480" s="17"/>
      <c r="EQ480" s="23"/>
      <c r="ER480" s="23" t="str">
        <f t="shared" si="1"/>
        <v/>
      </c>
      <c r="ES480" s="19"/>
      <c r="ET480" s="19" t="str">
        <f t="shared" si="2"/>
        <v/>
      </c>
      <c r="EU480" s="19"/>
      <c r="EV480" s="19"/>
      <c r="EW480" s="19"/>
      <c r="EX480" s="19"/>
      <c r="EY480" s="19"/>
      <c r="EZ480" s="19"/>
      <c r="FA480" s="19"/>
      <c r="FB480" s="19"/>
    </row>
    <row r="481" ht="15.75" customHeight="1">
      <c r="A481" s="19"/>
      <c r="F481" s="19"/>
      <c r="AH481" s="23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  <c r="BD481" s="19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  <c r="BP481" s="19"/>
      <c r="BQ481" s="19"/>
      <c r="BR481" s="19"/>
      <c r="BS481" s="19"/>
      <c r="BT481" s="19"/>
      <c r="BU481" s="19"/>
      <c r="BV481" s="19"/>
      <c r="BW481" s="19"/>
      <c r="BX481" s="19"/>
      <c r="BY481" s="19"/>
      <c r="BZ481" s="19"/>
      <c r="CA481" s="19"/>
      <c r="CB481" s="19"/>
      <c r="CC481" s="19"/>
      <c r="CD481" s="19"/>
      <c r="CE481" s="19"/>
      <c r="CF481" s="19"/>
      <c r="CG481" s="19"/>
      <c r="CH481" s="19"/>
      <c r="CI481" s="19"/>
      <c r="CJ481" s="19"/>
      <c r="CK481" s="19"/>
      <c r="CL481" s="19"/>
      <c r="CM481" s="19"/>
      <c r="CN481" s="19"/>
      <c r="CO481" s="19"/>
      <c r="CP481" s="19"/>
      <c r="CQ481" s="19"/>
      <c r="CR481" s="19"/>
      <c r="CS481" s="19"/>
      <c r="CT481" s="19"/>
      <c r="CU481" s="19"/>
      <c r="CV481" s="19"/>
      <c r="CW481" s="19"/>
      <c r="CX481" s="19"/>
      <c r="CY481" s="19"/>
      <c r="CZ481" s="19"/>
      <c r="DA481" s="19"/>
      <c r="DB481" s="19"/>
      <c r="DC481" s="19"/>
      <c r="DD481" s="19"/>
      <c r="DE481" s="19"/>
      <c r="DF481" s="19"/>
      <c r="DG481" s="19"/>
      <c r="DH481" s="19"/>
      <c r="DI481" s="19"/>
      <c r="DJ481" s="19"/>
      <c r="DK481" s="19"/>
      <c r="DL481" s="19"/>
      <c r="DM481" s="19"/>
      <c r="DN481" s="19"/>
      <c r="DO481" s="19"/>
      <c r="DP481" s="19"/>
      <c r="DQ481" s="19"/>
      <c r="DR481" s="19"/>
      <c r="DS481" s="19"/>
      <c r="DT481" s="19"/>
      <c r="DU481" s="19"/>
      <c r="DV481" s="19"/>
      <c r="DW481" s="19"/>
      <c r="DX481" s="19"/>
      <c r="DY481" s="19"/>
      <c r="DZ481" s="19"/>
      <c r="EA481" s="19"/>
      <c r="EB481" s="19"/>
      <c r="EC481" s="19"/>
      <c r="ED481" s="19"/>
      <c r="EE481" s="19"/>
      <c r="EF481" s="19"/>
      <c r="EG481" s="19"/>
      <c r="EH481" s="19"/>
      <c r="EI481" s="19"/>
      <c r="EJ481" s="19"/>
      <c r="EK481" s="19"/>
      <c r="EL481" s="19"/>
      <c r="EM481" s="19"/>
      <c r="EN481" s="19"/>
      <c r="EO481" s="19"/>
      <c r="EP481" s="17"/>
      <c r="EQ481" s="23"/>
      <c r="ER481" s="23" t="str">
        <f t="shared" si="1"/>
        <v/>
      </c>
      <c r="ES481" s="19"/>
      <c r="ET481" s="19" t="str">
        <f t="shared" si="2"/>
        <v/>
      </c>
      <c r="EU481" s="19"/>
      <c r="EV481" s="19"/>
      <c r="EW481" s="19"/>
      <c r="EX481" s="19"/>
      <c r="EY481" s="19"/>
      <c r="EZ481" s="19"/>
      <c r="FA481" s="19"/>
      <c r="FB481" s="19"/>
    </row>
    <row r="482" ht="15.75" customHeight="1">
      <c r="A482" s="19"/>
      <c r="F482" s="19"/>
      <c r="AH482" s="23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  <c r="BD482" s="19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  <c r="BP482" s="19"/>
      <c r="BQ482" s="19"/>
      <c r="BR482" s="19"/>
      <c r="BS482" s="19"/>
      <c r="BT482" s="19"/>
      <c r="BU482" s="19"/>
      <c r="BV482" s="19"/>
      <c r="BW482" s="19"/>
      <c r="BX482" s="19"/>
      <c r="BY482" s="19"/>
      <c r="BZ482" s="19"/>
      <c r="CA482" s="19"/>
      <c r="CB482" s="19"/>
      <c r="CC482" s="19"/>
      <c r="CD482" s="19"/>
      <c r="CE482" s="19"/>
      <c r="CF482" s="19"/>
      <c r="CG482" s="19"/>
      <c r="CH482" s="19"/>
      <c r="CI482" s="19"/>
      <c r="CJ482" s="19"/>
      <c r="CK482" s="19"/>
      <c r="CL482" s="19"/>
      <c r="CM482" s="19"/>
      <c r="CN482" s="19"/>
      <c r="CO482" s="19"/>
      <c r="CP482" s="19"/>
      <c r="CQ482" s="19"/>
      <c r="CR482" s="19"/>
      <c r="CS482" s="19"/>
      <c r="CT482" s="19"/>
      <c r="CU482" s="19"/>
      <c r="CV482" s="19"/>
      <c r="CW482" s="19"/>
      <c r="CX482" s="19"/>
      <c r="CY482" s="19"/>
      <c r="CZ482" s="19"/>
      <c r="DA482" s="19"/>
      <c r="DB482" s="19"/>
      <c r="DC482" s="19"/>
      <c r="DD482" s="19"/>
      <c r="DE482" s="19"/>
      <c r="DF482" s="19"/>
      <c r="DG482" s="19"/>
      <c r="DH482" s="19"/>
      <c r="DI482" s="19"/>
      <c r="DJ482" s="19"/>
      <c r="DK482" s="19"/>
      <c r="DL482" s="19"/>
      <c r="DM482" s="19"/>
      <c r="DN482" s="19"/>
      <c r="DO482" s="19"/>
      <c r="DP482" s="19"/>
      <c r="DQ482" s="19"/>
      <c r="DR482" s="19"/>
      <c r="DS482" s="19"/>
      <c r="DT482" s="19"/>
      <c r="DU482" s="19"/>
      <c r="DV482" s="19"/>
      <c r="DW482" s="19"/>
      <c r="DX482" s="19"/>
      <c r="DY482" s="19"/>
      <c r="DZ482" s="19"/>
      <c r="EA482" s="19"/>
      <c r="EB482" s="19"/>
      <c r="EC482" s="19"/>
      <c r="ED482" s="19"/>
      <c r="EE482" s="19"/>
      <c r="EF482" s="19"/>
      <c r="EG482" s="19"/>
      <c r="EH482" s="19"/>
      <c r="EI482" s="19"/>
      <c r="EJ482" s="19"/>
      <c r="EK482" s="19"/>
      <c r="EL482" s="19"/>
      <c r="EM482" s="19"/>
      <c r="EN482" s="19"/>
      <c r="EO482" s="19"/>
      <c r="EP482" s="17"/>
      <c r="EQ482" s="23"/>
      <c r="ER482" s="23" t="str">
        <f t="shared" si="1"/>
        <v/>
      </c>
      <c r="ES482" s="19"/>
      <c r="ET482" s="19" t="str">
        <f t="shared" si="2"/>
        <v/>
      </c>
      <c r="EU482" s="19"/>
      <c r="EV482" s="19"/>
      <c r="EW482" s="19"/>
      <c r="EX482" s="19"/>
      <c r="EY482" s="19"/>
      <c r="EZ482" s="19"/>
      <c r="FA482" s="19"/>
      <c r="FB482" s="19"/>
    </row>
    <row r="483" ht="15.75" customHeight="1">
      <c r="A483" s="19"/>
      <c r="F483" s="19"/>
      <c r="AH483" s="23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  <c r="BD483" s="19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  <c r="BP483" s="19"/>
      <c r="BQ483" s="19"/>
      <c r="BR483" s="19"/>
      <c r="BS483" s="19"/>
      <c r="BT483" s="19"/>
      <c r="BU483" s="19"/>
      <c r="BV483" s="19"/>
      <c r="BW483" s="19"/>
      <c r="BX483" s="19"/>
      <c r="BY483" s="19"/>
      <c r="BZ483" s="19"/>
      <c r="CA483" s="19"/>
      <c r="CB483" s="19"/>
      <c r="CC483" s="19"/>
      <c r="CD483" s="19"/>
      <c r="CE483" s="19"/>
      <c r="CF483" s="19"/>
      <c r="CG483" s="19"/>
      <c r="CH483" s="19"/>
      <c r="CI483" s="19"/>
      <c r="CJ483" s="19"/>
      <c r="CK483" s="19"/>
      <c r="CL483" s="19"/>
      <c r="CM483" s="19"/>
      <c r="CN483" s="19"/>
      <c r="CO483" s="19"/>
      <c r="CP483" s="19"/>
      <c r="CQ483" s="19"/>
      <c r="CR483" s="19"/>
      <c r="CS483" s="19"/>
      <c r="CT483" s="19"/>
      <c r="CU483" s="19"/>
      <c r="CV483" s="19"/>
      <c r="CW483" s="19"/>
      <c r="CX483" s="19"/>
      <c r="CY483" s="19"/>
      <c r="CZ483" s="19"/>
      <c r="DA483" s="19"/>
      <c r="DB483" s="19"/>
      <c r="DC483" s="19"/>
      <c r="DD483" s="19"/>
      <c r="DE483" s="19"/>
      <c r="DF483" s="19"/>
      <c r="DG483" s="19"/>
      <c r="DH483" s="19"/>
      <c r="DI483" s="19"/>
      <c r="DJ483" s="19"/>
      <c r="DK483" s="19"/>
      <c r="DL483" s="19"/>
      <c r="DM483" s="19"/>
      <c r="DN483" s="19"/>
      <c r="DO483" s="19"/>
      <c r="DP483" s="19"/>
      <c r="DQ483" s="19"/>
      <c r="DR483" s="19"/>
      <c r="DS483" s="19"/>
      <c r="DT483" s="19"/>
      <c r="DU483" s="19"/>
      <c r="DV483" s="19"/>
      <c r="DW483" s="19"/>
      <c r="DX483" s="19"/>
      <c r="DY483" s="19"/>
      <c r="DZ483" s="19"/>
      <c r="EA483" s="19"/>
      <c r="EB483" s="19"/>
      <c r="EC483" s="19"/>
      <c r="ED483" s="19"/>
      <c r="EE483" s="19"/>
      <c r="EF483" s="19"/>
      <c r="EG483" s="19"/>
      <c r="EH483" s="19"/>
      <c r="EI483" s="19"/>
      <c r="EJ483" s="19"/>
      <c r="EK483" s="19"/>
      <c r="EL483" s="19"/>
      <c r="EM483" s="19"/>
      <c r="EN483" s="19"/>
      <c r="EO483" s="19"/>
      <c r="EP483" s="17"/>
      <c r="EQ483" s="23"/>
      <c r="ER483" s="23" t="str">
        <f t="shared" si="1"/>
        <v/>
      </c>
      <c r="ES483" s="19"/>
      <c r="ET483" s="19" t="str">
        <f t="shared" si="2"/>
        <v/>
      </c>
      <c r="EU483" s="19"/>
      <c r="EV483" s="19"/>
      <c r="EW483" s="19"/>
      <c r="EX483" s="19"/>
      <c r="EY483" s="19"/>
      <c r="EZ483" s="19"/>
      <c r="FA483" s="19"/>
      <c r="FB483" s="19"/>
    </row>
    <row r="484" ht="15.75" customHeight="1">
      <c r="A484" s="19"/>
      <c r="F484" s="19"/>
      <c r="AH484" s="23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  <c r="BD484" s="19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  <c r="BP484" s="19"/>
      <c r="BQ484" s="19"/>
      <c r="BR484" s="19"/>
      <c r="BS484" s="19"/>
      <c r="BT484" s="19"/>
      <c r="BU484" s="19"/>
      <c r="BV484" s="19"/>
      <c r="BW484" s="19"/>
      <c r="BX484" s="19"/>
      <c r="BY484" s="19"/>
      <c r="BZ484" s="19"/>
      <c r="CA484" s="19"/>
      <c r="CB484" s="19"/>
      <c r="CC484" s="19"/>
      <c r="CD484" s="19"/>
      <c r="CE484" s="19"/>
      <c r="CF484" s="19"/>
      <c r="CG484" s="19"/>
      <c r="CH484" s="19"/>
      <c r="CI484" s="19"/>
      <c r="CJ484" s="19"/>
      <c r="CK484" s="19"/>
      <c r="CL484" s="19"/>
      <c r="CM484" s="19"/>
      <c r="CN484" s="19"/>
      <c r="CO484" s="19"/>
      <c r="CP484" s="19"/>
      <c r="CQ484" s="19"/>
      <c r="CR484" s="19"/>
      <c r="CS484" s="19"/>
      <c r="CT484" s="19"/>
      <c r="CU484" s="19"/>
      <c r="CV484" s="19"/>
      <c r="CW484" s="19"/>
      <c r="CX484" s="19"/>
      <c r="CY484" s="19"/>
      <c r="CZ484" s="19"/>
      <c r="DA484" s="19"/>
      <c r="DB484" s="19"/>
      <c r="DC484" s="19"/>
      <c r="DD484" s="19"/>
      <c r="DE484" s="19"/>
      <c r="DF484" s="19"/>
      <c r="DG484" s="19"/>
      <c r="DH484" s="19"/>
      <c r="DI484" s="19"/>
      <c r="DJ484" s="19"/>
      <c r="DK484" s="19"/>
      <c r="DL484" s="19"/>
      <c r="DM484" s="19"/>
      <c r="DN484" s="19"/>
      <c r="DO484" s="19"/>
      <c r="DP484" s="19"/>
      <c r="DQ484" s="19"/>
      <c r="DR484" s="19"/>
      <c r="DS484" s="19"/>
      <c r="DT484" s="19"/>
      <c r="DU484" s="19"/>
      <c r="DV484" s="19"/>
      <c r="DW484" s="19"/>
      <c r="DX484" s="19"/>
      <c r="DY484" s="19"/>
      <c r="DZ484" s="19"/>
      <c r="EA484" s="19"/>
      <c r="EB484" s="19"/>
      <c r="EC484" s="19"/>
      <c r="ED484" s="19"/>
      <c r="EE484" s="19"/>
      <c r="EF484" s="19"/>
      <c r="EG484" s="19"/>
      <c r="EH484" s="19"/>
      <c r="EI484" s="19"/>
      <c r="EJ484" s="19"/>
      <c r="EK484" s="19"/>
      <c r="EL484" s="19"/>
      <c r="EM484" s="19"/>
      <c r="EN484" s="19"/>
      <c r="EO484" s="19"/>
      <c r="EP484" s="17"/>
      <c r="EQ484" s="23"/>
      <c r="ER484" s="23" t="str">
        <f t="shared" si="1"/>
        <v/>
      </c>
      <c r="ES484" s="19"/>
      <c r="ET484" s="19" t="str">
        <f t="shared" si="2"/>
        <v/>
      </c>
      <c r="EU484" s="19"/>
      <c r="EV484" s="19"/>
      <c r="EW484" s="19"/>
      <c r="EX484" s="19"/>
      <c r="EY484" s="19"/>
      <c r="EZ484" s="19"/>
      <c r="FA484" s="19"/>
      <c r="FB484" s="19"/>
    </row>
    <row r="485" ht="15.75" customHeight="1">
      <c r="A485" s="19"/>
      <c r="F485" s="19"/>
      <c r="AH485" s="23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  <c r="BD485" s="19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  <c r="BP485" s="19"/>
      <c r="BQ485" s="19"/>
      <c r="BR485" s="19"/>
      <c r="BS485" s="19"/>
      <c r="BT485" s="19"/>
      <c r="BU485" s="19"/>
      <c r="BV485" s="19"/>
      <c r="BW485" s="19"/>
      <c r="BX485" s="19"/>
      <c r="BY485" s="19"/>
      <c r="BZ485" s="19"/>
      <c r="CA485" s="19"/>
      <c r="CB485" s="19"/>
      <c r="CC485" s="19"/>
      <c r="CD485" s="19"/>
      <c r="CE485" s="19"/>
      <c r="CF485" s="19"/>
      <c r="CG485" s="19"/>
      <c r="CH485" s="19"/>
      <c r="CI485" s="19"/>
      <c r="CJ485" s="19"/>
      <c r="CK485" s="19"/>
      <c r="CL485" s="19"/>
      <c r="CM485" s="19"/>
      <c r="CN485" s="19"/>
      <c r="CO485" s="19"/>
      <c r="CP485" s="19"/>
      <c r="CQ485" s="19"/>
      <c r="CR485" s="19"/>
      <c r="CS485" s="19"/>
      <c r="CT485" s="19"/>
      <c r="CU485" s="19"/>
      <c r="CV485" s="19"/>
      <c r="CW485" s="19"/>
      <c r="CX485" s="19"/>
      <c r="CY485" s="19"/>
      <c r="CZ485" s="19"/>
      <c r="DA485" s="19"/>
      <c r="DB485" s="19"/>
      <c r="DC485" s="19"/>
      <c r="DD485" s="19"/>
      <c r="DE485" s="19"/>
      <c r="DF485" s="19"/>
      <c r="DG485" s="19"/>
      <c r="DH485" s="19"/>
      <c r="DI485" s="19"/>
      <c r="DJ485" s="19"/>
      <c r="DK485" s="19"/>
      <c r="DL485" s="19"/>
      <c r="DM485" s="19"/>
      <c r="DN485" s="19"/>
      <c r="DO485" s="19"/>
      <c r="DP485" s="19"/>
      <c r="DQ485" s="19"/>
      <c r="DR485" s="19"/>
      <c r="DS485" s="19"/>
      <c r="DT485" s="19"/>
      <c r="DU485" s="19"/>
      <c r="DV485" s="19"/>
      <c r="DW485" s="19"/>
      <c r="DX485" s="19"/>
      <c r="DY485" s="19"/>
      <c r="DZ485" s="19"/>
      <c r="EA485" s="19"/>
      <c r="EB485" s="19"/>
      <c r="EC485" s="19"/>
      <c r="ED485" s="19"/>
      <c r="EE485" s="19"/>
      <c r="EF485" s="19"/>
      <c r="EG485" s="19"/>
      <c r="EH485" s="19"/>
      <c r="EI485" s="19"/>
      <c r="EJ485" s="19"/>
      <c r="EK485" s="19"/>
      <c r="EL485" s="19"/>
      <c r="EM485" s="19"/>
      <c r="EN485" s="19"/>
      <c r="EO485" s="19"/>
      <c r="EP485" s="17"/>
      <c r="EQ485" s="23"/>
      <c r="ER485" s="23" t="str">
        <f t="shared" si="1"/>
        <v/>
      </c>
      <c r="ES485" s="19"/>
      <c r="ET485" s="19" t="str">
        <f t="shared" si="2"/>
        <v/>
      </c>
      <c r="EU485" s="19"/>
      <c r="EV485" s="19"/>
      <c r="EW485" s="19"/>
      <c r="EX485" s="19"/>
      <c r="EY485" s="19"/>
      <c r="EZ485" s="19"/>
      <c r="FA485" s="19"/>
      <c r="FB485" s="19"/>
    </row>
    <row r="486" ht="15.75" customHeight="1">
      <c r="A486" s="19"/>
      <c r="F486" s="19"/>
      <c r="AH486" s="23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  <c r="BD486" s="19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  <c r="BP486" s="19"/>
      <c r="BQ486" s="19"/>
      <c r="BR486" s="19"/>
      <c r="BS486" s="19"/>
      <c r="BT486" s="19"/>
      <c r="BU486" s="19"/>
      <c r="BV486" s="19"/>
      <c r="BW486" s="19"/>
      <c r="BX486" s="19"/>
      <c r="BY486" s="19"/>
      <c r="BZ486" s="19"/>
      <c r="CA486" s="19"/>
      <c r="CB486" s="19"/>
      <c r="CC486" s="19"/>
      <c r="CD486" s="19"/>
      <c r="CE486" s="19"/>
      <c r="CF486" s="19"/>
      <c r="CG486" s="19"/>
      <c r="CH486" s="19"/>
      <c r="CI486" s="19"/>
      <c r="CJ486" s="19"/>
      <c r="CK486" s="19"/>
      <c r="CL486" s="19"/>
      <c r="CM486" s="19"/>
      <c r="CN486" s="19"/>
      <c r="CO486" s="19"/>
      <c r="CP486" s="19"/>
      <c r="CQ486" s="19"/>
      <c r="CR486" s="19"/>
      <c r="CS486" s="19"/>
      <c r="CT486" s="19"/>
      <c r="CU486" s="19"/>
      <c r="CV486" s="19"/>
      <c r="CW486" s="19"/>
      <c r="CX486" s="19"/>
      <c r="CY486" s="19"/>
      <c r="CZ486" s="19"/>
      <c r="DA486" s="19"/>
      <c r="DB486" s="19"/>
      <c r="DC486" s="19"/>
      <c r="DD486" s="19"/>
      <c r="DE486" s="19"/>
      <c r="DF486" s="19"/>
      <c r="DG486" s="19"/>
      <c r="DH486" s="19"/>
      <c r="DI486" s="19"/>
      <c r="DJ486" s="19"/>
      <c r="DK486" s="19"/>
      <c r="DL486" s="19"/>
      <c r="DM486" s="19"/>
      <c r="DN486" s="19"/>
      <c r="DO486" s="19"/>
      <c r="DP486" s="19"/>
      <c r="DQ486" s="19"/>
      <c r="DR486" s="19"/>
      <c r="DS486" s="19"/>
      <c r="DT486" s="19"/>
      <c r="DU486" s="19"/>
      <c r="DV486" s="19"/>
      <c r="DW486" s="19"/>
      <c r="DX486" s="19"/>
      <c r="DY486" s="19"/>
      <c r="DZ486" s="19"/>
      <c r="EA486" s="19"/>
      <c r="EB486" s="19"/>
      <c r="EC486" s="19"/>
      <c r="ED486" s="19"/>
      <c r="EE486" s="19"/>
      <c r="EF486" s="19"/>
      <c r="EG486" s="19"/>
      <c r="EH486" s="19"/>
      <c r="EI486" s="19"/>
      <c r="EJ486" s="19"/>
      <c r="EK486" s="19"/>
      <c r="EL486" s="19"/>
      <c r="EM486" s="19"/>
      <c r="EN486" s="19"/>
      <c r="EO486" s="19"/>
      <c r="EP486" s="17"/>
      <c r="EQ486" s="23"/>
      <c r="ER486" s="23" t="str">
        <f t="shared" si="1"/>
        <v/>
      </c>
      <c r="ES486" s="19"/>
      <c r="ET486" s="19" t="str">
        <f t="shared" si="2"/>
        <v/>
      </c>
      <c r="EU486" s="19"/>
      <c r="EV486" s="19"/>
      <c r="EW486" s="19"/>
      <c r="EX486" s="19"/>
      <c r="EY486" s="19"/>
      <c r="EZ486" s="19"/>
      <c r="FA486" s="19"/>
      <c r="FB486" s="19"/>
    </row>
    <row r="487" ht="15.75" customHeight="1">
      <c r="A487" s="19"/>
      <c r="F487" s="19"/>
      <c r="AH487" s="23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  <c r="BD487" s="19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  <c r="BP487" s="19"/>
      <c r="BQ487" s="19"/>
      <c r="BR487" s="19"/>
      <c r="BS487" s="19"/>
      <c r="BT487" s="19"/>
      <c r="BU487" s="19"/>
      <c r="BV487" s="19"/>
      <c r="BW487" s="19"/>
      <c r="BX487" s="19"/>
      <c r="BY487" s="19"/>
      <c r="BZ487" s="19"/>
      <c r="CA487" s="19"/>
      <c r="CB487" s="19"/>
      <c r="CC487" s="19"/>
      <c r="CD487" s="19"/>
      <c r="CE487" s="19"/>
      <c r="CF487" s="19"/>
      <c r="CG487" s="19"/>
      <c r="CH487" s="19"/>
      <c r="CI487" s="19"/>
      <c r="CJ487" s="19"/>
      <c r="CK487" s="19"/>
      <c r="CL487" s="19"/>
      <c r="CM487" s="19"/>
      <c r="CN487" s="19"/>
      <c r="CO487" s="19"/>
      <c r="CP487" s="19"/>
      <c r="CQ487" s="19"/>
      <c r="CR487" s="19"/>
      <c r="CS487" s="19"/>
      <c r="CT487" s="19"/>
      <c r="CU487" s="19"/>
      <c r="CV487" s="19"/>
      <c r="CW487" s="19"/>
      <c r="CX487" s="19"/>
      <c r="CY487" s="19"/>
      <c r="CZ487" s="19"/>
      <c r="DA487" s="19"/>
      <c r="DB487" s="19"/>
      <c r="DC487" s="19"/>
      <c r="DD487" s="19"/>
      <c r="DE487" s="19"/>
      <c r="DF487" s="19"/>
      <c r="DG487" s="19"/>
      <c r="DH487" s="19"/>
      <c r="DI487" s="19"/>
      <c r="DJ487" s="19"/>
      <c r="DK487" s="19"/>
      <c r="DL487" s="19"/>
      <c r="DM487" s="19"/>
      <c r="DN487" s="19"/>
      <c r="DO487" s="19"/>
      <c r="DP487" s="19"/>
      <c r="DQ487" s="19"/>
      <c r="DR487" s="19"/>
      <c r="DS487" s="19"/>
      <c r="DT487" s="19"/>
      <c r="DU487" s="19"/>
      <c r="DV487" s="19"/>
      <c r="DW487" s="19"/>
      <c r="DX487" s="19"/>
      <c r="DY487" s="19"/>
      <c r="DZ487" s="19"/>
      <c r="EA487" s="19"/>
      <c r="EB487" s="19"/>
      <c r="EC487" s="19"/>
      <c r="ED487" s="19"/>
      <c r="EE487" s="19"/>
      <c r="EF487" s="19"/>
      <c r="EG487" s="19"/>
      <c r="EH487" s="19"/>
      <c r="EI487" s="19"/>
      <c r="EJ487" s="19"/>
      <c r="EK487" s="19"/>
      <c r="EL487" s="19"/>
      <c r="EM487" s="19"/>
      <c r="EN487" s="19"/>
      <c r="EO487" s="19"/>
      <c r="EP487" s="17"/>
      <c r="EQ487" s="23"/>
      <c r="ER487" s="23" t="str">
        <f t="shared" si="1"/>
        <v/>
      </c>
      <c r="ES487" s="19"/>
      <c r="ET487" s="19" t="str">
        <f t="shared" si="2"/>
        <v/>
      </c>
      <c r="EU487" s="19"/>
      <c r="EV487" s="19"/>
      <c r="EW487" s="19"/>
      <c r="EX487" s="19"/>
      <c r="EY487" s="19"/>
      <c r="EZ487" s="19"/>
      <c r="FA487" s="19"/>
      <c r="FB487" s="19"/>
    </row>
    <row r="488" ht="15.75" customHeight="1">
      <c r="A488" s="19"/>
      <c r="F488" s="19"/>
      <c r="AH488" s="23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  <c r="BD488" s="19"/>
      <c r="BE488" s="19"/>
      <c r="BF488" s="19"/>
      <c r="BG488" s="19"/>
      <c r="BH488" s="19"/>
      <c r="BI488" s="19"/>
      <c r="BJ488" s="19"/>
      <c r="BK488" s="19"/>
      <c r="BL488" s="19"/>
      <c r="BM488" s="19"/>
      <c r="BN488" s="19"/>
      <c r="BO488" s="19"/>
      <c r="BP488" s="19"/>
      <c r="BQ488" s="19"/>
      <c r="BR488" s="19"/>
      <c r="BS488" s="19"/>
      <c r="BT488" s="19"/>
      <c r="BU488" s="19"/>
      <c r="BV488" s="19"/>
      <c r="BW488" s="19"/>
      <c r="BX488" s="19"/>
      <c r="BY488" s="19"/>
      <c r="BZ488" s="19"/>
      <c r="CA488" s="19"/>
      <c r="CB488" s="19"/>
      <c r="CC488" s="19"/>
      <c r="CD488" s="19"/>
      <c r="CE488" s="19"/>
      <c r="CF488" s="19"/>
      <c r="CG488" s="19"/>
      <c r="CH488" s="19"/>
      <c r="CI488" s="19"/>
      <c r="CJ488" s="19"/>
      <c r="CK488" s="19"/>
      <c r="CL488" s="19"/>
      <c r="CM488" s="19"/>
      <c r="CN488" s="19"/>
      <c r="CO488" s="19"/>
      <c r="CP488" s="19"/>
      <c r="CQ488" s="19"/>
      <c r="CR488" s="19"/>
      <c r="CS488" s="19"/>
      <c r="CT488" s="19"/>
      <c r="CU488" s="19"/>
      <c r="CV488" s="19"/>
      <c r="CW488" s="19"/>
      <c r="CX488" s="19"/>
      <c r="CY488" s="19"/>
      <c r="CZ488" s="19"/>
      <c r="DA488" s="19"/>
      <c r="DB488" s="19"/>
      <c r="DC488" s="19"/>
      <c r="DD488" s="19"/>
      <c r="DE488" s="19"/>
      <c r="DF488" s="19"/>
      <c r="DG488" s="19"/>
      <c r="DH488" s="19"/>
      <c r="DI488" s="19"/>
      <c r="DJ488" s="19"/>
      <c r="DK488" s="19"/>
      <c r="DL488" s="19"/>
      <c r="DM488" s="19"/>
      <c r="DN488" s="19"/>
      <c r="DO488" s="19"/>
      <c r="DP488" s="19"/>
      <c r="DQ488" s="19"/>
      <c r="DR488" s="19"/>
      <c r="DS488" s="19"/>
      <c r="DT488" s="19"/>
      <c r="DU488" s="19"/>
      <c r="DV488" s="19"/>
      <c r="DW488" s="19"/>
      <c r="DX488" s="19"/>
      <c r="DY488" s="19"/>
      <c r="DZ488" s="19"/>
      <c r="EA488" s="19"/>
      <c r="EB488" s="19"/>
      <c r="EC488" s="19"/>
      <c r="ED488" s="19"/>
      <c r="EE488" s="19"/>
      <c r="EF488" s="19"/>
      <c r="EG488" s="19"/>
      <c r="EH488" s="19"/>
      <c r="EI488" s="19"/>
      <c r="EJ488" s="19"/>
      <c r="EK488" s="19"/>
      <c r="EL488" s="19"/>
      <c r="EM488" s="19"/>
      <c r="EN488" s="19"/>
      <c r="EO488" s="19"/>
      <c r="EP488" s="17"/>
      <c r="EQ488" s="23"/>
      <c r="ER488" s="23" t="str">
        <f t="shared" si="1"/>
        <v/>
      </c>
      <c r="ES488" s="19"/>
      <c r="ET488" s="19" t="str">
        <f t="shared" si="2"/>
        <v/>
      </c>
      <c r="EU488" s="19"/>
      <c r="EV488" s="19"/>
      <c r="EW488" s="19"/>
      <c r="EX488" s="19"/>
      <c r="EY488" s="19"/>
      <c r="EZ488" s="19"/>
      <c r="FA488" s="19"/>
      <c r="FB488" s="19"/>
    </row>
    <row r="489" ht="15.75" customHeight="1">
      <c r="A489" s="19"/>
      <c r="F489" s="19"/>
      <c r="AH489" s="23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  <c r="BD489" s="19"/>
      <c r="BE489" s="19"/>
      <c r="BF489" s="19"/>
      <c r="BG489" s="19"/>
      <c r="BH489" s="19"/>
      <c r="BI489" s="19"/>
      <c r="BJ489" s="19"/>
      <c r="BK489" s="19"/>
      <c r="BL489" s="19"/>
      <c r="BM489" s="19"/>
      <c r="BN489" s="19"/>
      <c r="BO489" s="19"/>
      <c r="BP489" s="19"/>
      <c r="BQ489" s="19"/>
      <c r="BR489" s="19"/>
      <c r="BS489" s="19"/>
      <c r="BT489" s="19"/>
      <c r="BU489" s="19"/>
      <c r="BV489" s="19"/>
      <c r="BW489" s="19"/>
      <c r="BX489" s="19"/>
      <c r="BY489" s="19"/>
      <c r="BZ489" s="19"/>
      <c r="CA489" s="19"/>
      <c r="CB489" s="19"/>
      <c r="CC489" s="19"/>
      <c r="CD489" s="19"/>
      <c r="CE489" s="19"/>
      <c r="CF489" s="19"/>
      <c r="CG489" s="19"/>
      <c r="CH489" s="19"/>
      <c r="CI489" s="19"/>
      <c r="CJ489" s="19"/>
      <c r="CK489" s="19"/>
      <c r="CL489" s="19"/>
      <c r="CM489" s="19"/>
      <c r="CN489" s="19"/>
      <c r="CO489" s="19"/>
      <c r="CP489" s="19"/>
      <c r="CQ489" s="19"/>
      <c r="CR489" s="19"/>
      <c r="CS489" s="19"/>
      <c r="CT489" s="19"/>
      <c r="CU489" s="19"/>
      <c r="CV489" s="19"/>
      <c r="CW489" s="19"/>
      <c r="CX489" s="19"/>
      <c r="CY489" s="19"/>
      <c r="CZ489" s="19"/>
      <c r="DA489" s="19"/>
      <c r="DB489" s="19"/>
      <c r="DC489" s="19"/>
      <c r="DD489" s="19"/>
      <c r="DE489" s="19"/>
      <c r="DF489" s="19"/>
      <c r="DG489" s="19"/>
      <c r="DH489" s="19"/>
      <c r="DI489" s="19"/>
      <c r="DJ489" s="19"/>
      <c r="DK489" s="19"/>
      <c r="DL489" s="19"/>
      <c r="DM489" s="19"/>
      <c r="DN489" s="19"/>
      <c r="DO489" s="19"/>
      <c r="DP489" s="19"/>
      <c r="DQ489" s="19"/>
      <c r="DR489" s="19"/>
      <c r="DS489" s="19"/>
      <c r="DT489" s="19"/>
      <c r="DU489" s="19"/>
      <c r="DV489" s="19"/>
      <c r="DW489" s="19"/>
      <c r="DX489" s="19"/>
      <c r="DY489" s="19"/>
      <c r="DZ489" s="19"/>
      <c r="EA489" s="19"/>
      <c r="EB489" s="19"/>
      <c r="EC489" s="19"/>
      <c r="ED489" s="19"/>
      <c r="EE489" s="19"/>
      <c r="EF489" s="19"/>
      <c r="EG489" s="19"/>
      <c r="EH489" s="19"/>
      <c r="EI489" s="19"/>
      <c r="EJ489" s="19"/>
      <c r="EK489" s="19"/>
      <c r="EL489" s="19"/>
      <c r="EM489" s="19"/>
      <c r="EN489" s="19"/>
      <c r="EO489" s="19"/>
      <c r="EP489" s="17"/>
      <c r="EQ489" s="23"/>
      <c r="ER489" s="23" t="str">
        <f t="shared" si="1"/>
        <v/>
      </c>
      <c r="ES489" s="19"/>
      <c r="ET489" s="19" t="str">
        <f t="shared" si="2"/>
        <v/>
      </c>
      <c r="EU489" s="19"/>
      <c r="EV489" s="19"/>
      <c r="EW489" s="19"/>
      <c r="EX489" s="19"/>
      <c r="EY489" s="19"/>
      <c r="EZ489" s="19"/>
      <c r="FA489" s="19"/>
      <c r="FB489" s="19"/>
    </row>
    <row r="490" ht="15.75" customHeight="1">
      <c r="A490" s="19"/>
      <c r="F490" s="19"/>
      <c r="AH490" s="23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  <c r="BD490" s="19"/>
      <c r="BE490" s="19"/>
      <c r="BF490" s="19"/>
      <c r="BG490" s="19"/>
      <c r="BH490" s="19"/>
      <c r="BI490" s="19"/>
      <c r="BJ490" s="19"/>
      <c r="BK490" s="19"/>
      <c r="BL490" s="19"/>
      <c r="BM490" s="19"/>
      <c r="BN490" s="19"/>
      <c r="BO490" s="19"/>
      <c r="BP490" s="19"/>
      <c r="BQ490" s="19"/>
      <c r="BR490" s="19"/>
      <c r="BS490" s="19"/>
      <c r="BT490" s="19"/>
      <c r="BU490" s="19"/>
      <c r="BV490" s="19"/>
      <c r="BW490" s="19"/>
      <c r="BX490" s="19"/>
      <c r="BY490" s="19"/>
      <c r="BZ490" s="19"/>
      <c r="CA490" s="19"/>
      <c r="CB490" s="19"/>
      <c r="CC490" s="19"/>
      <c r="CD490" s="19"/>
      <c r="CE490" s="19"/>
      <c r="CF490" s="19"/>
      <c r="CG490" s="19"/>
      <c r="CH490" s="19"/>
      <c r="CI490" s="19"/>
      <c r="CJ490" s="19"/>
      <c r="CK490" s="19"/>
      <c r="CL490" s="19"/>
      <c r="CM490" s="19"/>
      <c r="CN490" s="19"/>
      <c r="CO490" s="19"/>
      <c r="CP490" s="19"/>
      <c r="CQ490" s="19"/>
      <c r="CR490" s="19"/>
      <c r="CS490" s="19"/>
      <c r="CT490" s="19"/>
      <c r="CU490" s="19"/>
      <c r="CV490" s="19"/>
      <c r="CW490" s="19"/>
      <c r="CX490" s="19"/>
      <c r="CY490" s="19"/>
      <c r="CZ490" s="19"/>
      <c r="DA490" s="19"/>
      <c r="DB490" s="19"/>
      <c r="DC490" s="19"/>
      <c r="DD490" s="19"/>
      <c r="DE490" s="19"/>
      <c r="DF490" s="19"/>
      <c r="DG490" s="19"/>
      <c r="DH490" s="19"/>
      <c r="DI490" s="19"/>
      <c r="DJ490" s="19"/>
      <c r="DK490" s="19"/>
      <c r="DL490" s="19"/>
      <c r="DM490" s="19"/>
      <c r="DN490" s="19"/>
      <c r="DO490" s="19"/>
      <c r="DP490" s="19"/>
      <c r="DQ490" s="19"/>
      <c r="DR490" s="19"/>
      <c r="DS490" s="19"/>
      <c r="DT490" s="19"/>
      <c r="DU490" s="19"/>
      <c r="DV490" s="19"/>
      <c r="DW490" s="19"/>
      <c r="DX490" s="19"/>
      <c r="DY490" s="19"/>
      <c r="DZ490" s="19"/>
      <c r="EA490" s="19"/>
      <c r="EB490" s="19"/>
      <c r="EC490" s="19"/>
      <c r="ED490" s="19"/>
      <c r="EE490" s="19"/>
      <c r="EF490" s="19"/>
      <c r="EG490" s="19"/>
      <c r="EH490" s="19"/>
      <c r="EI490" s="19"/>
      <c r="EJ490" s="19"/>
      <c r="EK490" s="19"/>
      <c r="EL490" s="19"/>
      <c r="EM490" s="19"/>
      <c r="EN490" s="19"/>
      <c r="EO490" s="19"/>
      <c r="EP490" s="17"/>
      <c r="EQ490" s="23"/>
      <c r="ER490" s="23" t="str">
        <f t="shared" si="1"/>
        <v/>
      </c>
      <c r="ES490" s="19"/>
      <c r="ET490" s="19" t="str">
        <f t="shared" si="2"/>
        <v/>
      </c>
      <c r="EU490" s="19"/>
      <c r="EV490" s="19"/>
      <c r="EW490" s="19"/>
      <c r="EX490" s="19"/>
      <c r="EY490" s="19"/>
      <c r="EZ490" s="19"/>
      <c r="FA490" s="19"/>
      <c r="FB490" s="19"/>
    </row>
    <row r="491" ht="15.75" customHeight="1">
      <c r="A491" s="19"/>
      <c r="F491" s="19"/>
      <c r="AH491" s="23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  <c r="BD491" s="19"/>
      <c r="BE491" s="19"/>
      <c r="BF491" s="19"/>
      <c r="BG491" s="19"/>
      <c r="BH491" s="19"/>
      <c r="BI491" s="19"/>
      <c r="BJ491" s="19"/>
      <c r="BK491" s="19"/>
      <c r="BL491" s="19"/>
      <c r="BM491" s="19"/>
      <c r="BN491" s="19"/>
      <c r="BO491" s="19"/>
      <c r="BP491" s="19"/>
      <c r="BQ491" s="19"/>
      <c r="BR491" s="19"/>
      <c r="BS491" s="19"/>
      <c r="BT491" s="19"/>
      <c r="BU491" s="19"/>
      <c r="BV491" s="19"/>
      <c r="BW491" s="19"/>
      <c r="BX491" s="19"/>
      <c r="BY491" s="19"/>
      <c r="BZ491" s="19"/>
      <c r="CA491" s="19"/>
      <c r="CB491" s="19"/>
      <c r="CC491" s="19"/>
      <c r="CD491" s="19"/>
      <c r="CE491" s="19"/>
      <c r="CF491" s="19"/>
      <c r="CG491" s="19"/>
      <c r="CH491" s="19"/>
      <c r="CI491" s="19"/>
      <c r="CJ491" s="19"/>
      <c r="CK491" s="19"/>
      <c r="CL491" s="19"/>
      <c r="CM491" s="19"/>
      <c r="CN491" s="19"/>
      <c r="CO491" s="19"/>
      <c r="CP491" s="19"/>
      <c r="CQ491" s="19"/>
      <c r="CR491" s="19"/>
      <c r="CS491" s="19"/>
      <c r="CT491" s="19"/>
      <c r="CU491" s="19"/>
      <c r="CV491" s="19"/>
      <c r="CW491" s="19"/>
      <c r="CX491" s="19"/>
      <c r="CY491" s="19"/>
      <c r="CZ491" s="19"/>
      <c r="DA491" s="19"/>
      <c r="DB491" s="19"/>
      <c r="DC491" s="19"/>
      <c r="DD491" s="19"/>
      <c r="DE491" s="19"/>
      <c r="DF491" s="19"/>
      <c r="DG491" s="19"/>
      <c r="DH491" s="19"/>
      <c r="DI491" s="19"/>
      <c r="DJ491" s="19"/>
      <c r="DK491" s="19"/>
      <c r="DL491" s="19"/>
      <c r="DM491" s="19"/>
      <c r="DN491" s="19"/>
      <c r="DO491" s="19"/>
      <c r="DP491" s="19"/>
      <c r="DQ491" s="19"/>
      <c r="DR491" s="19"/>
      <c r="DS491" s="19"/>
      <c r="DT491" s="19"/>
      <c r="DU491" s="19"/>
      <c r="DV491" s="19"/>
      <c r="DW491" s="19"/>
      <c r="DX491" s="19"/>
      <c r="DY491" s="19"/>
      <c r="DZ491" s="19"/>
      <c r="EA491" s="19"/>
      <c r="EB491" s="19"/>
      <c r="EC491" s="19"/>
      <c r="ED491" s="19"/>
      <c r="EE491" s="19"/>
      <c r="EF491" s="19"/>
      <c r="EG491" s="19"/>
      <c r="EH491" s="19"/>
      <c r="EI491" s="19"/>
      <c r="EJ491" s="19"/>
      <c r="EK491" s="19"/>
      <c r="EL491" s="19"/>
      <c r="EM491" s="19"/>
      <c r="EN491" s="19"/>
      <c r="EO491" s="19"/>
      <c r="EP491" s="17"/>
      <c r="EQ491" s="23"/>
      <c r="ER491" s="23" t="str">
        <f t="shared" si="1"/>
        <v/>
      </c>
      <c r="ES491" s="19"/>
      <c r="ET491" s="19" t="str">
        <f t="shared" si="2"/>
        <v/>
      </c>
      <c r="EU491" s="19"/>
      <c r="EV491" s="19"/>
      <c r="EW491" s="19"/>
      <c r="EX491" s="19"/>
      <c r="EY491" s="19"/>
      <c r="EZ491" s="19"/>
      <c r="FA491" s="19"/>
      <c r="FB491" s="19"/>
    </row>
    <row r="492" ht="15.75" customHeight="1">
      <c r="A492" s="19"/>
      <c r="F492" s="19"/>
      <c r="AH492" s="23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  <c r="BD492" s="19"/>
      <c r="BE492" s="19"/>
      <c r="BF492" s="19"/>
      <c r="BG492" s="19"/>
      <c r="BH492" s="19"/>
      <c r="BI492" s="19"/>
      <c r="BJ492" s="19"/>
      <c r="BK492" s="19"/>
      <c r="BL492" s="19"/>
      <c r="BM492" s="19"/>
      <c r="BN492" s="19"/>
      <c r="BO492" s="19"/>
      <c r="BP492" s="19"/>
      <c r="BQ492" s="19"/>
      <c r="BR492" s="19"/>
      <c r="BS492" s="19"/>
      <c r="BT492" s="19"/>
      <c r="BU492" s="19"/>
      <c r="BV492" s="19"/>
      <c r="BW492" s="19"/>
      <c r="BX492" s="19"/>
      <c r="BY492" s="19"/>
      <c r="BZ492" s="19"/>
      <c r="CA492" s="19"/>
      <c r="CB492" s="19"/>
      <c r="CC492" s="19"/>
      <c r="CD492" s="19"/>
      <c r="CE492" s="19"/>
      <c r="CF492" s="19"/>
      <c r="CG492" s="19"/>
      <c r="CH492" s="19"/>
      <c r="CI492" s="19"/>
      <c r="CJ492" s="19"/>
      <c r="CK492" s="19"/>
      <c r="CL492" s="19"/>
      <c r="CM492" s="19"/>
      <c r="CN492" s="19"/>
      <c r="CO492" s="19"/>
      <c r="CP492" s="19"/>
      <c r="CQ492" s="19"/>
      <c r="CR492" s="19"/>
      <c r="CS492" s="19"/>
      <c r="CT492" s="19"/>
      <c r="CU492" s="19"/>
      <c r="CV492" s="19"/>
      <c r="CW492" s="19"/>
      <c r="CX492" s="19"/>
      <c r="CY492" s="19"/>
      <c r="CZ492" s="19"/>
      <c r="DA492" s="19"/>
      <c r="DB492" s="19"/>
      <c r="DC492" s="19"/>
      <c r="DD492" s="19"/>
      <c r="DE492" s="19"/>
      <c r="DF492" s="19"/>
      <c r="DG492" s="19"/>
      <c r="DH492" s="19"/>
      <c r="DI492" s="19"/>
      <c r="DJ492" s="19"/>
      <c r="DK492" s="19"/>
      <c r="DL492" s="19"/>
      <c r="DM492" s="19"/>
      <c r="DN492" s="19"/>
      <c r="DO492" s="19"/>
      <c r="DP492" s="19"/>
      <c r="DQ492" s="19"/>
      <c r="DR492" s="19"/>
      <c r="DS492" s="19"/>
      <c r="DT492" s="19"/>
      <c r="DU492" s="19"/>
      <c r="DV492" s="19"/>
      <c r="DW492" s="19"/>
      <c r="DX492" s="19"/>
      <c r="DY492" s="19"/>
      <c r="DZ492" s="19"/>
      <c r="EA492" s="19"/>
      <c r="EB492" s="19"/>
      <c r="EC492" s="19"/>
      <c r="ED492" s="19"/>
      <c r="EE492" s="19"/>
      <c r="EF492" s="19"/>
      <c r="EG492" s="19"/>
      <c r="EH492" s="19"/>
      <c r="EI492" s="19"/>
      <c r="EJ492" s="19"/>
      <c r="EK492" s="19"/>
      <c r="EL492" s="19"/>
      <c r="EM492" s="19"/>
      <c r="EN492" s="19"/>
      <c r="EO492" s="19"/>
      <c r="EP492" s="17"/>
      <c r="EQ492" s="23"/>
      <c r="ER492" s="23" t="str">
        <f t="shared" si="1"/>
        <v/>
      </c>
      <c r="ES492" s="19"/>
      <c r="ET492" s="19" t="str">
        <f t="shared" si="2"/>
        <v/>
      </c>
      <c r="EU492" s="19"/>
      <c r="EV492" s="19"/>
      <c r="EW492" s="19"/>
      <c r="EX492" s="19"/>
      <c r="EY492" s="19"/>
      <c r="EZ492" s="19"/>
      <c r="FA492" s="19"/>
      <c r="FB492" s="19"/>
    </row>
    <row r="493" ht="15.75" customHeight="1">
      <c r="A493" s="19"/>
      <c r="F493" s="19"/>
      <c r="AH493" s="23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  <c r="BD493" s="19"/>
      <c r="BE493" s="19"/>
      <c r="BF493" s="19"/>
      <c r="BG493" s="19"/>
      <c r="BH493" s="19"/>
      <c r="BI493" s="19"/>
      <c r="BJ493" s="19"/>
      <c r="BK493" s="19"/>
      <c r="BL493" s="19"/>
      <c r="BM493" s="19"/>
      <c r="BN493" s="19"/>
      <c r="BO493" s="19"/>
      <c r="BP493" s="19"/>
      <c r="BQ493" s="19"/>
      <c r="BR493" s="19"/>
      <c r="BS493" s="19"/>
      <c r="BT493" s="19"/>
      <c r="BU493" s="19"/>
      <c r="BV493" s="19"/>
      <c r="BW493" s="19"/>
      <c r="BX493" s="19"/>
      <c r="BY493" s="19"/>
      <c r="BZ493" s="19"/>
      <c r="CA493" s="19"/>
      <c r="CB493" s="19"/>
      <c r="CC493" s="19"/>
      <c r="CD493" s="19"/>
      <c r="CE493" s="19"/>
      <c r="CF493" s="19"/>
      <c r="CG493" s="19"/>
      <c r="CH493" s="19"/>
      <c r="CI493" s="19"/>
      <c r="CJ493" s="19"/>
      <c r="CK493" s="19"/>
      <c r="CL493" s="19"/>
      <c r="CM493" s="19"/>
      <c r="CN493" s="19"/>
      <c r="CO493" s="19"/>
      <c r="CP493" s="19"/>
      <c r="CQ493" s="19"/>
      <c r="CR493" s="19"/>
      <c r="CS493" s="19"/>
      <c r="CT493" s="19"/>
      <c r="CU493" s="19"/>
      <c r="CV493" s="19"/>
      <c r="CW493" s="19"/>
      <c r="CX493" s="19"/>
      <c r="CY493" s="19"/>
      <c r="CZ493" s="19"/>
      <c r="DA493" s="19"/>
      <c r="DB493" s="19"/>
      <c r="DC493" s="19"/>
      <c r="DD493" s="19"/>
      <c r="DE493" s="19"/>
      <c r="DF493" s="19"/>
      <c r="DG493" s="19"/>
      <c r="DH493" s="19"/>
      <c r="DI493" s="19"/>
      <c r="DJ493" s="19"/>
      <c r="DK493" s="19"/>
      <c r="DL493" s="19"/>
      <c r="DM493" s="19"/>
      <c r="DN493" s="19"/>
      <c r="DO493" s="19"/>
      <c r="DP493" s="19"/>
      <c r="DQ493" s="19"/>
      <c r="DR493" s="19"/>
      <c r="DS493" s="19"/>
      <c r="DT493" s="19"/>
      <c r="DU493" s="19"/>
      <c r="DV493" s="19"/>
      <c r="DW493" s="19"/>
      <c r="DX493" s="19"/>
      <c r="DY493" s="19"/>
      <c r="DZ493" s="19"/>
      <c r="EA493" s="19"/>
      <c r="EB493" s="19"/>
      <c r="EC493" s="19"/>
      <c r="ED493" s="19"/>
      <c r="EE493" s="19"/>
      <c r="EF493" s="19"/>
      <c r="EG493" s="19"/>
      <c r="EH493" s="19"/>
      <c r="EI493" s="19"/>
      <c r="EJ493" s="19"/>
      <c r="EK493" s="19"/>
      <c r="EL493" s="19"/>
      <c r="EM493" s="19"/>
      <c r="EN493" s="19"/>
      <c r="EO493" s="19"/>
      <c r="EP493" s="17"/>
      <c r="EQ493" s="23"/>
      <c r="ER493" s="23" t="str">
        <f t="shared" si="1"/>
        <v/>
      </c>
      <c r="ES493" s="19"/>
      <c r="ET493" s="19" t="str">
        <f t="shared" si="2"/>
        <v/>
      </c>
      <c r="EU493" s="19"/>
      <c r="EV493" s="19"/>
      <c r="EW493" s="19"/>
      <c r="EX493" s="19"/>
      <c r="EY493" s="19"/>
      <c r="EZ493" s="19"/>
      <c r="FA493" s="19"/>
      <c r="FB493" s="19"/>
    </row>
    <row r="494" ht="15.75" customHeight="1">
      <c r="A494" s="19"/>
      <c r="F494" s="19"/>
      <c r="AH494" s="23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  <c r="BD494" s="19"/>
      <c r="BE494" s="19"/>
      <c r="BF494" s="19"/>
      <c r="BG494" s="19"/>
      <c r="BH494" s="19"/>
      <c r="BI494" s="19"/>
      <c r="BJ494" s="19"/>
      <c r="BK494" s="19"/>
      <c r="BL494" s="19"/>
      <c r="BM494" s="19"/>
      <c r="BN494" s="19"/>
      <c r="BO494" s="19"/>
      <c r="BP494" s="19"/>
      <c r="BQ494" s="19"/>
      <c r="BR494" s="19"/>
      <c r="BS494" s="19"/>
      <c r="BT494" s="19"/>
      <c r="BU494" s="19"/>
      <c r="BV494" s="19"/>
      <c r="BW494" s="19"/>
      <c r="BX494" s="19"/>
      <c r="BY494" s="19"/>
      <c r="BZ494" s="19"/>
      <c r="CA494" s="19"/>
      <c r="CB494" s="19"/>
      <c r="CC494" s="19"/>
      <c r="CD494" s="19"/>
      <c r="CE494" s="19"/>
      <c r="CF494" s="19"/>
      <c r="CG494" s="19"/>
      <c r="CH494" s="19"/>
      <c r="CI494" s="19"/>
      <c r="CJ494" s="19"/>
      <c r="CK494" s="19"/>
      <c r="CL494" s="19"/>
      <c r="CM494" s="19"/>
      <c r="CN494" s="19"/>
      <c r="CO494" s="19"/>
      <c r="CP494" s="19"/>
      <c r="CQ494" s="19"/>
      <c r="CR494" s="19"/>
      <c r="CS494" s="19"/>
      <c r="CT494" s="19"/>
      <c r="CU494" s="19"/>
      <c r="CV494" s="19"/>
      <c r="CW494" s="19"/>
      <c r="CX494" s="19"/>
      <c r="CY494" s="19"/>
      <c r="CZ494" s="19"/>
      <c r="DA494" s="19"/>
      <c r="DB494" s="19"/>
      <c r="DC494" s="19"/>
      <c r="DD494" s="19"/>
      <c r="DE494" s="19"/>
      <c r="DF494" s="19"/>
      <c r="DG494" s="19"/>
      <c r="DH494" s="19"/>
      <c r="DI494" s="19"/>
      <c r="DJ494" s="19"/>
      <c r="DK494" s="19"/>
      <c r="DL494" s="19"/>
      <c r="DM494" s="19"/>
      <c r="DN494" s="19"/>
      <c r="DO494" s="19"/>
      <c r="DP494" s="19"/>
      <c r="DQ494" s="19"/>
      <c r="DR494" s="19"/>
      <c r="DS494" s="19"/>
      <c r="DT494" s="19"/>
      <c r="DU494" s="19"/>
      <c r="DV494" s="19"/>
      <c r="DW494" s="19"/>
      <c r="DX494" s="19"/>
      <c r="DY494" s="19"/>
      <c r="DZ494" s="19"/>
      <c r="EA494" s="19"/>
      <c r="EB494" s="19"/>
      <c r="EC494" s="19"/>
      <c r="ED494" s="19"/>
      <c r="EE494" s="19"/>
      <c r="EF494" s="19"/>
      <c r="EG494" s="19"/>
      <c r="EH494" s="19"/>
      <c r="EI494" s="19"/>
      <c r="EJ494" s="19"/>
      <c r="EK494" s="19"/>
      <c r="EL494" s="19"/>
      <c r="EM494" s="19"/>
      <c r="EN494" s="19"/>
      <c r="EO494" s="19"/>
      <c r="EP494" s="17"/>
      <c r="EQ494" s="23"/>
      <c r="ER494" s="23" t="str">
        <f t="shared" si="1"/>
        <v/>
      </c>
      <c r="ES494" s="19"/>
      <c r="ET494" s="19" t="str">
        <f t="shared" si="2"/>
        <v/>
      </c>
      <c r="EU494" s="19"/>
      <c r="EV494" s="19"/>
      <c r="EW494" s="19"/>
      <c r="EX494" s="19"/>
      <c r="EY494" s="19"/>
      <c r="EZ494" s="19"/>
      <c r="FA494" s="19"/>
      <c r="FB494" s="19"/>
    </row>
    <row r="495" ht="15.75" customHeight="1">
      <c r="A495" s="19"/>
      <c r="F495" s="19"/>
      <c r="AH495" s="23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  <c r="BD495" s="19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  <c r="BP495" s="19"/>
      <c r="BQ495" s="19"/>
      <c r="BR495" s="19"/>
      <c r="BS495" s="19"/>
      <c r="BT495" s="19"/>
      <c r="BU495" s="19"/>
      <c r="BV495" s="19"/>
      <c r="BW495" s="19"/>
      <c r="BX495" s="19"/>
      <c r="BY495" s="19"/>
      <c r="BZ495" s="19"/>
      <c r="CA495" s="19"/>
      <c r="CB495" s="19"/>
      <c r="CC495" s="19"/>
      <c r="CD495" s="19"/>
      <c r="CE495" s="19"/>
      <c r="CF495" s="19"/>
      <c r="CG495" s="19"/>
      <c r="CH495" s="19"/>
      <c r="CI495" s="19"/>
      <c r="CJ495" s="19"/>
      <c r="CK495" s="19"/>
      <c r="CL495" s="19"/>
      <c r="CM495" s="19"/>
      <c r="CN495" s="19"/>
      <c r="CO495" s="19"/>
      <c r="CP495" s="19"/>
      <c r="CQ495" s="19"/>
      <c r="CR495" s="19"/>
      <c r="CS495" s="19"/>
      <c r="CT495" s="19"/>
      <c r="CU495" s="19"/>
      <c r="CV495" s="19"/>
      <c r="CW495" s="19"/>
      <c r="CX495" s="19"/>
      <c r="CY495" s="19"/>
      <c r="CZ495" s="19"/>
      <c r="DA495" s="19"/>
      <c r="DB495" s="19"/>
      <c r="DC495" s="19"/>
      <c r="DD495" s="19"/>
      <c r="DE495" s="19"/>
      <c r="DF495" s="19"/>
      <c r="DG495" s="19"/>
      <c r="DH495" s="19"/>
      <c r="DI495" s="19"/>
      <c r="DJ495" s="19"/>
      <c r="DK495" s="19"/>
      <c r="DL495" s="19"/>
      <c r="DM495" s="19"/>
      <c r="DN495" s="19"/>
      <c r="DO495" s="19"/>
      <c r="DP495" s="19"/>
      <c r="DQ495" s="19"/>
      <c r="DR495" s="19"/>
      <c r="DS495" s="19"/>
      <c r="DT495" s="19"/>
      <c r="DU495" s="19"/>
      <c r="DV495" s="19"/>
      <c r="DW495" s="19"/>
      <c r="DX495" s="19"/>
      <c r="DY495" s="19"/>
      <c r="DZ495" s="19"/>
      <c r="EA495" s="19"/>
      <c r="EB495" s="19"/>
      <c r="EC495" s="19"/>
      <c r="ED495" s="19"/>
      <c r="EE495" s="19"/>
      <c r="EF495" s="19"/>
      <c r="EG495" s="19"/>
      <c r="EH495" s="19"/>
      <c r="EI495" s="19"/>
      <c r="EJ495" s="19"/>
      <c r="EK495" s="19"/>
      <c r="EL495" s="19"/>
      <c r="EM495" s="19"/>
      <c r="EN495" s="19"/>
      <c r="EO495" s="19"/>
      <c r="EP495" s="17"/>
      <c r="EQ495" s="23"/>
      <c r="ER495" s="23" t="str">
        <f t="shared" si="1"/>
        <v/>
      </c>
      <c r="ES495" s="19"/>
      <c r="ET495" s="19" t="str">
        <f t="shared" si="2"/>
        <v/>
      </c>
      <c r="EU495" s="19"/>
      <c r="EV495" s="19"/>
      <c r="EW495" s="19"/>
      <c r="EX495" s="19"/>
      <c r="EY495" s="19"/>
      <c r="EZ495" s="19"/>
      <c r="FA495" s="19"/>
      <c r="FB495" s="19"/>
    </row>
    <row r="496" ht="15.75" customHeight="1">
      <c r="A496" s="19"/>
      <c r="F496" s="19"/>
      <c r="AH496" s="23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  <c r="BD496" s="19"/>
      <c r="BE496" s="19"/>
      <c r="BF496" s="19"/>
      <c r="BG496" s="19"/>
      <c r="BH496" s="19"/>
      <c r="BI496" s="19"/>
      <c r="BJ496" s="19"/>
      <c r="BK496" s="19"/>
      <c r="BL496" s="19"/>
      <c r="BM496" s="19"/>
      <c r="BN496" s="19"/>
      <c r="BO496" s="19"/>
      <c r="BP496" s="19"/>
      <c r="BQ496" s="19"/>
      <c r="BR496" s="19"/>
      <c r="BS496" s="19"/>
      <c r="BT496" s="19"/>
      <c r="BU496" s="19"/>
      <c r="BV496" s="19"/>
      <c r="BW496" s="19"/>
      <c r="BX496" s="19"/>
      <c r="BY496" s="19"/>
      <c r="BZ496" s="19"/>
      <c r="CA496" s="19"/>
      <c r="CB496" s="19"/>
      <c r="CC496" s="19"/>
      <c r="CD496" s="19"/>
      <c r="CE496" s="19"/>
      <c r="CF496" s="19"/>
      <c r="CG496" s="19"/>
      <c r="CH496" s="19"/>
      <c r="CI496" s="19"/>
      <c r="CJ496" s="19"/>
      <c r="CK496" s="19"/>
      <c r="CL496" s="19"/>
      <c r="CM496" s="19"/>
      <c r="CN496" s="19"/>
      <c r="CO496" s="19"/>
      <c r="CP496" s="19"/>
      <c r="CQ496" s="19"/>
      <c r="CR496" s="19"/>
      <c r="CS496" s="19"/>
      <c r="CT496" s="19"/>
      <c r="CU496" s="19"/>
      <c r="CV496" s="19"/>
      <c r="CW496" s="19"/>
      <c r="CX496" s="19"/>
      <c r="CY496" s="19"/>
      <c r="CZ496" s="19"/>
      <c r="DA496" s="19"/>
      <c r="DB496" s="19"/>
      <c r="DC496" s="19"/>
      <c r="DD496" s="19"/>
      <c r="DE496" s="19"/>
      <c r="DF496" s="19"/>
      <c r="DG496" s="19"/>
      <c r="DH496" s="19"/>
      <c r="DI496" s="19"/>
      <c r="DJ496" s="19"/>
      <c r="DK496" s="19"/>
      <c r="DL496" s="19"/>
      <c r="DM496" s="19"/>
      <c r="DN496" s="19"/>
      <c r="DO496" s="19"/>
      <c r="DP496" s="19"/>
      <c r="DQ496" s="19"/>
      <c r="DR496" s="19"/>
      <c r="DS496" s="19"/>
      <c r="DT496" s="19"/>
      <c r="DU496" s="19"/>
      <c r="DV496" s="19"/>
      <c r="DW496" s="19"/>
      <c r="DX496" s="19"/>
      <c r="DY496" s="19"/>
      <c r="DZ496" s="19"/>
      <c r="EA496" s="19"/>
      <c r="EB496" s="19"/>
      <c r="EC496" s="19"/>
      <c r="ED496" s="19"/>
      <c r="EE496" s="19"/>
      <c r="EF496" s="19"/>
      <c r="EG496" s="19"/>
      <c r="EH496" s="19"/>
      <c r="EI496" s="19"/>
      <c r="EJ496" s="19"/>
      <c r="EK496" s="19"/>
      <c r="EL496" s="19"/>
      <c r="EM496" s="19"/>
      <c r="EN496" s="19"/>
      <c r="EO496" s="19"/>
      <c r="EP496" s="17"/>
      <c r="EQ496" s="23"/>
      <c r="ER496" s="23" t="str">
        <f t="shared" si="1"/>
        <v/>
      </c>
      <c r="ES496" s="19"/>
      <c r="ET496" s="19" t="str">
        <f t="shared" si="2"/>
        <v/>
      </c>
      <c r="EU496" s="19"/>
      <c r="EV496" s="19"/>
      <c r="EW496" s="19"/>
      <c r="EX496" s="19"/>
      <c r="EY496" s="19"/>
      <c r="EZ496" s="19"/>
      <c r="FA496" s="19"/>
      <c r="FB496" s="19"/>
    </row>
    <row r="497" ht="15.75" customHeight="1">
      <c r="A497" s="19"/>
      <c r="F497" s="19"/>
      <c r="AH497" s="23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  <c r="BD497" s="19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  <c r="BP497" s="19"/>
      <c r="BQ497" s="19"/>
      <c r="BR497" s="19"/>
      <c r="BS497" s="19"/>
      <c r="BT497" s="19"/>
      <c r="BU497" s="19"/>
      <c r="BV497" s="19"/>
      <c r="BW497" s="19"/>
      <c r="BX497" s="19"/>
      <c r="BY497" s="19"/>
      <c r="BZ497" s="19"/>
      <c r="CA497" s="19"/>
      <c r="CB497" s="19"/>
      <c r="CC497" s="19"/>
      <c r="CD497" s="19"/>
      <c r="CE497" s="19"/>
      <c r="CF497" s="19"/>
      <c r="CG497" s="19"/>
      <c r="CH497" s="19"/>
      <c r="CI497" s="19"/>
      <c r="CJ497" s="19"/>
      <c r="CK497" s="19"/>
      <c r="CL497" s="19"/>
      <c r="CM497" s="19"/>
      <c r="CN497" s="19"/>
      <c r="CO497" s="19"/>
      <c r="CP497" s="19"/>
      <c r="CQ497" s="19"/>
      <c r="CR497" s="19"/>
      <c r="CS497" s="19"/>
      <c r="CT497" s="19"/>
      <c r="CU497" s="19"/>
      <c r="CV497" s="19"/>
      <c r="CW497" s="19"/>
      <c r="CX497" s="19"/>
      <c r="CY497" s="19"/>
      <c r="CZ497" s="19"/>
      <c r="DA497" s="19"/>
      <c r="DB497" s="19"/>
      <c r="DC497" s="19"/>
      <c r="DD497" s="19"/>
      <c r="DE497" s="19"/>
      <c r="DF497" s="19"/>
      <c r="DG497" s="19"/>
      <c r="DH497" s="19"/>
      <c r="DI497" s="19"/>
      <c r="DJ497" s="19"/>
      <c r="DK497" s="19"/>
      <c r="DL497" s="19"/>
      <c r="DM497" s="19"/>
      <c r="DN497" s="19"/>
      <c r="DO497" s="19"/>
      <c r="DP497" s="19"/>
      <c r="DQ497" s="19"/>
      <c r="DR497" s="19"/>
      <c r="DS497" s="19"/>
      <c r="DT497" s="19"/>
      <c r="DU497" s="19"/>
      <c r="DV497" s="19"/>
      <c r="DW497" s="19"/>
      <c r="DX497" s="19"/>
      <c r="DY497" s="19"/>
      <c r="DZ497" s="19"/>
      <c r="EA497" s="19"/>
      <c r="EB497" s="19"/>
      <c r="EC497" s="19"/>
      <c r="ED497" s="19"/>
      <c r="EE497" s="19"/>
      <c r="EF497" s="19"/>
      <c r="EG497" s="19"/>
      <c r="EH497" s="19"/>
      <c r="EI497" s="19"/>
      <c r="EJ497" s="19"/>
      <c r="EK497" s="19"/>
      <c r="EL497" s="19"/>
      <c r="EM497" s="19"/>
      <c r="EN497" s="19"/>
      <c r="EO497" s="19"/>
      <c r="EP497" s="17"/>
      <c r="EQ497" s="23"/>
      <c r="ER497" s="23" t="str">
        <f t="shared" si="1"/>
        <v/>
      </c>
      <c r="ES497" s="19"/>
      <c r="ET497" s="19" t="str">
        <f t="shared" si="2"/>
        <v/>
      </c>
      <c r="EU497" s="19"/>
      <c r="EV497" s="19"/>
      <c r="EW497" s="19"/>
      <c r="EX497" s="19"/>
      <c r="EY497" s="19"/>
      <c r="EZ497" s="19"/>
      <c r="FA497" s="19"/>
      <c r="FB497" s="19"/>
    </row>
    <row r="498" ht="15.75" customHeight="1">
      <c r="A498" s="19"/>
      <c r="F498" s="19"/>
      <c r="AH498" s="23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  <c r="BD498" s="19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  <c r="BP498" s="19"/>
      <c r="BQ498" s="19"/>
      <c r="BR498" s="19"/>
      <c r="BS498" s="19"/>
      <c r="BT498" s="19"/>
      <c r="BU498" s="19"/>
      <c r="BV498" s="19"/>
      <c r="BW498" s="19"/>
      <c r="BX498" s="19"/>
      <c r="BY498" s="19"/>
      <c r="BZ498" s="19"/>
      <c r="CA498" s="19"/>
      <c r="CB498" s="19"/>
      <c r="CC498" s="19"/>
      <c r="CD498" s="19"/>
      <c r="CE498" s="19"/>
      <c r="CF498" s="19"/>
      <c r="CG498" s="19"/>
      <c r="CH498" s="19"/>
      <c r="CI498" s="19"/>
      <c r="CJ498" s="19"/>
      <c r="CK498" s="19"/>
      <c r="CL498" s="19"/>
      <c r="CM498" s="19"/>
      <c r="CN498" s="19"/>
      <c r="CO498" s="19"/>
      <c r="CP498" s="19"/>
      <c r="CQ498" s="19"/>
      <c r="CR498" s="19"/>
      <c r="CS498" s="19"/>
      <c r="CT498" s="19"/>
      <c r="CU498" s="19"/>
      <c r="CV498" s="19"/>
      <c r="CW498" s="19"/>
      <c r="CX498" s="19"/>
      <c r="CY498" s="19"/>
      <c r="CZ498" s="19"/>
      <c r="DA498" s="19"/>
      <c r="DB498" s="19"/>
      <c r="DC498" s="19"/>
      <c r="DD498" s="19"/>
      <c r="DE498" s="19"/>
      <c r="DF498" s="19"/>
      <c r="DG498" s="19"/>
      <c r="DH498" s="19"/>
      <c r="DI498" s="19"/>
      <c r="DJ498" s="19"/>
      <c r="DK498" s="19"/>
      <c r="DL498" s="19"/>
      <c r="DM498" s="19"/>
      <c r="DN498" s="19"/>
      <c r="DO498" s="19"/>
      <c r="DP498" s="19"/>
      <c r="DQ498" s="19"/>
      <c r="DR498" s="19"/>
      <c r="DS498" s="19"/>
      <c r="DT498" s="19"/>
      <c r="DU498" s="19"/>
      <c r="DV498" s="19"/>
      <c r="DW498" s="19"/>
      <c r="DX498" s="19"/>
      <c r="DY498" s="19"/>
      <c r="DZ498" s="19"/>
      <c r="EA498" s="19"/>
      <c r="EB498" s="19"/>
      <c r="EC498" s="19"/>
      <c r="ED498" s="19"/>
      <c r="EE498" s="19"/>
      <c r="EF498" s="19"/>
      <c r="EG498" s="19"/>
      <c r="EH498" s="19"/>
      <c r="EI498" s="19"/>
      <c r="EJ498" s="19"/>
      <c r="EK498" s="19"/>
      <c r="EL498" s="19"/>
      <c r="EM498" s="19"/>
      <c r="EN498" s="19"/>
      <c r="EO498" s="19"/>
      <c r="EP498" s="17"/>
      <c r="EQ498" s="23"/>
      <c r="ER498" s="23" t="str">
        <f t="shared" si="1"/>
        <v/>
      </c>
      <c r="ES498" s="19"/>
      <c r="ET498" s="19" t="str">
        <f t="shared" si="2"/>
        <v/>
      </c>
      <c r="EU498" s="19"/>
      <c r="EV498" s="19"/>
      <c r="EW498" s="19"/>
      <c r="EX498" s="19"/>
      <c r="EY498" s="19"/>
      <c r="EZ498" s="19"/>
      <c r="FA498" s="19"/>
      <c r="FB498" s="19"/>
    </row>
    <row r="499" ht="15.75" customHeight="1">
      <c r="A499" s="19"/>
      <c r="F499" s="19"/>
      <c r="AH499" s="23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  <c r="BD499" s="19"/>
      <c r="BE499" s="19"/>
      <c r="BF499" s="19"/>
      <c r="BG499" s="19"/>
      <c r="BH499" s="19"/>
      <c r="BI499" s="19"/>
      <c r="BJ499" s="19"/>
      <c r="BK499" s="19"/>
      <c r="BL499" s="19"/>
      <c r="BM499" s="19"/>
      <c r="BN499" s="19"/>
      <c r="BO499" s="19"/>
      <c r="BP499" s="19"/>
      <c r="BQ499" s="19"/>
      <c r="BR499" s="19"/>
      <c r="BS499" s="19"/>
      <c r="BT499" s="19"/>
      <c r="BU499" s="19"/>
      <c r="BV499" s="19"/>
      <c r="BW499" s="19"/>
      <c r="BX499" s="19"/>
      <c r="BY499" s="19"/>
      <c r="BZ499" s="19"/>
      <c r="CA499" s="19"/>
      <c r="CB499" s="19"/>
      <c r="CC499" s="19"/>
      <c r="CD499" s="19"/>
      <c r="CE499" s="19"/>
      <c r="CF499" s="19"/>
      <c r="CG499" s="19"/>
      <c r="CH499" s="19"/>
      <c r="CI499" s="19"/>
      <c r="CJ499" s="19"/>
      <c r="CK499" s="19"/>
      <c r="CL499" s="19"/>
      <c r="CM499" s="19"/>
      <c r="CN499" s="19"/>
      <c r="CO499" s="19"/>
      <c r="CP499" s="19"/>
      <c r="CQ499" s="19"/>
      <c r="CR499" s="19"/>
      <c r="CS499" s="19"/>
      <c r="CT499" s="19"/>
      <c r="CU499" s="19"/>
      <c r="CV499" s="19"/>
      <c r="CW499" s="19"/>
      <c r="CX499" s="19"/>
      <c r="CY499" s="19"/>
      <c r="CZ499" s="19"/>
      <c r="DA499" s="19"/>
      <c r="DB499" s="19"/>
      <c r="DC499" s="19"/>
      <c r="DD499" s="19"/>
      <c r="DE499" s="19"/>
      <c r="DF499" s="19"/>
      <c r="DG499" s="19"/>
      <c r="DH499" s="19"/>
      <c r="DI499" s="19"/>
      <c r="DJ499" s="19"/>
      <c r="DK499" s="19"/>
      <c r="DL499" s="19"/>
      <c r="DM499" s="19"/>
      <c r="DN499" s="19"/>
      <c r="DO499" s="19"/>
      <c r="DP499" s="19"/>
      <c r="DQ499" s="19"/>
      <c r="DR499" s="19"/>
      <c r="DS499" s="19"/>
      <c r="DT499" s="19"/>
      <c r="DU499" s="19"/>
      <c r="DV499" s="19"/>
      <c r="DW499" s="19"/>
      <c r="DX499" s="19"/>
      <c r="DY499" s="19"/>
      <c r="DZ499" s="19"/>
      <c r="EA499" s="19"/>
      <c r="EB499" s="19"/>
      <c r="EC499" s="19"/>
      <c r="ED499" s="19"/>
      <c r="EE499" s="19"/>
      <c r="EF499" s="19"/>
      <c r="EG499" s="19"/>
      <c r="EH499" s="19"/>
      <c r="EI499" s="19"/>
      <c r="EJ499" s="19"/>
      <c r="EK499" s="19"/>
      <c r="EL499" s="19"/>
      <c r="EM499" s="19"/>
      <c r="EN499" s="19"/>
      <c r="EO499" s="19"/>
      <c r="EP499" s="17"/>
      <c r="EQ499" s="23"/>
      <c r="ER499" s="23" t="str">
        <f t="shared" si="1"/>
        <v/>
      </c>
      <c r="ES499" s="19"/>
      <c r="ET499" s="19" t="str">
        <f t="shared" si="2"/>
        <v/>
      </c>
      <c r="EU499" s="19"/>
      <c r="EV499" s="19"/>
      <c r="EW499" s="19"/>
      <c r="EX499" s="19"/>
      <c r="EY499" s="19"/>
      <c r="EZ499" s="19"/>
      <c r="FA499" s="19"/>
      <c r="FB499" s="19"/>
    </row>
    <row r="500" ht="15.75" customHeight="1">
      <c r="A500" s="19"/>
      <c r="F500" s="19"/>
      <c r="AH500" s="23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  <c r="BD500" s="19"/>
      <c r="BE500" s="19"/>
      <c r="BF500" s="19"/>
      <c r="BG500" s="19"/>
      <c r="BH500" s="19"/>
      <c r="BI500" s="19"/>
      <c r="BJ500" s="19"/>
      <c r="BK500" s="19"/>
      <c r="BL500" s="19"/>
      <c r="BM500" s="19"/>
      <c r="BN500" s="19"/>
      <c r="BO500" s="19"/>
      <c r="BP500" s="19"/>
      <c r="BQ500" s="19"/>
      <c r="BR500" s="19"/>
      <c r="BS500" s="19"/>
      <c r="BT500" s="19"/>
      <c r="BU500" s="19"/>
      <c r="BV500" s="19"/>
      <c r="BW500" s="19"/>
      <c r="BX500" s="19"/>
      <c r="BY500" s="19"/>
      <c r="BZ500" s="19"/>
      <c r="CA500" s="19"/>
      <c r="CB500" s="19"/>
      <c r="CC500" s="19"/>
      <c r="CD500" s="19"/>
      <c r="CE500" s="19"/>
      <c r="CF500" s="19"/>
      <c r="CG500" s="19"/>
      <c r="CH500" s="19"/>
      <c r="CI500" s="19"/>
      <c r="CJ500" s="19"/>
      <c r="CK500" s="19"/>
      <c r="CL500" s="19"/>
      <c r="CM500" s="19"/>
      <c r="CN500" s="19"/>
      <c r="CO500" s="19"/>
      <c r="CP500" s="19"/>
      <c r="CQ500" s="19"/>
      <c r="CR500" s="19"/>
      <c r="CS500" s="19"/>
      <c r="CT500" s="19"/>
      <c r="CU500" s="19"/>
      <c r="CV500" s="19"/>
      <c r="CW500" s="19"/>
      <c r="CX500" s="19"/>
      <c r="CY500" s="19"/>
      <c r="CZ500" s="19"/>
      <c r="DA500" s="19"/>
      <c r="DB500" s="19"/>
      <c r="DC500" s="19"/>
      <c r="DD500" s="19"/>
      <c r="DE500" s="19"/>
      <c r="DF500" s="19"/>
      <c r="DG500" s="19"/>
      <c r="DH500" s="19"/>
      <c r="DI500" s="19"/>
      <c r="DJ500" s="19"/>
      <c r="DK500" s="19"/>
      <c r="DL500" s="19"/>
      <c r="DM500" s="19"/>
      <c r="DN500" s="19"/>
      <c r="DO500" s="19"/>
      <c r="DP500" s="19"/>
      <c r="DQ500" s="19"/>
      <c r="DR500" s="19"/>
      <c r="DS500" s="19"/>
      <c r="DT500" s="19"/>
      <c r="DU500" s="19"/>
      <c r="DV500" s="19"/>
      <c r="DW500" s="19"/>
      <c r="DX500" s="19"/>
      <c r="DY500" s="19"/>
      <c r="DZ500" s="19"/>
      <c r="EA500" s="19"/>
      <c r="EB500" s="19"/>
      <c r="EC500" s="19"/>
      <c r="ED500" s="19"/>
      <c r="EE500" s="19"/>
      <c r="EF500" s="19"/>
      <c r="EG500" s="19"/>
      <c r="EH500" s="19"/>
      <c r="EI500" s="19"/>
      <c r="EJ500" s="19"/>
      <c r="EK500" s="19"/>
      <c r="EL500" s="19"/>
      <c r="EM500" s="19"/>
      <c r="EN500" s="19"/>
      <c r="EO500" s="19"/>
      <c r="EP500" s="17"/>
      <c r="EQ500" s="23"/>
      <c r="ER500" s="23" t="str">
        <f t="shared" si="1"/>
        <v/>
      </c>
      <c r="ES500" s="19"/>
      <c r="ET500" s="19" t="str">
        <f t="shared" si="2"/>
        <v/>
      </c>
      <c r="EU500" s="19"/>
      <c r="EV500" s="19"/>
      <c r="EW500" s="19"/>
      <c r="EX500" s="19"/>
      <c r="EY500" s="19"/>
      <c r="EZ500" s="19"/>
      <c r="FA500" s="19"/>
      <c r="FB500" s="19"/>
    </row>
    <row r="501" ht="15.75" customHeight="1">
      <c r="A501" s="19"/>
      <c r="F501" s="19"/>
      <c r="AH501" s="23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  <c r="BD501" s="19"/>
      <c r="BE501" s="19"/>
      <c r="BF501" s="19"/>
      <c r="BG501" s="19"/>
      <c r="BH501" s="19"/>
      <c r="BI501" s="19"/>
      <c r="BJ501" s="19"/>
      <c r="BK501" s="19"/>
      <c r="BL501" s="19"/>
      <c r="BM501" s="19"/>
      <c r="BN501" s="19"/>
      <c r="BO501" s="19"/>
      <c r="BP501" s="19"/>
      <c r="BQ501" s="19"/>
      <c r="BR501" s="19"/>
      <c r="BS501" s="19"/>
      <c r="BT501" s="19"/>
      <c r="BU501" s="19"/>
      <c r="BV501" s="19"/>
      <c r="BW501" s="19"/>
      <c r="BX501" s="19"/>
      <c r="BY501" s="19"/>
      <c r="BZ501" s="19"/>
      <c r="CA501" s="19"/>
      <c r="CB501" s="19"/>
      <c r="CC501" s="19"/>
      <c r="CD501" s="19"/>
      <c r="CE501" s="19"/>
      <c r="CF501" s="19"/>
      <c r="CG501" s="19"/>
      <c r="CH501" s="19"/>
      <c r="CI501" s="19"/>
      <c r="CJ501" s="19"/>
      <c r="CK501" s="19"/>
      <c r="CL501" s="19"/>
      <c r="CM501" s="19"/>
      <c r="CN501" s="19"/>
      <c r="CO501" s="19"/>
      <c r="CP501" s="19"/>
      <c r="CQ501" s="19"/>
      <c r="CR501" s="19"/>
      <c r="CS501" s="19"/>
      <c r="CT501" s="19"/>
      <c r="CU501" s="19"/>
      <c r="CV501" s="19"/>
      <c r="CW501" s="19"/>
      <c r="CX501" s="19"/>
      <c r="CY501" s="19"/>
      <c r="CZ501" s="19"/>
      <c r="DA501" s="19"/>
      <c r="DB501" s="19"/>
      <c r="DC501" s="19"/>
      <c r="DD501" s="19"/>
      <c r="DE501" s="19"/>
      <c r="DF501" s="19"/>
      <c r="DG501" s="19"/>
      <c r="DH501" s="19"/>
      <c r="DI501" s="19"/>
      <c r="DJ501" s="19"/>
      <c r="DK501" s="19"/>
      <c r="DL501" s="19"/>
      <c r="DM501" s="19"/>
      <c r="DN501" s="19"/>
      <c r="DO501" s="19"/>
      <c r="DP501" s="19"/>
      <c r="DQ501" s="19"/>
      <c r="DR501" s="19"/>
      <c r="DS501" s="19"/>
      <c r="DT501" s="19"/>
      <c r="DU501" s="19"/>
      <c r="DV501" s="19"/>
      <c r="DW501" s="19"/>
      <c r="DX501" s="19"/>
      <c r="DY501" s="19"/>
      <c r="DZ501" s="19"/>
      <c r="EA501" s="19"/>
      <c r="EB501" s="19"/>
      <c r="EC501" s="19"/>
      <c r="ED501" s="19"/>
      <c r="EE501" s="19"/>
      <c r="EF501" s="19"/>
      <c r="EG501" s="19"/>
      <c r="EH501" s="19"/>
      <c r="EI501" s="19"/>
      <c r="EJ501" s="19"/>
      <c r="EK501" s="19"/>
      <c r="EL501" s="19"/>
      <c r="EM501" s="19"/>
      <c r="EN501" s="19"/>
      <c r="EO501" s="19"/>
      <c r="EP501" s="17"/>
      <c r="EQ501" s="23"/>
      <c r="ER501" s="23" t="str">
        <f t="shared" si="1"/>
        <v/>
      </c>
      <c r="ES501" s="19"/>
      <c r="ET501" s="19" t="str">
        <f t="shared" si="2"/>
        <v/>
      </c>
      <c r="EU501" s="19"/>
      <c r="EV501" s="19"/>
      <c r="EW501" s="19"/>
      <c r="EX501" s="19"/>
      <c r="EY501" s="19"/>
      <c r="EZ501" s="19"/>
      <c r="FA501" s="19"/>
      <c r="FB501" s="19"/>
    </row>
    <row r="502" ht="15.75" customHeight="1">
      <c r="A502" s="19"/>
      <c r="F502" s="19"/>
      <c r="AH502" s="23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  <c r="BD502" s="19"/>
      <c r="BE502" s="19"/>
      <c r="BF502" s="19"/>
      <c r="BG502" s="19"/>
      <c r="BH502" s="19"/>
      <c r="BI502" s="19"/>
      <c r="BJ502" s="19"/>
      <c r="BK502" s="19"/>
      <c r="BL502" s="19"/>
      <c r="BM502" s="19"/>
      <c r="BN502" s="19"/>
      <c r="BO502" s="19"/>
      <c r="BP502" s="19"/>
      <c r="BQ502" s="19"/>
      <c r="BR502" s="19"/>
      <c r="BS502" s="19"/>
      <c r="BT502" s="19"/>
      <c r="BU502" s="19"/>
      <c r="BV502" s="19"/>
      <c r="BW502" s="19"/>
      <c r="BX502" s="19"/>
      <c r="BY502" s="19"/>
      <c r="BZ502" s="19"/>
      <c r="CA502" s="19"/>
      <c r="CB502" s="19"/>
      <c r="CC502" s="19"/>
      <c r="CD502" s="19"/>
      <c r="CE502" s="19"/>
      <c r="CF502" s="19"/>
      <c r="CG502" s="19"/>
      <c r="CH502" s="19"/>
      <c r="CI502" s="19"/>
      <c r="CJ502" s="19"/>
      <c r="CK502" s="19"/>
      <c r="CL502" s="19"/>
      <c r="CM502" s="19"/>
      <c r="CN502" s="19"/>
      <c r="CO502" s="19"/>
      <c r="CP502" s="19"/>
      <c r="CQ502" s="19"/>
      <c r="CR502" s="19"/>
      <c r="CS502" s="19"/>
      <c r="CT502" s="19"/>
      <c r="CU502" s="19"/>
      <c r="CV502" s="19"/>
      <c r="CW502" s="19"/>
      <c r="CX502" s="19"/>
      <c r="CY502" s="19"/>
      <c r="CZ502" s="19"/>
      <c r="DA502" s="19"/>
      <c r="DB502" s="19"/>
      <c r="DC502" s="19"/>
      <c r="DD502" s="19"/>
      <c r="DE502" s="19"/>
      <c r="DF502" s="19"/>
      <c r="DG502" s="19"/>
      <c r="DH502" s="19"/>
      <c r="DI502" s="19"/>
      <c r="DJ502" s="19"/>
      <c r="DK502" s="19"/>
      <c r="DL502" s="19"/>
      <c r="DM502" s="19"/>
      <c r="DN502" s="19"/>
      <c r="DO502" s="19"/>
      <c r="DP502" s="19"/>
      <c r="DQ502" s="19"/>
      <c r="DR502" s="19"/>
      <c r="DS502" s="19"/>
      <c r="DT502" s="19"/>
      <c r="DU502" s="19"/>
      <c r="DV502" s="19"/>
      <c r="DW502" s="19"/>
      <c r="DX502" s="19"/>
      <c r="DY502" s="19"/>
      <c r="DZ502" s="19"/>
      <c r="EA502" s="19"/>
      <c r="EB502" s="19"/>
      <c r="EC502" s="19"/>
      <c r="ED502" s="19"/>
      <c r="EE502" s="19"/>
      <c r="EF502" s="19"/>
      <c r="EG502" s="19"/>
      <c r="EH502" s="19"/>
      <c r="EI502" s="19"/>
      <c r="EJ502" s="19"/>
      <c r="EK502" s="19"/>
      <c r="EL502" s="19"/>
      <c r="EM502" s="19"/>
      <c r="EN502" s="19"/>
      <c r="EO502" s="19"/>
      <c r="EP502" s="17"/>
      <c r="EQ502" s="23"/>
      <c r="ER502" s="23" t="str">
        <f t="shared" si="1"/>
        <v/>
      </c>
      <c r="ES502" s="19"/>
      <c r="ET502" s="19" t="str">
        <f t="shared" si="2"/>
        <v/>
      </c>
      <c r="EU502" s="19"/>
      <c r="EV502" s="19"/>
      <c r="EW502" s="19"/>
      <c r="EX502" s="19"/>
      <c r="EY502" s="19"/>
      <c r="EZ502" s="19"/>
      <c r="FA502" s="19"/>
      <c r="FB502" s="19"/>
    </row>
    <row r="503" ht="15.75" customHeight="1">
      <c r="A503" s="19"/>
      <c r="F503" s="19"/>
      <c r="AH503" s="23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  <c r="BD503" s="19"/>
      <c r="BE503" s="19"/>
      <c r="BF503" s="19"/>
      <c r="BG503" s="19"/>
      <c r="BH503" s="19"/>
      <c r="BI503" s="19"/>
      <c r="BJ503" s="19"/>
      <c r="BK503" s="19"/>
      <c r="BL503" s="19"/>
      <c r="BM503" s="19"/>
      <c r="BN503" s="19"/>
      <c r="BO503" s="19"/>
      <c r="BP503" s="19"/>
      <c r="BQ503" s="19"/>
      <c r="BR503" s="19"/>
      <c r="BS503" s="19"/>
      <c r="BT503" s="19"/>
      <c r="BU503" s="19"/>
      <c r="BV503" s="19"/>
      <c r="BW503" s="19"/>
      <c r="BX503" s="19"/>
      <c r="BY503" s="19"/>
      <c r="BZ503" s="19"/>
      <c r="CA503" s="19"/>
      <c r="CB503" s="19"/>
      <c r="CC503" s="19"/>
      <c r="CD503" s="19"/>
      <c r="CE503" s="19"/>
      <c r="CF503" s="19"/>
      <c r="CG503" s="19"/>
      <c r="CH503" s="19"/>
      <c r="CI503" s="19"/>
      <c r="CJ503" s="19"/>
      <c r="CK503" s="19"/>
      <c r="CL503" s="19"/>
      <c r="CM503" s="19"/>
      <c r="CN503" s="19"/>
      <c r="CO503" s="19"/>
      <c r="CP503" s="19"/>
      <c r="CQ503" s="19"/>
      <c r="CR503" s="19"/>
      <c r="CS503" s="19"/>
      <c r="CT503" s="19"/>
      <c r="CU503" s="19"/>
      <c r="CV503" s="19"/>
      <c r="CW503" s="19"/>
      <c r="CX503" s="19"/>
      <c r="CY503" s="19"/>
      <c r="CZ503" s="19"/>
      <c r="DA503" s="19"/>
      <c r="DB503" s="19"/>
      <c r="DC503" s="19"/>
      <c r="DD503" s="19"/>
      <c r="DE503" s="19"/>
      <c r="DF503" s="19"/>
      <c r="DG503" s="19"/>
      <c r="DH503" s="19"/>
      <c r="DI503" s="19"/>
      <c r="DJ503" s="19"/>
      <c r="DK503" s="19"/>
      <c r="DL503" s="19"/>
      <c r="DM503" s="19"/>
      <c r="DN503" s="19"/>
      <c r="DO503" s="19"/>
      <c r="DP503" s="19"/>
      <c r="DQ503" s="19"/>
      <c r="DR503" s="19"/>
      <c r="DS503" s="19"/>
      <c r="DT503" s="19"/>
      <c r="DU503" s="19"/>
      <c r="DV503" s="19"/>
      <c r="DW503" s="19"/>
      <c r="DX503" s="19"/>
      <c r="DY503" s="19"/>
      <c r="DZ503" s="19"/>
      <c r="EA503" s="19"/>
      <c r="EB503" s="19"/>
      <c r="EC503" s="19"/>
      <c r="ED503" s="19"/>
      <c r="EE503" s="19"/>
      <c r="EF503" s="19"/>
      <c r="EG503" s="19"/>
      <c r="EH503" s="19"/>
      <c r="EI503" s="19"/>
      <c r="EJ503" s="19"/>
      <c r="EK503" s="19"/>
      <c r="EL503" s="19"/>
      <c r="EM503" s="19"/>
      <c r="EN503" s="19"/>
      <c r="EO503" s="19"/>
      <c r="EP503" s="17"/>
      <c r="EQ503" s="23"/>
      <c r="ER503" s="23" t="str">
        <f t="shared" si="1"/>
        <v/>
      </c>
      <c r="ES503" s="19"/>
      <c r="ET503" s="19" t="str">
        <f t="shared" si="2"/>
        <v/>
      </c>
      <c r="EU503" s="19"/>
      <c r="EV503" s="19"/>
      <c r="EW503" s="19"/>
      <c r="EX503" s="19"/>
      <c r="EY503" s="19"/>
      <c r="EZ503" s="19"/>
      <c r="FA503" s="19"/>
      <c r="FB503" s="19"/>
    </row>
    <row r="504" ht="15.75" customHeight="1">
      <c r="A504" s="19"/>
      <c r="F504" s="19"/>
      <c r="AH504" s="23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  <c r="BD504" s="19"/>
      <c r="BE504" s="19"/>
      <c r="BF504" s="19"/>
      <c r="BG504" s="19"/>
      <c r="BH504" s="19"/>
      <c r="BI504" s="19"/>
      <c r="BJ504" s="19"/>
      <c r="BK504" s="19"/>
      <c r="BL504" s="19"/>
      <c r="BM504" s="19"/>
      <c r="BN504" s="19"/>
      <c r="BO504" s="19"/>
      <c r="BP504" s="19"/>
      <c r="BQ504" s="19"/>
      <c r="BR504" s="19"/>
      <c r="BS504" s="19"/>
      <c r="BT504" s="19"/>
      <c r="BU504" s="19"/>
      <c r="BV504" s="19"/>
      <c r="BW504" s="19"/>
      <c r="BX504" s="19"/>
      <c r="BY504" s="19"/>
      <c r="BZ504" s="19"/>
      <c r="CA504" s="19"/>
      <c r="CB504" s="19"/>
      <c r="CC504" s="19"/>
      <c r="CD504" s="19"/>
      <c r="CE504" s="19"/>
      <c r="CF504" s="19"/>
      <c r="CG504" s="19"/>
      <c r="CH504" s="19"/>
      <c r="CI504" s="19"/>
      <c r="CJ504" s="19"/>
      <c r="CK504" s="19"/>
      <c r="CL504" s="19"/>
      <c r="CM504" s="19"/>
      <c r="CN504" s="19"/>
      <c r="CO504" s="19"/>
      <c r="CP504" s="19"/>
      <c r="CQ504" s="19"/>
      <c r="CR504" s="19"/>
      <c r="CS504" s="19"/>
      <c r="CT504" s="19"/>
      <c r="CU504" s="19"/>
      <c r="CV504" s="19"/>
      <c r="CW504" s="19"/>
      <c r="CX504" s="19"/>
      <c r="CY504" s="19"/>
      <c r="CZ504" s="19"/>
      <c r="DA504" s="19"/>
      <c r="DB504" s="19"/>
      <c r="DC504" s="19"/>
      <c r="DD504" s="19"/>
      <c r="DE504" s="19"/>
      <c r="DF504" s="19"/>
      <c r="DG504" s="19"/>
      <c r="DH504" s="19"/>
      <c r="DI504" s="19"/>
      <c r="DJ504" s="19"/>
      <c r="DK504" s="19"/>
      <c r="DL504" s="19"/>
      <c r="DM504" s="19"/>
      <c r="DN504" s="19"/>
      <c r="DO504" s="19"/>
      <c r="DP504" s="19"/>
      <c r="DQ504" s="19"/>
      <c r="DR504" s="19"/>
      <c r="DS504" s="19"/>
      <c r="DT504" s="19"/>
      <c r="DU504" s="19"/>
      <c r="DV504" s="19"/>
      <c r="DW504" s="19"/>
      <c r="DX504" s="19"/>
      <c r="DY504" s="19"/>
      <c r="DZ504" s="19"/>
      <c r="EA504" s="19"/>
      <c r="EB504" s="19"/>
      <c r="EC504" s="19"/>
      <c r="ED504" s="19"/>
      <c r="EE504" s="19"/>
      <c r="EF504" s="19"/>
      <c r="EG504" s="19"/>
      <c r="EH504" s="19"/>
      <c r="EI504" s="19"/>
      <c r="EJ504" s="19"/>
      <c r="EK504" s="19"/>
      <c r="EL504" s="19"/>
      <c r="EM504" s="19"/>
      <c r="EN504" s="19"/>
      <c r="EO504" s="19"/>
      <c r="EP504" s="17"/>
      <c r="EQ504" s="23"/>
      <c r="ER504" s="23" t="str">
        <f t="shared" si="1"/>
        <v/>
      </c>
      <c r="ES504" s="19"/>
      <c r="ET504" s="19" t="str">
        <f t="shared" si="2"/>
        <v/>
      </c>
      <c r="EU504" s="19"/>
      <c r="EV504" s="19"/>
      <c r="EW504" s="19"/>
      <c r="EX504" s="19"/>
      <c r="EY504" s="19"/>
      <c r="EZ504" s="19"/>
      <c r="FA504" s="19"/>
      <c r="FB504" s="19"/>
    </row>
    <row r="505" ht="15.75" customHeight="1">
      <c r="A505" s="19"/>
      <c r="F505" s="19"/>
      <c r="AH505" s="23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  <c r="BD505" s="19"/>
      <c r="BE505" s="19"/>
      <c r="BF505" s="19"/>
      <c r="BG505" s="19"/>
      <c r="BH505" s="19"/>
      <c r="BI505" s="19"/>
      <c r="BJ505" s="19"/>
      <c r="BK505" s="19"/>
      <c r="BL505" s="19"/>
      <c r="BM505" s="19"/>
      <c r="BN505" s="19"/>
      <c r="BO505" s="19"/>
      <c r="BP505" s="19"/>
      <c r="BQ505" s="19"/>
      <c r="BR505" s="19"/>
      <c r="BS505" s="19"/>
      <c r="BT505" s="19"/>
      <c r="BU505" s="19"/>
      <c r="BV505" s="19"/>
      <c r="BW505" s="19"/>
      <c r="BX505" s="19"/>
      <c r="BY505" s="19"/>
      <c r="BZ505" s="19"/>
      <c r="CA505" s="19"/>
      <c r="CB505" s="19"/>
      <c r="CC505" s="19"/>
      <c r="CD505" s="19"/>
      <c r="CE505" s="19"/>
      <c r="CF505" s="19"/>
      <c r="CG505" s="19"/>
      <c r="CH505" s="19"/>
      <c r="CI505" s="19"/>
      <c r="CJ505" s="19"/>
      <c r="CK505" s="19"/>
      <c r="CL505" s="19"/>
      <c r="CM505" s="19"/>
      <c r="CN505" s="19"/>
      <c r="CO505" s="19"/>
      <c r="CP505" s="19"/>
      <c r="CQ505" s="19"/>
      <c r="CR505" s="19"/>
      <c r="CS505" s="19"/>
      <c r="CT505" s="19"/>
      <c r="CU505" s="19"/>
      <c r="CV505" s="19"/>
      <c r="CW505" s="19"/>
      <c r="CX505" s="19"/>
      <c r="CY505" s="19"/>
      <c r="CZ505" s="19"/>
      <c r="DA505" s="19"/>
      <c r="DB505" s="19"/>
      <c r="DC505" s="19"/>
      <c r="DD505" s="19"/>
      <c r="DE505" s="19"/>
      <c r="DF505" s="19"/>
      <c r="DG505" s="19"/>
      <c r="DH505" s="19"/>
      <c r="DI505" s="19"/>
      <c r="DJ505" s="19"/>
      <c r="DK505" s="19"/>
      <c r="DL505" s="19"/>
      <c r="DM505" s="19"/>
      <c r="DN505" s="19"/>
      <c r="DO505" s="19"/>
      <c r="DP505" s="19"/>
      <c r="DQ505" s="19"/>
      <c r="DR505" s="19"/>
      <c r="DS505" s="19"/>
      <c r="DT505" s="19"/>
      <c r="DU505" s="19"/>
      <c r="DV505" s="19"/>
      <c r="DW505" s="19"/>
      <c r="DX505" s="19"/>
      <c r="DY505" s="19"/>
      <c r="DZ505" s="19"/>
      <c r="EA505" s="19"/>
      <c r="EB505" s="19"/>
      <c r="EC505" s="19"/>
      <c r="ED505" s="19"/>
      <c r="EE505" s="19"/>
      <c r="EF505" s="19"/>
      <c r="EG505" s="19"/>
      <c r="EH505" s="19"/>
      <c r="EI505" s="19"/>
      <c r="EJ505" s="19"/>
      <c r="EK505" s="19"/>
      <c r="EL505" s="19"/>
      <c r="EM505" s="19"/>
      <c r="EN505" s="19"/>
      <c r="EO505" s="19"/>
      <c r="EP505" s="17"/>
      <c r="EQ505" s="23"/>
      <c r="ER505" s="23" t="str">
        <f t="shared" si="1"/>
        <v/>
      </c>
      <c r="ES505" s="19"/>
      <c r="ET505" s="19" t="str">
        <f t="shared" si="2"/>
        <v/>
      </c>
      <c r="EU505" s="19"/>
      <c r="EV505" s="19"/>
      <c r="EW505" s="19"/>
      <c r="EX505" s="19"/>
      <c r="EY505" s="19"/>
      <c r="EZ505" s="19"/>
      <c r="FA505" s="19"/>
      <c r="FB505" s="19"/>
    </row>
    <row r="506" ht="15.75" customHeight="1">
      <c r="A506" s="19"/>
      <c r="F506" s="19"/>
      <c r="AH506" s="23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  <c r="BD506" s="19"/>
      <c r="BE506" s="19"/>
      <c r="BF506" s="19"/>
      <c r="BG506" s="19"/>
      <c r="BH506" s="19"/>
      <c r="BI506" s="19"/>
      <c r="BJ506" s="19"/>
      <c r="BK506" s="19"/>
      <c r="BL506" s="19"/>
      <c r="BM506" s="19"/>
      <c r="BN506" s="19"/>
      <c r="BO506" s="19"/>
      <c r="BP506" s="19"/>
      <c r="BQ506" s="19"/>
      <c r="BR506" s="19"/>
      <c r="BS506" s="19"/>
      <c r="BT506" s="19"/>
      <c r="BU506" s="19"/>
      <c r="BV506" s="19"/>
      <c r="BW506" s="19"/>
      <c r="BX506" s="19"/>
      <c r="BY506" s="19"/>
      <c r="BZ506" s="19"/>
      <c r="CA506" s="19"/>
      <c r="CB506" s="19"/>
      <c r="CC506" s="19"/>
      <c r="CD506" s="19"/>
      <c r="CE506" s="19"/>
      <c r="CF506" s="19"/>
      <c r="CG506" s="19"/>
      <c r="CH506" s="19"/>
      <c r="CI506" s="19"/>
      <c r="CJ506" s="19"/>
      <c r="CK506" s="19"/>
      <c r="CL506" s="19"/>
      <c r="CM506" s="19"/>
      <c r="CN506" s="19"/>
      <c r="CO506" s="19"/>
      <c r="CP506" s="19"/>
      <c r="CQ506" s="19"/>
      <c r="CR506" s="19"/>
      <c r="CS506" s="19"/>
      <c r="CT506" s="19"/>
      <c r="CU506" s="19"/>
      <c r="CV506" s="19"/>
      <c r="CW506" s="19"/>
      <c r="CX506" s="19"/>
      <c r="CY506" s="19"/>
      <c r="CZ506" s="19"/>
      <c r="DA506" s="19"/>
      <c r="DB506" s="19"/>
      <c r="DC506" s="19"/>
      <c r="DD506" s="19"/>
      <c r="DE506" s="19"/>
      <c r="DF506" s="19"/>
      <c r="DG506" s="19"/>
      <c r="DH506" s="19"/>
      <c r="DI506" s="19"/>
      <c r="DJ506" s="19"/>
      <c r="DK506" s="19"/>
      <c r="DL506" s="19"/>
      <c r="DM506" s="19"/>
      <c r="DN506" s="19"/>
      <c r="DO506" s="19"/>
      <c r="DP506" s="19"/>
      <c r="DQ506" s="19"/>
      <c r="DR506" s="19"/>
      <c r="DS506" s="19"/>
      <c r="DT506" s="19"/>
      <c r="DU506" s="19"/>
      <c r="DV506" s="19"/>
      <c r="DW506" s="19"/>
      <c r="DX506" s="19"/>
      <c r="DY506" s="19"/>
      <c r="DZ506" s="19"/>
      <c r="EA506" s="19"/>
      <c r="EB506" s="19"/>
      <c r="EC506" s="19"/>
      <c r="ED506" s="19"/>
      <c r="EE506" s="19"/>
      <c r="EF506" s="19"/>
      <c r="EG506" s="19"/>
      <c r="EH506" s="19"/>
      <c r="EI506" s="19"/>
      <c r="EJ506" s="19"/>
      <c r="EK506" s="19"/>
      <c r="EL506" s="19"/>
      <c r="EM506" s="19"/>
      <c r="EN506" s="19"/>
      <c r="EO506" s="19"/>
      <c r="EP506" s="17"/>
      <c r="EQ506" s="23"/>
      <c r="ER506" s="23" t="str">
        <f t="shared" si="1"/>
        <v/>
      </c>
      <c r="ES506" s="19"/>
      <c r="ET506" s="19" t="str">
        <f t="shared" si="2"/>
        <v/>
      </c>
      <c r="EU506" s="19"/>
      <c r="EV506" s="19"/>
      <c r="EW506" s="19"/>
      <c r="EX506" s="19"/>
      <c r="EY506" s="19"/>
      <c r="EZ506" s="19"/>
      <c r="FA506" s="19"/>
      <c r="FB506" s="19"/>
    </row>
    <row r="507" ht="15.75" customHeight="1">
      <c r="A507" s="19"/>
      <c r="F507" s="19"/>
      <c r="AH507" s="23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  <c r="BD507" s="19"/>
      <c r="BE507" s="19"/>
      <c r="BF507" s="19"/>
      <c r="BG507" s="19"/>
      <c r="BH507" s="19"/>
      <c r="BI507" s="19"/>
      <c r="BJ507" s="19"/>
      <c r="BK507" s="19"/>
      <c r="BL507" s="19"/>
      <c r="BM507" s="19"/>
      <c r="BN507" s="19"/>
      <c r="BO507" s="19"/>
      <c r="BP507" s="19"/>
      <c r="BQ507" s="19"/>
      <c r="BR507" s="19"/>
      <c r="BS507" s="19"/>
      <c r="BT507" s="19"/>
      <c r="BU507" s="19"/>
      <c r="BV507" s="19"/>
      <c r="BW507" s="19"/>
      <c r="BX507" s="19"/>
      <c r="BY507" s="19"/>
      <c r="BZ507" s="19"/>
      <c r="CA507" s="19"/>
      <c r="CB507" s="19"/>
      <c r="CC507" s="19"/>
      <c r="CD507" s="19"/>
      <c r="CE507" s="19"/>
      <c r="CF507" s="19"/>
      <c r="CG507" s="19"/>
      <c r="CH507" s="19"/>
      <c r="CI507" s="19"/>
      <c r="CJ507" s="19"/>
      <c r="CK507" s="19"/>
      <c r="CL507" s="19"/>
      <c r="CM507" s="19"/>
      <c r="CN507" s="19"/>
      <c r="CO507" s="19"/>
      <c r="CP507" s="19"/>
      <c r="CQ507" s="19"/>
      <c r="CR507" s="19"/>
      <c r="CS507" s="19"/>
      <c r="CT507" s="19"/>
      <c r="CU507" s="19"/>
      <c r="CV507" s="19"/>
      <c r="CW507" s="19"/>
      <c r="CX507" s="19"/>
      <c r="CY507" s="19"/>
      <c r="CZ507" s="19"/>
      <c r="DA507" s="19"/>
      <c r="DB507" s="19"/>
      <c r="DC507" s="19"/>
      <c r="DD507" s="19"/>
      <c r="DE507" s="19"/>
      <c r="DF507" s="19"/>
      <c r="DG507" s="19"/>
      <c r="DH507" s="19"/>
      <c r="DI507" s="19"/>
      <c r="DJ507" s="19"/>
      <c r="DK507" s="19"/>
      <c r="DL507" s="19"/>
      <c r="DM507" s="19"/>
      <c r="DN507" s="19"/>
      <c r="DO507" s="19"/>
      <c r="DP507" s="19"/>
      <c r="DQ507" s="19"/>
      <c r="DR507" s="19"/>
      <c r="DS507" s="19"/>
      <c r="DT507" s="19"/>
      <c r="DU507" s="19"/>
      <c r="DV507" s="19"/>
      <c r="DW507" s="19"/>
      <c r="DX507" s="19"/>
      <c r="DY507" s="19"/>
      <c r="DZ507" s="19"/>
      <c r="EA507" s="19"/>
      <c r="EB507" s="19"/>
      <c r="EC507" s="19"/>
      <c r="ED507" s="19"/>
      <c r="EE507" s="19"/>
      <c r="EF507" s="19"/>
      <c r="EG507" s="19"/>
      <c r="EH507" s="19"/>
      <c r="EI507" s="19"/>
      <c r="EJ507" s="19"/>
      <c r="EK507" s="19"/>
      <c r="EL507" s="19"/>
      <c r="EM507" s="19"/>
      <c r="EN507" s="19"/>
      <c r="EO507" s="19"/>
      <c r="EP507" s="17"/>
      <c r="EQ507" s="23"/>
      <c r="ER507" s="23" t="str">
        <f t="shared" si="1"/>
        <v/>
      </c>
      <c r="ES507" s="19"/>
      <c r="ET507" s="19" t="str">
        <f t="shared" si="2"/>
        <v/>
      </c>
      <c r="EU507" s="19"/>
      <c r="EV507" s="19"/>
      <c r="EW507" s="19"/>
      <c r="EX507" s="19"/>
      <c r="EY507" s="19"/>
      <c r="EZ507" s="19"/>
      <c r="FA507" s="19"/>
      <c r="FB507" s="19"/>
    </row>
    <row r="508" ht="15.75" customHeight="1">
      <c r="A508" s="19"/>
      <c r="F508" s="19"/>
      <c r="AH508" s="23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  <c r="BD508" s="19"/>
      <c r="BE508" s="19"/>
      <c r="BF508" s="19"/>
      <c r="BG508" s="19"/>
      <c r="BH508" s="19"/>
      <c r="BI508" s="19"/>
      <c r="BJ508" s="19"/>
      <c r="BK508" s="19"/>
      <c r="BL508" s="19"/>
      <c r="BM508" s="19"/>
      <c r="BN508" s="19"/>
      <c r="BO508" s="19"/>
      <c r="BP508" s="19"/>
      <c r="BQ508" s="19"/>
      <c r="BR508" s="19"/>
      <c r="BS508" s="19"/>
      <c r="BT508" s="19"/>
      <c r="BU508" s="19"/>
      <c r="BV508" s="19"/>
      <c r="BW508" s="19"/>
      <c r="BX508" s="19"/>
      <c r="BY508" s="19"/>
      <c r="BZ508" s="19"/>
      <c r="CA508" s="19"/>
      <c r="CB508" s="19"/>
      <c r="CC508" s="19"/>
      <c r="CD508" s="19"/>
      <c r="CE508" s="19"/>
      <c r="CF508" s="19"/>
      <c r="CG508" s="19"/>
      <c r="CH508" s="19"/>
      <c r="CI508" s="19"/>
      <c r="CJ508" s="19"/>
      <c r="CK508" s="19"/>
      <c r="CL508" s="19"/>
      <c r="CM508" s="19"/>
      <c r="CN508" s="19"/>
      <c r="CO508" s="19"/>
      <c r="CP508" s="19"/>
      <c r="CQ508" s="19"/>
      <c r="CR508" s="19"/>
      <c r="CS508" s="19"/>
      <c r="CT508" s="19"/>
      <c r="CU508" s="19"/>
      <c r="CV508" s="19"/>
      <c r="CW508" s="19"/>
      <c r="CX508" s="19"/>
      <c r="CY508" s="19"/>
      <c r="CZ508" s="19"/>
      <c r="DA508" s="19"/>
      <c r="DB508" s="19"/>
      <c r="DC508" s="19"/>
      <c r="DD508" s="19"/>
      <c r="DE508" s="19"/>
      <c r="DF508" s="19"/>
      <c r="DG508" s="19"/>
      <c r="DH508" s="19"/>
      <c r="DI508" s="19"/>
      <c r="DJ508" s="19"/>
      <c r="DK508" s="19"/>
      <c r="DL508" s="19"/>
      <c r="DM508" s="19"/>
      <c r="DN508" s="19"/>
      <c r="DO508" s="19"/>
      <c r="DP508" s="19"/>
      <c r="DQ508" s="19"/>
      <c r="DR508" s="19"/>
      <c r="DS508" s="19"/>
      <c r="DT508" s="19"/>
      <c r="DU508" s="19"/>
      <c r="DV508" s="19"/>
      <c r="DW508" s="19"/>
      <c r="DX508" s="19"/>
      <c r="DY508" s="19"/>
      <c r="DZ508" s="19"/>
      <c r="EA508" s="19"/>
      <c r="EB508" s="19"/>
      <c r="EC508" s="19"/>
      <c r="ED508" s="19"/>
      <c r="EE508" s="19"/>
      <c r="EF508" s="19"/>
      <c r="EG508" s="19"/>
      <c r="EH508" s="19"/>
      <c r="EI508" s="19"/>
      <c r="EJ508" s="19"/>
      <c r="EK508" s="19"/>
      <c r="EL508" s="19"/>
      <c r="EM508" s="19"/>
      <c r="EN508" s="19"/>
      <c r="EO508" s="19"/>
      <c r="EP508" s="17"/>
      <c r="EQ508" s="23"/>
      <c r="ER508" s="23" t="str">
        <f t="shared" si="1"/>
        <v/>
      </c>
      <c r="ES508" s="19"/>
      <c r="ET508" s="19" t="str">
        <f t="shared" si="2"/>
        <v/>
      </c>
      <c r="EU508" s="19"/>
      <c r="EV508" s="19"/>
      <c r="EW508" s="19"/>
      <c r="EX508" s="19"/>
      <c r="EY508" s="19"/>
      <c r="EZ508" s="19"/>
      <c r="FA508" s="19"/>
      <c r="FB508" s="19"/>
    </row>
    <row r="509" ht="15.75" customHeight="1">
      <c r="A509" s="19"/>
      <c r="F509" s="19"/>
      <c r="AH509" s="23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  <c r="BD509" s="19"/>
      <c r="BE509" s="19"/>
      <c r="BF509" s="19"/>
      <c r="BG509" s="19"/>
      <c r="BH509" s="19"/>
      <c r="BI509" s="19"/>
      <c r="BJ509" s="19"/>
      <c r="BK509" s="19"/>
      <c r="BL509" s="19"/>
      <c r="BM509" s="19"/>
      <c r="BN509" s="19"/>
      <c r="BO509" s="19"/>
      <c r="BP509" s="19"/>
      <c r="BQ509" s="19"/>
      <c r="BR509" s="19"/>
      <c r="BS509" s="19"/>
      <c r="BT509" s="19"/>
      <c r="BU509" s="19"/>
      <c r="BV509" s="19"/>
      <c r="BW509" s="19"/>
      <c r="BX509" s="19"/>
      <c r="BY509" s="19"/>
      <c r="BZ509" s="19"/>
      <c r="CA509" s="19"/>
      <c r="CB509" s="19"/>
      <c r="CC509" s="19"/>
      <c r="CD509" s="19"/>
      <c r="CE509" s="19"/>
      <c r="CF509" s="19"/>
      <c r="CG509" s="19"/>
      <c r="CH509" s="19"/>
      <c r="CI509" s="19"/>
      <c r="CJ509" s="19"/>
      <c r="CK509" s="19"/>
      <c r="CL509" s="19"/>
      <c r="CM509" s="19"/>
      <c r="CN509" s="19"/>
      <c r="CO509" s="19"/>
      <c r="CP509" s="19"/>
      <c r="CQ509" s="19"/>
      <c r="CR509" s="19"/>
      <c r="CS509" s="19"/>
      <c r="CT509" s="19"/>
      <c r="CU509" s="19"/>
      <c r="CV509" s="19"/>
      <c r="CW509" s="19"/>
      <c r="CX509" s="19"/>
      <c r="CY509" s="19"/>
      <c r="CZ509" s="19"/>
      <c r="DA509" s="19"/>
      <c r="DB509" s="19"/>
      <c r="DC509" s="19"/>
      <c r="DD509" s="19"/>
      <c r="DE509" s="19"/>
      <c r="DF509" s="19"/>
      <c r="DG509" s="19"/>
      <c r="DH509" s="19"/>
      <c r="DI509" s="19"/>
      <c r="DJ509" s="19"/>
      <c r="DK509" s="19"/>
      <c r="DL509" s="19"/>
      <c r="DM509" s="19"/>
      <c r="DN509" s="19"/>
      <c r="DO509" s="19"/>
      <c r="DP509" s="19"/>
      <c r="DQ509" s="19"/>
      <c r="DR509" s="19"/>
      <c r="DS509" s="19"/>
      <c r="DT509" s="19"/>
      <c r="DU509" s="19"/>
      <c r="DV509" s="19"/>
      <c r="DW509" s="19"/>
      <c r="DX509" s="19"/>
      <c r="DY509" s="19"/>
      <c r="DZ509" s="19"/>
      <c r="EA509" s="19"/>
      <c r="EB509" s="19"/>
      <c r="EC509" s="19"/>
      <c r="ED509" s="19"/>
      <c r="EE509" s="19"/>
      <c r="EF509" s="19"/>
      <c r="EG509" s="19"/>
      <c r="EH509" s="19"/>
      <c r="EI509" s="19"/>
      <c r="EJ509" s="19"/>
      <c r="EK509" s="19"/>
      <c r="EL509" s="19"/>
      <c r="EM509" s="19"/>
      <c r="EN509" s="19"/>
      <c r="EO509" s="19"/>
      <c r="EP509" s="17"/>
      <c r="EQ509" s="23"/>
      <c r="ER509" s="23" t="str">
        <f t="shared" si="1"/>
        <v/>
      </c>
      <c r="ES509" s="19"/>
      <c r="ET509" s="19" t="str">
        <f t="shared" si="2"/>
        <v/>
      </c>
      <c r="EU509" s="19"/>
      <c r="EV509" s="19"/>
      <c r="EW509" s="19"/>
      <c r="EX509" s="19"/>
      <c r="EY509" s="19"/>
      <c r="EZ509" s="19"/>
      <c r="FA509" s="19"/>
      <c r="FB509" s="19"/>
    </row>
    <row r="510" ht="15.75" customHeight="1">
      <c r="A510" s="19"/>
      <c r="F510" s="19"/>
      <c r="AH510" s="23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  <c r="BD510" s="19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  <c r="BP510" s="19"/>
      <c r="BQ510" s="19"/>
      <c r="BR510" s="19"/>
      <c r="BS510" s="19"/>
      <c r="BT510" s="19"/>
      <c r="BU510" s="19"/>
      <c r="BV510" s="19"/>
      <c r="BW510" s="19"/>
      <c r="BX510" s="19"/>
      <c r="BY510" s="19"/>
      <c r="BZ510" s="19"/>
      <c r="CA510" s="19"/>
      <c r="CB510" s="19"/>
      <c r="CC510" s="19"/>
      <c r="CD510" s="19"/>
      <c r="CE510" s="19"/>
      <c r="CF510" s="19"/>
      <c r="CG510" s="19"/>
      <c r="CH510" s="19"/>
      <c r="CI510" s="19"/>
      <c r="CJ510" s="19"/>
      <c r="CK510" s="19"/>
      <c r="CL510" s="19"/>
      <c r="CM510" s="19"/>
      <c r="CN510" s="19"/>
      <c r="CO510" s="19"/>
      <c r="CP510" s="19"/>
      <c r="CQ510" s="19"/>
      <c r="CR510" s="19"/>
      <c r="CS510" s="19"/>
      <c r="CT510" s="19"/>
      <c r="CU510" s="19"/>
      <c r="CV510" s="19"/>
      <c r="CW510" s="19"/>
      <c r="CX510" s="19"/>
      <c r="CY510" s="19"/>
      <c r="CZ510" s="19"/>
      <c r="DA510" s="19"/>
      <c r="DB510" s="19"/>
      <c r="DC510" s="19"/>
      <c r="DD510" s="19"/>
      <c r="DE510" s="19"/>
      <c r="DF510" s="19"/>
      <c r="DG510" s="19"/>
      <c r="DH510" s="19"/>
      <c r="DI510" s="19"/>
      <c r="DJ510" s="19"/>
      <c r="DK510" s="19"/>
      <c r="DL510" s="19"/>
      <c r="DM510" s="19"/>
      <c r="DN510" s="19"/>
      <c r="DO510" s="19"/>
      <c r="DP510" s="19"/>
      <c r="DQ510" s="19"/>
      <c r="DR510" s="19"/>
      <c r="DS510" s="19"/>
      <c r="DT510" s="19"/>
      <c r="DU510" s="19"/>
      <c r="DV510" s="19"/>
      <c r="DW510" s="19"/>
      <c r="DX510" s="19"/>
      <c r="DY510" s="19"/>
      <c r="DZ510" s="19"/>
      <c r="EA510" s="19"/>
      <c r="EB510" s="19"/>
      <c r="EC510" s="19"/>
      <c r="ED510" s="19"/>
      <c r="EE510" s="19"/>
      <c r="EF510" s="19"/>
      <c r="EG510" s="19"/>
      <c r="EH510" s="19"/>
      <c r="EI510" s="19"/>
      <c r="EJ510" s="19"/>
      <c r="EK510" s="19"/>
      <c r="EL510" s="19"/>
      <c r="EM510" s="19"/>
      <c r="EN510" s="19"/>
      <c r="EO510" s="19"/>
      <c r="EP510" s="17"/>
      <c r="EQ510" s="23"/>
      <c r="ER510" s="23" t="str">
        <f t="shared" si="1"/>
        <v/>
      </c>
      <c r="ES510" s="19"/>
      <c r="ET510" s="19" t="str">
        <f t="shared" si="2"/>
        <v/>
      </c>
      <c r="EU510" s="19"/>
      <c r="EV510" s="19"/>
      <c r="EW510" s="19"/>
      <c r="EX510" s="19"/>
      <c r="EY510" s="19"/>
      <c r="EZ510" s="19"/>
      <c r="FA510" s="19"/>
      <c r="FB510" s="19"/>
    </row>
    <row r="511" ht="15.75" customHeight="1">
      <c r="A511" s="19"/>
      <c r="F511" s="19"/>
      <c r="AH511" s="23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  <c r="BD511" s="19"/>
      <c r="BE511" s="19"/>
      <c r="BF511" s="19"/>
      <c r="BG511" s="19"/>
      <c r="BH511" s="19"/>
      <c r="BI511" s="19"/>
      <c r="BJ511" s="19"/>
      <c r="BK511" s="19"/>
      <c r="BL511" s="19"/>
      <c r="BM511" s="19"/>
      <c r="BN511" s="19"/>
      <c r="BO511" s="19"/>
      <c r="BP511" s="19"/>
      <c r="BQ511" s="19"/>
      <c r="BR511" s="19"/>
      <c r="BS511" s="19"/>
      <c r="BT511" s="19"/>
      <c r="BU511" s="19"/>
      <c r="BV511" s="19"/>
      <c r="BW511" s="19"/>
      <c r="BX511" s="19"/>
      <c r="BY511" s="19"/>
      <c r="BZ511" s="19"/>
      <c r="CA511" s="19"/>
      <c r="CB511" s="19"/>
      <c r="CC511" s="19"/>
      <c r="CD511" s="19"/>
      <c r="CE511" s="19"/>
      <c r="CF511" s="19"/>
      <c r="CG511" s="19"/>
      <c r="CH511" s="19"/>
      <c r="CI511" s="19"/>
      <c r="CJ511" s="19"/>
      <c r="CK511" s="19"/>
      <c r="CL511" s="19"/>
      <c r="CM511" s="19"/>
      <c r="CN511" s="19"/>
      <c r="CO511" s="19"/>
      <c r="CP511" s="19"/>
      <c r="CQ511" s="19"/>
      <c r="CR511" s="19"/>
      <c r="CS511" s="19"/>
      <c r="CT511" s="19"/>
      <c r="CU511" s="19"/>
      <c r="CV511" s="19"/>
      <c r="CW511" s="19"/>
      <c r="CX511" s="19"/>
      <c r="CY511" s="19"/>
      <c r="CZ511" s="19"/>
      <c r="DA511" s="19"/>
      <c r="DB511" s="19"/>
      <c r="DC511" s="19"/>
      <c r="DD511" s="19"/>
      <c r="DE511" s="19"/>
      <c r="DF511" s="19"/>
      <c r="DG511" s="19"/>
      <c r="DH511" s="19"/>
      <c r="DI511" s="19"/>
      <c r="DJ511" s="19"/>
      <c r="DK511" s="19"/>
      <c r="DL511" s="19"/>
      <c r="DM511" s="19"/>
      <c r="DN511" s="19"/>
      <c r="DO511" s="19"/>
      <c r="DP511" s="19"/>
      <c r="DQ511" s="19"/>
      <c r="DR511" s="19"/>
      <c r="DS511" s="19"/>
      <c r="DT511" s="19"/>
      <c r="DU511" s="19"/>
      <c r="DV511" s="19"/>
      <c r="DW511" s="19"/>
      <c r="DX511" s="19"/>
      <c r="DY511" s="19"/>
      <c r="DZ511" s="19"/>
      <c r="EA511" s="19"/>
      <c r="EB511" s="19"/>
      <c r="EC511" s="19"/>
      <c r="ED511" s="19"/>
      <c r="EE511" s="19"/>
      <c r="EF511" s="19"/>
      <c r="EG511" s="19"/>
      <c r="EH511" s="19"/>
      <c r="EI511" s="19"/>
      <c r="EJ511" s="19"/>
      <c r="EK511" s="19"/>
      <c r="EL511" s="19"/>
      <c r="EM511" s="19"/>
      <c r="EN511" s="19"/>
      <c r="EO511" s="19"/>
      <c r="EP511" s="17"/>
      <c r="EQ511" s="23"/>
      <c r="ER511" s="23" t="str">
        <f t="shared" si="1"/>
        <v/>
      </c>
      <c r="ES511" s="19"/>
      <c r="ET511" s="19" t="str">
        <f t="shared" si="2"/>
        <v/>
      </c>
      <c r="EU511" s="19"/>
      <c r="EV511" s="19"/>
      <c r="EW511" s="19"/>
      <c r="EX511" s="19"/>
      <c r="EY511" s="19"/>
      <c r="EZ511" s="19"/>
      <c r="FA511" s="19"/>
      <c r="FB511" s="19"/>
    </row>
    <row r="512" ht="15.75" customHeight="1">
      <c r="A512" s="19"/>
      <c r="F512" s="19"/>
      <c r="AH512" s="23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  <c r="BD512" s="19"/>
      <c r="BE512" s="19"/>
      <c r="BF512" s="19"/>
      <c r="BG512" s="19"/>
      <c r="BH512" s="19"/>
      <c r="BI512" s="19"/>
      <c r="BJ512" s="19"/>
      <c r="BK512" s="19"/>
      <c r="BL512" s="19"/>
      <c r="BM512" s="19"/>
      <c r="BN512" s="19"/>
      <c r="BO512" s="19"/>
      <c r="BP512" s="19"/>
      <c r="BQ512" s="19"/>
      <c r="BR512" s="19"/>
      <c r="BS512" s="19"/>
      <c r="BT512" s="19"/>
      <c r="BU512" s="19"/>
      <c r="BV512" s="19"/>
      <c r="BW512" s="19"/>
      <c r="BX512" s="19"/>
      <c r="BY512" s="19"/>
      <c r="BZ512" s="19"/>
      <c r="CA512" s="19"/>
      <c r="CB512" s="19"/>
      <c r="CC512" s="19"/>
      <c r="CD512" s="19"/>
      <c r="CE512" s="19"/>
      <c r="CF512" s="19"/>
      <c r="CG512" s="19"/>
      <c r="CH512" s="19"/>
      <c r="CI512" s="19"/>
      <c r="CJ512" s="19"/>
      <c r="CK512" s="19"/>
      <c r="CL512" s="19"/>
      <c r="CM512" s="19"/>
      <c r="CN512" s="19"/>
      <c r="CO512" s="19"/>
      <c r="CP512" s="19"/>
      <c r="CQ512" s="19"/>
      <c r="CR512" s="19"/>
      <c r="CS512" s="19"/>
      <c r="CT512" s="19"/>
      <c r="CU512" s="19"/>
      <c r="CV512" s="19"/>
      <c r="CW512" s="19"/>
      <c r="CX512" s="19"/>
      <c r="CY512" s="19"/>
      <c r="CZ512" s="19"/>
      <c r="DA512" s="19"/>
      <c r="DB512" s="19"/>
      <c r="DC512" s="19"/>
      <c r="DD512" s="19"/>
      <c r="DE512" s="19"/>
      <c r="DF512" s="19"/>
      <c r="DG512" s="19"/>
      <c r="DH512" s="19"/>
      <c r="DI512" s="19"/>
      <c r="DJ512" s="19"/>
      <c r="DK512" s="19"/>
      <c r="DL512" s="19"/>
      <c r="DM512" s="19"/>
      <c r="DN512" s="19"/>
      <c r="DO512" s="19"/>
      <c r="DP512" s="19"/>
      <c r="DQ512" s="19"/>
      <c r="DR512" s="19"/>
      <c r="DS512" s="19"/>
      <c r="DT512" s="19"/>
      <c r="DU512" s="19"/>
      <c r="DV512" s="19"/>
      <c r="DW512" s="19"/>
      <c r="DX512" s="19"/>
      <c r="DY512" s="19"/>
      <c r="DZ512" s="19"/>
      <c r="EA512" s="19"/>
      <c r="EB512" s="19"/>
      <c r="EC512" s="19"/>
      <c r="ED512" s="19"/>
      <c r="EE512" s="19"/>
      <c r="EF512" s="19"/>
      <c r="EG512" s="19"/>
      <c r="EH512" s="19"/>
      <c r="EI512" s="19"/>
      <c r="EJ512" s="19"/>
      <c r="EK512" s="19"/>
      <c r="EL512" s="19"/>
      <c r="EM512" s="19"/>
      <c r="EN512" s="19"/>
      <c r="EO512" s="19"/>
      <c r="EP512" s="17"/>
      <c r="EQ512" s="23"/>
      <c r="ER512" s="23" t="str">
        <f t="shared" si="1"/>
        <v/>
      </c>
      <c r="ES512" s="19"/>
      <c r="ET512" s="19" t="str">
        <f t="shared" si="2"/>
        <v/>
      </c>
      <c r="EU512" s="19"/>
      <c r="EV512" s="19"/>
      <c r="EW512" s="19"/>
      <c r="EX512" s="19"/>
      <c r="EY512" s="19"/>
      <c r="EZ512" s="19"/>
      <c r="FA512" s="19"/>
      <c r="FB512" s="19"/>
    </row>
    <row r="513" ht="15.75" customHeight="1">
      <c r="A513" s="19"/>
      <c r="F513" s="19"/>
      <c r="AH513" s="23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  <c r="BD513" s="19"/>
      <c r="BE513" s="19"/>
      <c r="BF513" s="19"/>
      <c r="BG513" s="19"/>
      <c r="BH513" s="19"/>
      <c r="BI513" s="19"/>
      <c r="BJ513" s="19"/>
      <c r="BK513" s="19"/>
      <c r="BL513" s="19"/>
      <c r="BM513" s="19"/>
      <c r="BN513" s="19"/>
      <c r="BO513" s="19"/>
      <c r="BP513" s="19"/>
      <c r="BQ513" s="19"/>
      <c r="BR513" s="19"/>
      <c r="BS513" s="19"/>
      <c r="BT513" s="19"/>
      <c r="BU513" s="19"/>
      <c r="BV513" s="19"/>
      <c r="BW513" s="19"/>
      <c r="BX513" s="19"/>
      <c r="BY513" s="19"/>
      <c r="BZ513" s="19"/>
      <c r="CA513" s="19"/>
      <c r="CB513" s="19"/>
      <c r="CC513" s="19"/>
      <c r="CD513" s="19"/>
      <c r="CE513" s="19"/>
      <c r="CF513" s="19"/>
      <c r="CG513" s="19"/>
      <c r="CH513" s="19"/>
      <c r="CI513" s="19"/>
      <c r="CJ513" s="19"/>
      <c r="CK513" s="19"/>
      <c r="CL513" s="19"/>
      <c r="CM513" s="19"/>
      <c r="CN513" s="19"/>
      <c r="CO513" s="19"/>
      <c r="CP513" s="19"/>
      <c r="CQ513" s="19"/>
      <c r="CR513" s="19"/>
      <c r="CS513" s="19"/>
      <c r="CT513" s="19"/>
      <c r="CU513" s="19"/>
      <c r="CV513" s="19"/>
      <c r="CW513" s="19"/>
      <c r="CX513" s="19"/>
      <c r="CY513" s="19"/>
      <c r="CZ513" s="19"/>
      <c r="DA513" s="19"/>
      <c r="DB513" s="19"/>
      <c r="DC513" s="19"/>
      <c r="DD513" s="19"/>
      <c r="DE513" s="19"/>
      <c r="DF513" s="19"/>
      <c r="DG513" s="19"/>
      <c r="DH513" s="19"/>
      <c r="DI513" s="19"/>
      <c r="DJ513" s="19"/>
      <c r="DK513" s="19"/>
      <c r="DL513" s="19"/>
      <c r="DM513" s="19"/>
      <c r="DN513" s="19"/>
      <c r="DO513" s="19"/>
      <c r="DP513" s="19"/>
      <c r="DQ513" s="19"/>
      <c r="DR513" s="19"/>
      <c r="DS513" s="19"/>
      <c r="DT513" s="19"/>
      <c r="DU513" s="19"/>
      <c r="DV513" s="19"/>
      <c r="DW513" s="19"/>
      <c r="DX513" s="19"/>
      <c r="DY513" s="19"/>
      <c r="DZ513" s="19"/>
      <c r="EA513" s="19"/>
      <c r="EB513" s="19"/>
      <c r="EC513" s="19"/>
      <c r="ED513" s="19"/>
      <c r="EE513" s="19"/>
      <c r="EF513" s="19"/>
      <c r="EG513" s="19"/>
      <c r="EH513" s="19"/>
      <c r="EI513" s="19"/>
      <c r="EJ513" s="19"/>
      <c r="EK513" s="19"/>
      <c r="EL513" s="19"/>
      <c r="EM513" s="19"/>
      <c r="EN513" s="19"/>
      <c r="EO513" s="19"/>
      <c r="EP513" s="17"/>
      <c r="EQ513" s="23"/>
      <c r="ER513" s="23" t="str">
        <f t="shared" si="1"/>
        <v/>
      </c>
      <c r="ES513" s="19"/>
      <c r="ET513" s="19" t="str">
        <f t="shared" si="2"/>
        <v/>
      </c>
      <c r="EU513" s="19"/>
      <c r="EV513" s="19"/>
      <c r="EW513" s="19"/>
      <c r="EX513" s="19"/>
      <c r="EY513" s="19"/>
      <c r="EZ513" s="19"/>
      <c r="FA513" s="19"/>
      <c r="FB513" s="19"/>
    </row>
    <row r="514" ht="15.75" customHeight="1">
      <c r="A514" s="19"/>
      <c r="F514" s="19"/>
      <c r="AH514" s="23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  <c r="BD514" s="19"/>
      <c r="BE514" s="19"/>
      <c r="BF514" s="19"/>
      <c r="BG514" s="19"/>
      <c r="BH514" s="19"/>
      <c r="BI514" s="19"/>
      <c r="BJ514" s="19"/>
      <c r="BK514" s="19"/>
      <c r="BL514" s="19"/>
      <c r="BM514" s="19"/>
      <c r="BN514" s="19"/>
      <c r="BO514" s="19"/>
      <c r="BP514" s="19"/>
      <c r="BQ514" s="19"/>
      <c r="BR514" s="19"/>
      <c r="BS514" s="19"/>
      <c r="BT514" s="19"/>
      <c r="BU514" s="19"/>
      <c r="BV514" s="19"/>
      <c r="BW514" s="19"/>
      <c r="BX514" s="19"/>
      <c r="BY514" s="19"/>
      <c r="BZ514" s="19"/>
      <c r="CA514" s="19"/>
      <c r="CB514" s="19"/>
      <c r="CC514" s="19"/>
      <c r="CD514" s="19"/>
      <c r="CE514" s="19"/>
      <c r="CF514" s="19"/>
      <c r="CG514" s="19"/>
      <c r="CH514" s="19"/>
      <c r="CI514" s="19"/>
      <c r="CJ514" s="19"/>
      <c r="CK514" s="19"/>
      <c r="CL514" s="19"/>
      <c r="CM514" s="19"/>
      <c r="CN514" s="19"/>
      <c r="CO514" s="19"/>
      <c r="CP514" s="19"/>
      <c r="CQ514" s="19"/>
      <c r="CR514" s="19"/>
      <c r="CS514" s="19"/>
      <c r="CT514" s="19"/>
      <c r="CU514" s="19"/>
      <c r="CV514" s="19"/>
      <c r="CW514" s="19"/>
      <c r="CX514" s="19"/>
      <c r="CY514" s="19"/>
      <c r="CZ514" s="19"/>
      <c r="DA514" s="19"/>
      <c r="DB514" s="19"/>
      <c r="DC514" s="19"/>
      <c r="DD514" s="19"/>
      <c r="DE514" s="19"/>
      <c r="DF514" s="19"/>
      <c r="DG514" s="19"/>
      <c r="DH514" s="19"/>
      <c r="DI514" s="19"/>
      <c r="DJ514" s="19"/>
      <c r="DK514" s="19"/>
      <c r="DL514" s="19"/>
      <c r="DM514" s="19"/>
      <c r="DN514" s="19"/>
      <c r="DO514" s="19"/>
      <c r="DP514" s="19"/>
      <c r="DQ514" s="19"/>
      <c r="DR514" s="19"/>
      <c r="DS514" s="19"/>
      <c r="DT514" s="19"/>
      <c r="DU514" s="19"/>
      <c r="DV514" s="19"/>
      <c r="DW514" s="19"/>
      <c r="DX514" s="19"/>
      <c r="DY514" s="19"/>
      <c r="DZ514" s="19"/>
      <c r="EA514" s="19"/>
      <c r="EB514" s="19"/>
      <c r="EC514" s="19"/>
      <c r="ED514" s="19"/>
      <c r="EE514" s="19"/>
      <c r="EF514" s="19"/>
      <c r="EG514" s="19"/>
      <c r="EH514" s="19"/>
      <c r="EI514" s="19"/>
      <c r="EJ514" s="19"/>
      <c r="EK514" s="19"/>
      <c r="EL514" s="19"/>
      <c r="EM514" s="19"/>
      <c r="EN514" s="19"/>
      <c r="EO514" s="19"/>
      <c r="EP514" s="17"/>
      <c r="EQ514" s="23"/>
      <c r="ER514" s="23" t="str">
        <f t="shared" si="1"/>
        <v/>
      </c>
      <c r="ES514" s="19"/>
      <c r="ET514" s="19" t="str">
        <f t="shared" si="2"/>
        <v/>
      </c>
      <c r="EU514" s="19"/>
      <c r="EV514" s="19"/>
      <c r="EW514" s="19"/>
      <c r="EX514" s="19"/>
      <c r="EY514" s="19"/>
      <c r="EZ514" s="19"/>
      <c r="FA514" s="19"/>
      <c r="FB514" s="19"/>
    </row>
    <row r="515" ht="15.75" customHeight="1">
      <c r="A515" s="19"/>
      <c r="F515" s="19"/>
      <c r="AH515" s="23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  <c r="BD515" s="19"/>
      <c r="BE515" s="19"/>
      <c r="BF515" s="19"/>
      <c r="BG515" s="19"/>
      <c r="BH515" s="19"/>
      <c r="BI515" s="19"/>
      <c r="BJ515" s="19"/>
      <c r="BK515" s="19"/>
      <c r="BL515" s="19"/>
      <c r="BM515" s="19"/>
      <c r="BN515" s="19"/>
      <c r="BO515" s="19"/>
      <c r="BP515" s="19"/>
      <c r="BQ515" s="19"/>
      <c r="BR515" s="19"/>
      <c r="BS515" s="19"/>
      <c r="BT515" s="19"/>
      <c r="BU515" s="19"/>
      <c r="BV515" s="19"/>
      <c r="BW515" s="19"/>
      <c r="BX515" s="19"/>
      <c r="BY515" s="19"/>
      <c r="BZ515" s="19"/>
      <c r="CA515" s="19"/>
      <c r="CB515" s="19"/>
      <c r="CC515" s="19"/>
      <c r="CD515" s="19"/>
      <c r="CE515" s="19"/>
      <c r="CF515" s="19"/>
      <c r="CG515" s="19"/>
      <c r="CH515" s="19"/>
      <c r="CI515" s="19"/>
      <c r="CJ515" s="19"/>
      <c r="CK515" s="19"/>
      <c r="CL515" s="19"/>
      <c r="CM515" s="19"/>
      <c r="CN515" s="19"/>
      <c r="CO515" s="19"/>
      <c r="CP515" s="19"/>
      <c r="CQ515" s="19"/>
      <c r="CR515" s="19"/>
      <c r="CS515" s="19"/>
      <c r="CT515" s="19"/>
      <c r="CU515" s="19"/>
      <c r="CV515" s="19"/>
      <c r="CW515" s="19"/>
      <c r="CX515" s="19"/>
      <c r="CY515" s="19"/>
      <c r="CZ515" s="19"/>
      <c r="DA515" s="19"/>
      <c r="DB515" s="19"/>
      <c r="DC515" s="19"/>
      <c r="DD515" s="19"/>
      <c r="DE515" s="19"/>
      <c r="DF515" s="19"/>
      <c r="DG515" s="19"/>
      <c r="DH515" s="19"/>
      <c r="DI515" s="19"/>
      <c r="DJ515" s="19"/>
      <c r="DK515" s="19"/>
      <c r="DL515" s="19"/>
      <c r="DM515" s="19"/>
      <c r="DN515" s="19"/>
      <c r="DO515" s="19"/>
      <c r="DP515" s="19"/>
      <c r="DQ515" s="19"/>
      <c r="DR515" s="19"/>
      <c r="DS515" s="19"/>
      <c r="DT515" s="19"/>
      <c r="DU515" s="19"/>
      <c r="DV515" s="19"/>
      <c r="DW515" s="19"/>
      <c r="DX515" s="19"/>
      <c r="DY515" s="19"/>
      <c r="DZ515" s="19"/>
      <c r="EA515" s="19"/>
      <c r="EB515" s="19"/>
      <c r="EC515" s="19"/>
      <c r="ED515" s="19"/>
      <c r="EE515" s="19"/>
      <c r="EF515" s="19"/>
      <c r="EG515" s="19"/>
      <c r="EH515" s="19"/>
      <c r="EI515" s="19"/>
      <c r="EJ515" s="19"/>
      <c r="EK515" s="19"/>
      <c r="EL515" s="19"/>
      <c r="EM515" s="19"/>
      <c r="EN515" s="19"/>
      <c r="EO515" s="19"/>
      <c r="EP515" s="17"/>
      <c r="EQ515" s="23"/>
      <c r="ER515" s="23" t="str">
        <f t="shared" si="1"/>
        <v/>
      </c>
      <c r="ES515" s="19"/>
      <c r="ET515" s="19" t="str">
        <f t="shared" si="2"/>
        <v/>
      </c>
      <c r="EU515" s="19"/>
      <c r="EV515" s="19"/>
      <c r="EW515" s="19"/>
      <c r="EX515" s="19"/>
      <c r="EY515" s="19"/>
      <c r="EZ515" s="19"/>
      <c r="FA515" s="19"/>
      <c r="FB515" s="19"/>
    </row>
    <row r="516" ht="15.75" customHeight="1">
      <c r="A516" s="19"/>
      <c r="F516" s="19"/>
      <c r="AH516" s="23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  <c r="BD516" s="19"/>
      <c r="BE516" s="19"/>
      <c r="BF516" s="19"/>
      <c r="BG516" s="19"/>
      <c r="BH516" s="19"/>
      <c r="BI516" s="19"/>
      <c r="BJ516" s="19"/>
      <c r="BK516" s="19"/>
      <c r="BL516" s="19"/>
      <c r="BM516" s="19"/>
      <c r="BN516" s="19"/>
      <c r="BO516" s="19"/>
      <c r="BP516" s="19"/>
      <c r="BQ516" s="19"/>
      <c r="BR516" s="19"/>
      <c r="BS516" s="19"/>
      <c r="BT516" s="19"/>
      <c r="BU516" s="19"/>
      <c r="BV516" s="19"/>
      <c r="BW516" s="19"/>
      <c r="BX516" s="19"/>
      <c r="BY516" s="19"/>
      <c r="BZ516" s="19"/>
      <c r="CA516" s="19"/>
      <c r="CB516" s="19"/>
      <c r="CC516" s="19"/>
      <c r="CD516" s="19"/>
      <c r="CE516" s="19"/>
      <c r="CF516" s="19"/>
      <c r="CG516" s="19"/>
      <c r="CH516" s="19"/>
      <c r="CI516" s="19"/>
      <c r="CJ516" s="19"/>
      <c r="CK516" s="19"/>
      <c r="CL516" s="19"/>
      <c r="CM516" s="19"/>
      <c r="CN516" s="19"/>
      <c r="CO516" s="19"/>
      <c r="CP516" s="19"/>
      <c r="CQ516" s="19"/>
      <c r="CR516" s="19"/>
      <c r="CS516" s="19"/>
      <c r="CT516" s="19"/>
      <c r="CU516" s="19"/>
      <c r="CV516" s="19"/>
      <c r="CW516" s="19"/>
      <c r="CX516" s="19"/>
      <c r="CY516" s="19"/>
      <c r="CZ516" s="19"/>
      <c r="DA516" s="19"/>
      <c r="DB516" s="19"/>
      <c r="DC516" s="19"/>
      <c r="DD516" s="19"/>
      <c r="DE516" s="19"/>
      <c r="DF516" s="19"/>
      <c r="DG516" s="19"/>
      <c r="DH516" s="19"/>
      <c r="DI516" s="19"/>
      <c r="DJ516" s="19"/>
      <c r="DK516" s="19"/>
      <c r="DL516" s="19"/>
      <c r="DM516" s="19"/>
      <c r="DN516" s="19"/>
      <c r="DO516" s="19"/>
      <c r="DP516" s="19"/>
      <c r="DQ516" s="19"/>
      <c r="DR516" s="19"/>
      <c r="DS516" s="19"/>
      <c r="DT516" s="19"/>
      <c r="DU516" s="19"/>
      <c r="DV516" s="19"/>
      <c r="DW516" s="19"/>
      <c r="DX516" s="19"/>
      <c r="DY516" s="19"/>
      <c r="DZ516" s="19"/>
      <c r="EA516" s="19"/>
      <c r="EB516" s="19"/>
      <c r="EC516" s="19"/>
      <c r="ED516" s="19"/>
      <c r="EE516" s="19"/>
      <c r="EF516" s="19"/>
      <c r="EG516" s="19"/>
      <c r="EH516" s="19"/>
      <c r="EI516" s="19"/>
      <c r="EJ516" s="19"/>
      <c r="EK516" s="19"/>
      <c r="EL516" s="19"/>
      <c r="EM516" s="19"/>
      <c r="EN516" s="19"/>
      <c r="EO516" s="19"/>
      <c r="EP516" s="17"/>
      <c r="EQ516" s="23"/>
      <c r="ER516" s="23" t="str">
        <f t="shared" si="1"/>
        <v/>
      </c>
      <c r="ES516" s="19"/>
      <c r="ET516" s="19" t="str">
        <f t="shared" si="2"/>
        <v/>
      </c>
      <c r="EU516" s="19"/>
      <c r="EV516" s="19"/>
      <c r="EW516" s="19"/>
      <c r="EX516" s="19"/>
      <c r="EY516" s="19"/>
      <c r="EZ516" s="19"/>
      <c r="FA516" s="19"/>
      <c r="FB516" s="19"/>
    </row>
    <row r="517" ht="15.75" customHeight="1">
      <c r="A517" s="19"/>
      <c r="F517" s="19"/>
      <c r="AH517" s="23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  <c r="BD517" s="19"/>
      <c r="BE517" s="19"/>
      <c r="BF517" s="19"/>
      <c r="BG517" s="19"/>
      <c r="BH517" s="19"/>
      <c r="BI517" s="19"/>
      <c r="BJ517" s="19"/>
      <c r="BK517" s="19"/>
      <c r="BL517" s="19"/>
      <c r="BM517" s="19"/>
      <c r="BN517" s="19"/>
      <c r="BO517" s="19"/>
      <c r="BP517" s="19"/>
      <c r="BQ517" s="19"/>
      <c r="BR517" s="19"/>
      <c r="BS517" s="19"/>
      <c r="BT517" s="19"/>
      <c r="BU517" s="19"/>
      <c r="BV517" s="19"/>
      <c r="BW517" s="19"/>
      <c r="BX517" s="19"/>
      <c r="BY517" s="19"/>
      <c r="BZ517" s="19"/>
      <c r="CA517" s="19"/>
      <c r="CB517" s="19"/>
      <c r="CC517" s="19"/>
      <c r="CD517" s="19"/>
      <c r="CE517" s="19"/>
      <c r="CF517" s="19"/>
      <c r="CG517" s="19"/>
      <c r="CH517" s="19"/>
      <c r="CI517" s="19"/>
      <c r="CJ517" s="19"/>
      <c r="CK517" s="19"/>
      <c r="CL517" s="19"/>
      <c r="CM517" s="19"/>
      <c r="CN517" s="19"/>
      <c r="CO517" s="19"/>
      <c r="CP517" s="19"/>
      <c r="CQ517" s="19"/>
      <c r="CR517" s="19"/>
      <c r="CS517" s="19"/>
      <c r="CT517" s="19"/>
      <c r="CU517" s="19"/>
      <c r="CV517" s="19"/>
      <c r="CW517" s="19"/>
      <c r="CX517" s="19"/>
      <c r="CY517" s="19"/>
      <c r="CZ517" s="19"/>
      <c r="DA517" s="19"/>
      <c r="DB517" s="19"/>
      <c r="DC517" s="19"/>
      <c r="DD517" s="19"/>
      <c r="DE517" s="19"/>
      <c r="DF517" s="19"/>
      <c r="DG517" s="19"/>
      <c r="DH517" s="19"/>
      <c r="DI517" s="19"/>
      <c r="DJ517" s="19"/>
      <c r="DK517" s="19"/>
      <c r="DL517" s="19"/>
      <c r="DM517" s="19"/>
      <c r="DN517" s="19"/>
      <c r="DO517" s="19"/>
      <c r="DP517" s="19"/>
      <c r="DQ517" s="19"/>
      <c r="DR517" s="19"/>
      <c r="DS517" s="19"/>
      <c r="DT517" s="19"/>
      <c r="DU517" s="19"/>
      <c r="DV517" s="19"/>
      <c r="DW517" s="19"/>
      <c r="DX517" s="19"/>
      <c r="DY517" s="19"/>
      <c r="DZ517" s="19"/>
      <c r="EA517" s="19"/>
      <c r="EB517" s="19"/>
      <c r="EC517" s="19"/>
      <c r="ED517" s="19"/>
      <c r="EE517" s="19"/>
      <c r="EF517" s="19"/>
      <c r="EG517" s="19"/>
      <c r="EH517" s="19"/>
      <c r="EI517" s="19"/>
      <c r="EJ517" s="19"/>
      <c r="EK517" s="19"/>
      <c r="EL517" s="19"/>
      <c r="EM517" s="19"/>
      <c r="EN517" s="19"/>
      <c r="EO517" s="19"/>
      <c r="EP517" s="17"/>
      <c r="EQ517" s="23"/>
      <c r="ER517" s="23" t="str">
        <f t="shared" si="1"/>
        <v/>
      </c>
      <c r="ES517" s="19"/>
      <c r="ET517" s="19" t="str">
        <f t="shared" si="2"/>
        <v/>
      </c>
      <c r="EU517" s="19"/>
      <c r="EV517" s="19"/>
      <c r="EW517" s="19"/>
      <c r="EX517" s="19"/>
      <c r="EY517" s="19"/>
      <c r="EZ517" s="19"/>
      <c r="FA517" s="19"/>
      <c r="FB517" s="19"/>
    </row>
    <row r="518" ht="15.75" customHeight="1">
      <c r="A518" s="19"/>
      <c r="F518" s="19"/>
      <c r="AH518" s="23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  <c r="BD518" s="19"/>
      <c r="BE518" s="19"/>
      <c r="BF518" s="19"/>
      <c r="BG518" s="19"/>
      <c r="BH518" s="19"/>
      <c r="BI518" s="19"/>
      <c r="BJ518" s="19"/>
      <c r="BK518" s="19"/>
      <c r="BL518" s="19"/>
      <c r="BM518" s="19"/>
      <c r="BN518" s="19"/>
      <c r="BO518" s="19"/>
      <c r="BP518" s="19"/>
      <c r="BQ518" s="19"/>
      <c r="BR518" s="19"/>
      <c r="BS518" s="19"/>
      <c r="BT518" s="19"/>
      <c r="BU518" s="19"/>
      <c r="BV518" s="19"/>
      <c r="BW518" s="19"/>
      <c r="BX518" s="19"/>
      <c r="BY518" s="19"/>
      <c r="BZ518" s="19"/>
      <c r="CA518" s="19"/>
      <c r="CB518" s="19"/>
      <c r="CC518" s="19"/>
      <c r="CD518" s="19"/>
      <c r="CE518" s="19"/>
      <c r="CF518" s="19"/>
      <c r="CG518" s="19"/>
      <c r="CH518" s="19"/>
      <c r="CI518" s="19"/>
      <c r="CJ518" s="19"/>
      <c r="CK518" s="19"/>
      <c r="CL518" s="19"/>
      <c r="CM518" s="19"/>
      <c r="CN518" s="19"/>
      <c r="CO518" s="19"/>
      <c r="CP518" s="19"/>
      <c r="CQ518" s="19"/>
      <c r="CR518" s="19"/>
      <c r="CS518" s="19"/>
      <c r="CT518" s="19"/>
      <c r="CU518" s="19"/>
      <c r="CV518" s="19"/>
      <c r="CW518" s="19"/>
      <c r="CX518" s="19"/>
      <c r="CY518" s="19"/>
      <c r="CZ518" s="19"/>
      <c r="DA518" s="19"/>
      <c r="DB518" s="19"/>
      <c r="DC518" s="19"/>
      <c r="DD518" s="19"/>
      <c r="DE518" s="19"/>
      <c r="DF518" s="19"/>
      <c r="DG518" s="19"/>
      <c r="DH518" s="19"/>
      <c r="DI518" s="19"/>
      <c r="DJ518" s="19"/>
      <c r="DK518" s="19"/>
      <c r="DL518" s="19"/>
      <c r="DM518" s="19"/>
      <c r="DN518" s="19"/>
      <c r="DO518" s="19"/>
      <c r="DP518" s="19"/>
      <c r="DQ518" s="19"/>
      <c r="DR518" s="19"/>
      <c r="DS518" s="19"/>
      <c r="DT518" s="19"/>
      <c r="DU518" s="19"/>
      <c r="DV518" s="19"/>
      <c r="DW518" s="19"/>
      <c r="DX518" s="19"/>
      <c r="DY518" s="19"/>
      <c r="DZ518" s="19"/>
      <c r="EA518" s="19"/>
      <c r="EB518" s="19"/>
      <c r="EC518" s="19"/>
      <c r="ED518" s="19"/>
      <c r="EE518" s="19"/>
      <c r="EF518" s="19"/>
      <c r="EG518" s="19"/>
      <c r="EH518" s="19"/>
      <c r="EI518" s="19"/>
      <c r="EJ518" s="19"/>
      <c r="EK518" s="19"/>
      <c r="EL518" s="19"/>
      <c r="EM518" s="19"/>
      <c r="EN518" s="19"/>
      <c r="EO518" s="19"/>
      <c r="EP518" s="17"/>
      <c r="EQ518" s="23"/>
      <c r="ER518" s="23" t="str">
        <f t="shared" si="1"/>
        <v/>
      </c>
      <c r="ES518" s="19"/>
      <c r="ET518" s="19" t="str">
        <f t="shared" si="2"/>
        <v/>
      </c>
      <c r="EU518" s="19"/>
      <c r="EV518" s="19"/>
      <c r="EW518" s="19"/>
      <c r="EX518" s="19"/>
      <c r="EY518" s="19"/>
      <c r="EZ518" s="19"/>
      <c r="FA518" s="19"/>
      <c r="FB518" s="19"/>
    </row>
    <row r="519" ht="15.75" customHeight="1">
      <c r="A519" s="19"/>
      <c r="F519" s="19"/>
      <c r="AH519" s="23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  <c r="BD519" s="19"/>
      <c r="BE519" s="19"/>
      <c r="BF519" s="19"/>
      <c r="BG519" s="19"/>
      <c r="BH519" s="19"/>
      <c r="BI519" s="19"/>
      <c r="BJ519" s="19"/>
      <c r="BK519" s="19"/>
      <c r="BL519" s="19"/>
      <c r="BM519" s="19"/>
      <c r="BN519" s="19"/>
      <c r="BO519" s="19"/>
      <c r="BP519" s="19"/>
      <c r="BQ519" s="19"/>
      <c r="BR519" s="19"/>
      <c r="BS519" s="19"/>
      <c r="BT519" s="19"/>
      <c r="BU519" s="19"/>
      <c r="BV519" s="19"/>
      <c r="BW519" s="19"/>
      <c r="BX519" s="19"/>
      <c r="BY519" s="19"/>
      <c r="BZ519" s="19"/>
      <c r="CA519" s="19"/>
      <c r="CB519" s="19"/>
      <c r="CC519" s="19"/>
      <c r="CD519" s="19"/>
      <c r="CE519" s="19"/>
      <c r="CF519" s="19"/>
      <c r="CG519" s="19"/>
      <c r="CH519" s="19"/>
      <c r="CI519" s="19"/>
      <c r="CJ519" s="19"/>
      <c r="CK519" s="19"/>
      <c r="CL519" s="19"/>
      <c r="CM519" s="19"/>
      <c r="CN519" s="19"/>
      <c r="CO519" s="19"/>
      <c r="CP519" s="19"/>
      <c r="CQ519" s="19"/>
      <c r="CR519" s="19"/>
      <c r="CS519" s="19"/>
      <c r="CT519" s="19"/>
      <c r="CU519" s="19"/>
      <c r="CV519" s="19"/>
      <c r="CW519" s="19"/>
      <c r="CX519" s="19"/>
      <c r="CY519" s="19"/>
      <c r="CZ519" s="19"/>
      <c r="DA519" s="19"/>
      <c r="DB519" s="19"/>
      <c r="DC519" s="19"/>
      <c r="DD519" s="19"/>
      <c r="DE519" s="19"/>
      <c r="DF519" s="19"/>
      <c r="DG519" s="19"/>
      <c r="DH519" s="19"/>
      <c r="DI519" s="19"/>
      <c r="DJ519" s="19"/>
      <c r="DK519" s="19"/>
      <c r="DL519" s="19"/>
      <c r="DM519" s="19"/>
      <c r="DN519" s="19"/>
      <c r="DO519" s="19"/>
      <c r="DP519" s="19"/>
      <c r="DQ519" s="19"/>
      <c r="DR519" s="19"/>
      <c r="DS519" s="19"/>
      <c r="DT519" s="19"/>
      <c r="DU519" s="19"/>
      <c r="DV519" s="19"/>
      <c r="DW519" s="19"/>
      <c r="DX519" s="19"/>
      <c r="DY519" s="19"/>
      <c r="DZ519" s="19"/>
      <c r="EA519" s="19"/>
      <c r="EB519" s="19"/>
      <c r="EC519" s="19"/>
      <c r="ED519" s="19"/>
      <c r="EE519" s="19"/>
      <c r="EF519" s="19"/>
      <c r="EG519" s="19"/>
      <c r="EH519" s="19"/>
      <c r="EI519" s="19"/>
      <c r="EJ519" s="19"/>
      <c r="EK519" s="19"/>
      <c r="EL519" s="19"/>
      <c r="EM519" s="19"/>
      <c r="EN519" s="19"/>
      <c r="EO519" s="19"/>
      <c r="EP519" s="17"/>
      <c r="EQ519" s="23"/>
      <c r="ER519" s="23" t="str">
        <f t="shared" si="1"/>
        <v/>
      </c>
      <c r="ES519" s="19"/>
      <c r="ET519" s="19" t="str">
        <f t="shared" si="2"/>
        <v/>
      </c>
      <c r="EU519" s="19"/>
      <c r="EV519" s="19"/>
      <c r="EW519" s="19"/>
      <c r="EX519" s="19"/>
      <c r="EY519" s="19"/>
      <c r="EZ519" s="19"/>
      <c r="FA519" s="19"/>
      <c r="FB519" s="19"/>
    </row>
    <row r="520" ht="15.75" customHeight="1">
      <c r="A520" s="19"/>
      <c r="F520" s="19"/>
      <c r="AH520" s="23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  <c r="BD520" s="19"/>
      <c r="BE520" s="19"/>
      <c r="BF520" s="19"/>
      <c r="BG520" s="19"/>
      <c r="BH520" s="19"/>
      <c r="BI520" s="19"/>
      <c r="BJ520" s="19"/>
      <c r="BK520" s="19"/>
      <c r="BL520" s="19"/>
      <c r="BM520" s="19"/>
      <c r="BN520" s="19"/>
      <c r="BO520" s="19"/>
      <c r="BP520" s="19"/>
      <c r="BQ520" s="19"/>
      <c r="BR520" s="19"/>
      <c r="BS520" s="19"/>
      <c r="BT520" s="19"/>
      <c r="BU520" s="19"/>
      <c r="BV520" s="19"/>
      <c r="BW520" s="19"/>
      <c r="BX520" s="19"/>
      <c r="BY520" s="19"/>
      <c r="BZ520" s="19"/>
      <c r="CA520" s="19"/>
      <c r="CB520" s="19"/>
      <c r="CC520" s="19"/>
      <c r="CD520" s="19"/>
      <c r="CE520" s="19"/>
      <c r="CF520" s="19"/>
      <c r="CG520" s="19"/>
      <c r="CH520" s="19"/>
      <c r="CI520" s="19"/>
      <c r="CJ520" s="19"/>
      <c r="CK520" s="19"/>
      <c r="CL520" s="19"/>
      <c r="CM520" s="19"/>
      <c r="CN520" s="19"/>
      <c r="CO520" s="19"/>
      <c r="CP520" s="19"/>
      <c r="CQ520" s="19"/>
      <c r="CR520" s="19"/>
      <c r="CS520" s="19"/>
      <c r="CT520" s="19"/>
      <c r="CU520" s="19"/>
      <c r="CV520" s="19"/>
      <c r="CW520" s="19"/>
      <c r="CX520" s="19"/>
      <c r="CY520" s="19"/>
      <c r="CZ520" s="19"/>
      <c r="DA520" s="19"/>
      <c r="DB520" s="19"/>
      <c r="DC520" s="19"/>
      <c r="DD520" s="19"/>
      <c r="DE520" s="19"/>
      <c r="DF520" s="19"/>
      <c r="DG520" s="19"/>
      <c r="DH520" s="19"/>
      <c r="DI520" s="19"/>
      <c r="DJ520" s="19"/>
      <c r="DK520" s="19"/>
      <c r="DL520" s="19"/>
      <c r="DM520" s="19"/>
      <c r="DN520" s="19"/>
      <c r="DO520" s="19"/>
      <c r="DP520" s="19"/>
      <c r="DQ520" s="19"/>
      <c r="DR520" s="19"/>
      <c r="DS520" s="19"/>
      <c r="DT520" s="19"/>
      <c r="DU520" s="19"/>
      <c r="DV520" s="19"/>
      <c r="DW520" s="19"/>
      <c r="DX520" s="19"/>
      <c r="DY520" s="19"/>
      <c r="DZ520" s="19"/>
      <c r="EA520" s="19"/>
      <c r="EB520" s="19"/>
      <c r="EC520" s="19"/>
      <c r="ED520" s="19"/>
      <c r="EE520" s="19"/>
      <c r="EF520" s="19"/>
      <c r="EG520" s="19"/>
      <c r="EH520" s="19"/>
      <c r="EI520" s="19"/>
      <c r="EJ520" s="19"/>
      <c r="EK520" s="19"/>
      <c r="EL520" s="19"/>
      <c r="EM520" s="19"/>
      <c r="EN520" s="19"/>
      <c r="EO520" s="19"/>
      <c r="EP520" s="17"/>
      <c r="EQ520" s="23"/>
      <c r="ER520" s="23" t="str">
        <f t="shared" si="1"/>
        <v/>
      </c>
      <c r="ES520" s="19"/>
      <c r="ET520" s="19" t="str">
        <f t="shared" si="2"/>
        <v/>
      </c>
      <c r="EU520" s="19"/>
      <c r="EV520" s="19"/>
      <c r="EW520" s="19"/>
      <c r="EX520" s="19"/>
      <c r="EY520" s="19"/>
      <c r="EZ520" s="19"/>
      <c r="FA520" s="19"/>
      <c r="FB520" s="19"/>
    </row>
    <row r="521" ht="15.75" customHeight="1">
      <c r="A521" s="19"/>
      <c r="F521" s="19"/>
      <c r="AH521" s="23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  <c r="BD521" s="19"/>
      <c r="BE521" s="19"/>
      <c r="BF521" s="19"/>
      <c r="BG521" s="19"/>
      <c r="BH521" s="19"/>
      <c r="BI521" s="19"/>
      <c r="BJ521" s="19"/>
      <c r="BK521" s="19"/>
      <c r="BL521" s="19"/>
      <c r="BM521" s="19"/>
      <c r="BN521" s="19"/>
      <c r="BO521" s="19"/>
      <c r="BP521" s="19"/>
      <c r="BQ521" s="19"/>
      <c r="BR521" s="19"/>
      <c r="BS521" s="19"/>
      <c r="BT521" s="19"/>
      <c r="BU521" s="19"/>
      <c r="BV521" s="19"/>
      <c r="BW521" s="19"/>
      <c r="BX521" s="19"/>
      <c r="BY521" s="19"/>
      <c r="BZ521" s="19"/>
      <c r="CA521" s="19"/>
      <c r="CB521" s="19"/>
      <c r="CC521" s="19"/>
      <c r="CD521" s="19"/>
      <c r="CE521" s="19"/>
      <c r="CF521" s="19"/>
      <c r="CG521" s="19"/>
      <c r="CH521" s="19"/>
      <c r="CI521" s="19"/>
      <c r="CJ521" s="19"/>
      <c r="CK521" s="19"/>
      <c r="CL521" s="19"/>
      <c r="CM521" s="19"/>
      <c r="CN521" s="19"/>
      <c r="CO521" s="19"/>
      <c r="CP521" s="19"/>
      <c r="CQ521" s="19"/>
      <c r="CR521" s="19"/>
      <c r="CS521" s="19"/>
      <c r="CT521" s="19"/>
      <c r="CU521" s="19"/>
      <c r="CV521" s="19"/>
      <c r="CW521" s="19"/>
      <c r="CX521" s="19"/>
      <c r="CY521" s="19"/>
      <c r="CZ521" s="19"/>
      <c r="DA521" s="19"/>
      <c r="DB521" s="19"/>
      <c r="DC521" s="19"/>
      <c r="DD521" s="19"/>
      <c r="DE521" s="19"/>
      <c r="DF521" s="19"/>
      <c r="DG521" s="19"/>
      <c r="DH521" s="19"/>
      <c r="DI521" s="19"/>
      <c r="DJ521" s="19"/>
      <c r="DK521" s="19"/>
      <c r="DL521" s="19"/>
      <c r="DM521" s="19"/>
      <c r="DN521" s="19"/>
      <c r="DO521" s="19"/>
      <c r="DP521" s="19"/>
      <c r="DQ521" s="19"/>
      <c r="DR521" s="19"/>
      <c r="DS521" s="19"/>
      <c r="DT521" s="19"/>
      <c r="DU521" s="19"/>
      <c r="DV521" s="19"/>
      <c r="DW521" s="19"/>
      <c r="DX521" s="19"/>
      <c r="DY521" s="19"/>
      <c r="DZ521" s="19"/>
      <c r="EA521" s="19"/>
      <c r="EB521" s="19"/>
      <c r="EC521" s="19"/>
      <c r="ED521" s="19"/>
      <c r="EE521" s="19"/>
      <c r="EF521" s="19"/>
      <c r="EG521" s="19"/>
      <c r="EH521" s="19"/>
      <c r="EI521" s="19"/>
      <c r="EJ521" s="19"/>
      <c r="EK521" s="19"/>
      <c r="EL521" s="19"/>
      <c r="EM521" s="19"/>
      <c r="EN521" s="19"/>
      <c r="EO521" s="19"/>
      <c r="EP521" s="17"/>
      <c r="EQ521" s="23"/>
      <c r="ER521" s="23" t="str">
        <f t="shared" si="1"/>
        <v/>
      </c>
      <c r="ES521" s="19"/>
      <c r="ET521" s="19" t="str">
        <f t="shared" si="2"/>
        <v/>
      </c>
      <c r="EU521" s="19"/>
      <c r="EV521" s="19"/>
      <c r="EW521" s="19"/>
      <c r="EX521" s="19"/>
      <c r="EY521" s="19"/>
      <c r="EZ521" s="19"/>
      <c r="FA521" s="19"/>
      <c r="FB521" s="19"/>
    </row>
    <row r="522" ht="15.75" customHeight="1">
      <c r="A522" s="19"/>
      <c r="F522" s="19"/>
      <c r="AH522" s="23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  <c r="BD522" s="19"/>
      <c r="BE522" s="19"/>
      <c r="BF522" s="19"/>
      <c r="BG522" s="19"/>
      <c r="BH522" s="19"/>
      <c r="BI522" s="19"/>
      <c r="BJ522" s="19"/>
      <c r="BK522" s="19"/>
      <c r="BL522" s="19"/>
      <c r="BM522" s="19"/>
      <c r="BN522" s="19"/>
      <c r="BO522" s="19"/>
      <c r="BP522" s="19"/>
      <c r="BQ522" s="19"/>
      <c r="BR522" s="19"/>
      <c r="BS522" s="19"/>
      <c r="BT522" s="19"/>
      <c r="BU522" s="19"/>
      <c r="BV522" s="19"/>
      <c r="BW522" s="19"/>
      <c r="BX522" s="19"/>
      <c r="BY522" s="19"/>
      <c r="BZ522" s="19"/>
      <c r="CA522" s="19"/>
      <c r="CB522" s="19"/>
      <c r="CC522" s="19"/>
      <c r="CD522" s="19"/>
      <c r="CE522" s="19"/>
      <c r="CF522" s="19"/>
      <c r="CG522" s="19"/>
      <c r="CH522" s="19"/>
      <c r="CI522" s="19"/>
      <c r="CJ522" s="19"/>
      <c r="CK522" s="19"/>
      <c r="CL522" s="19"/>
      <c r="CM522" s="19"/>
      <c r="CN522" s="19"/>
      <c r="CO522" s="19"/>
      <c r="CP522" s="19"/>
      <c r="CQ522" s="19"/>
      <c r="CR522" s="19"/>
      <c r="CS522" s="19"/>
      <c r="CT522" s="19"/>
      <c r="CU522" s="19"/>
      <c r="CV522" s="19"/>
      <c r="CW522" s="19"/>
      <c r="CX522" s="19"/>
      <c r="CY522" s="19"/>
      <c r="CZ522" s="19"/>
      <c r="DA522" s="19"/>
      <c r="DB522" s="19"/>
      <c r="DC522" s="19"/>
      <c r="DD522" s="19"/>
      <c r="DE522" s="19"/>
      <c r="DF522" s="19"/>
      <c r="DG522" s="19"/>
      <c r="DH522" s="19"/>
      <c r="DI522" s="19"/>
      <c r="DJ522" s="19"/>
      <c r="DK522" s="19"/>
      <c r="DL522" s="19"/>
      <c r="DM522" s="19"/>
      <c r="DN522" s="19"/>
      <c r="DO522" s="19"/>
      <c r="DP522" s="19"/>
      <c r="DQ522" s="19"/>
      <c r="DR522" s="19"/>
      <c r="DS522" s="19"/>
      <c r="DT522" s="19"/>
      <c r="DU522" s="19"/>
      <c r="DV522" s="19"/>
      <c r="DW522" s="19"/>
      <c r="DX522" s="19"/>
      <c r="DY522" s="19"/>
      <c r="DZ522" s="19"/>
      <c r="EA522" s="19"/>
      <c r="EB522" s="19"/>
      <c r="EC522" s="19"/>
      <c r="ED522" s="19"/>
      <c r="EE522" s="19"/>
      <c r="EF522" s="19"/>
      <c r="EG522" s="19"/>
      <c r="EH522" s="19"/>
      <c r="EI522" s="19"/>
      <c r="EJ522" s="19"/>
      <c r="EK522" s="19"/>
      <c r="EL522" s="19"/>
      <c r="EM522" s="19"/>
      <c r="EN522" s="19"/>
      <c r="EO522" s="19"/>
      <c r="EP522" s="17"/>
      <c r="EQ522" s="23"/>
      <c r="ER522" s="23" t="str">
        <f t="shared" si="1"/>
        <v/>
      </c>
      <c r="ES522" s="19"/>
      <c r="ET522" s="19" t="str">
        <f t="shared" si="2"/>
        <v/>
      </c>
      <c r="EU522" s="19"/>
      <c r="EV522" s="19"/>
      <c r="EW522" s="19"/>
      <c r="EX522" s="19"/>
      <c r="EY522" s="19"/>
      <c r="EZ522" s="19"/>
      <c r="FA522" s="19"/>
      <c r="FB522" s="19"/>
    </row>
    <row r="523" ht="15.75" customHeight="1">
      <c r="A523" s="19"/>
      <c r="F523" s="19"/>
      <c r="AH523" s="23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  <c r="BD523" s="19"/>
      <c r="BE523" s="19"/>
      <c r="BF523" s="19"/>
      <c r="BG523" s="19"/>
      <c r="BH523" s="19"/>
      <c r="BI523" s="19"/>
      <c r="BJ523" s="19"/>
      <c r="BK523" s="19"/>
      <c r="BL523" s="19"/>
      <c r="BM523" s="19"/>
      <c r="BN523" s="19"/>
      <c r="BO523" s="19"/>
      <c r="BP523" s="19"/>
      <c r="BQ523" s="19"/>
      <c r="BR523" s="19"/>
      <c r="BS523" s="19"/>
      <c r="BT523" s="19"/>
      <c r="BU523" s="19"/>
      <c r="BV523" s="19"/>
      <c r="BW523" s="19"/>
      <c r="BX523" s="19"/>
      <c r="BY523" s="19"/>
      <c r="BZ523" s="19"/>
      <c r="CA523" s="19"/>
      <c r="CB523" s="19"/>
      <c r="CC523" s="19"/>
      <c r="CD523" s="19"/>
      <c r="CE523" s="19"/>
      <c r="CF523" s="19"/>
      <c r="CG523" s="19"/>
      <c r="CH523" s="19"/>
      <c r="CI523" s="19"/>
      <c r="CJ523" s="19"/>
      <c r="CK523" s="19"/>
      <c r="CL523" s="19"/>
      <c r="CM523" s="19"/>
      <c r="CN523" s="19"/>
      <c r="CO523" s="19"/>
      <c r="CP523" s="19"/>
      <c r="CQ523" s="19"/>
      <c r="CR523" s="19"/>
      <c r="CS523" s="19"/>
      <c r="CT523" s="19"/>
      <c r="CU523" s="19"/>
      <c r="CV523" s="19"/>
      <c r="CW523" s="19"/>
      <c r="CX523" s="19"/>
      <c r="CY523" s="19"/>
      <c r="CZ523" s="19"/>
      <c r="DA523" s="19"/>
      <c r="DB523" s="19"/>
      <c r="DC523" s="19"/>
      <c r="DD523" s="19"/>
      <c r="DE523" s="19"/>
      <c r="DF523" s="19"/>
      <c r="DG523" s="19"/>
      <c r="DH523" s="19"/>
      <c r="DI523" s="19"/>
      <c r="DJ523" s="19"/>
      <c r="DK523" s="19"/>
      <c r="DL523" s="19"/>
      <c r="DM523" s="19"/>
      <c r="DN523" s="19"/>
      <c r="DO523" s="19"/>
      <c r="DP523" s="19"/>
      <c r="DQ523" s="19"/>
      <c r="DR523" s="19"/>
      <c r="DS523" s="19"/>
      <c r="DT523" s="19"/>
      <c r="DU523" s="19"/>
      <c r="DV523" s="19"/>
      <c r="DW523" s="19"/>
      <c r="DX523" s="19"/>
      <c r="DY523" s="19"/>
      <c r="DZ523" s="19"/>
      <c r="EA523" s="19"/>
      <c r="EB523" s="19"/>
      <c r="EC523" s="19"/>
      <c r="ED523" s="19"/>
      <c r="EE523" s="19"/>
      <c r="EF523" s="19"/>
      <c r="EG523" s="19"/>
      <c r="EH523" s="19"/>
      <c r="EI523" s="19"/>
      <c r="EJ523" s="19"/>
      <c r="EK523" s="19"/>
      <c r="EL523" s="19"/>
      <c r="EM523" s="19"/>
      <c r="EN523" s="19"/>
      <c r="EO523" s="19"/>
      <c r="EP523" s="17"/>
      <c r="EQ523" s="23"/>
      <c r="ER523" s="23" t="str">
        <f t="shared" si="1"/>
        <v/>
      </c>
      <c r="ES523" s="19"/>
      <c r="ET523" s="19" t="str">
        <f t="shared" si="2"/>
        <v/>
      </c>
      <c r="EU523" s="19"/>
      <c r="EV523" s="19"/>
      <c r="EW523" s="19"/>
      <c r="EX523" s="19"/>
      <c r="EY523" s="19"/>
      <c r="EZ523" s="19"/>
      <c r="FA523" s="19"/>
      <c r="FB523" s="19"/>
    </row>
    <row r="524" ht="15.75" customHeight="1">
      <c r="A524" s="19"/>
      <c r="F524" s="19"/>
      <c r="AH524" s="23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  <c r="BD524" s="19"/>
      <c r="BE524" s="19"/>
      <c r="BF524" s="19"/>
      <c r="BG524" s="19"/>
      <c r="BH524" s="19"/>
      <c r="BI524" s="19"/>
      <c r="BJ524" s="19"/>
      <c r="BK524" s="19"/>
      <c r="BL524" s="19"/>
      <c r="BM524" s="19"/>
      <c r="BN524" s="19"/>
      <c r="BO524" s="19"/>
      <c r="BP524" s="19"/>
      <c r="BQ524" s="19"/>
      <c r="BR524" s="19"/>
      <c r="BS524" s="19"/>
      <c r="BT524" s="19"/>
      <c r="BU524" s="19"/>
      <c r="BV524" s="19"/>
      <c r="BW524" s="19"/>
      <c r="BX524" s="19"/>
      <c r="BY524" s="19"/>
      <c r="BZ524" s="19"/>
      <c r="CA524" s="19"/>
      <c r="CB524" s="19"/>
      <c r="CC524" s="19"/>
      <c r="CD524" s="19"/>
      <c r="CE524" s="19"/>
      <c r="CF524" s="19"/>
      <c r="CG524" s="19"/>
      <c r="CH524" s="19"/>
      <c r="CI524" s="19"/>
      <c r="CJ524" s="19"/>
      <c r="CK524" s="19"/>
      <c r="CL524" s="19"/>
      <c r="CM524" s="19"/>
      <c r="CN524" s="19"/>
      <c r="CO524" s="19"/>
      <c r="CP524" s="19"/>
      <c r="CQ524" s="19"/>
      <c r="CR524" s="19"/>
      <c r="CS524" s="19"/>
      <c r="CT524" s="19"/>
      <c r="CU524" s="19"/>
      <c r="CV524" s="19"/>
      <c r="CW524" s="19"/>
      <c r="CX524" s="19"/>
      <c r="CY524" s="19"/>
      <c r="CZ524" s="19"/>
      <c r="DA524" s="19"/>
      <c r="DB524" s="19"/>
      <c r="DC524" s="19"/>
      <c r="DD524" s="19"/>
      <c r="DE524" s="19"/>
      <c r="DF524" s="19"/>
      <c r="DG524" s="19"/>
      <c r="DH524" s="19"/>
      <c r="DI524" s="19"/>
      <c r="DJ524" s="19"/>
      <c r="DK524" s="19"/>
      <c r="DL524" s="19"/>
      <c r="DM524" s="19"/>
      <c r="DN524" s="19"/>
      <c r="DO524" s="19"/>
      <c r="DP524" s="19"/>
      <c r="DQ524" s="19"/>
      <c r="DR524" s="19"/>
      <c r="DS524" s="19"/>
      <c r="DT524" s="19"/>
      <c r="DU524" s="19"/>
      <c r="DV524" s="19"/>
      <c r="DW524" s="19"/>
      <c r="DX524" s="19"/>
      <c r="DY524" s="19"/>
      <c r="DZ524" s="19"/>
      <c r="EA524" s="19"/>
      <c r="EB524" s="19"/>
      <c r="EC524" s="19"/>
      <c r="ED524" s="19"/>
      <c r="EE524" s="19"/>
      <c r="EF524" s="19"/>
      <c r="EG524" s="19"/>
      <c r="EH524" s="19"/>
      <c r="EI524" s="19"/>
      <c r="EJ524" s="19"/>
      <c r="EK524" s="19"/>
      <c r="EL524" s="19"/>
      <c r="EM524" s="19"/>
      <c r="EN524" s="19"/>
      <c r="EO524" s="19"/>
      <c r="EP524" s="17"/>
      <c r="EQ524" s="23"/>
      <c r="ER524" s="23" t="str">
        <f t="shared" si="1"/>
        <v/>
      </c>
      <c r="ES524" s="19"/>
      <c r="ET524" s="19" t="str">
        <f t="shared" si="2"/>
        <v/>
      </c>
      <c r="EU524" s="19"/>
      <c r="EV524" s="19"/>
      <c r="EW524" s="19"/>
      <c r="EX524" s="19"/>
      <c r="EY524" s="19"/>
      <c r="EZ524" s="19"/>
      <c r="FA524" s="19"/>
      <c r="FB524" s="19"/>
    </row>
    <row r="525" ht="15.75" customHeight="1">
      <c r="A525" s="19"/>
      <c r="F525" s="19"/>
      <c r="AH525" s="23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  <c r="BD525" s="19"/>
      <c r="BE525" s="19"/>
      <c r="BF525" s="19"/>
      <c r="BG525" s="19"/>
      <c r="BH525" s="19"/>
      <c r="BI525" s="19"/>
      <c r="BJ525" s="19"/>
      <c r="BK525" s="19"/>
      <c r="BL525" s="19"/>
      <c r="BM525" s="19"/>
      <c r="BN525" s="19"/>
      <c r="BO525" s="19"/>
      <c r="BP525" s="19"/>
      <c r="BQ525" s="19"/>
      <c r="BR525" s="19"/>
      <c r="BS525" s="19"/>
      <c r="BT525" s="19"/>
      <c r="BU525" s="19"/>
      <c r="BV525" s="19"/>
      <c r="BW525" s="19"/>
      <c r="BX525" s="19"/>
      <c r="BY525" s="19"/>
      <c r="BZ525" s="19"/>
      <c r="CA525" s="19"/>
      <c r="CB525" s="19"/>
      <c r="CC525" s="19"/>
      <c r="CD525" s="19"/>
      <c r="CE525" s="19"/>
      <c r="CF525" s="19"/>
      <c r="CG525" s="19"/>
      <c r="CH525" s="19"/>
      <c r="CI525" s="19"/>
      <c r="CJ525" s="19"/>
      <c r="CK525" s="19"/>
      <c r="CL525" s="19"/>
      <c r="CM525" s="19"/>
      <c r="CN525" s="19"/>
      <c r="CO525" s="19"/>
      <c r="CP525" s="19"/>
      <c r="CQ525" s="19"/>
      <c r="CR525" s="19"/>
      <c r="CS525" s="19"/>
      <c r="CT525" s="19"/>
      <c r="CU525" s="19"/>
      <c r="CV525" s="19"/>
      <c r="CW525" s="19"/>
      <c r="CX525" s="19"/>
      <c r="CY525" s="19"/>
      <c r="CZ525" s="19"/>
      <c r="DA525" s="19"/>
      <c r="DB525" s="19"/>
      <c r="DC525" s="19"/>
      <c r="DD525" s="19"/>
      <c r="DE525" s="19"/>
      <c r="DF525" s="19"/>
      <c r="DG525" s="19"/>
      <c r="DH525" s="19"/>
      <c r="DI525" s="19"/>
      <c r="DJ525" s="19"/>
      <c r="DK525" s="19"/>
      <c r="DL525" s="19"/>
      <c r="DM525" s="19"/>
      <c r="DN525" s="19"/>
      <c r="DO525" s="19"/>
      <c r="DP525" s="19"/>
      <c r="DQ525" s="19"/>
      <c r="DR525" s="19"/>
      <c r="DS525" s="19"/>
      <c r="DT525" s="19"/>
      <c r="DU525" s="19"/>
      <c r="DV525" s="19"/>
      <c r="DW525" s="19"/>
      <c r="DX525" s="19"/>
      <c r="DY525" s="19"/>
      <c r="DZ525" s="19"/>
      <c r="EA525" s="19"/>
      <c r="EB525" s="19"/>
      <c r="EC525" s="19"/>
      <c r="ED525" s="19"/>
      <c r="EE525" s="19"/>
      <c r="EF525" s="19"/>
      <c r="EG525" s="19"/>
      <c r="EH525" s="19"/>
      <c r="EI525" s="19"/>
      <c r="EJ525" s="19"/>
      <c r="EK525" s="19"/>
      <c r="EL525" s="19"/>
      <c r="EM525" s="19"/>
      <c r="EN525" s="19"/>
      <c r="EO525" s="19"/>
      <c r="EP525" s="17"/>
      <c r="EQ525" s="23"/>
      <c r="ER525" s="23" t="str">
        <f t="shared" si="1"/>
        <v/>
      </c>
      <c r="ES525" s="19"/>
      <c r="ET525" s="19" t="str">
        <f t="shared" si="2"/>
        <v/>
      </c>
      <c r="EU525" s="19"/>
      <c r="EV525" s="19"/>
      <c r="EW525" s="19"/>
      <c r="EX525" s="19"/>
      <c r="EY525" s="19"/>
      <c r="EZ525" s="19"/>
      <c r="FA525" s="19"/>
      <c r="FB525" s="19"/>
    </row>
    <row r="526" ht="15.75" customHeight="1">
      <c r="A526" s="19"/>
      <c r="F526" s="19"/>
      <c r="AH526" s="23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  <c r="BD526" s="19"/>
      <c r="BE526" s="19"/>
      <c r="BF526" s="19"/>
      <c r="BG526" s="19"/>
      <c r="BH526" s="19"/>
      <c r="BI526" s="19"/>
      <c r="BJ526" s="19"/>
      <c r="BK526" s="19"/>
      <c r="BL526" s="19"/>
      <c r="BM526" s="19"/>
      <c r="BN526" s="19"/>
      <c r="BO526" s="19"/>
      <c r="BP526" s="19"/>
      <c r="BQ526" s="19"/>
      <c r="BR526" s="19"/>
      <c r="BS526" s="19"/>
      <c r="BT526" s="19"/>
      <c r="BU526" s="19"/>
      <c r="BV526" s="19"/>
      <c r="BW526" s="19"/>
      <c r="BX526" s="19"/>
      <c r="BY526" s="19"/>
      <c r="BZ526" s="19"/>
      <c r="CA526" s="19"/>
      <c r="CB526" s="19"/>
      <c r="CC526" s="19"/>
      <c r="CD526" s="19"/>
      <c r="CE526" s="19"/>
      <c r="CF526" s="19"/>
      <c r="CG526" s="19"/>
      <c r="CH526" s="19"/>
      <c r="CI526" s="19"/>
      <c r="CJ526" s="19"/>
      <c r="CK526" s="19"/>
      <c r="CL526" s="19"/>
      <c r="CM526" s="19"/>
      <c r="CN526" s="19"/>
      <c r="CO526" s="19"/>
      <c r="CP526" s="19"/>
      <c r="CQ526" s="19"/>
      <c r="CR526" s="19"/>
      <c r="CS526" s="19"/>
      <c r="CT526" s="19"/>
      <c r="CU526" s="19"/>
      <c r="CV526" s="19"/>
      <c r="CW526" s="19"/>
      <c r="CX526" s="19"/>
      <c r="CY526" s="19"/>
      <c r="CZ526" s="19"/>
      <c r="DA526" s="19"/>
      <c r="DB526" s="19"/>
      <c r="DC526" s="19"/>
      <c r="DD526" s="19"/>
      <c r="DE526" s="19"/>
      <c r="DF526" s="19"/>
      <c r="DG526" s="19"/>
      <c r="DH526" s="19"/>
      <c r="DI526" s="19"/>
      <c r="DJ526" s="19"/>
      <c r="DK526" s="19"/>
      <c r="DL526" s="19"/>
      <c r="DM526" s="19"/>
      <c r="DN526" s="19"/>
      <c r="DO526" s="19"/>
      <c r="DP526" s="19"/>
      <c r="DQ526" s="19"/>
      <c r="DR526" s="19"/>
      <c r="DS526" s="19"/>
      <c r="DT526" s="19"/>
      <c r="DU526" s="19"/>
      <c r="DV526" s="19"/>
      <c r="DW526" s="19"/>
      <c r="DX526" s="19"/>
      <c r="DY526" s="19"/>
      <c r="DZ526" s="19"/>
      <c r="EA526" s="19"/>
      <c r="EB526" s="19"/>
      <c r="EC526" s="19"/>
      <c r="ED526" s="19"/>
      <c r="EE526" s="19"/>
      <c r="EF526" s="19"/>
      <c r="EG526" s="19"/>
      <c r="EH526" s="19"/>
      <c r="EI526" s="19"/>
      <c r="EJ526" s="19"/>
      <c r="EK526" s="19"/>
      <c r="EL526" s="19"/>
      <c r="EM526" s="19"/>
      <c r="EN526" s="19"/>
      <c r="EO526" s="19"/>
      <c r="EP526" s="17"/>
      <c r="EQ526" s="23"/>
      <c r="ER526" s="23" t="str">
        <f t="shared" si="1"/>
        <v/>
      </c>
      <c r="ES526" s="19"/>
      <c r="ET526" s="19" t="str">
        <f t="shared" si="2"/>
        <v/>
      </c>
      <c r="EU526" s="19"/>
      <c r="EV526" s="19"/>
      <c r="EW526" s="19"/>
      <c r="EX526" s="19"/>
      <c r="EY526" s="19"/>
      <c r="EZ526" s="19"/>
      <c r="FA526" s="19"/>
      <c r="FB526" s="19"/>
    </row>
    <row r="527" ht="15.75" customHeight="1">
      <c r="A527" s="19"/>
      <c r="F527" s="19"/>
      <c r="AH527" s="23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  <c r="BD527" s="19"/>
      <c r="BE527" s="19"/>
      <c r="BF527" s="19"/>
      <c r="BG527" s="19"/>
      <c r="BH527" s="19"/>
      <c r="BI527" s="19"/>
      <c r="BJ527" s="19"/>
      <c r="BK527" s="19"/>
      <c r="BL527" s="19"/>
      <c r="BM527" s="19"/>
      <c r="BN527" s="19"/>
      <c r="BO527" s="19"/>
      <c r="BP527" s="19"/>
      <c r="BQ527" s="19"/>
      <c r="BR527" s="19"/>
      <c r="BS527" s="19"/>
      <c r="BT527" s="19"/>
      <c r="BU527" s="19"/>
      <c r="BV527" s="19"/>
      <c r="BW527" s="19"/>
      <c r="BX527" s="19"/>
      <c r="BY527" s="19"/>
      <c r="BZ527" s="19"/>
      <c r="CA527" s="19"/>
      <c r="CB527" s="19"/>
      <c r="CC527" s="19"/>
      <c r="CD527" s="19"/>
      <c r="CE527" s="19"/>
      <c r="CF527" s="19"/>
      <c r="CG527" s="19"/>
      <c r="CH527" s="19"/>
      <c r="CI527" s="19"/>
      <c r="CJ527" s="19"/>
      <c r="CK527" s="19"/>
      <c r="CL527" s="19"/>
      <c r="CM527" s="19"/>
      <c r="CN527" s="19"/>
      <c r="CO527" s="19"/>
      <c r="CP527" s="19"/>
      <c r="CQ527" s="19"/>
      <c r="CR527" s="19"/>
      <c r="CS527" s="19"/>
      <c r="CT527" s="19"/>
      <c r="CU527" s="19"/>
      <c r="CV527" s="19"/>
      <c r="CW527" s="19"/>
      <c r="CX527" s="19"/>
      <c r="CY527" s="19"/>
      <c r="CZ527" s="19"/>
      <c r="DA527" s="19"/>
      <c r="DB527" s="19"/>
      <c r="DC527" s="19"/>
      <c r="DD527" s="19"/>
      <c r="DE527" s="19"/>
      <c r="DF527" s="19"/>
      <c r="DG527" s="19"/>
      <c r="DH527" s="19"/>
      <c r="DI527" s="19"/>
      <c r="DJ527" s="19"/>
      <c r="DK527" s="19"/>
      <c r="DL527" s="19"/>
      <c r="DM527" s="19"/>
      <c r="DN527" s="19"/>
      <c r="DO527" s="19"/>
      <c r="DP527" s="19"/>
      <c r="DQ527" s="19"/>
      <c r="DR527" s="19"/>
      <c r="DS527" s="19"/>
      <c r="DT527" s="19"/>
      <c r="DU527" s="19"/>
      <c r="DV527" s="19"/>
      <c r="DW527" s="19"/>
      <c r="DX527" s="19"/>
      <c r="DY527" s="19"/>
      <c r="DZ527" s="19"/>
      <c r="EA527" s="19"/>
      <c r="EB527" s="19"/>
      <c r="EC527" s="19"/>
      <c r="ED527" s="19"/>
      <c r="EE527" s="19"/>
      <c r="EF527" s="19"/>
      <c r="EG527" s="19"/>
      <c r="EH527" s="19"/>
      <c r="EI527" s="19"/>
      <c r="EJ527" s="19"/>
      <c r="EK527" s="19"/>
      <c r="EL527" s="19"/>
      <c r="EM527" s="19"/>
      <c r="EN527" s="19"/>
      <c r="EO527" s="19"/>
      <c r="EP527" s="17"/>
      <c r="EQ527" s="23"/>
      <c r="ER527" s="23" t="str">
        <f t="shared" si="1"/>
        <v/>
      </c>
      <c r="ES527" s="19"/>
      <c r="ET527" s="19" t="str">
        <f t="shared" si="2"/>
        <v/>
      </c>
      <c r="EU527" s="19"/>
      <c r="EV527" s="19"/>
      <c r="EW527" s="19"/>
      <c r="EX527" s="19"/>
      <c r="EY527" s="19"/>
      <c r="EZ527" s="19"/>
      <c r="FA527" s="19"/>
      <c r="FB527" s="19"/>
    </row>
    <row r="528" ht="15.75" customHeight="1">
      <c r="A528" s="19"/>
      <c r="F528" s="19"/>
      <c r="AH528" s="23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  <c r="BD528" s="19"/>
      <c r="BE528" s="19"/>
      <c r="BF528" s="19"/>
      <c r="BG528" s="19"/>
      <c r="BH528" s="19"/>
      <c r="BI528" s="19"/>
      <c r="BJ528" s="19"/>
      <c r="BK528" s="19"/>
      <c r="BL528" s="19"/>
      <c r="BM528" s="19"/>
      <c r="BN528" s="19"/>
      <c r="BO528" s="19"/>
      <c r="BP528" s="19"/>
      <c r="BQ528" s="19"/>
      <c r="BR528" s="19"/>
      <c r="BS528" s="19"/>
      <c r="BT528" s="19"/>
      <c r="BU528" s="19"/>
      <c r="BV528" s="19"/>
      <c r="BW528" s="19"/>
      <c r="BX528" s="19"/>
      <c r="BY528" s="19"/>
      <c r="BZ528" s="19"/>
      <c r="CA528" s="19"/>
      <c r="CB528" s="19"/>
      <c r="CC528" s="19"/>
      <c r="CD528" s="19"/>
      <c r="CE528" s="19"/>
      <c r="CF528" s="19"/>
      <c r="CG528" s="19"/>
      <c r="CH528" s="19"/>
      <c r="CI528" s="19"/>
      <c r="CJ528" s="19"/>
      <c r="CK528" s="19"/>
      <c r="CL528" s="19"/>
      <c r="CM528" s="19"/>
      <c r="CN528" s="19"/>
      <c r="CO528" s="19"/>
      <c r="CP528" s="19"/>
      <c r="CQ528" s="19"/>
      <c r="CR528" s="19"/>
      <c r="CS528" s="19"/>
      <c r="CT528" s="19"/>
      <c r="CU528" s="19"/>
      <c r="CV528" s="19"/>
      <c r="CW528" s="19"/>
      <c r="CX528" s="19"/>
      <c r="CY528" s="19"/>
      <c r="CZ528" s="19"/>
      <c r="DA528" s="19"/>
      <c r="DB528" s="19"/>
      <c r="DC528" s="19"/>
      <c r="DD528" s="19"/>
      <c r="DE528" s="19"/>
      <c r="DF528" s="19"/>
      <c r="DG528" s="19"/>
      <c r="DH528" s="19"/>
      <c r="DI528" s="19"/>
      <c r="DJ528" s="19"/>
      <c r="DK528" s="19"/>
      <c r="DL528" s="19"/>
      <c r="DM528" s="19"/>
      <c r="DN528" s="19"/>
      <c r="DO528" s="19"/>
      <c r="DP528" s="19"/>
      <c r="DQ528" s="19"/>
      <c r="DR528" s="19"/>
      <c r="DS528" s="19"/>
      <c r="DT528" s="19"/>
      <c r="DU528" s="19"/>
      <c r="DV528" s="19"/>
      <c r="DW528" s="19"/>
      <c r="DX528" s="19"/>
      <c r="DY528" s="19"/>
      <c r="DZ528" s="19"/>
      <c r="EA528" s="19"/>
      <c r="EB528" s="19"/>
      <c r="EC528" s="19"/>
      <c r="ED528" s="19"/>
      <c r="EE528" s="19"/>
      <c r="EF528" s="19"/>
      <c r="EG528" s="19"/>
      <c r="EH528" s="19"/>
      <c r="EI528" s="19"/>
      <c r="EJ528" s="19"/>
      <c r="EK528" s="19"/>
      <c r="EL528" s="19"/>
      <c r="EM528" s="19"/>
      <c r="EN528" s="19"/>
      <c r="EO528" s="19"/>
      <c r="EP528" s="17"/>
      <c r="EQ528" s="23"/>
      <c r="ER528" s="23" t="str">
        <f t="shared" si="1"/>
        <v/>
      </c>
      <c r="ES528" s="19"/>
      <c r="ET528" s="19" t="str">
        <f t="shared" si="2"/>
        <v/>
      </c>
      <c r="EU528" s="19"/>
      <c r="EV528" s="19"/>
      <c r="EW528" s="19"/>
      <c r="EX528" s="19"/>
      <c r="EY528" s="19"/>
      <c r="EZ528" s="19"/>
      <c r="FA528" s="19"/>
      <c r="FB528" s="19"/>
    </row>
    <row r="529" ht="15.75" customHeight="1">
      <c r="A529" s="19"/>
      <c r="F529" s="19"/>
      <c r="AH529" s="23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  <c r="BD529" s="19"/>
      <c r="BE529" s="19"/>
      <c r="BF529" s="19"/>
      <c r="BG529" s="19"/>
      <c r="BH529" s="19"/>
      <c r="BI529" s="19"/>
      <c r="BJ529" s="19"/>
      <c r="BK529" s="19"/>
      <c r="BL529" s="19"/>
      <c r="BM529" s="19"/>
      <c r="BN529" s="19"/>
      <c r="BO529" s="19"/>
      <c r="BP529" s="19"/>
      <c r="BQ529" s="19"/>
      <c r="BR529" s="19"/>
      <c r="BS529" s="19"/>
      <c r="BT529" s="19"/>
      <c r="BU529" s="19"/>
      <c r="BV529" s="19"/>
      <c r="BW529" s="19"/>
      <c r="BX529" s="19"/>
      <c r="BY529" s="19"/>
      <c r="BZ529" s="19"/>
      <c r="CA529" s="19"/>
      <c r="CB529" s="19"/>
      <c r="CC529" s="19"/>
      <c r="CD529" s="19"/>
      <c r="CE529" s="19"/>
      <c r="CF529" s="19"/>
      <c r="CG529" s="19"/>
      <c r="CH529" s="19"/>
      <c r="CI529" s="19"/>
      <c r="CJ529" s="19"/>
      <c r="CK529" s="19"/>
      <c r="CL529" s="19"/>
      <c r="CM529" s="19"/>
      <c r="CN529" s="19"/>
      <c r="CO529" s="19"/>
      <c r="CP529" s="19"/>
      <c r="CQ529" s="19"/>
      <c r="CR529" s="19"/>
      <c r="CS529" s="19"/>
      <c r="CT529" s="19"/>
      <c r="CU529" s="19"/>
      <c r="CV529" s="19"/>
      <c r="CW529" s="19"/>
      <c r="CX529" s="19"/>
      <c r="CY529" s="19"/>
      <c r="CZ529" s="19"/>
      <c r="DA529" s="19"/>
      <c r="DB529" s="19"/>
      <c r="DC529" s="19"/>
      <c r="DD529" s="19"/>
      <c r="DE529" s="19"/>
      <c r="DF529" s="19"/>
      <c r="DG529" s="19"/>
      <c r="DH529" s="19"/>
      <c r="DI529" s="19"/>
      <c r="DJ529" s="19"/>
      <c r="DK529" s="19"/>
      <c r="DL529" s="19"/>
      <c r="DM529" s="19"/>
      <c r="DN529" s="19"/>
      <c r="DO529" s="19"/>
      <c r="DP529" s="19"/>
      <c r="DQ529" s="19"/>
      <c r="DR529" s="19"/>
      <c r="DS529" s="19"/>
      <c r="DT529" s="19"/>
      <c r="DU529" s="19"/>
      <c r="DV529" s="19"/>
      <c r="DW529" s="19"/>
      <c r="DX529" s="19"/>
      <c r="DY529" s="19"/>
      <c r="DZ529" s="19"/>
      <c r="EA529" s="19"/>
      <c r="EB529" s="19"/>
      <c r="EC529" s="19"/>
      <c r="ED529" s="19"/>
      <c r="EE529" s="19"/>
      <c r="EF529" s="19"/>
      <c r="EG529" s="19"/>
      <c r="EH529" s="19"/>
      <c r="EI529" s="19"/>
      <c r="EJ529" s="19"/>
      <c r="EK529" s="19"/>
      <c r="EL529" s="19"/>
      <c r="EM529" s="19"/>
      <c r="EN529" s="19"/>
      <c r="EO529" s="19"/>
      <c r="EP529" s="17"/>
      <c r="EQ529" s="23"/>
      <c r="ER529" s="23" t="str">
        <f t="shared" si="1"/>
        <v/>
      </c>
      <c r="ES529" s="19"/>
      <c r="ET529" s="19" t="str">
        <f t="shared" si="2"/>
        <v/>
      </c>
      <c r="EU529" s="19"/>
      <c r="EV529" s="19"/>
      <c r="EW529" s="19"/>
      <c r="EX529" s="19"/>
      <c r="EY529" s="19"/>
      <c r="EZ529" s="19"/>
      <c r="FA529" s="19"/>
      <c r="FB529" s="19"/>
    </row>
    <row r="530" ht="15.75" customHeight="1">
      <c r="A530" s="19"/>
      <c r="F530" s="19"/>
      <c r="AH530" s="23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  <c r="BD530" s="19"/>
      <c r="BE530" s="19"/>
      <c r="BF530" s="19"/>
      <c r="BG530" s="19"/>
      <c r="BH530" s="19"/>
      <c r="BI530" s="19"/>
      <c r="BJ530" s="19"/>
      <c r="BK530" s="19"/>
      <c r="BL530" s="19"/>
      <c r="BM530" s="19"/>
      <c r="BN530" s="19"/>
      <c r="BO530" s="19"/>
      <c r="BP530" s="19"/>
      <c r="BQ530" s="19"/>
      <c r="BR530" s="19"/>
      <c r="BS530" s="19"/>
      <c r="BT530" s="19"/>
      <c r="BU530" s="19"/>
      <c r="BV530" s="19"/>
      <c r="BW530" s="19"/>
      <c r="BX530" s="19"/>
      <c r="BY530" s="19"/>
      <c r="BZ530" s="19"/>
      <c r="CA530" s="19"/>
      <c r="CB530" s="19"/>
      <c r="CC530" s="19"/>
      <c r="CD530" s="19"/>
      <c r="CE530" s="19"/>
      <c r="CF530" s="19"/>
      <c r="CG530" s="19"/>
      <c r="CH530" s="19"/>
      <c r="CI530" s="19"/>
      <c r="CJ530" s="19"/>
      <c r="CK530" s="19"/>
      <c r="CL530" s="19"/>
      <c r="CM530" s="19"/>
      <c r="CN530" s="19"/>
      <c r="CO530" s="19"/>
      <c r="CP530" s="19"/>
      <c r="CQ530" s="19"/>
      <c r="CR530" s="19"/>
      <c r="CS530" s="19"/>
      <c r="CT530" s="19"/>
      <c r="CU530" s="19"/>
      <c r="CV530" s="19"/>
      <c r="CW530" s="19"/>
      <c r="CX530" s="19"/>
      <c r="CY530" s="19"/>
      <c r="CZ530" s="19"/>
      <c r="DA530" s="19"/>
      <c r="DB530" s="19"/>
      <c r="DC530" s="19"/>
      <c r="DD530" s="19"/>
      <c r="DE530" s="19"/>
      <c r="DF530" s="19"/>
      <c r="DG530" s="19"/>
      <c r="DH530" s="19"/>
      <c r="DI530" s="19"/>
      <c r="DJ530" s="19"/>
      <c r="DK530" s="19"/>
      <c r="DL530" s="19"/>
      <c r="DM530" s="19"/>
      <c r="DN530" s="19"/>
      <c r="DO530" s="19"/>
      <c r="DP530" s="19"/>
      <c r="DQ530" s="19"/>
      <c r="DR530" s="19"/>
      <c r="DS530" s="19"/>
      <c r="DT530" s="19"/>
      <c r="DU530" s="19"/>
      <c r="DV530" s="19"/>
      <c r="DW530" s="19"/>
      <c r="DX530" s="19"/>
      <c r="DY530" s="19"/>
      <c r="DZ530" s="19"/>
      <c r="EA530" s="19"/>
      <c r="EB530" s="19"/>
      <c r="EC530" s="19"/>
      <c r="ED530" s="19"/>
      <c r="EE530" s="19"/>
      <c r="EF530" s="19"/>
      <c r="EG530" s="19"/>
      <c r="EH530" s="19"/>
      <c r="EI530" s="19"/>
      <c r="EJ530" s="19"/>
      <c r="EK530" s="19"/>
      <c r="EL530" s="19"/>
      <c r="EM530" s="19"/>
      <c r="EN530" s="19"/>
      <c r="EO530" s="19"/>
      <c r="EP530" s="17"/>
      <c r="EQ530" s="23"/>
      <c r="ER530" s="23" t="str">
        <f t="shared" si="1"/>
        <v/>
      </c>
      <c r="ES530" s="19"/>
      <c r="ET530" s="19" t="str">
        <f t="shared" si="2"/>
        <v/>
      </c>
      <c r="EU530" s="19"/>
      <c r="EV530" s="19"/>
      <c r="EW530" s="19"/>
      <c r="EX530" s="19"/>
      <c r="EY530" s="19"/>
      <c r="EZ530" s="19"/>
      <c r="FA530" s="19"/>
      <c r="FB530" s="19"/>
    </row>
    <row r="531" ht="15.75" customHeight="1">
      <c r="A531" s="19"/>
      <c r="F531" s="19"/>
      <c r="AH531" s="23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  <c r="BD531" s="19"/>
      <c r="BE531" s="19"/>
      <c r="BF531" s="19"/>
      <c r="BG531" s="19"/>
      <c r="BH531" s="19"/>
      <c r="BI531" s="19"/>
      <c r="BJ531" s="19"/>
      <c r="BK531" s="19"/>
      <c r="BL531" s="19"/>
      <c r="BM531" s="19"/>
      <c r="BN531" s="19"/>
      <c r="BO531" s="19"/>
      <c r="BP531" s="19"/>
      <c r="BQ531" s="19"/>
      <c r="BR531" s="19"/>
      <c r="BS531" s="19"/>
      <c r="BT531" s="19"/>
      <c r="BU531" s="19"/>
      <c r="BV531" s="19"/>
      <c r="BW531" s="19"/>
      <c r="BX531" s="19"/>
      <c r="BY531" s="19"/>
      <c r="BZ531" s="19"/>
      <c r="CA531" s="19"/>
      <c r="CB531" s="19"/>
      <c r="CC531" s="19"/>
      <c r="CD531" s="19"/>
      <c r="CE531" s="19"/>
      <c r="CF531" s="19"/>
      <c r="CG531" s="19"/>
      <c r="CH531" s="19"/>
      <c r="CI531" s="19"/>
      <c r="CJ531" s="19"/>
      <c r="CK531" s="19"/>
      <c r="CL531" s="19"/>
      <c r="CM531" s="19"/>
      <c r="CN531" s="19"/>
      <c r="CO531" s="19"/>
      <c r="CP531" s="19"/>
      <c r="CQ531" s="19"/>
      <c r="CR531" s="19"/>
      <c r="CS531" s="19"/>
      <c r="CT531" s="19"/>
      <c r="CU531" s="19"/>
      <c r="CV531" s="19"/>
      <c r="CW531" s="19"/>
      <c r="CX531" s="19"/>
      <c r="CY531" s="19"/>
      <c r="CZ531" s="19"/>
      <c r="DA531" s="19"/>
      <c r="DB531" s="19"/>
      <c r="DC531" s="19"/>
      <c r="DD531" s="19"/>
      <c r="DE531" s="19"/>
      <c r="DF531" s="19"/>
      <c r="DG531" s="19"/>
      <c r="DH531" s="19"/>
      <c r="DI531" s="19"/>
      <c r="DJ531" s="19"/>
      <c r="DK531" s="19"/>
      <c r="DL531" s="19"/>
      <c r="DM531" s="19"/>
      <c r="DN531" s="19"/>
      <c r="DO531" s="19"/>
      <c r="DP531" s="19"/>
      <c r="DQ531" s="19"/>
      <c r="DR531" s="19"/>
      <c r="DS531" s="19"/>
      <c r="DT531" s="19"/>
      <c r="DU531" s="19"/>
      <c r="DV531" s="19"/>
      <c r="DW531" s="19"/>
      <c r="DX531" s="19"/>
      <c r="DY531" s="19"/>
      <c r="DZ531" s="19"/>
      <c r="EA531" s="19"/>
      <c r="EB531" s="19"/>
      <c r="EC531" s="19"/>
      <c r="ED531" s="19"/>
      <c r="EE531" s="19"/>
      <c r="EF531" s="19"/>
      <c r="EG531" s="19"/>
      <c r="EH531" s="19"/>
      <c r="EI531" s="19"/>
      <c r="EJ531" s="19"/>
      <c r="EK531" s="19"/>
      <c r="EL531" s="19"/>
      <c r="EM531" s="19"/>
      <c r="EN531" s="19"/>
      <c r="EO531" s="19"/>
      <c r="EP531" s="17"/>
      <c r="EQ531" s="23"/>
      <c r="ER531" s="23" t="str">
        <f t="shared" si="1"/>
        <v/>
      </c>
      <c r="ES531" s="19"/>
      <c r="ET531" s="19" t="str">
        <f t="shared" si="2"/>
        <v/>
      </c>
      <c r="EU531" s="19"/>
      <c r="EV531" s="19"/>
      <c r="EW531" s="19"/>
      <c r="EX531" s="19"/>
      <c r="EY531" s="19"/>
      <c r="EZ531" s="19"/>
      <c r="FA531" s="19"/>
      <c r="FB531" s="19"/>
    </row>
    <row r="532" ht="15.75" customHeight="1">
      <c r="A532" s="19"/>
      <c r="F532" s="19"/>
      <c r="AH532" s="23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  <c r="BD532" s="19"/>
      <c r="BE532" s="19"/>
      <c r="BF532" s="19"/>
      <c r="BG532" s="19"/>
      <c r="BH532" s="19"/>
      <c r="BI532" s="19"/>
      <c r="BJ532" s="19"/>
      <c r="BK532" s="19"/>
      <c r="BL532" s="19"/>
      <c r="BM532" s="19"/>
      <c r="BN532" s="19"/>
      <c r="BO532" s="19"/>
      <c r="BP532" s="19"/>
      <c r="BQ532" s="19"/>
      <c r="BR532" s="19"/>
      <c r="BS532" s="19"/>
      <c r="BT532" s="19"/>
      <c r="BU532" s="19"/>
      <c r="BV532" s="19"/>
      <c r="BW532" s="19"/>
      <c r="BX532" s="19"/>
      <c r="BY532" s="19"/>
      <c r="BZ532" s="19"/>
      <c r="CA532" s="19"/>
      <c r="CB532" s="19"/>
      <c r="CC532" s="19"/>
      <c r="CD532" s="19"/>
      <c r="CE532" s="19"/>
      <c r="CF532" s="19"/>
      <c r="CG532" s="19"/>
      <c r="CH532" s="19"/>
      <c r="CI532" s="19"/>
      <c r="CJ532" s="19"/>
      <c r="CK532" s="19"/>
      <c r="CL532" s="19"/>
      <c r="CM532" s="19"/>
      <c r="CN532" s="19"/>
      <c r="CO532" s="19"/>
      <c r="CP532" s="19"/>
      <c r="CQ532" s="19"/>
      <c r="CR532" s="19"/>
      <c r="CS532" s="19"/>
      <c r="CT532" s="19"/>
      <c r="CU532" s="19"/>
      <c r="CV532" s="19"/>
      <c r="CW532" s="19"/>
      <c r="CX532" s="19"/>
      <c r="CY532" s="19"/>
      <c r="CZ532" s="19"/>
      <c r="DA532" s="19"/>
      <c r="DB532" s="19"/>
      <c r="DC532" s="19"/>
      <c r="DD532" s="19"/>
      <c r="DE532" s="19"/>
      <c r="DF532" s="19"/>
      <c r="DG532" s="19"/>
      <c r="DH532" s="19"/>
      <c r="DI532" s="19"/>
      <c r="DJ532" s="19"/>
      <c r="DK532" s="19"/>
      <c r="DL532" s="19"/>
      <c r="DM532" s="19"/>
      <c r="DN532" s="19"/>
      <c r="DO532" s="19"/>
      <c r="DP532" s="19"/>
      <c r="DQ532" s="19"/>
      <c r="DR532" s="19"/>
      <c r="DS532" s="19"/>
      <c r="DT532" s="19"/>
      <c r="DU532" s="19"/>
      <c r="DV532" s="19"/>
      <c r="DW532" s="19"/>
      <c r="DX532" s="19"/>
      <c r="DY532" s="19"/>
      <c r="DZ532" s="19"/>
      <c r="EA532" s="19"/>
      <c r="EB532" s="19"/>
      <c r="EC532" s="19"/>
      <c r="ED532" s="19"/>
      <c r="EE532" s="19"/>
      <c r="EF532" s="19"/>
      <c r="EG532" s="19"/>
      <c r="EH532" s="19"/>
      <c r="EI532" s="19"/>
      <c r="EJ532" s="19"/>
      <c r="EK532" s="19"/>
      <c r="EL532" s="19"/>
      <c r="EM532" s="19"/>
      <c r="EN532" s="19"/>
      <c r="EO532" s="19"/>
      <c r="EP532" s="17"/>
      <c r="EQ532" s="23"/>
      <c r="ER532" s="23" t="str">
        <f t="shared" si="1"/>
        <v/>
      </c>
      <c r="ES532" s="19"/>
      <c r="ET532" s="19" t="str">
        <f t="shared" si="2"/>
        <v/>
      </c>
      <c r="EU532" s="19"/>
      <c r="EV532" s="19"/>
      <c r="EW532" s="19"/>
      <c r="EX532" s="19"/>
      <c r="EY532" s="19"/>
      <c r="EZ532" s="19"/>
      <c r="FA532" s="19"/>
      <c r="FB532" s="19"/>
    </row>
    <row r="533" ht="15.75" customHeight="1">
      <c r="A533" s="19"/>
      <c r="F533" s="19"/>
      <c r="AH533" s="23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  <c r="BD533" s="19"/>
      <c r="BE533" s="19"/>
      <c r="BF533" s="19"/>
      <c r="BG533" s="19"/>
      <c r="BH533" s="19"/>
      <c r="BI533" s="19"/>
      <c r="BJ533" s="19"/>
      <c r="BK533" s="19"/>
      <c r="BL533" s="19"/>
      <c r="BM533" s="19"/>
      <c r="BN533" s="19"/>
      <c r="BO533" s="19"/>
      <c r="BP533" s="19"/>
      <c r="BQ533" s="19"/>
      <c r="BR533" s="19"/>
      <c r="BS533" s="19"/>
      <c r="BT533" s="19"/>
      <c r="BU533" s="19"/>
      <c r="BV533" s="19"/>
      <c r="BW533" s="19"/>
      <c r="BX533" s="19"/>
      <c r="BY533" s="19"/>
      <c r="BZ533" s="19"/>
      <c r="CA533" s="19"/>
      <c r="CB533" s="19"/>
      <c r="CC533" s="19"/>
      <c r="CD533" s="19"/>
      <c r="CE533" s="19"/>
      <c r="CF533" s="19"/>
      <c r="CG533" s="19"/>
      <c r="CH533" s="19"/>
      <c r="CI533" s="19"/>
      <c r="CJ533" s="19"/>
      <c r="CK533" s="19"/>
      <c r="CL533" s="19"/>
      <c r="CM533" s="19"/>
      <c r="CN533" s="19"/>
      <c r="CO533" s="19"/>
      <c r="CP533" s="19"/>
      <c r="CQ533" s="19"/>
      <c r="CR533" s="19"/>
      <c r="CS533" s="19"/>
      <c r="CT533" s="19"/>
      <c r="CU533" s="19"/>
      <c r="CV533" s="19"/>
      <c r="CW533" s="19"/>
      <c r="CX533" s="19"/>
      <c r="CY533" s="19"/>
      <c r="CZ533" s="19"/>
      <c r="DA533" s="19"/>
      <c r="DB533" s="19"/>
      <c r="DC533" s="19"/>
      <c r="DD533" s="19"/>
      <c r="DE533" s="19"/>
      <c r="DF533" s="19"/>
      <c r="DG533" s="19"/>
      <c r="DH533" s="19"/>
      <c r="DI533" s="19"/>
      <c r="DJ533" s="19"/>
      <c r="DK533" s="19"/>
      <c r="DL533" s="19"/>
      <c r="DM533" s="19"/>
      <c r="DN533" s="19"/>
      <c r="DO533" s="19"/>
      <c r="DP533" s="19"/>
      <c r="DQ533" s="19"/>
      <c r="DR533" s="19"/>
      <c r="DS533" s="19"/>
      <c r="DT533" s="19"/>
      <c r="DU533" s="19"/>
      <c r="DV533" s="19"/>
      <c r="DW533" s="19"/>
      <c r="DX533" s="19"/>
      <c r="DY533" s="19"/>
      <c r="DZ533" s="19"/>
      <c r="EA533" s="19"/>
      <c r="EB533" s="19"/>
      <c r="EC533" s="19"/>
      <c r="ED533" s="19"/>
      <c r="EE533" s="19"/>
      <c r="EF533" s="19"/>
      <c r="EG533" s="19"/>
      <c r="EH533" s="19"/>
      <c r="EI533" s="19"/>
      <c r="EJ533" s="19"/>
      <c r="EK533" s="19"/>
      <c r="EL533" s="19"/>
      <c r="EM533" s="19"/>
      <c r="EN533" s="19"/>
      <c r="EO533" s="19"/>
      <c r="EP533" s="17"/>
      <c r="EQ533" s="23"/>
      <c r="ER533" s="23" t="str">
        <f t="shared" si="1"/>
        <v/>
      </c>
      <c r="ES533" s="19"/>
      <c r="ET533" s="19" t="str">
        <f t="shared" si="2"/>
        <v/>
      </c>
      <c r="EU533" s="19"/>
      <c r="EV533" s="19"/>
      <c r="EW533" s="19"/>
      <c r="EX533" s="19"/>
      <c r="EY533" s="19"/>
      <c r="EZ533" s="19"/>
      <c r="FA533" s="19"/>
      <c r="FB533" s="19"/>
    </row>
    <row r="534" ht="15.75" customHeight="1">
      <c r="A534" s="19"/>
      <c r="F534" s="19"/>
      <c r="AH534" s="23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  <c r="BD534" s="19"/>
      <c r="BE534" s="19"/>
      <c r="BF534" s="19"/>
      <c r="BG534" s="19"/>
      <c r="BH534" s="19"/>
      <c r="BI534" s="19"/>
      <c r="BJ534" s="19"/>
      <c r="BK534" s="19"/>
      <c r="BL534" s="19"/>
      <c r="BM534" s="19"/>
      <c r="BN534" s="19"/>
      <c r="BO534" s="19"/>
      <c r="BP534" s="19"/>
      <c r="BQ534" s="19"/>
      <c r="BR534" s="19"/>
      <c r="BS534" s="19"/>
      <c r="BT534" s="19"/>
      <c r="BU534" s="19"/>
      <c r="BV534" s="19"/>
      <c r="BW534" s="19"/>
      <c r="BX534" s="19"/>
      <c r="BY534" s="19"/>
      <c r="BZ534" s="19"/>
      <c r="CA534" s="19"/>
      <c r="CB534" s="19"/>
      <c r="CC534" s="19"/>
      <c r="CD534" s="19"/>
      <c r="CE534" s="19"/>
      <c r="CF534" s="19"/>
      <c r="CG534" s="19"/>
      <c r="CH534" s="19"/>
      <c r="CI534" s="19"/>
      <c r="CJ534" s="19"/>
      <c r="CK534" s="19"/>
      <c r="CL534" s="19"/>
      <c r="CM534" s="19"/>
      <c r="CN534" s="19"/>
      <c r="CO534" s="19"/>
      <c r="CP534" s="19"/>
      <c r="CQ534" s="19"/>
      <c r="CR534" s="19"/>
      <c r="CS534" s="19"/>
      <c r="CT534" s="19"/>
      <c r="CU534" s="19"/>
      <c r="CV534" s="19"/>
      <c r="CW534" s="19"/>
      <c r="CX534" s="19"/>
      <c r="CY534" s="19"/>
      <c r="CZ534" s="19"/>
      <c r="DA534" s="19"/>
      <c r="DB534" s="19"/>
      <c r="DC534" s="19"/>
      <c r="DD534" s="19"/>
      <c r="DE534" s="19"/>
      <c r="DF534" s="19"/>
      <c r="DG534" s="19"/>
      <c r="DH534" s="19"/>
      <c r="DI534" s="19"/>
      <c r="DJ534" s="19"/>
      <c r="DK534" s="19"/>
      <c r="DL534" s="19"/>
      <c r="DM534" s="19"/>
      <c r="DN534" s="19"/>
      <c r="DO534" s="19"/>
      <c r="DP534" s="19"/>
      <c r="DQ534" s="19"/>
      <c r="DR534" s="19"/>
      <c r="DS534" s="19"/>
      <c r="DT534" s="19"/>
      <c r="DU534" s="19"/>
      <c r="DV534" s="19"/>
      <c r="DW534" s="19"/>
      <c r="DX534" s="19"/>
      <c r="DY534" s="19"/>
      <c r="DZ534" s="19"/>
      <c r="EA534" s="19"/>
      <c r="EB534" s="19"/>
      <c r="EC534" s="19"/>
      <c r="ED534" s="19"/>
      <c r="EE534" s="19"/>
      <c r="EF534" s="19"/>
      <c r="EG534" s="19"/>
      <c r="EH534" s="19"/>
      <c r="EI534" s="19"/>
      <c r="EJ534" s="19"/>
      <c r="EK534" s="19"/>
      <c r="EL534" s="19"/>
      <c r="EM534" s="19"/>
      <c r="EN534" s="19"/>
      <c r="EO534" s="19"/>
      <c r="EP534" s="17"/>
      <c r="EQ534" s="23"/>
      <c r="ER534" s="23" t="str">
        <f t="shared" si="1"/>
        <v/>
      </c>
      <c r="ES534" s="19"/>
      <c r="ET534" s="19" t="str">
        <f t="shared" si="2"/>
        <v/>
      </c>
      <c r="EU534" s="19"/>
      <c r="EV534" s="19"/>
      <c r="EW534" s="19"/>
      <c r="EX534" s="19"/>
      <c r="EY534" s="19"/>
      <c r="EZ534" s="19"/>
      <c r="FA534" s="19"/>
      <c r="FB534" s="19"/>
    </row>
    <row r="535" ht="15.75" customHeight="1">
      <c r="A535" s="19"/>
      <c r="F535" s="19"/>
      <c r="AH535" s="23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  <c r="BD535" s="19"/>
      <c r="BE535" s="19"/>
      <c r="BF535" s="19"/>
      <c r="BG535" s="19"/>
      <c r="BH535" s="19"/>
      <c r="BI535" s="19"/>
      <c r="BJ535" s="19"/>
      <c r="BK535" s="19"/>
      <c r="BL535" s="19"/>
      <c r="BM535" s="19"/>
      <c r="BN535" s="19"/>
      <c r="BO535" s="19"/>
      <c r="BP535" s="19"/>
      <c r="BQ535" s="19"/>
      <c r="BR535" s="19"/>
      <c r="BS535" s="19"/>
      <c r="BT535" s="19"/>
      <c r="BU535" s="19"/>
      <c r="BV535" s="19"/>
      <c r="BW535" s="19"/>
      <c r="BX535" s="19"/>
      <c r="BY535" s="19"/>
      <c r="BZ535" s="19"/>
      <c r="CA535" s="19"/>
      <c r="CB535" s="19"/>
      <c r="CC535" s="19"/>
      <c r="CD535" s="19"/>
      <c r="CE535" s="19"/>
      <c r="CF535" s="19"/>
      <c r="CG535" s="19"/>
      <c r="CH535" s="19"/>
      <c r="CI535" s="19"/>
      <c r="CJ535" s="19"/>
      <c r="CK535" s="19"/>
      <c r="CL535" s="19"/>
      <c r="CM535" s="19"/>
      <c r="CN535" s="19"/>
      <c r="CO535" s="19"/>
      <c r="CP535" s="19"/>
      <c r="CQ535" s="19"/>
      <c r="CR535" s="19"/>
      <c r="CS535" s="19"/>
      <c r="CT535" s="19"/>
      <c r="CU535" s="19"/>
      <c r="CV535" s="19"/>
      <c r="CW535" s="19"/>
      <c r="CX535" s="19"/>
      <c r="CY535" s="19"/>
      <c r="CZ535" s="19"/>
      <c r="DA535" s="19"/>
      <c r="DB535" s="19"/>
      <c r="DC535" s="19"/>
      <c r="DD535" s="19"/>
      <c r="DE535" s="19"/>
      <c r="DF535" s="19"/>
      <c r="DG535" s="19"/>
      <c r="DH535" s="19"/>
      <c r="DI535" s="19"/>
      <c r="DJ535" s="19"/>
      <c r="DK535" s="19"/>
      <c r="DL535" s="19"/>
      <c r="DM535" s="19"/>
      <c r="DN535" s="19"/>
      <c r="DO535" s="19"/>
      <c r="DP535" s="19"/>
      <c r="DQ535" s="19"/>
      <c r="DR535" s="19"/>
      <c r="DS535" s="19"/>
      <c r="DT535" s="19"/>
      <c r="DU535" s="19"/>
      <c r="DV535" s="19"/>
      <c r="DW535" s="19"/>
      <c r="DX535" s="19"/>
      <c r="DY535" s="19"/>
      <c r="DZ535" s="19"/>
      <c r="EA535" s="19"/>
      <c r="EB535" s="19"/>
      <c r="EC535" s="19"/>
      <c r="ED535" s="19"/>
      <c r="EE535" s="19"/>
      <c r="EF535" s="19"/>
      <c r="EG535" s="19"/>
      <c r="EH535" s="19"/>
      <c r="EI535" s="19"/>
      <c r="EJ535" s="19"/>
      <c r="EK535" s="19"/>
      <c r="EL535" s="19"/>
      <c r="EM535" s="19"/>
      <c r="EN535" s="19"/>
      <c r="EO535" s="19"/>
      <c r="EP535" s="17"/>
      <c r="EQ535" s="23"/>
      <c r="ER535" s="23" t="str">
        <f t="shared" si="1"/>
        <v/>
      </c>
      <c r="ES535" s="19"/>
      <c r="ET535" s="19" t="str">
        <f t="shared" si="2"/>
        <v/>
      </c>
      <c r="EU535" s="19"/>
      <c r="EV535" s="19"/>
      <c r="EW535" s="19"/>
      <c r="EX535" s="19"/>
      <c r="EY535" s="19"/>
      <c r="EZ535" s="19"/>
      <c r="FA535" s="19"/>
      <c r="FB535" s="19"/>
    </row>
    <row r="536" ht="15.75" customHeight="1">
      <c r="A536" s="19"/>
      <c r="F536" s="19"/>
      <c r="AH536" s="23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  <c r="BD536" s="19"/>
      <c r="BE536" s="19"/>
      <c r="BF536" s="19"/>
      <c r="BG536" s="19"/>
      <c r="BH536" s="19"/>
      <c r="BI536" s="19"/>
      <c r="BJ536" s="19"/>
      <c r="BK536" s="19"/>
      <c r="BL536" s="19"/>
      <c r="BM536" s="19"/>
      <c r="BN536" s="19"/>
      <c r="BO536" s="19"/>
      <c r="BP536" s="19"/>
      <c r="BQ536" s="19"/>
      <c r="BR536" s="19"/>
      <c r="BS536" s="19"/>
      <c r="BT536" s="19"/>
      <c r="BU536" s="19"/>
      <c r="BV536" s="19"/>
      <c r="BW536" s="19"/>
      <c r="BX536" s="19"/>
      <c r="BY536" s="19"/>
      <c r="BZ536" s="19"/>
      <c r="CA536" s="19"/>
      <c r="CB536" s="19"/>
      <c r="CC536" s="19"/>
      <c r="CD536" s="19"/>
      <c r="CE536" s="19"/>
      <c r="CF536" s="19"/>
      <c r="CG536" s="19"/>
      <c r="CH536" s="19"/>
      <c r="CI536" s="19"/>
      <c r="CJ536" s="19"/>
      <c r="CK536" s="19"/>
      <c r="CL536" s="19"/>
      <c r="CM536" s="19"/>
      <c r="CN536" s="19"/>
      <c r="CO536" s="19"/>
      <c r="CP536" s="19"/>
      <c r="CQ536" s="19"/>
      <c r="CR536" s="19"/>
      <c r="CS536" s="19"/>
      <c r="CT536" s="19"/>
      <c r="CU536" s="19"/>
      <c r="CV536" s="19"/>
      <c r="CW536" s="19"/>
      <c r="CX536" s="19"/>
      <c r="CY536" s="19"/>
      <c r="CZ536" s="19"/>
      <c r="DA536" s="19"/>
      <c r="DB536" s="19"/>
      <c r="DC536" s="19"/>
      <c r="DD536" s="19"/>
      <c r="DE536" s="19"/>
      <c r="DF536" s="19"/>
      <c r="DG536" s="19"/>
      <c r="DH536" s="19"/>
      <c r="DI536" s="19"/>
      <c r="DJ536" s="19"/>
      <c r="DK536" s="19"/>
      <c r="DL536" s="19"/>
      <c r="DM536" s="19"/>
      <c r="DN536" s="19"/>
      <c r="DO536" s="19"/>
      <c r="DP536" s="19"/>
      <c r="DQ536" s="19"/>
      <c r="DR536" s="19"/>
      <c r="DS536" s="19"/>
      <c r="DT536" s="19"/>
      <c r="DU536" s="19"/>
      <c r="DV536" s="19"/>
      <c r="DW536" s="19"/>
      <c r="DX536" s="19"/>
      <c r="DY536" s="19"/>
      <c r="DZ536" s="19"/>
      <c r="EA536" s="19"/>
      <c r="EB536" s="19"/>
      <c r="EC536" s="19"/>
      <c r="ED536" s="19"/>
      <c r="EE536" s="19"/>
      <c r="EF536" s="19"/>
      <c r="EG536" s="19"/>
      <c r="EH536" s="19"/>
      <c r="EI536" s="19"/>
      <c r="EJ536" s="19"/>
      <c r="EK536" s="19"/>
      <c r="EL536" s="19"/>
      <c r="EM536" s="19"/>
      <c r="EN536" s="19"/>
      <c r="EO536" s="19"/>
      <c r="EP536" s="17"/>
      <c r="EQ536" s="23"/>
      <c r="ER536" s="23" t="str">
        <f t="shared" si="1"/>
        <v/>
      </c>
      <c r="ES536" s="19"/>
      <c r="ET536" s="19" t="str">
        <f t="shared" si="2"/>
        <v/>
      </c>
      <c r="EU536" s="19"/>
      <c r="EV536" s="19"/>
      <c r="EW536" s="19"/>
      <c r="EX536" s="19"/>
      <c r="EY536" s="19"/>
      <c r="EZ536" s="19"/>
      <c r="FA536" s="19"/>
      <c r="FB536" s="19"/>
    </row>
    <row r="537" ht="15.75" customHeight="1">
      <c r="A537" s="19"/>
      <c r="F537" s="19"/>
      <c r="AH537" s="23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  <c r="BD537" s="19"/>
      <c r="BE537" s="19"/>
      <c r="BF537" s="19"/>
      <c r="BG537" s="19"/>
      <c r="BH537" s="19"/>
      <c r="BI537" s="19"/>
      <c r="BJ537" s="19"/>
      <c r="BK537" s="19"/>
      <c r="BL537" s="19"/>
      <c r="BM537" s="19"/>
      <c r="BN537" s="19"/>
      <c r="BO537" s="19"/>
      <c r="BP537" s="19"/>
      <c r="BQ537" s="19"/>
      <c r="BR537" s="19"/>
      <c r="BS537" s="19"/>
      <c r="BT537" s="19"/>
      <c r="BU537" s="19"/>
      <c r="BV537" s="19"/>
      <c r="BW537" s="19"/>
      <c r="BX537" s="19"/>
      <c r="BY537" s="19"/>
      <c r="BZ537" s="19"/>
      <c r="CA537" s="19"/>
      <c r="CB537" s="19"/>
      <c r="CC537" s="19"/>
      <c r="CD537" s="19"/>
      <c r="CE537" s="19"/>
      <c r="CF537" s="19"/>
      <c r="CG537" s="19"/>
      <c r="CH537" s="19"/>
      <c r="CI537" s="19"/>
      <c r="CJ537" s="19"/>
      <c r="CK537" s="19"/>
      <c r="CL537" s="19"/>
      <c r="CM537" s="19"/>
      <c r="CN537" s="19"/>
      <c r="CO537" s="19"/>
      <c r="CP537" s="19"/>
      <c r="CQ537" s="19"/>
      <c r="CR537" s="19"/>
      <c r="CS537" s="19"/>
      <c r="CT537" s="19"/>
      <c r="CU537" s="19"/>
      <c r="CV537" s="19"/>
      <c r="CW537" s="19"/>
      <c r="CX537" s="19"/>
      <c r="CY537" s="19"/>
      <c r="CZ537" s="19"/>
      <c r="DA537" s="19"/>
      <c r="DB537" s="19"/>
      <c r="DC537" s="19"/>
      <c r="DD537" s="19"/>
      <c r="DE537" s="19"/>
      <c r="DF537" s="19"/>
      <c r="DG537" s="19"/>
      <c r="DH537" s="19"/>
      <c r="DI537" s="19"/>
      <c r="DJ537" s="19"/>
      <c r="DK537" s="19"/>
      <c r="DL537" s="19"/>
      <c r="DM537" s="19"/>
      <c r="DN537" s="19"/>
      <c r="DO537" s="19"/>
      <c r="DP537" s="19"/>
      <c r="DQ537" s="19"/>
      <c r="DR537" s="19"/>
      <c r="DS537" s="19"/>
      <c r="DT537" s="19"/>
      <c r="DU537" s="19"/>
      <c r="DV537" s="19"/>
      <c r="DW537" s="19"/>
      <c r="DX537" s="19"/>
      <c r="DY537" s="19"/>
      <c r="DZ537" s="19"/>
      <c r="EA537" s="19"/>
      <c r="EB537" s="19"/>
      <c r="EC537" s="19"/>
      <c r="ED537" s="19"/>
      <c r="EE537" s="19"/>
      <c r="EF537" s="19"/>
      <c r="EG537" s="19"/>
      <c r="EH537" s="19"/>
      <c r="EI537" s="19"/>
      <c r="EJ537" s="19"/>
      <c r="EK537" s="19"/>
      <c r="EL537" s="19"/>
      <c r="EM537" s="19"/>
      <c r="EN537" s="19"/>
      <c r="EO537" s="19"/>
      <c r="EP537" s="17"/>
      <c r="EQ537" s="23"/>
      <c r="ER537" s="23" t="str">
        <f t="shared" si="1"/>
        <v/>
      </c>
      <c r="ES537" s="19"/>
      <c r="ET537" s="19" t="str">
        <f t="shared" si="2"/>
        <v/>
      </c>
      <c r="EU537" s="19"/>
      <c r="EV537" s="19"/>
      <c r="EW537" s="19"/>
      <c r="EX537" s="19"/>
      <c r="EY537" s="19"/>
      <c r="EZ537" s="19"/>
      <c r="FA537" s="19"/>
      <c r="FB537" s="19"/>
    </row>
    <row r="538" ht="15.75" customHeight="1">
      <c r="A538" s="19"/>
      <c r="F538" s="19"/>
      <c r="AH538" s="23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  <c r="BD538" s="19"/>
      <c r="BE538" s="19"/>
      <c r="BF538" s="19"/>
      <c r="BG538" s="19"/>
      <c r="BH538" s="19"/>
      <c r="BI538" s="19"/>
      <c r="BJ538" s="19"/>
      <c r="BK538" s="19"/>
      <c r="BL538" s="19"/>
      <c r="BM538" s="19"/>
      <c r="BN538" s="19"/>
      <c r="BO538" s="19"/>
      <c r="BP538" s="19"/>
      <c r="BQ538" s="19"/>
      <c r="BR538" s="19"/>
      <c r="BS538" s="19"/>
      <c r="BT538" s="19"/>
      <c r="BU538" s="19"/>
      <c r="BV538" s="19"/>
      <c r="BW538" s="19"/>
      <c r="BX538" s="19"/>
      <c r="BY538" s="19"/>
      <c r="BZ538" s="19"/>
      <c r="CA538" s="19"/>
      <c r="CB538" s="19"/>
      <c r="CC538" s="19"/>
      <c r="CD538" s="19"/>
      <c r="CE538" s="19"/>
      <c r="CF538" s="19"/>
      <c r="CG538" s="19"/>
      <c r="CH538" s="19"/>
      <c r="CI538" s="19"/>
      <c r="CJ538" s="19"/>
      <c r="CK538" s="19"/>
      <c r="CL538" s="19"/>
      <c r="CM538" s="19"/>
      <c r="CN538" s="19"/>
      <c r="CO538" s="19"/>
      <c r="CP538" s="19"/>
      <c r="CQ538" s="19"/>
      <c r="CR538" s="19"/>
      <c r="CS538" s="19"/>
      <c r="CT538" s="19"/>
      <c r="CU538" s="19"/>
      <c r="CV538" s="19"/>
      <c r="CW538" s="19"/>
      <c r="CX538" s="19"/>
      <c r="CY538" s="19"/>
      <c r="CZ538" s="19"/>
      <c r="DA538" s="19"/>
      <c r="DB538" s="19"/>
      <c r="DC538" s="19"/>
      <c r="DD538" s="19"/>
      <c r="DE538" s="19"/>
      <c r="DF538" s="19"/>
      <c r="DG538" s="19"/>
      <c r="DH538" s="19"/>
      <c r="DI538" s="19"/>
      <c r="DJ538" s="19"/>
      <c r="DK538" s="19"/>
      <c r="DL538" s="19"/>
      <c r="DM538" s="19"/>
      <c r="DN538" s="19"/>
      <c r="DO538" s="19"/>
      <c r="DP538" s="19"/>
      <c r="DQ538" s="19"/>
      <c r="DR538" s="19"/>
      <c r="DS538" s="19"/>
      <c r="DT538" s="19"/>
      <c r="DU538" s="19"/>
      <c r="DV538" s="19"/>
      <c r="DW538" s="19"/>
      <c r="DX538" s="19"/>
      <c r="DY538" s="19"/>
      <c r="DZ538" s="19"/>
      <c r="EA538" s="19"/>
      <c r="EB538" s="19"/>
      <c r="EC538" s="19"/>
      <c r="ED538" s="19"/>
      <c r="EE538" s="19"/>
      <c r="EF538" s="19"/>
      <c r="EG538" s="19"/>
      <c r="EH538" s="19"/>
      <c r="EI538" s="19"/>
      <c r="EJ538" s="19"/>
      <c r="EK538" s="19"/>
      <c r="EL538" s="19"/>
      <c r="EM538" s="19"/>
      <c r="EN538" s="19"/>
      <c r="EO538" s="19"/>
      <c r="EP538" s="17"/>
      <c r="EQ538" s="23"/>
      <c r="ER538" s="23" t="str">
        <f t="shared" si="1"/>
        <v/>
      </c>
      <c r="ES538" s="19"/>
      <c r="ET538" s="19" t="str">
        <f t="shared" si="2"/>
        <v/>
      </c>
      <c r="EU538" s="19"/>
      <c r="EV538" s="19"/>
      <c r="EW538" s="19"/>
      <c r="EX538" s="19"/>
      <c r="EY538" s="19"/>
      <c r="EZ538" s="19"/>
      <c r="FA538" s="19"/>
      <c r="FB538" s="19"/>
    </row>
    <row r="539" ht="15.75" customHeight="1">
      <c r="A539" s="19"/>
      <c r="F539" s="19"/>
      <c r="AH539" s="23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  <c r="BD539" s="19"/>
      <c r="BE539" s="19"/>
      <c r="BF539" s="19"/>
      <c r="BG539" s="19"/>
      <c r="BH539" s="19"/>
      <c r="BI539" s="19"/>
      <c r="BJ539" s="19"/>
      <c r="BK539" s="19"/>
      <c r="BL539" s="19"/>
      <c r="BM539" s="19"/>
      <c r="BN539" s="19"/>
      <c r="BO539" s="19"/>
      <c r="BP539" s="19"/>
      <c r="BQ539" s="19"/>
      <c r="BR539" s="19"/>
      <c r="BS539" s="19"/>
      <c r="BT539" s="19"/>
      <c r="BU539" s="19"/>
      <c r="BV539" s="19"/>
      <c r="BW539" s="19"/>
      <c r="BX539" s="19"/>
      <c r="BY539" s="19"/>
      <c r="BZ539" s="19"/>
      <c r="CA539" s="19"/>
      <c r="CB539" s="19"/>
      <c r="CC539" s="19"/>
      <c r="CD539" s="19"/>
      <c r="CE539" s="19"/>
      <c r="CF539" s="19"/>
      <c r="CG539" s="19"/>
      <c r="CH539" s="19"/>
      <c r="CI539" s="19"/>
      <c r="CJ539" s="19"/>
      <c r="CK539" s="19"/>
      <c r="CL539" s="19"/>
      <c r="CM539" s="19"/>
      <c r="CN539" s="19"/>
      <c r="CO539" s="19"/>
      <c r="CP539" s="19"/>
      <c r="CQ539" s="19"/>
      <c r="CR539" s="19"/>
      <c r="CS539" s="19"/>
      <c r="CT539" s="19"/>
      <c r="CU539" s="19"/>
      <c r="CV539" s="19"/>
      <c r="CW539" s="19"/>
      <c r="CX539" s="19"/>
      <c r="CY539" s="19"/>
      <c r="CZ539" s="19"/>
      <c r="DA539" s="19"/>
      <c r="DB539" s="19"/>
      <c r="DC539" s="19"/>
      <c r="DD539" s="19"/>
      <c r="DE539" s="19"/>
      <c r="DF539" s="19"/>
      <c r="DG539" s="19"/>
      <c r="DH539" s="19"/>
      <c r="DI539" s="19"/>
      <c r="DJ539" s="19"/>
      <c r="DK539" s="19"/>
      <c r="DL539" s="19"/>
      <c r="DM539" s="19"/>
      <c r="DN539" s="19"/>
      <c r="DO539" s="19"/>
      <c r="DP539" s="19"/>
      <c r="DQ539" s="19"/>
      <c r="DR539" s="19"/>
      <c r="DS539" s="19"/>
      <c r="DT539" s="19"/>
      <c r="DU539" s="19"/>
      <c r="DV539" s="19"/>
      <c r="DW539" s="19"/>
      <c r="DX539" s="19"/>
      <c r="DY539" s="19"/>
      <c r="DZ539" s="19"/>
      <c r="EA539" s="19"/>
      <c r="EB539" s="19"/>
      <c r="EC539" s="19"/>
      <c r="ED539" s="19"/>
      <c r="EE539" s="19"/>
      <c r="EF539" s="19"/>
      <c r="EG539" s="19"/>
      <c r="EH539" s="19"/>
      <c r="EI539" s="19"/>
      <c r="EJ539" s="19"/>
      <c r="EK539" s="19"/>
      <c r="EL539" s="19"/>
      <c r="EM539" s="19"/>
      <c r="EN539" s="19"/>
      <c r="EO539" s="19"/>
      <c r="EP539" s="17"/>
      <c r="EQ539" s="23"/>
      <c r="ER539" s="23" t="str">
        <f t="shared" si="1"/>
        <v/>
      </c>
      <c r="ES539" s="19"/>
      <c r="ET539" s="19" t="str">
        <f t="shared" si="2"/>
        <v/>
      </c>
      <c r="EU539" s="19"/>
      <c r="EV539" s="19"/>
      <c r="EW539" s="19"/>
      <c r="EX539" s="19"/>
      <c r="EY539" s="19"/>
      <c r="EZ539" s="19"/>
      <c r="FA539" s="19"/>
      <c r="FB539" s="19"/>
    </row>
    <row r="540" ht="15.75" customHeight="1">
      <c r="A540" s="19"/>
      <c r="F540" s="19"/>
      <c r="AH540" s="23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  <c r="BD540" s="19"/>
      <c r="BE540" s="19"/>
      <c r="BF540" s="19"/>
      <c r="BG540" s="19"/>
      <c r="BH540" s="19"/>
      <c r="BI540" s="19"/>
      <c r="BJ540" s="19"/>
      <c r="BK540" s="19"/>
      <c r="BL540" s="19"/>
      <c r="BM540" s="19"/>
      <c r="BN540" s="19"/>
      <c r="BO540" s="19"/>
      <c r="BP540" s="19"/>
      <c r="BQ540" s="19"/>
      <c r="BR540" s="19"/>
      <c r="BS540" s="19"/>
      <c r="BT540" s="19"/>
      <c r="BU540" s="19"/>
      <c r="BV540" s="19"/>
      <c r="BW540" s="19"/>
      <c r="BX540" s="19"/>
      <c r="BY540" s="19"/>
      <c r="BZ540" s="19"/>
      <c r="CA540" s="19"/>
      <c r="CB540" s="19"/>
      <c r="CC540" s="19"/>
      <c r="CD540" s="19"/>
      <c r="CE540" s="19"/>
      <c r="CF540" s="19"/>
      <c r="CG540" s="19"/>
      <c r="CH540" s="19"/>
      <c r="CI540" s="19"/>
      <c r="CJ540" s="19"/>
      <c r="CK540" s="19"/>
      <c r="CL540" s="19"/>
      <c r="CM540" s="19"/>
      <c r="CN540" s="19"/>
      <c r="CO540" s="19"/>
      <c r="CP540" s="19"/>
      <c r="CQ540" s="19"/>
      <c r="CR540" s="19"/>
      <c r="CS540" s="19"/>
      <c r="CT540" s="19"/>
      <c r="CU540" s="19"/>
      <c r="CV540" s="19"/>
      <c r="CW540" s="19"/>
      <c r="CX540" s="19"/>
      <c r="CY540" s="19"/>
      <c r="CZ540" s="19"/>
      <c r="DA540" s="19"/>
      <c r="DB540" s="19"/>
      <c r="DC540" s="19"/>
      <c r="DD540" s="19"/>
      <c r="DE540" s="19"/>
      <c r="DF540" s="19"/>
      <c r="DG540" s="19"/>
      <c r="DH540" s="19"/>
      <c r="DI540" s="19"/>
      <c r="DJ540" s="19"/>
      <c r="DK540" s="19"/>
      <c r="DL540" s="19"/>
      <c r="DM540" s="19"/>
      <c r="DN540" s="19"/>
      <c r="DO540" s="19"/>
      <c r="DP540" s="19"/>
      <c r="DQ540" s="19"/>
      <c r="DR540" s="19"/>
      <c r="DS540" s="19"/>
      <c r="DT540" s="19"/>
      <c r="DU540" s="19"/>
      <c r="DV540" s="19"/>
      <c r="DW540" s="19"/>
      <c r="DX540" s="19"/>
      <c r="DY540" s="19"/>
      <c r="DZ540" s="19"/>
      <c r="EA540" s="19"/>
      <c r="EB540" s="19"/>
      <c r="EC540" s="19"/>
      <c r="ED540" s="19"/>
      <c r="EE540" s="19"/>
      <c r="EF540" s="19"/>
      <c r="EG540" s="19"/>
      <c r="EH540" s="19"/>
      <c r="EI540" s="19"/>
      <c r="EJ540" s="19"/>
      <c r="EK540" s="19"/>
      <c r="EL540" s="19"/>
      <c r="EM540" s="19"/>
      <c r="EN540" s="19"/>
      <c r="EO540" s="19"/>
      <c r="EP540" s="17"/>
      <c r="EQ540" s="23"/>
      <c r="ER540" s="23" t="str">
        <f t="shared" si="1"/>
        <v/>
      </c>
      <c r="ES540" s="19"/>
      <c r="ET540" s="19" t="str">
        <f t="shared" si="2"/>
        <v/>
      </c>
      <c r="EU540" s="19"/>
      <c r="EV540" s="19"/>
      <c r="EW540" s="19"/>
      <c r="EX540" s="19"/>
      <c r="EY540" s="19"/>
      <c r="EZ540" s="19"/>
      <c r="FA540" s="19"/>
      <c r="FB540" s="19"/>
    </row>
    <row r="541" ht="15.75" customHeight="1">
      <c r="A541" s="19"/>
      <c r="F541" s="19"/>
      <c r="AH541" s="23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  <c r="BD541" s="19"/>
      <c r="BE541" s="19"/>
      <c r="BF541" s="19"/>
      <c r="BG541" s="19"/>
      <c r="BH541" s="19"/>
      <c r="BI541" s="19"/>
      <c r="BJ541" s="19"/>
      <c r="BK541" s="19"/>
      <c r="BL541" s="19"/>
      <c r="BM541" s="19"/>
      <c r="BN541" s="19"/>
      <c r="BO541" s="19"/>
      <c r="BP541" s="19"/>
      <c r="BQ541" s="19"/>
      <c r="BR541" s="19"/>
      <c r="BS541" s="19"/>
      <c r="BT541" s="19"/>
      <c r="BU541" s="19"/>
      <c r="BV541" s="19"/>
      <c r="BW541" s="19"/>
      <c r="BX541" s="19"/>
      <c r="BY541" s="19"/>
      <c r="BZ541" s="19"/>
      <c r="CA541" s="19"/>
      <c r="CB541" s="19"/>
      <c r="CC541" s="19"/>
      <c r="CD541" s="19"/>
      <c r="CE541" s="19"/>
      <c r="CF541" s="19"/>
      <c r="CG541" s="19"/>
      <c r="CH541" s="19"/>
      <c r="CI541" s="19"/>
      <c r="CJ541" s="19"/>
      <c r="CK541" s="19"/>
      <c r="CL541" s="19"/>
      <c r="CM541" s="19"/>
      <c r="CN541" s="19"/>
      <c r="CO541" s="19"/>
      <c r="CP541" s="19"/>
      <c r="CQ541" s="19"/>
      <c r="CR541" s="19"/>
      <c r="CS541" s="19"/>
      <c r="CT541" s="19"/>
      <c r="CU541" s="19"/>
      <c r="CV541" s="19"/>
      <c r="CW541" s="19"/>
      <c r="CX541" s="19"/>
      <c r="CY541" s="19"/>
      <c r="CZ541" s="19"/>
      <c r="DA541" s="19"/>
      <c r="DB541" s="19"/>
      <c r="DC541" s="19"/>
      <c r="DD541" s="19"/>
      <c r="DE541" s="19"/>
      <c r="DF541" s="19"/>
      <c r="DG541" s="19"/>
      <c r="DH541" s="19"/>
      <c r="DI541" s="19"/>
      <c r="DJ541" s="19"/>
      <c r="DK541" s="19"/>
      <c r="DL541" s="19"/>
      <c r="DM541" s="19"/>
      <c r="DN541" s="19"/>
      <c r="DO541" s="19"/>
      <c r="DP541" s="19"/>
      <c r="DQ541" s="19"/>
      <c r="DR541" s="19"/>
      <c r="DS541" s="19"/>
      <c r="DT541" s="19"/>
      <c r="DU541" s="19"/>
      <c r="DV541" s="19"/>
      <c r="DW541" s="19"/>
      <c r="DX541" s="19"/>
      <c r="DY541" s="19"/>
      <c r="DZ541" s="19"/>
      <c r="EA541" s="19"/>
      <c r="EB541" s="19"/>
      <c r="EC541" s="19"/>
      <c r="ED541" s="19"/>
      <c r="EE541" s="19"/>
      <c r="EF541" s="19"/>
      <c r="EG541" s="19"/>
      <c r="EH541" s="19"/>
      <c r="EI541" s="19"/>
      <c r="EJ541" s="19"/>
      <c r="EK541" s="19"/>
      <c r="EL541" s="19"/>
      <c r="EM541" s="19"/>
      <c r="EN541" s="19"/>
      <c r="EO541" s="19"/>
      <c r="EP541" s="17"/>
      <c r="EQ541" s="23"/>
      <c r="ER541" s="23" t="str">
        <f t="shared" si="1"/>
        <v/>
      </c>
      <c r="ES541" s="19"/>
      <c r="ET541" s="19" t="str">
        <f t="shared" si="2"/>
        <v/>
      </c>
      <c r="EU541" s="19"/>
      <c r="EV541" s="19"/>
      <c r="EW541" s="19"/>
      <c r="EX541" s="19"/>
      <c r="EY541" s="19"/>
      <c r="EZ541" s="19"/>
      <c r="FA541" s="19"/>
      <c r="FB541" s="19"/>
    </row>
    <row r="542" ht="15.75" customHeight="1">
      <c r="A542" s="19"/>
      <c r="F542" s="19"/>
      <c r="AH542" s="23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  <c r="BD542" s="19"/>
      <c r="BE542" s="19"/>
      <c r="BF542" s="19"/>
      <c r="BG542" s="19"/>
      <c r="BH542" s="19"/>
      <c r="BI542" s="19"/>
      <c r="BJ542" s="19"/>
      <c r="BK542" s="19"/>
      <c r="BL542" s="19"/>
      <c r="BM542" s="19"/>
      <c r="BN542" s="19"/>
      <c r="BO542" s="19"/>
      <c r="BP542" s="19"/>
      <c r="BQ542" s="19"/>
      <c r="BR542" s="19"/>
      <c r="BS542" s="19"/>
      <c r="BT542" s="19"/>
      <c r="BU542" s="19"/>
      <c r="BV542" s="19"/>
      <c r="BW542" s="19"/>
      <c r="BX542" s="19"/>
      <c r="BY542" s="19"/>
      <c r="BZ542" s="19"/>
      <c r="CA542" s="19"/>
      <c r="CB542" s="19"/>
      <c r="CC542" s="19"/>
      <c r="CD542" s="19"/>
      <c r="CE542" s="19"/>
      <c r="CF542" s="19"/>
      <c r="CG542" s="19"/>
      <c r="CH542" s="19"/>
      <c r="CI542" s="19"/>
      <c r="CJ542" s="19"/>
      <c r="CK542" s="19"/>
      <c r="CL542" s="19"/>
      <c r="CM542" s="19"/>
      <c r="CN542" s="19"/>
      <c r="CO542" s="19"/>
      <c r="CP542" s="19"/>
      <c r="CQ542" s="19"/>
      <c r="CR542" s="19"/>
      <c r="CS542" s="19"/>
      <c r="CT542" s="19"/>
      <c r="CU542" s="19"/>
      <c r="CV542" s="19"/>
      <c r="CW542" s="19"/>
      <c r="CX542" s="19"/>
      <c r="CY542" s="19"/>
      <c r="CZ542" s="19"/>
      <c r="DA542" s="19"/>
      <c r="DB542" s="19"/>
      <c r="DC542" s="19"/>
      <c r="DD542" s="19"/>
      <c r="DE542" s="19"/>
      <c r="DF542" s="19"/>
      <c r="DG542" s="19"/>
      <c r="DH542" s="19"/>
      <c r="DI542" s="19"/>
      <c r="DJ542" s="19"/>
      <c r="DK542" s="19"/>
      <c r="DL542" s="19"/>
      <c r="DM542" s="19"/>
      <c r="DN542" s="19"/>
      <c r="DO542" s="19"/>
      <c r="DP542" s="19"/>
      <c r="DQ542" s="19"/>
      <c r="DR542" s="19"/>
      <c r="DS542" s="19"/>
      <c r="DT542" s="19"/>
      <c r="DU542" s="19"/>
      <c r="DV542" s="19"/>
      <c r="DW542" s="19"/>
      <c r="DX542" s="19"/>
      <c r="DY542" s="19"/>
      <c r="DZ542" s="19"/>
      <c r="EA542" s="19"/>
      <c r="EB542" s="19"/>
      <c r="EC542" s="19"/>
      <c r="ED542" s="19"/>
      <c r="EE542" s="19"/>
      <c r="EF542" s="19"/>
      <c r="EG542" s="19"/>
      <c r="EH542" s="19"/>
      <c r="EI542" s="19"/>
      <c r="EJ542" s="19"/>
      <c r="EK542" s="19"/>
      <c r="EL542" s="19"/>
      <c r="EM542" s="19"/>
      <c r="EN542" s="19"/>
      <c r="EO542" s="19"/>
      <c r="EP542" s="17"/>
      <c r="EQ542" s="23"/>
      <c r="ER542" s="23" t="str">
        <f t="shared" si="1"/>
        <v/>
      </c>
      <c r="ES542" s="19"/>
      <c r="ET542" s="19" t="str">
        <f t="shared" si="2"/>
        <v/>
      </c>
      <c r="EU542" s="19"/>
      <c r="EV542" s="19"/>
      <c r="EW542" s="19"/>
      <c r="EX542" s="19"/>
      <c r="EY542" s="19"/>
      <c r="EZ542" s="19"/>
      <c r="FA542" s="19"/>
      <c r="FB542" s="19"/>
    </row>
    <row r="543" ht="15.75" customHeight="1">
      <c r="A543" s="19"/>
      <c r="F543" s="19"/>
      <c r="AH543" s="23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  <c r="BD543" s="19"/>
      <c r="BE543" s="19"/>
      <c r="BF543" s="19"/>
      <c r="BG543" s="19"/>
      <c r="BH543" s="19"/>
      <c r="BI543" s="19"/>
      <c r="BJ543" s="19"/>
      <c r="BK543" s="19"/>
      <c r="BL543" s="19"/>
      <c r="BM543" s="19"/>
      <c r="BN543" s="19"/>
      <c r="BO543" s="19"/>
      <c r="BP543" s="19"/>
      <c r="BQ543" s="19"/>
      <c r="BR543" s="19"/>
      <c r="BS543" s="19"/>
      <c r="BT543" s="19"/>
      <c r="BU543" s="19"/>
      <c r="BV543" s="19"/>
      <c r="BW543" s="19"/>
      <c r="BX543" s="19"/>
      <c r="BY543" s="19"/>
      <c r="BZ543" s="19"/>
      <c r="CA543" s="19"/>
      <c r="CB543" s="19"/>
      <c r="CC543" s="19"/>
      <c r="CD543" s="19"/>
      <c r="CE543" s="19"/>
      <c r="CF543" s="19"/>
      <c r="CG543" s="19"/>
      <c r="CH543" s="19"/>
      <c r="CI543" s="19"/>
      <c r="CJ543" s="19"/>
      <c r="CK543" s="19"/>
      <c r="CL543" s="19"/>
      <c r="CM543" s="19"/>
      <c r="CN543" s="19"/>
      <c r="CO543" s="19"/>
      <c r="CP543" s="19"/>
      <c r="CQ543" s="19"/>
      <c r="CR543" s="19"/>
      <c r="CS543" s="19"/>
      <c r="CT543" s="19"/>
      <c r="CU543" s="19"/>
      <c r="CV543" s="19"/>
      <c r="CW543" s="19"/>
      <c r="CX543" s="19"/>
      <c r="CY543" s="19"/>
      <c r="CZ543" s="19"/>
      <c r="DA543" s="19"/>
      <c r="DB543" s="19"/>
      <c r="DC543" s="19"/>
      <c r="DD543" s="19"/>
      <c r="DE543" s="19"/>
      <c r="DF543" s="19"/>
      <c r="DG543" s="19"/>
      <c r="DH543" s="19"/>
      <c r="DI543" s="19"/>
      <c r="DJ543" s="19"/>
      <c r="DK543" s="19"/>
      <c r="DL543" s="19"/>
      <c r="DM543" s="19"/>
      <c r="DN543" s="19"/>
      <c r="DO543" s="19"/>
      <c r="DP543" s="19"/>
      <c r="DQ543" s="19"/>
      <c r="DR543" s="19"/>
      <c r="DS543" s="19"/>
      <c r="DT543" s="19"/>
      <c r="DU543" s="19"/>
      <c r="DV543" s="19"/>
      <c r="DW543" s="19"/>
      <c r="DX543" s="19"/>
      <c r="DY543" s="19"/>
      <c r="DZ543" s="19"/>
      <c r="EA543" s="19"/>
      <c r="EB543" s="19"/>
      <c r="EC543" s="19"/>
      <c r="ED543" s="19"/>
      <c r="EE543" s="19"/>
      <c r="EF543" s="19"/>
      <c r="EG543" s="19"/>
      <c r="EH543" s="19"/>
      <c r="EI543" s="19"/>
      <c r="EJ543" s="19"/>
      <c r="EK543" s="19"/>
      <c r="EL543" s="19"/>
      <c r="EM543" s="19"/>
      <c r="EN543" s="19"/>
      <c r="EO543" s="19"/>
      <c r="EP543" s="17"/>
      <c r="EQ543" s="23"/>
      <c r="ER543" s="23" t="str">
        <f t="shared" si="1"/>
        <v/>
      </c>
      <c r="ES543" s="19"/>
      <c r="ET543" s="19" t="str">
        <f t="shared" si="2"/>
        <v/>
      </c>
      <c r="EU543" s="19"/>
      <c r="EV543" s="19"/>
      <c r="EW543" s="19"/>
      <c r="EX543" s="19"/>
      <c r="EY543" s="19"/>
      <c r="EZ543" s="19"/>
      <c r="FA543" s="19"/>
      <c r="FB543" s="19"/>
    </row>
    <row r="544" ht="15.75" customHeight="1">
      <c r="A544" s="19"/>
      <c r="F544" s="19"/>
      <c r="AH544" s="23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  <c r="BD544" s="19"/>
      <c r="BE544" s="19"/>
      <c r="BF544" s="19"/>
      <c r="BG544" s="19"/>
      <c r="BH544" s="19"/>
      <c r="BI544" s="19"/>
      <c r="BJ544" s="19"/>
      <c r="BK544" s="19"/>
      <c r="BL544" s="19"/>
      <c r="BM544" s="19"/>
      <c r="BN544" s="19"/>
      <c r="BO544" s="19"/>
      <c r="BP544" s="19"/>
      <c r="BQ544" s="19"/>
      <c r="BR544" s="19"/>
      <c r="BS544" s="19"/>
      <c r="BT544" s="19"/>
      <c r="BU544" s="19"/>
      <c r="BV544" s="19"/>
      <c r="BW544" s="19"/>
      <c r="BX544" s="19"/>
      <c r="BY544" s="19"/>
      <c r="BZ544" s="19"/>
      <c r="CA544" s="19"/>
      <c r="CB544" s="19"/>
      <c r="CC544" s="19"/>
      <c r="CD544" s="19"/>
      <c r="CE544" s="19"/>
      <c r="CF544" s="19"/>
      <c r="CG544" s="19"/>
      <c r="CH544" s="19"/>
      <c r="CI544" s="19"/>
      <c r="CJ544" s="19"/>
      <c r="CK544" s="19"/>
      <c r="CL544" s="19"/>
      <c r="CM544" s="19"/>
      <c r="CN544" s="19"/>
      <c r="CO544" s="19"/>
      <c r="CP544" s="19"/>
      <c r="CQ544" s="19"/>
      <c r="CR544" s="19"/>
      <c r="CS544" s="19"/>
      <c r="CT544" s="19"/>
      <c r="CU544" s="19"/>
      <c r="CV544" s="19"/>
      <c r="CW544" s="19"/>
      <c r="CX544" s="19"/>
      <c r="CY544" s="19"/>
      <c r="CZ544" s="19"/>
      <c r="DA544" s="19"/>
      <c r="DB544" s="19"/>
      <c r="DC544" s="19"/>
      <c r="DD544" s="19"/>
      <c r="DE544" s="19"/>
      <c r="DF544" s="19"/>
      <c r="DG544" s="19"/>
      <c r="DH544" s="19"/>
      <c r="DI544" s="19"/>
      <c r="DJ544" s="19"/>
      <c r="DK544" s="19"/>
      <c r="DL544" s="19"/>
      <c r="DM544" s="19"/>
      <c r="DN544" s="19"/>
      <c r="DO544" s="19"/>
      <c r="DP544" s="19"/>
      <c r="DQ544" s="19"/>
      <c r="DR544" s="19"/>
      <c r="DS544" s="19"/>
      <c r="DT544" s="19"/>
      <c r="DU544" s="19"/>
      <c r="DV544" s="19"/>
      <c r="DW544" s="19"/>
      <c r="DX544" s="19"/>
      <c r="DY544" s="19"/>
      <c r="DZ544" s="19"/>
      <c r="EA544" s="19"/>
      <c r="EB544" s="19"/>
      <c r="EC544" s="19"/>
      <c r="ED544" s="19"/>
      <c r="EE544" s="19"/>
      <c r="EF544" s="19"/>
      <c r="EG544" s="19"/>
      <c r="EH544" s="19"/>
      <c r="EI544" s="19"/>
      <c r="EJ544" s="19"/>
      <c r="EK544" s="19"/>
      <c r="EL544" s="19"/>
      <c r="EM544" s="19"/>
      <c r="EN544" s="19"/>
      <c r="EO544" s="19"/>
      <c r="EP544" s="17"/>
      <c r="EQ544" s="23"/>
      <c r="ER544" s="23" t="str">
        <f t="shared" si="1"/>
        <v/>
      </c>
      <c r="ES544" s="19"/>
      <c r="ET544" s="19" t="str">
        <f t="shared" si="2"/>
        <v/>
      </c>
      <c r="EU544" s="19"/>
      <c r="EV544" s="19"/>
      <c r="EW544" s="19"/>
      <c r="EX544" s="19"/>
      <c r="EY544" s="19"/>
      <c r="EZ544" s="19"/>
      <c r="FA544" s="19"/>
      <c r="FB544" s="19"/>
    </row>
    <row r="545" ht="15.75" customHeight="1">
      <c r="A545" s="19"/>
      <c r="F545" s="19"/>
      <c r="AH545" s="23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  <c r="BD545" s="19"/>
      <c r="BE545" s="19"/>
      <c r="BF545" s="19"/>
      <c r="BG545" s="19"/>
      <c r="BH545" s="19"/>
      <c r="BI545" s="19"/>
      <c r="BJ545" s="19"/>
      <c r="BK545" s="19"/>
      <c r="BL545" s="19"/>
      <c r="BM545" s="19"/>
      <c r="BN545" s="19"/>
      <c r="BO545" s="19"/>
      <c r="BP545" s="19"/>
      <c r="BQ545" s="19"/>
      <c r="BR545" s="19"/>
      <c r="BS545" s="19"/>
      <c r="BT545" s="19"/>
      <c r="BU545" s="19"/>
      <c r="BV545" s="19"/>
      <c r="BW545" s="19"/>
      <c r="BX545" s="19"/>
      <c r="BY545" s="19"/>
      <c r="BZ545" s="19"/>
      <c r="CA545" s="19"/>
      <c r="CB545" s="19"/>
      <c r="CC545" s="19"/>
      <c r="CD545" s="19"/>
      <c r="CE545" s="19"/>
      <c r="CF545" s="19"/>
      <c r="CG545" s="19"/>
      <c r="CH545" s="19"/>
      <c r="CI545" s="19"/>
      <c r="CJ545" s="19"/>
      <c r="CK545" s="19"/>
      <c r="CL545" s="19"/>
      <c r="CM545" s="19"/>
      <c r="CN545" s="19"/>
      <c r="CO545" s="19"/>
      <c r="CP545" s="19"/>
      <c r="CQ545" s="19"/>
      <c r="CR545" s="19"/>
      <c r="CS545" s="19"/>
      <c r="CT545" s="19"/>
      <c r="CU545" s="19"/>
      <c r="CV545" s="19"/>
      <c r="CW545" s="19"/>
      <c r="CX545" s="19"/>
      <c r="CY545" s="19"/>
      <c r="CZ545" s="19"/>
      <c r="DA545" s="19"/>
      <c r="DB545" s="19"/>
      <c r="DC545" s="19"/>
      <c r="DD545" s="19"/>
      <c r="DE545" s="19"/>
      <c r="DF545" s="19"/>
      <c r="DG545" s="19"/>
      <c r="DH545" s="19"/>
      <c r="DI545" s="19"/>
      <c r="DJ545" s="19"/>
      <c r="DK545" s="19"/>
      <c r="DL545" s="19"/>
      <c r="DM545" s="19"/>
      <c r="DN545" s="19"/>
      <c r="DO545" s="19"/>
      <c r="DP545" s="19"/>
      <c r="DQ545" s="19"/>
      <c r="DR545" s="19"/>
      <c r="DS545" s="19"/>
      <c r="DT545" s="19"/>
      <c r="DU545" s="19"/>
      <c r="DV545" s="19"/>
      <c r="DW545" s="19"/>
      <c r="DX545" s="19"/>
      <c r="DY545" s="19"/>
      <c r="DZ545" s="19"/>
      <c r="EA545" s="19"/>
      <c r="EB545" s="19"/>
      <c r="EC545" s="19"/>
      <c r="ED545" s="19"/>
      <c r="EE545" s="19"/>
      <c r="EF545" s="19"/>
      <c r="EG545" s="19"/>
      <c r="EH545" s="19"/>
      <c r="EI545" s="19"/>
      <c r="EJ545" s="19"/>
      <c r="EK545" s="19"/>
      <c r="EL545" s="19"/>
      <c r="EM545" s="19"/>
      <c r="EN545" s="19"/>
      <c r="EO545" s="19"/>
      <c r="EP545" s="17"/>
      <c r="EQ545" s="23"/>
      <c r="ER545" s="23" t="str">
        <f t="shared" si="1"/>
        <v/>
      </c>
      <c r="ES545" s="19"/>
      <c r="ET545" s="19" t="str">
        <f t="shared" si="2"/>
        <v/>
      </c>
      <c r="EU545" s="19"/>
      <c r="EV545" s="19"/>
      <c r="EW545" s="19"/>
      <c r="EX545" s="19"/>
      <c r="EY545" s="19"/>
      <c r="EZ545" s="19"/>
      <c r="FA545" s="19"/>
      <c r="FB545" s="19"/>
    </row>
    <row r="546" ht="15.75" customHeight="1">
      <c r="A546" s="19"/>
      <c r="F546" s="19"/>
      <c r="AH546" s="23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  <c r="BD546" s="19"/>
      <c r="BE546" s="19"/>
      <c r="BF546" s="19"/>
      <c r="BG546" s="19"/>
      <c r="BH546" s="19"/>
      <c r="BI546" s="19"/>
      <c r="BJ546" s="19"/>
      <c r="BK546" s="19"/>
      <c r="BL546" s="19"/>
      <c r="BM546" s="19"/>
      <c r="BN546" s="19"/>
      <c r="BO546" s="19"/>
      <c r="BP546" s="19"/>
      <c r="BQ546" s="19"/>
      <c r="BR546" s="19"/>
      <c r="BS546" s="19"/>
      <c r="BT546" s="19"/>
      <c r="BU546" s="19"/>
      <c r="BV546" s="19"/>
      <c r="BW546" s="19"/>
      <c r="BX546" s="19"/>
      <c r="BY546" s="19"/>
      <c r="BZ546" s="19"/>
      <c r="CA546" s="19"/>
      <c r="CB546" s="19"/>
      <c r="CC546" s="19"/>
      <c r="CD546" s="19"/>
      <c r="CE546" s="19"/>
      <c r="CF546" s="19"/>
      <c r="CG546" s="19"/>
      <c r="CH546" s="19"/>
      <c r="CI546" s="19"/>
      <c r="CJ546" s="19"/>
      <c r="CK546" s="19"/>
      <c r="CL546" s="19"/>
      <c r="CM546" s="19"/>
      <c r="CN546" s="19"/>
      <c r="CO546" s="19"/>
      <c r="CP546" s="19"/>
      <c r="CQ546" s="19"/>
      <c r="CR546" s="19"/>
      <c r="CS546" s="19"/>
      <c r="CT546" s="19"/>
      <c r="CU546" s="19"/>
      <c r="CV546" s="19"/>
      <c r="CW546" s="19"/>
      <c r="CX546" s="19"/>
      <c r="CY546" s="19"/>
      <c r="CZ546" s="19"/>
      <c r="DA546" s="19"/>
      <c r="DB546" s="19"/>
      <c r="DC546" s="19"/>
      <c r="DD546" s="19"/>
      <c r="DE546" s="19"/>
      <c r="DF546" s="19"/>
      <c r="DG546" s="19"/>
      <c r="DH546" s="19"/>
      <c r="DI546" s="19"/>
      <c r="DJ546" s="19"/>
      <c r="DK546" s="19"/>
      <c r="DL546" s="19"/>
      <c r="DM546" s="19"/>
      <c r="DN546" s="19"/>
      <c r="DO546" s="19"/>
      <c r="DP546" s="19"/>
      <c r="DQ546" s="19"/>
      <c r="DR546" s="19"/>
      <c r="DS546" s="19"/>
      <c r="DT546" s="19"/>
      <c r="DU546" s="19"/>
      <c r="DV546" s="19"/>
      <c r="DW546" s="19"/>
      <c r="DX546" s="19"/>
      <c r="DY546" s="19"/>
      <c r="DZ546" s="19"/>
      <c r="EA546" s="19"/>
      <c r="EB546" s="19"/>
      <c r="EC546" s="19"/>
      <c r="ED546" s="19"/>
      <c r="EE546" s="19"/>
      <c r="EF546" s="19"/>
      <c r="EG546" s="19"/>
      <c r="EH546" s="19"/>
      <c r="EI546" s="19"/>
      <c r="EJ546" s="19"/>
      <c r="EK546" s="19"/>
      <c r="EL546" s="19"/>
      <c r="EM546" s="19"/>
      <c r="EN546" s="19"/>
      <c r="EO546" s="19"/>
      <c r="EP546" s="17"/>
      <c r="EQ546" s="23"/>
      <c r="ER546" s="23" t="str">
        <f t="shared" si="1"/>
        <v/>
      </c>
      <c r="ES546" s="19"/>
      <c r="ET546" s="19" t="str">
        <f t="shared" si="2"/>
        <v/>
      </c>
      <c r="EU546" s="19"/>
      <c r="EV546" s="19"/>
      <c r="EW546" s="19"/>
      <c r="EX546" s="19"/>
      <c r="EY546" s="19"/>
      <c r="EZ546" s="19"/>
      <c r="FA546" s="19"/>
      <c r="FB546" s="19"/>
    </row>
    <row r="547" ht="15.75" customHeight="1">
      <c r="A547" s="19"/>
      <c r="F547" s="19"/>
      <c r="AH547" s="23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  <c r="BD547" s="19"/>
      <c r="BE547" s="19"/>
      <c r="BF547" s="19"/>
      <c r="BG547" s="19"/>
      <c r="BH547" s="19"/>
      <c r="BI547" s="19"/>
      <c r="BJ547" s="19"/>
      <c r="BK547" s="19"/>
      <c r="BL547" s="19"/>
      <c r="BM547" s="19"/>
      <c r="BN547" s="19"/>
      <c r="BO547" s="19"/>
      <c r="BP547" s="19"/>
      <c r="BQ547" s="19"/>
      <c r="BR547" s="19"/>
      <c r="BS547" s="19"/>
      <c r="BT547" s="19"/>
      <c r="BU547" s="19"/>
      <c r="BV547" s="19"/>
      <c r="BW547" s="19"/>
      <c r="BX547" s="19"/>
      <c r="BY547" s="19"/>
      <c r="BZ547" s="19"/>
      <c r="CA547" s="19"/>
      <c r="CB547" s="19"/>
      <c r="CC547" s="19"/>
      <c r="CD547" s="19"/>
      <c r="CE547" s="19"/>
      <c r="CF547" s="19"/>
      <c r="CG547" s="19"/>
      <c r="CH547" s="19"/>
      <c r="CI547" s="19"/>
      <c r="CJ547" s="19"/>
      <c r="CK547" s="19"/>
      <c r="CL547" s="19"/>
      <c r="CM547" s="19"/>
      <c r="CN547" s="19"/>
      <c r="CO547" s="19"/>
      <c r="CP547" s="19"/>
      <c r="CQ547" s="19"/>
      <c r="CR547" s="19"/>
      <c r="CS547" s="19"/>
      <c r="CT547" s="19"/>
      <c r="CU547" s="19"/>
      <c r="CV547" s="19"/>
      <c r="CW547" s="19"/>
      <c r="CX547" s="19"/>
      <c r="CY547" s="19"/>
      <c r="CZ547" s="19"/>
      <c r="DA547" s="19"/>
      <c r="DB547" s="19"/>
      <c r="DC547" s="19"/>
      <c r="DD547" s="19"/>
      <c r="DE547" s="19"/>
      <c r="DF547" s="19"/>
      <c r="DG547" s="19"/>
      <c r="DH547" s="19"/>
      <c r="DI547" s="19"/>
      <c r="DJ547" s="19"/>
      <c r="DK547" s="19"/>
      <c r="DL547" s="19"/>
      <c r="DM547" s="19"/>
      <c r="DN547" s="19"/>
      <c r="DO547" s="19"/>
      <c r="DP547" s="19"/>
      <c r="DQ547" s="19"/>
      <c r="DR547" s="19"/>
      <c r="DS547" s="19"/>
      <c r="DT547" s="19"/>
      <c r="DU547" s="19"/>
      <c r="DV547" s="19"/>
      <c r="DW547" s="19"/>
      <c r="DX547" s="19"/>
      <c r="DY547" s="19"/>
      <c r="DZ547" s="19"/>
      <c r="EA547" s="19"/>
      <c r="EB547" s="19"/>
      <c r="EC547" s="19"/>
      <c r="ED547" s="19"/>
      <c r="EE547" s="19"/>
      <c r="EF547" s="19"/>
      <c r="EG547" s="19"/>
      <c r="EH547" s="19"/>
      <c r="EI547" s="19"/>
      <c r="EJ547" s="19"/>
      <c r="EK547" s="19"/>
      <c r="EL547" s="19"/>
      <c r="EM547" s="19"/>
      <c r="EN547" s="19"/>
      <c r="EO547" s="19"/>
      <c r="EP547" s="17"/>
      <c r="EQ547" s="23"/>
      <c r="ER547" s="23" t="str">
        <f t="shared" si="1"/>
        <v/>
      </c>
      <c r="ES547" s="19"/>
      <c r="ET547" s="19" t="str">
        <f t="shared" si="2"/>
        <v/>
      </c>
      <c r="EU547" s="19"/>
      <c r="EV547" s="19"/>
      <c r="EW547" s="19"/>
      <c r="EX547" s="19"/>
      <c r="EY547" s="19"/>
      <c r="EZ547" s="19"/>
      <c r="FA547" s="19"/>
      <c r="FB547" s="19"/>
    </row>
    <row r="548" ht="15.75" customHeight="1">
      <c r="A548" s="19"/>
      <c r="F548" s="19"/>
      <c r="AH548" s="23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  <c r="BD548" s="19"/>
      <c r="BE548" s="19"/>
      <c r="BF548" s="19"/>
      <c r="BG548" s="19"/>
      <c r="BH548" s="19"/>
      <c r="BI548" s="19"/>
      <c r="BJ548" s="19"/>
      <c r="BK548" s="19"/>
      <c r="BL548" s="19"/>
      <c r="BM548" s="19"/>
      <c r="BN548" s="19"/>
      <c r="BO548" s="19"/>
      <c r="BP548" s="19"/>
      <c r="BQ548" s="19"/>
      <c r="BR548" s="19"/>
      <c r="BS548" s="19"/>
      <c r="BT548" s="19"/>
      <c r="BU548" s="19"/>
      <c r="BV548" s="19"/>
      <c r="BW548" s="19"/>
      <c r="BX548" s="19"/>
      <c r="BY548" s="19"/>
      <c r="BZ548" s="19"/>
      <c r="CA548" s="19"/>
      <c r="CB548" s="19"/>
      <c r="CC548" s="19"/>
      <c r="CD548" s="19"/>
      <c r="CE548" s="19"/>
      <c r="CF548" s="19"/>
      <c r="CG548" s="19"/>
      <c r="CH548" s="19"/>
      <c r="CI548" s="19"/>
      <c r="CJ548" s="19"/>
      <c r="CK548" s="19"/>
      <c r="CL548" s="19"/>
      <c r="CM548" s="19"/>
      <c r="CN548" s="19"/>
      <c r="CO548" s="19"/>
      <c r="CP548" s="19"/>
      <c r="CQ548" s="19"/>
      <c r="CR548" s="19"/>
      <c r="CS548" s="19"/>
      <c r="CT548" s="19"/>
      <c r="CU548" s="19"/>
      <c r="CV548" s="19"/>
      <c r="CW548" s="19"/>
      <c r="CX548" s="19"/>
      <c r="CY548" s="19"/>
      <c r="CZ548" s="19"/>
      <c r="DA548" s="19"/>
      <c r="DB548" s="19"/>
      <c r="DC548" s="19"/>
      <c r="DD548" s="19"/>
      <c r="DE548" s="19"/>
      <c r="DF548" s="19"/>
      <c r="DG548" s="19"/>
      <c r="DH548" s="19"/>
      <c r="DI548" s="19"/>
      <c r="DJ548" s="19"/>
      <c r="DK548" s="19"/>
      <c r="DL548" s="19"/>
      <c r="DM548" s="19"/>
      <c r="DN548" s="19"/>
      <c r="DO548" s="19"/>
      <c r="DP548" s="19"/>
      <c r="DQ548" s="19"/>
      <c r="DR548" s="19"/>
      <c r="DS548" s="19"/>
      <c r="DT548" s="19"/>
      <c r="DU548" s="19"/>
      <c r="DV548" s="19"/>
      <c r="DW548" s="19"/>
      <c r="DX548" s="19"/>
      <c r="DY548" s="19"/>
      <c r="DZ548" s="19"/>
      <c r="EA548" s="19"/>
      <c r="EB548" s="19"/>
      <c r="EC548" s="19"/>
      <c r="ED548" s="19"/>
      <c r="EE548" s="19"/>
      <c r="EF548" s="19"/>
      <c r="EG548" s="19"/>
      <c r="EH548" s="19"/>
      <c r="EI548" s="19"/>
      <c r="EJ548" s="19"/>
      <c r="EK548" s="19"/>
      <c r="EL548" s="19"/>
      <c r="EM548" s="19"/>
      <c r="EN548" s="19"/>
      <c r="EO548" s="19"/>
      <c r="EP548" s="17"/>
      <c r="EQ548" s="23"/>
      <c r="ER548" s="23" t="str">
        <f t="shared" si="1"/>
        <v/>
      </c>
      <c r="ES548" s="19"/>
      <c r="ET548" s="19" t="str">
        <f t="shared" si="2"/>
        <v/>
      </c>
      <c r="EU548" s="19"/>
      <c r="EV548" s="19"/>
      <c r="EW548" s="19"/>
      <c r="EX548" s="19"/>
      <c r="EY548" s="19"/>
      <c r="EZ548" s="19"/>
      <c r="FA548" s="19"/>
      <c r="FB548" s="19"/>
    </row>
    <row r="549" ht="15.75" customHeight="1">
      <c r="A549" s="19"/>
      <c r="F549" s="19"/>
      <c r="AH549" s="23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  <c r="BD549" s="19"/>
      <c r="BE549" s="19"/>
      <c r="BF549" s="19"/>
      <c r="BG549" s="19"/>
      <c r="BH549" s="19"/>
      <c r="BI549" s="19"/>
      <c r="BJ549" s="19"/>
      <c r="BK549" s="19"/>
      <c r="BL549" s="19"/>
      <c r="BM549" s="19"/>
      <c r="BN549" s="19"/>
      <c r="BO549" s="19"/>
      <c r="BP549" s="19"/>
      <c r="BQ549" s="19"/>
      <c r="BR549" s="19"/>
      <c r="BS549" s="19"/>
      <c r="BT549" s="19"/>
      <c r="BU549" s="19"/>
      <c r="BV549" s="19"/>
      <c r="BW549" s="19"/>
      <c r="BX549" s="19"/>
      <c r="BY549" s="19"/>
      <c r="BZ549" s="19"/>
      <c r="CA549" s="19"/>
      <c r="CB549" s="19"/>
      <c r="CC549" s="19"/>
      <c r="CD549" s="19"/>
      <c r="CE549" s="19"/>
      <c r="CF549" s="19"/>
      <c r="CG549" s="19"/>
      <c r="CH549" s="19"/>
      <c r="CI549" s="19"/>
      <c r="CJ549" s="19"/>
      <c r="CK549" s="19"/>
      <c r="CL549" s="19"/>
      <c r="CM549" s="19"/>
      <c r="CN549" s="19"/>
      <c r="CO549" s="19"/>
      <c r="CP549" s="19"/>
      <c r="CQ549" s="19"/>
      <c r="CR549" s="19"/>
      <c r="CS549" s="19"/>
      <c r="CT549" s="19"/>
      <c r="CU549" s="19"/>
      <c r="CV549" s="19"/>
      <c r="CW549" s="19"/>
      <c r="CX549" s="19"/>
      <c r="CY549" s="19"/>
      <c r="CZ549" s="19"/>
      <c r="DA549" s="19"/>
      <c r="DB549" s="19"/>
      <c r="DC549" s="19"/>
      <c r="DD549" s="19"/>
      <c r="DE549" s="19"/>
      <c r="DF549" s="19"/>
      <c r="DG549" s="19"/>
      <c r="DH549" s="19"/>
      <c r="DI549" s="19"/>
      <c r="DJ549" s="19"/>
      <c r="DK549" s="19"/>
      <c r="DL549" s="19"/>
      <c r="DM549" s="19"/>
      <c r="DN549" s="19"/>
      <c r="DO549" s="19"/>
      <c r="DP549" s="19"/>
      <c r="DQ549" s="19"/>
      <c r="DR549" s="19"/>
      <c r="DS549" s="19"/>
      <c r="DT549" s="19"/>
      <c r="DU549" s="19"/>
      <c r="DV549" s="19"/>
      <c r="DW549" s="19"/>
      <c r="DX549" s="19"/>
      <c r="DY549" s="19"/>
      <c r="DZ549" s="19"/>
      <c r="EA549" s="19"/>
      <c r="EB549" s="19"/>
      <c r="EC549" s="19"/>
      <c r="ED549" s="19"/>
      <c r="EE549" s="19"/>
      <c r="EF549" s="19"/>
      <c r="EG549" s="19"/>
      <c r="EH549" s="19"/>
      <c r="EI549" s="19"/>
      <c r="EJ549" s="19"/>
      <c r="EK549" s="19"/>
      <c r="EL549" s="19"/>
      <c r="EM549" s="19"/>
      <c r="EN549" s="19"/>
      <c r="EO549" s="19"/>
      <c r="EP549" s="17"/>
      <c r="EQ549" s="23"/>
      <c r="ER549" s="23" t="str">
        <f t="shared" si="1"/>
        <v/>
      </c>
      <c r="ES549" s="19"/>
      <c r="ET549" s="19" t="str">
        <f t="shared" si="2"/>
        <v/>
      </c>
      <c r="EU549" s="19"/>
      <c r="EV549" s="19"/>
      <c r="EW549" s="19"/>
      <c r="EX549" s="19"/>
      <c r="EY549" s="19"/>
      <c r="EZ549" s="19"/>
      <c r="FA549" s="19"/>
      <c r="FB549" s="19"/>
    </row>
    <row r="550" ht="15.75" customHeight="1">
      <c r="A550" s="19"/>
      <c r="F550" s="19"/>
      <c r="AH550" s="23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  <c r="BD550" s="19"/>
      <c r="BE550" s="19"/>
      <c r="BF550" s="19"/>
      <c r="BG550" s="19"/>
      <c r="BH550" s="19"/>
      <c r="BI550" s="19"/>
      <c r="BJ550" s="19"/>
      <c r="BK550" s="19"/>
      <c r="BL550" s="19"/>
      <c r="BM550" s="19"/>
      <c r="BN550" s="19"/>
      <c r="BO550" s="19"/>
      <c r="BP550" s="19"/>
      <c r="BQ550" s="19"/>
      <c r="BR550" s="19"/>
      <c r="BS550" s="19"/>
      <c r="BT550" s="19"/>
      <c r="BU550" s="19"/>
      <c r="BV550" s="19"/>
      <c r="BW550" s="19"/>
      <c r="BX550" s="19"/>
      <c r="BY550" s="19"/>
      <c r="BZ550" s="19"/>
      <c r="CA550" s="19"/>
      <c r="CB550" s="19"/>
      <c r="CC550" s="19"/>
      <c r="CD550" s="19"/>
      <c r="CE550" s="19"/>
      <c r="CF550" s="19"/>
      <c r="CG550" s="19"/>
      <c r="CH550" s="19"/>
      <c r="CI550" s="19"/>
      <c r="CJ550" s="19"/>
      <c r="CK550" s="19"/>
      <c r="CL550" s="19"/>
      <c r="CM550" s="19"/>
      <c r="CN550" s="19"/>
      <c r="CO550" s="19"/>
      <c r="CP550" s="19"/>
      <c r="CQ550" s="19"/>
      <c r="CR550" s="19"/>
      <c r="CS550" s="19"/>
      <c r="CT550" s="19"/>
      <c r="CU550" s="19"/>
      <c r="CV550" s="19"/>
      <c r="CW550" s="19"/>
      <c r="CX550" s="19"/>
      <c r="CY550" s="19"/>
      <c r="CZ550" s="19"/>
      <c r="DA550" s="19"/>
      <c r="DB550" s="19"/>
      <c r="DC550" s="19"/>
      <c r="DD550" s="19"/>
      <c r="DE550" s="19"/>
      <c r="DF550" s="19"/>
      <c r="DG550" s="19"/>
      <c r="DH550" s="19"/>
      <c r="DI550" s="19"/>
      <c r="DJ550" s="19"/>
      <c r="DK550" s="19"/>
      <c r="DL550" s="19"/>
      <c r="DM550" s="19"/>
      <c r="DN550" s="19"/>
      <c r="DO550" s="19"/>
      <c r="DP550" s="19"/>
      <c r="DQ550" s="19"/>
      <c r="DR550" s="19"/>
      <c r="DS550" s="19"/>
      <c r="DT550" s="19"/>
      <c r="DU550" s="19"/>
      <c r="DV550" s="19"/>
      <c r="DW550" s="19"/>
      <c r="DX550" s="19"/>
      <c r="DY550" s="19"/>
      <c r="DZ550" s="19"/>
      <c r="EA550" s="19"/>
      <c r="EB550" s="19"/>
      <c r="EC550" s="19"/>
      <c r="ED550" s="19"/>
      <c r="EE550" s="19"/>
      <c r="EF550" s="19"/>
      <c r="EG550" s="19"/>
      <c r="EH550" s="19"/>
      <c r="EI550" s="19"/>
      <c r="EJ550" s="19"/>
      <c r="EK550" s="19"/>
      <c r="EL550" s="19"/>
      <c r="EM550" s="19"/>
      <c r="EN550" s="19"/>
      <c r="EO550" s="19"/>
      <c r="EP550" s="17"/>
      <c r="EQ550" s="23"/>
      <c r="ER550" s="23" t="str">
        <f t="shared" si="1"/>
        <v/>
      </c>
      <c r="ES550" s="19"/>
      <c r="ET550" s="19" t="str">
        <f t="shared" si="2"/>
        <v/>
      </c>
      <c r="EU550" s="19"/>
      <c r="EV550" s="19"/>
      <c r="EW550" s="19"/>
      <c r="EX550" s="19"/>
      <c r="EY550" s="19"/>
      <c r="EZ550" s="19"/>
      <c r="FA550" s="19"/>
      <c r="FB550" s="19"/>
    </row>
    <row r="551" ht="15.75" customHeight="1">
      <c r="A551" s="19"/>
      <c r="F551" s="19"/>
      <c r="AH551" s="23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  <c r="BD551" s="19"/>
      <c r="BE551" s="19"/>
      <c r="BF551" s="19"/>
      <c r="BG551" s="19"/>
      <c r="BH551" s="19"/>
      <c r="BI551" s="19"/>
      <c r="BJ551" s="19"/>
      <c r="BK551" s="19"/>
      <c r="BL551" s="19"/>
      <c r="BM551" s="19"/>
      <c r="BN551" s="19"/>
      <c r="BO551" s="19"/>
      <c r="BP551" s="19"/>
      <c r="BQ551" s="19"/>
      <c r="BR551" s="19"/>
      <c r="BS551" s="19"/>
      <c r="BT551" s="19"/>
      <c r="BU551" s="19"/>
      <c r="BV551" s="19"/>
      <c r="BW551" s="19"/>
      <c r="BX551" s="19"/>
      <c r="BY551" s="19"/>
      <c r="BZ551" s="19"/>
      <c r="CA551" s="19"/>
      <c r="CB551" s="19"/>
      <c r="CC551" s="19"/>
      <c r="CD551" s="19"/>
      <c r="CE551" s="19"/>
      <c r="CF551" s="19"/>
      <c r="CG551" s="19"/>
      <c r="CH551" s="19"/>
      <c r="CI551" s="19"/>
      <c r="CJ551" s="19"/>
      <c r="CK551" s="19"/>
      <c r="CL551" s="19"/>
      <c r="CM551" s="19"/>
      <c r="CN551" s="19"/>
      <c r="CO551" s="19"/>
      <c r="CP551" s="19"/>
      <c r="CQ551" s="19"/>
      <c r="CR551" s="19"/>
      <c r="CS551" s="19"/>
      <c r="CT551" s="19"/>
      <c r="CU551" s="19"/>
      <c r="CV551" s="19"/>
      <c r="CW551" s="19"/>
      <c r="CX551" s="19"/>
      <c r="CY551" s="19"/>
      <c r="CZ551" s="19"/>
      <c r="DA551" s="19"/>
      <c r="DB551" s="19"/>
      <c r="DC551" s="19"/>
      <c r="DD551" s="19"/>
      <c r="DE551" s="19"/>
      <c r="DF551" s="19"/>
      <c r="DG551" s="19"/>
      <c r="DH551" s="19"/>
      <c r="DI551" s="19"/>
      <c r="DJ551" s="19"/>
      <c r="DK551" s="19"/>
      <c r="DL551" s="19"/>
      <c r="DM551" s="19"/>
      <c r="DN551" s="19"/>
      <c r="DO551" s="19"/>
      <c r="DP551" s="19"/>
      <c r="DQ551" s="19"/>
      <c r="DR551" s="19"/>
      <c r="DS551" s="19"/>
      <c r="DT551" s="19"/>
      <c r="DU551" s="19"/>
      <c r="DV551" s="19"/>
      <c r="DW551" s="19"/>
      <c r="DX551" s="19"/>
      <c r="DY551" s="19"/>
      <c r="DZ551" s="19"/>
      <c r="EA551" s="19"/>
      <c r="EB551" s="19"/>
      <c r="EC551" s="19"/>
      <c r="ED551" s="19"/>
      <c r="EE551" s="19"/>
      <c r="EF551" s="19"/>
      <c r="EG551" s="19"/>
      <c r="EH551" s="19"/>
      <c r="EI551" s="19"/>
      <c r="EJ551" s="19"/>
      <c r="EK551" s="19"/>
      <c r="EL551" s="19"/>
      <c r="EM551" s="19"/>
      <c r="EN551" s="19"/>
      <c r="EO551" s="19"/>
      <c r="EP551" s="17"/>
      <c r="EQ551" s="23"/>
      <c r="ER551" s="23" t="str">
        <f t="shared" si="1"/>
        <v/>
      </c>
      <c r="ES551" s="19"/>
      <c r="ET551" s="19" t="str">
        <f t="shared" si="2"/>
        <v/>
      </c>
      <c r="EU551" s="19"/>
      <c r="EV551" s="19"/>
      <c r="EW551" s="19"/>
      <c r="EX551" s="19"/>
      <c r="EY551" s="19"/>
      <c r="EZ551" s="19"/>
      <c r="FA551" s="19"/>
      <c r="FB551" s="19"/>
    </row>
    <row r="552" ht="15.75" customHeight="1">
      <c r="A552" s="19"/>
      <c r="F552" s="19"/>
      <c r="AH552" s="23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  <c r="BD552" s="19"/>
      <c r="BE552" s="19"/>
      <c r="BF552" s="19"/>
      <c r="BG552" s="19"/>
      <c r="BH552" s="19"/>
      <c r="BI552" s="19"/>
      <c r="BJ552" s="19"/>
      <c r="BK552" s="19"/>
      <c r="BL552" s="19"/>
      <c r="BM552" s="19"/>
      <c r="BN552" s="19"/>
      <c r="BO552" s="19"/>
      <c r="BP552" s="19"/>
      <c r="BQ552" s="19"/>
      <c r="BR552" s="19"/>
      <c r="BS552" s="19"/>
      <c r="BT552" s="19"/>
      <c r="BU552" s="19"/>
      <c r="BV552" s="19"/>
      <c r="BW552" s="19"/>
      <c r="BX552" s="19"/>
      <c r="BY552" s="19"/>
      <c r="BZ552" s="19"/>
      <c r="CA552" s="19"/>
      <c r="CB552" s="19"/>
      <c r="CC552" s="19"/>
      <c r="CD552" s="19"/>
      <c r="CE552" s="19"/>
      <c r="CF552" s="19"/>
      <c r="CG552" s="19"/>
      <c r="CH552" s="19"/>
      <c r="CI552" s="19"/>
      <c r="CJ552" s="19"/>
      <c r="CK552" s="19"/>
      <c r="CL552" s="19"/>
      <c r="CM552" s="19"/>
      <c r="CN552" s="19"/>
      <c r="CO552" s="19"/>
      <c r="CP552" s="19"/>
      <c r="CQ552" s="19"/>
      <c r="CR552" s="19"/>
      <c r="CS552" s="19"/>
      <c r="CT552" s="19"/>
      <c r="CU552" s="19"/>
      <c r="CV552" s="19"/>
      <c r="CW552" s="19"/>
      <c r="CX552" s="19"/>
      <c r="CY552" s="19"/>
      <c r="CZ552" s="19"/>
      <c r="DA552" s="19"/>
      <c r="DB552" s="19"/>
      <c r="DC552" s="19"/>
      <c r="DD552" s="19"/>
      <c r="DE552" s="19"/>
      <c r="DF552" s="19"/>
      <c r="DG552" s="19"/>
      <c r="DH552" s="19"/>
      <c r="DI552" s="19"/>
      <c r="DJ552" s="19"/>
      <c r="DK552" s="19"/>
      <c r="DL552" s="19"/>
      <c r="DM552" s="19"/>
      <c r="DN552" s="19"/>
      <c r="DO552" s="19"/>
      <c r="DP552" s="19"/>
      <c r="DQ552" s="19"/>
      <c r="DR552" s="19"/>
      <c r="DS552" s="19"/>
      <c r="DT552" s="19"/>
      <c r="DU552" s="19"/>
      <c r="DV552" s="19"/>
      <c r="DW552" s="19"/>
      <c r="DX552" s="19"/>
      <c r="DY552" s="19"/>
      <c r="DZ552" s="19"/>
      <c r="EA552" s="19"/>
      <c r="EB552" s="19"/>
      <c r="EC552" s="19"/>
      <c r="ED552" s="19"/>
      <c r="EE552" s="19"/>
      <c r="EF552" s="19"/>
      <c r="EG552" s="19"/>
      <c r="EH552" s="19"/>
      <c r="EI552" s="19"/>
      <c r="EJ552" s="19"/>
      <c r="EK552" s="19"/>
      <c r="EL552" s="19"/>
      <c r="EM552" s="19"/>
      <c r="EN552" s="19"/>
      <c r="EO552" s="19"/>
      <c r="EP552" s="17"/>
      <c r="EQ552" s="23"/>
      <c r="ER552" s="23" t="str">
        <f t="shared" si="1"/>
        <v/>
      </c>
      <c r="ES552" s="19"/>
      <c r="ET552" s="19" t="str">
        <f t="shared" si="2"/>
        <v/>
      </c>
      <c r="EU552" s="19"/>
      <c r="EV552" s="19"/>
      <c r="EW552" s="19"/>
      <c r="EX552" s="19"/>
      <c r="EY552" s="19"/>
      <c r="EZ552" s="19"/>
      <c r="FA552" s="19"/>
      <c r="FB552" s="19"/>
    </row>
    <row r="553" ht="15.75" customHeight="1">
      <c r="A553" s="19"/>
      <c r="F553" s="19"/>
      <c r="AH553" s="23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  <c r="BD553" s="19"/>
      <c r="BE553" s="19"/>
      <c r="BF553" s="19"/>
      <c r="BG553" s="19"/>
      <c r="BH553" s="19"/>
      <c r="BI553" s="19"/>
      <c r="BJ553" s="19"/>
      <c r="BK553" s="19"/>
      <c r="BL553" s="19"/>
      <c r="BM553" s="19"/>
      <c r="BN553" s="19"/>
      <c r="BO553" s="19"/>
      <c r="BP553" s="19"/>
      <c r="BQ553" s="19"/>
      <c r="BR553" s="19"/>
      <c r="BS553" s="19"/>
      <c r="BT553" s="19"/>
      <c r="BU553" s="19"/>
      <c r="BV553" s="19"/>
      <c r="BW553" s="19"/>
      <c r="BX553" s="19"/>
      <c r="BY553" s="19"/>
      <c r="BZ553" s="19"/>
      <c r="CA553" s="19"/>
      <c r="CB553" s="19"/>
      <c r="CC553" s="19"/>
      <c r="CD553" s="19"/>
      <c r="CE553" s="19"/>
      <c r="CF553" s="19"/>
      <c r="CG553" s="19"/>
      <c r="CH553" s="19"/>
      <c r="CI553" s="19"/>
      <c r="CJ553" s="19"/>
      <c r="CK553" s="19"/>
      <c r="CL553" s="19"/>
      <c r="CM553" s="19"/>
      <c r="CN553" s="19"/>
      <c r="CO553" s="19"/>
      <c r="CP553" s="19"/>
      <c r="CQ553" s="19"/>
      <c r="CR553" s="19"/>
      <c r="CS553" s="19"/>
      <c r="CT553" s="19"/>
      <c r="CU553" s="19"/>
      <c r="CV553" s="19"/>
      <c r="CW553" s="19"/>
      <c r="CX553" s="19"/>
      <c r="CY553" s="19"/>
      <c r="CZ553" s="19"/>
      <c r="DA553" s="19"/>
      <c r="DB553" s="19"/>
      <c r="DC553" s="19"/>
      <c r="DD553" s="19"/>
      <c r="DE553" s="19"/>
      <c r="DF553" s="19"/>
      <c r="DG553" s="19"/>
      <c r="DH553" s="19"/>
      <c r="DI553" s="19"/>
      <c r="DJ553" s="19"/>
      <c r="DK553" s="19"/>
      <c r="DL553" s="19"/>
      <c r="DM553" s="19"/>
      <c r="DN553" s="19"/>
      <c r="DO553" s="19"/>
      <c r="DP553" s="19"/>
      <c r="DQ553" s="19"/>
      <c r="DR553" s="19"/>
      <c r="DS553" s="19"/>
      <c r="DT553" s="19"/>
      <c r="DU553" s="19"/>
      <c r="DV553" s="19"/>
      <c r="DW553" s="19"/>
      <c r="DX553" s="19"/>
      <c r="DY553" s="19"/>
      <c r="DZ553" s="19"/>
      <c r="EA553" s="19"/>
      <c r="EB553" s="19"/>
      <c r="EC553" s="19"/>
      <c r="ED553" s="19"/>
      <c r="EE553" s="19"/>
      <c r="EF553" s="19"/>
      <c r="EG553" s="19"/>
      <c r="EH553" s="19"/>
      <c r="EI553" s="19"/>
      <c r="EJ553" s="19"/>
      <c r="EK553" s="19"/>
      <c r="EL553" s="19"/>
      <c r="EM553" s="19"/>
      <c r="EN553" s="19"/>
      <c r="EO553" s="19"/>
      <c r="EP553" s="17"/>
      <c r="EQ553" s="23"/>
      <c r="ER553" s="23" t="str">
        <f t="shared" si="1"/>
        <v/>
      </c>
      <c r="ES553" s="19"/>
      <c r="ET553" s="19" t="str">
        <f t="shared" si="2"/>
        <v/>
      </c>
      <c r="EU553" s="19"/>
      <c r="EV553" s="19"/>
      <c r="EW553" s="19"/>
      <c r="EX553" s="19"/>
      <c r="EY553" s="19"/>
      <c r="EZ553" s="19"/>
      <c r="FA553" s="19"/>
      <c r="FB553" s="19"/>
    </row>
    <row r="554" ht="15.75" customHeight="1">
      <c r="A554" s="19"/>
      <c r="F554" s="19"/>
      <c r="AH554" s="23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  <c r="BD554" s="19"/>
      <c r="BE554" s="19"/>
      <c r="BF554" s="19"/>
      <c r="BG554" s="19"/>
      <c r="BH554" s="19"/>
      <c r="BI554" s="19"/>
      <c r="BJ554" s="19"/>
      <c r="BK554" s="19"/>
      <c r="BL554" s="19"/>
      <c r="BM554" s="19"/>
      <c r="BN554" s="19"/>
      <c r="BO554" s="19"/>
      <c r="BP554" s="19"/>
      <c r="BQ554" s="19"/>
      <c r="BR554" s="19"/>
      <c r="BS554" s="19"/>
      <c r="BT554" s="19"/>
      <c r="BU554" s="19"/>
      <c r="BV554" s="19"/>
      <c r="BW554" s="19"/>
      <c r="BX554" s="19"/>
      <c r="BY554" s="19"/>
      <c r="BZ554" s="19"/>
      <c r="CA554" s="19"/>
      <c r="CB554" s="19"/>
      <c r="CC554" s="19"/>
      <c r="CD554" s="19"/>
      <c r="CE554" s="19"/>
      <c r="CF554" s="19"/>
      <c r="CG554" s="19"/>
      <c r="CH554" s="19"/>
      <c r="CI554" s="19"/>
      <c r="CJ554" s="19"/>
      <c r="CK554" s="19"/>
      <c r="CL554" s="19"/>
      <c r="CM554" s="19"/>
      <c r="CN554" s="19"/>
      <c r="CO554" s="19"/>
      <c r="CP554" s="19"/>
      <c r="CQ554" s="19"/>
      <c r="CR554" s="19"/>
      <c r="CS554" s="19"/>
      <c r="CT554" s="19"/>
      <c r="CU554" s="19"/>
      <c r="CV554" s="19"/>
      <c r="CW554" s="19"/>
      <c r="CX554" s="19"/>
      <c r="CY554" s="19"/>
      <c r="CZ554" s="19"/>
      <c r="DA554" s="19"/>
      <c r="DB554" s="19"/>
      <c r="DC554" s="19"/>
      <c r="DD554" s="19"/>
      <c r="DE554" s="19"/>
      <c r="DF554" s="19"/>
      <c r="DG554" s="19"/>
      <c r="DH554" s="19"/>
      <c r="DI554" s="19"/>
      <c r="DJ554" s="19"/>
      <c r="DK554" s="19"/>
      <c r="DL554" s="19"/>
      <c r="DM554" s="19"/>
      <c r="DN554" s="19"/>
      <c r="DO554" s="19"/>
      <c r="DP554" s="19"/>
      <c r="DQ554" s="19"/>
      <c r="DR554" s="19"/>
      <c r="DS554" s="19"/>
      <c r="DT554" s="19"/>
      <c r="DU554" s="19"/>
      <c r="DV554" s="19"/>
      <c r="DW554" s="19"/>
      <c r="DX554" s="19"/>
      <c r="DY554" s="19"/>
      <c r="DZ554" s="19"/>
      <c r="EA554" s="19"/>
      <c r="EB554" s="19"/>
      <c r="EC554" s="19"/>
      <c r="ED554" s="19"/>
      <c r="EE554" s="19"/>
      <c r="EF554" s="19"/>
      <c r="EG554" s="19"/>
      <c r="EH554" s="19"/>
      <c r="EI554" s="19"/>
      <c r="EJ554" s="19"/>
      <c r="EK554" s="19"/>
      <c r="EL554" s="19"/>
      <c r="EM554" s="19"/>
      <c r="EN554" s="19"/>
      <c r="EO554" s="19"/>
      <c r="EP554" s="17"/>
      <c r="EQ554" s="23"/>
      <c r="ER554" s="23" t="str">
        <f t="shared" si="1"/>
        <v/>
      </c>
      <c r="ES554" s="19"/>
      <c r="ET554" s="19" t="str">
        <f t="shared" si="2"/>
        <v/>
      </c>
      <c r="EU554" s="19"/>
      <c r="EV554" s="19"/>
      <c r="EW554" s="19"/>
      <c r="EX554" s="19"/>
      <c r="EY554" s="19"/>
      <c r="EZ554" s="19"/>
      <c r="FA554" s="19"/>
      <c r="FB554" s="19"/>
    </row>
    <row r="555" ht="15.75" customHeight="1">
      <c r="A555" s="19"/>
      <c r="F555" s="19"/>
      <c r="AH555" s="23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  <c r="BD555" s="19"/>
      <c r="BE555" s="19"/>
      <c r="BF555" s="19"/>
      <c r="BG555" s="19"/>
      <c r="BH555" s="19"/>
      <c r="BI555" s="19"/>
      <c r="BJ555" s="19"/>
      <c r="BK555" s="19"/>
      <c r="BL555" s="19"/>
      <c r="BM555" s="19"/>
      <c r="BN555" s="19"/>
      <c r="BO555" s="19"/>
      <c r="BP555" s="19"/>
      <c r="BQ555" s="19"/>
      <c r="BR555" s="19"/>
      <c r="BS555" s="19"/>
      <c r="BT555" s="19"/>
      <c r="BU555" s="19"/>
      <c r="BV555" s="19"/>
      <c r="BW555" s="19"/>
      <c r="BX555" s="19"/>
      <c r="BY555" s="19"/>
      <c r="BZ555" s="19"/>
      <c r="CA555" s="19"/>
      <c r="CB555" s="19"/>
      <c r="CC555" s="19"/>
      <c r="CD555" s="19"/>
      <c r="CE555" s="19"/>
      <c r="CF555" s="19"/>
      <c r="CG555" s="19"/>
      <c r="CH555" s="19"/>
      <c r="CI555" s="19"/>
      <c r="CJ555" s="19"/>
      <c r="CK555" s="19"/>
      <c r="CL555" s="19"/>
      <c r="CM555" s="19"/>
      <c r="CN555" s="19"/>
      <c r="CO555" s="19"/>
      <c r="CP555" s="19"/>
      <c r="CQ555" s="19"/>
      <c r="CR555" s="19"/>
      <c r="CS555" s="19"/>
      <c r="CT555" s="19"/>
      <c r="CU555" s="19"/>
      <c r="CV555" s="19"/>
      <c r="CW555" s="19"/>
      <c r="CX555" s="19"/>
      <c r="CY555" s="19"/>
      <c r="CZ555" s="19"/>
      <c r="DA555" s="19"/>
      <c r="DB555" s="19"/>
      <c r="DC555" s="19"/>
      <c r="DD555" s="19"/>
      <c r="DE555" s="19"/>
      <c r="DF555" s="19"/>
      <c r="DG555" s="19"/>
      <c r="DH555" s="19"/>
      <c r="DI555" s="19"/>
      <c r="DJ555" s="19"/>
      <c r="DK555" s="19"/>
      <c r="DL555" s="19"/>
      <c r="DM555" s="19"/>
      <c r="DN555" s="19"/>
      <c r="DO555" s="19"/>
      <c r="DP555" s="19"/>
      <c r="DQ555" s="19"/>
      <c r="DR555" s="19"/>
      <c r="DS555" s="19"/>
      <c r="DT555" s="19"/>
      <c r="DU555" s="19"/>
      <c r="DV555" s="19"/>
      <c r="DW555" s="19"/>
      <c r="DX555" s="19"/>
      <c r="DY555" s="19"/>
      <c r="DZ555" s="19"/>
      <c r="EA555" s="19"/>
      <c r="EB555" s="19"/>
      <c r="EC555" s="19"/>
      <c r="ED555" s="19"/>
      <c r="EE555" s="19"/>
      <c r="EF555" s="19"/>
      <c r="EG555" s="19"/>
      <c r="EH555" s="19"/>
      <c r="EI555" s="19"/>
      <c r="EJ555" s="19"/>
      <c r="EK555" s="19"/>
      <c r="EL555" s="19"/>
      <c r="EM555" s="19"/>
      <c r="EN555" s="19"/>
      <c r="EO555" s="19"/>
      <c r="EP555" s="17"/>
      <c r="EQ555" s="23"/>
      <c r="ER555" s="23" t="str">
        <f t="shared" si="1"/>
        <v/>
      </c>
      <c r="ES555" s="19"/>
      <c r="ET555" s="19" t="str">
        <f t="shared" si="2"/>
        <v/>
      </c>
      <c r="EU555" s="19"/>
      <c r="EV555" s="19"/>
      <c r="EW555" s="19"/>
      <c r="EX555" s="19"/>
      <c r="EY555" s="19"/>
      <c r="EZ555" s="19"/>
      <c r="FA555" s="19"/>
      <c r="FB555" s="19"/>
    </row>
    <row r="556" ht="15.75" customHeight="1">
      <c r="A556" s="19"/>
      <c r="F556" s="19"/>
      <c r="AH556" s="23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  <c r="BD556" s="19"/>
      <c r="BE556" s="19"/>
      <c r="BF556" s="19"/>
      <c r="BG556" s="19"/>
      <c r="BH556" s="19"/>
      <c r="BI556" s="19"/>
      <c r="BJ556" s="19"/>
      <c r="BK556" s="19"/>
      <c r="BL556" s="19"/>
      <c r="BM556" s="19"/>
      <c r="BN556" s="19"/>
      <c r="BO556" s="19"/>
      <c r="BP556" s="19"/>
      <c r="BQ556" s="19"/>
      <c r="BR556" s="19"/>
      <c r="BS556" s="19"/>
      <c r="BT556" s="19"/>
      <c r="BU556" s="19"/>
      <c r="BV556" s="19"/>
      <c r="BW556" s="19"/>
      <c r="BX556" s="19"/>
      <c r="BY556" s="19"/>
      <c r="BZ556" s="19"/>
      <c r="CA556" s="19"/>
      <c r="CB556" s="19"/>
      <c r="CC556" s="19"/>
      <c r="CD556" s="19"/>
      <c r="CE556" s="19"/>
      <c r="CF556" s="19"/>
      <c r="CG556" s="19"/>
      <c r="CH556" s="19"/>
      <c r="CI556" s="19"/>
      <c r="CJ556" s="19"/>
      <c r="CK556" s="19"/>
      <c r="CL556" s="19"/>
      <c r="CM556" s="19"/>
      <c r="CN556" s="19"/>
      <c r="CO556" s="19"/>
      <c r="CP556" s="19"/>
      <c r="CQ556" s="19"/>
      <c r="CR556" s="19"/>
      <c r="CS556" s="19"/>
      <c r="CT556" s="19"/>
      <c r="CU556" s="19"/>
      <c r="CV556" s="19"/>
      <c r="CW556" s="19"/>
      <c r="CX556" s="19"/>
      <c r="CY556" s="19"/>
      <c r="CZ556" s="19"/>
      <c r="DA556" s="19"/>
      <c r="DB556" s="19"/>
      <c r="DC556" s="19"/>
      <c r="DD556" s="19"/>
      <c r="DE556" s="19"/>
      <c r="DF556" s="19"/>
      <c r="DG556" s="19"/>
      <c r="DH556" s="19"/>
      <c r="DI556" s="19"/>
      <c r="DJ556" s="19"/>
      <c r="DK556" s="19"/>
      <c r="DL556" s="19"/>
      <c r="DM556" s="19"/>
      <c r="DN556" s="19"/>
      <c r="DO556" s="19"/>
      <c r="DP556" s="19"/>
      <c r="DQ556" s="19"/>
      <c r="DR556" s="19"/>
      <c r="DS556" s="19"/>
      <c r="DT556" s="19"/>
      <c r="DU556" s="19"/>
      <c r="DV556" s="19"/>
      <c r="DW556" s="19"/>
      <c r="DX556" s="19"/>
      <c r="DY556" s="19"/>
      <c r="DZ556" s="19"/>
      <c r="EA556" s="19"/>
      <c r="EB556" s="19"/>
      <c r="EC556" s="19"/>
      <c r="ED556" s="19"/>
      <c r="EE556" s="19"/>
      <c r="EF556" s="19"/>
      <c r="EG556" s="19"/>
      <c r="EH556" s="19"/>
      <c r="EI556" s="19"/>
      <c r="EJ556" s="19"/>
      <c r="EK556" s="19"/>
      <c r="EL556" s="19"/>
      <c r="EM556" s="19"/>
      <c r="EN556" s="19"/>
      <c r="EO556" s="19"/>
      <c r="EP556" s="17"/>
      <c r="EQ556" s="23"/>
      <c r="ER556" s="23" t="str">
        <f t="shared" si="1"/>
        <v/>
      </c>
      <c r="ES556" s="19"/>
      <c r="ET556" s="19" t="str">
        <f t="shared" si="2"/>
        <v/>
      </c>
      <c r="EU556" s="19"/>
      <c r="EV556" s="19"/>
      <c r="EW556" s="19"/>
      <c r="EX556" s="19"/>
      <c r="EY556" s="19"/>
      <c r="EZ556" s="19"/>
      <c r="FA556" s="19"/>
      <c r="FB556" s="19"/>
    </row>
    <row r="557" ht="15.75" customHeight="1">
      <c r="A557" s="19"/>
      <c r="F557" s="19"/>
      <c r="AH557" s="23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  <c r="BD557" s="19"/>
      <c r="BE557" s="19"/>
      <c r="BF557" s="19"/>
      <c r="BG557" s="19"/>
      <c r="BH557" s="19"/>
      <c r="BI557" s="19"/>
      <c r="BJ557" s="19"/>
      <c r="BK557" s="19"/>
      <c r="BL557" s="19"/>
      <c r="BM557" s="19"/>
      <c r="BN557" s="19"/>
      <c r="BO557" s="19"/>
      <c r="BP557" s="19"/>
      <c r="BQ557" s="19"/>
      <c r="BR557" s="19"/>
      <c r="BS557" s="19"/>
      <c r="BT557" s="19"/>
      <c r="BU557" s="19"/>
      <c r="BV557" s="19"/>
      <c r="BW557" s="19"/>
      <c r="BX557" s="19"/>
      <c r="BY557" s="19"/>
      <c r="BZ557" s="19"/>
      <c r="CA557" s="19"/>
      <c r="CB557" s="19"/>
      <c r="CC557" s="19"/>
      <c r="CD557" s="19"/>
      <c r="CE557" s="19"/>
      <c r="CF557" s="19"/>
      <c r="CG557" s="19"/>
      <c r="CH557" s="19"/>
      <c r="CI557" s="19"/>
      <c r="CJ557" s="19"/>
      <c r="CK557" s="19"/>
      <c r="CL557" s="19"/>
      <c r="CM557" s="19"/>
      <c r="CN557" s="19"/>
      <c r="CO557" s="19"/>
      <c r="CP557" s="19"/>
      <c r="CQ557" s="19"/>
      <c r="CR557" s="19"/>
      <c r="CS557" s="19"/>
      <c r="CT557" s="19"/>
      <c r="CU557" s="19"/>
      <c r="CV557" s="19"/>
      <c r="CW557" s="19"/>
      <c r="CX557" s="19"/>
      <c r="CY557" s="19"/>
      <c r="CZ557" s="19"/>
      <c r="DA557" s="19"/>
      <c r="DB557" s="19"/>
      <c r="DC557" s="19"/>
      <c r="DD557" s="19"/>
      <c r="DE557" s="19"/>
      <c r="DF557" s="19"/>
      <c r="DG557" s="19"/>
      <c r="DH557" s="19"/>
      <c r="DI557" s="19"/>
      <c r="DJ557" s="19"/>
      <c r="DK557" s="19"/>
      <c r="DL557" s="19"/>
      <c r="DM557" s="19"/>
      <c r="DN557" s="19"/>
      <c r="DO557" s="19"/>
      <c r="DP557" s="19"/>
      <c r="DQ557" s="19"/>
      <c r="DR557" s="19"/>
      <c r="DS557" s="19"/>
      <c r="DT557" s="19"/>
      <c r="DU557" s="19"/>
      <c r="DV557" s="19"/>
      <c r="DW557" s="19"/>
      <c r="DX557" s="19"/>
      <c r="DY557" s="19"/>
      <c r="DZ557" s="19"/>
      <c r="EA557" s="19"/>
      <c r="EB557" s="19"/>
      <c r="EC557" s="19"/>
      <c r="ED557" s="19"/>
      <c r="EE557" s="19"/>
      <c r="EF557" s="19"/>
      <c r="EG557" s="19"/>
      <c r="EH557" s="19"/>
      <c r="EI557" s="19"/>
      <c r="EJ557" s="19"/>
      <c r="EK557" s="19"/>
      <c r="EL557" s="19"/>
      <c r="EM557" s="19"/>
      <c r="EN557" s="19"/>
      <c r="EO557" s="19"/>
      <c r="EP557" s="17"/>
      <c r="EQ557" s="23"/>
      <c r="ER557" s="23" t="str">
        <f t="shared" si="1"/>
        <v/>
      </c>
      <c r="ES557" s="19"/>
      <c r="ET557" s="19" t="str">
        <f t="shared" si="2"/>
        <v/>
      </c>
      <c r="EU557" s="19"/>
      <c r="EV557" s="19"/>
      <c r="EW557" s="19"/>
      <c r="EX557" s="19"/>
      <c r="EY557" s="19"/>
      <c r="EZ557" s="19"/>
      <c r="FA557" s="19"/>
      <c r="FB557" s="19"/>
    </row>
    <row r="558" ht="15.75" customHeight="1">
      <c r="A558" s="19"/>
      <c r="F558" s="19"/>
      <c r="AH558" s="23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  <c r="BD558" s="19"/>
      <c r="BE558" s="19"/>
      <c r="BF558" s="19"/>
      <c r="BG558" s="19"/>
      <c r="BH558" s="19"/>
      <c r="BI558" s="19"/>
      <c r="BJ558" s="19"/>
      <c r="BK558" s="19"/>
      <c r="BL558" s="19"/>
      <c r="BM558" s="19"/>
      <c r="BN558" s="19"/>
      <c r="BO558" s="19"/>
      <c r="BP558" s="19"/>
      <c r="BQ558" s="19"/>
      <c r="BR558" s="19"/>
      <c r="BS558" s="19"/>
      <c r="BT558" s="19"/>
      <c r="BU558" s="19"/>
      <c r="BV558" s="19"/>
      <c r="BW558" s="19"/>
      <c r="BX558" s="19"/>
      <c r="BY558" s="19"/>
      <c r="BZ558" s="19"/>
      <c r="CA558" s="19"/>
      <c r="CB558" s="19"/>
      <c r="CC558" s="19"/>
      <c r="CD558" s="19"/>
      <c r="CE558" s="19"/>
      <c r="CF558" s="19"/>
      <c r="CG558" s="19"/>
      <c r="CH558" s="19"/>
      <c r="CI558" s="19"/>
      <c r="CJ558" s="19"/>
      <c r="CK558" s="19"/>
      <c r="CL558" s="19"/>
      <c r="CM558" s="19"/>
      <c r="CN558" s="19"/>
      <c r="CO558" s="19"/>
      <c r="CP558" s="19"/>
      <c r="CQ558" s="19"/>
      <c r="CR558" s="19"/>
      <c r="CS558" s="19"/>
      <c r="CT558" s="19"/>
      <c r="CU558" s="19"/>
      <c r="CV558" s="19"/>
      <c r="CW558" s="19"/>
      <c r="CX558" s="19"/>
      <c r="CY558" s="19"/>
      <c r="CZ558" s="19"/>
      <c r="DA558" s="19"/>
      <c r="DB558" s="19"/>
      <c r="DC558" s="19"/>
      <c r="DD558" s="19"/>
      <c r="DE558" s="19"/>
      <c r="DF558" s="19"/>
      <c r="DG558" s="19"/>
      <c r="DH558" s="19"/>
      <c r="DI558" s="19"/>
      <c r="DJ558" s="19"/>
      <c r="DK558" s="19"/>
      <c r="DL558" s="19"/>
      <c r="DM558" s="19"/>
      <c r="DN558" s="19"/>
      <c r="DO558" s="19"/>
      <c r="DP558" s="19"/>
      <c r="DQ558" s="19"/>
      <c r="DR558" s="19"/>
      <c r="DS558" s="19"/>
      <c r="DT558" s="19"/>
      <c r="DU558" s="19"/>
      <c r="DV558" s="19"/>
      <c r="DW558" s="19"/>
      <c r="DX558" s="19"/>
      <c r="DY558" s="19"/>
      <c r="DZ558" s="19"/>
      <c r="EA558" s="19"/>
      <c r="EB558" s="19"/>
      <c r="EC558" s="19"/>
      <c r="ED558" s="19"/>
      <c r="EE558" s="19"/>
      <c r="EF558" s="19"/>
      <c r="EG558" s="19"/>
      <c r="EH558" s="19"/>
      <c r="EI558" s="19"/>
      <c r="EJ558" s="19"/>
      <c r="EK558" s="19"/>
      <c r="EL558" s="19"/>
      <c r="EM558" s="19"/>
      <c r="EN558" s="19"/>
      <c r="EO558" s="19"/>
      <c r="EP558" s="17"/>
      <c r="EQ558" s="23"/>
      <c r="ER558" s="23" t="str">
        <f t="shared" si="1"/>
        <v/>
      </c>
      <c r="ES558" s="19"/>
      <c r="ET558" s="19" t="str">
        <f t="shared" si="2"/>
        <v/>
      </c>
      <c r="EU558" s="19"/>
      <c r="EV558" s="19"/>
      <c r="EW558" s="19"/>
      <c r="EX558" s="19"/>
      <c r="EY558" s="19"/>
      <c r="EZ558" s="19"/>
      <c r="FA558" s="19"/>
      <c r="FB558" s="19"/>
    </row>
    <row r="559" ht="15.75" customHeight="1">
      <c r="A559" s="19"/>
      <c r="F559" s="19"/>
      <c r="AH559" s="23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  <c r="BD559" s="19"/>
      <c r="BE559" s="19"/>
      <c r="BF559" s="19"/>
      <c r="BG559" s="19"/>
      <c r="BH559" s="19"/>
      <c r="BI559" s="19"/>
      <c r="BJ559" s="19"/>
      <c r="BK559" s="19"/>
      <c r="BL559" s="19"/>
      <c r="BM559" s="19"/>
      <c r="BN559" s="19"/>
      <c r="BO559" s="19"/>
      <c r="BP559" s="19"/>
      <c r="BQ559" s="19"/>
      <c r="BR559" s="19"/>
      <c r="BS559" s="19"/>
      <c r="BT559" s="19"/>
      <c r="BU559" s="19"/>
      <c r="BV559" s="19"/>
      <c r="BW559" s="19"/>
      <c r="BX559" s="19"/>
      <c r="BY559" s="19"/>
      <c r="BZ559" s="19"/>
      <c r="CA559" s="19"/>
      <c r="CB559" s="19"/>
      <c r="CC559" s="19"/>
      <c r="CD559" s="19"/>
      <c r="CE559" s="19"/>
      <c r="CF559" s="19"/>
      <c r="CG559" s="19"/>
      <c r="CH559" s="19"/>
      <c r="CI559" s="19"/>
      <c r="CJ559" s="19"/>
      <c r="CK559" s="19"/>
      <c r="CL559" s="19"/>
      <c r="CM559" s="19"/>
      <c r="CN559" s="19"/>
      <c r="CO559" s="19"/>
      <c r="CP559" s="19"/>
      <c r="CQ559" s="19"/>
      <c r="CR559" s="19"/>
      <c r="CS559" s="19"/>
      <c r="CT559" s="19"/>
      <c r="CU559" s="19"/>
      <c r="CV559" s="19"/>
      <c r="CW559" s="19"/>
      <c r="CX559" s="19"/>
      <c r="CY559" s="19"/>
      <c r="CZ559" s="19"/>
      <c r="DA559" s="19"/>
      <c r="DB559" s="19"/>
      <c r="DC559" s="19"/>
      <c r="DD559" s="19"/>
      <c r="DE559" s="19"/>
      <c r="DF559" s="19"/>
      <c r="DG559" s="19"/>
      <c r="DH559" s="19"/>
      <c r="DI559" s="19"/>
      <c r="DJ559" s="19"/>
      <c r="DK559" s="19"/>
      <c r="DL559" s="19"/>
      <c r="DM559" s="19"/>
      <c r="DN559" s="19"/>
      <c r="DO559" s="19"/>
      <c r="DP559" s="19"/>
      <c r="DQ559" s="19"/>
      <c r="DR559" s="19"/>
      <c r="DS559" s="19"/>
      <c r="DT559" s="19"/>
      <c r="DU559" s="19"/>
      <c r="DV559" s="19"/>
      <c r="DW559" s="19"/>
      <c r="DX559" s="19"/>
      <c r="DY559" s="19"/>
      <c r="DZ559" s="19"/>
      <c r="EA559" s="19"/>
      <c r="EB559" s="19"/>
      <c r="EC559" s="19"/>
      <c r="ED559" s="19"/>
      <c r="EE559" s="19"/>
      <c r="EF559" s="19"/>
      <c r="EG559" s="19"/>
      <c r="EH559" s="19"/>
      <c r="EI559" s="19"/>
      <c r="EJ559" s="19"/>
      <c r="EK559" s="19"/>
      <c r="EL559" s="19"/>
      <c r="EM559" s="19"/>
      <c r="EN559" s="19"/>
      <c r="EO559" s="19"/>
      <c r="EP559" s="17"/>
      <c r="EQ559" s="23"/>
      <c r="ER559" s="23" t="str">
        <f t="shared" si="1"/>
        <v/>
      </c>
      <c r="ES559" s="19"/>
      <c r="ET559" s="19" t="str">
        <f t="shared" si="2"/>
        <v/>
      </c>
      <c r="EU559" s="19"/>
      <c r="EV559" s="19"/>
      <c r="EW559" s="19"/>
      <c r="EX559" s="19"/>
      <c r="EY559" s="19"/>
      <c r="EZ559" s="19"/>
      <c r="FA559" s="19"/>
      <c r="FB559" s="19"/>
    </row>
    <row r="560" ht="15.75" customHeight="1">
      <c r="A560" s="19"/>
      <c r="F560" s="19"/>
      <c r="AH560" s="23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  <c r="BD560" s="19"/>
      <c r="BE560" s="19"/>
      <c r="BF560" s="19"/>
      <c r="BG560" s="19"/>
      <c r="BH560" s="19"/>
      <c r="BI560" s="19"/>
      <c r="BJ560" s="19"/>
      <c r="BK560" s="19"/>
      <c r="BL560" s="19"/>
      <c r="BM560" s="19"/>
      <c r="BN560" s="19"/>
      <c r="BO560" s="19"/>
      <c r="BP560" s="19"/>
      <c r="BQ560" s="19"/>
      <c r="BR560" s="19"/>
      <c r="BS560" s="19"/>
      <c r="BT560" s="19"/>
      <c r="BU560" s="19"/>
      <c r="BV560" s="19"/>
      <c r="BW560" s="19"/>
      <c r="BX560" s="19"/>
      <c r="BY560" s="19"/>
      <c r="BZ560" s="19"/>
      <c r="CA560" s="19"/>
      <c r="CB560" s="19"/>
      <c r="CC560" s="19"/>
      <c r="CD560" s="19"/>
      <c r="CE560" s="19"/>
      <c r="CF560" s="19"/>
      <c r="CG560" s="19"/>
      <c r="CH560" s="19"/>
      <c r="CI560" s="19"/>
      <c r="CJ560" s="19"/>
      <c r="CK560" s="19"/>
      <c r="CL560" s="19"/>
      <c r="CM560" s="19"/>
      <c r="CN560" s="19"/>
      <c r="CO560" s="19"/>
      <c r="CP560" s="19"/>
      <c r="CQ560" s="19"/>
      <c r="CR560" s="19"/>
      <c r="CS560" s="19"/>
      <c r="CT560" s="19"/>
      <c r="CU560" s="19"/>
      <c r="CV560" s="19"/>
      <c r="CW560" s="19"/>
      <c r="CX560" s="19"/>
      <c r="CY560" s="19"/>
      <c r="CZ560" s="19"/>
      <c r="DA560" s="19"/>
      <c r="DB560" s="19"/>
      <c r="DC560" s="19"/>
      <c r="DD560" s="19"/>
      <c r="DE560" s="19"/>
      <c r="DF560" s="19"/>
      <c r="DG560" s="19"/>
      <c r="DH560" s="19"/>
      <c r="DI560" s="19"/>
      <c r="DJ560" s="19"/>
      <c r="DK560" s="19"/>
      <c r="DL560" s="19"/>
      <c r="DM560" s="19"/>
      <c r="DN560" s="19"/>
      <c r="DO560" s="19"/>
      <c r="DP560" s="19"/>
      <c r="DQ560" s="19"/>
      <c r="DR560" s="19"/>
      <c r="DS560" s="19"/>
      <c r="DT560" s="19"/>
      <c r="DU560" s="19"/>
      <c r="DV560" s="19"/>
      <c r="DW560" s="19"/>
      <c r="DX560" s="19"/>
      <c r="DY560" s="19"/>
      <c r="DZ560" s="19"/>
      <c r="EA560" s="19"/>
      <c r="EB560" s="19"/>
      <c r="EC560" s="19"/>
      <c r="ED560" s="19"/>
      <c r="EE560" s="19"/>
      <c r="EF560" s="19"/>
      <c r="EG560" s="19"/>
      <c r="EH560" s="19"/>
      <c r="EI560" s="19"/>
      <c r="EJ560" s="19"/>
      <c r="EK560" s="19"/>
      <c r="EL560" s="19"/>
      <c r="EM560" s="19"/>
      <c r="EN560" s="19"/>
      <c r="EO560" s="19"/>
      <c r="EP560" s="17"/>
      <c r="EQ560" s="23"/>
      <c r="ER560" s="23" t="str">
        <f t="shared" si="1"/>
        <v/>
      </c>
      <c r="ES560" s="19"/>
      <c r="ET560" s="19" t="str">
        <f t="shared" si="2"/>
        <v/>
      </c>
      <c r="EU560" s="19"/>
      <c r="EV560" s="19"/>
      <c r="EW560" s="19"/>
      <c r="EX560" s="19"/>
      <c r="EY560" s="19"/>
      <c r="EZ560" s="19"/>
      <c r="FA560" s="19"/>
      <c r="FB560" s="19"/>
    </row>
    <row r="561" ht="15.75" customHeight="1">
      <c r="A561" s="19"/>
      <c r="F561" s="19"/>
      <c r="AH561" s="23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  <c r="BD561" s="19"/>
      <c r="BE561" s="19"/>
      <c r="BF561" s="19"/>
      <c r="BG561" s="19"/>
      <c r="BH561" s="19"/>
      <c r="BI561" s="19"/>
      <c r="BJ561" s="19"/>
      <c r="BK561" s="19"/>
      <c r="BL561" s="19"/>
      <c r="BM561" s="19"/>
      <c r="BN561" s="19"/>
      <c r="BO561" s="19"/>
      <c r="BP561" s="19"/>
      <c r="BQ561" s="19"/>
      <c r="BR561" s="19"/>
      <c r="BS561" s="19"/>
      <c r="BT561" s="19"/>
      <c r="BU561" s="19"/>
      <c r="BV561" s="19"/>
      <c r="BW561" s="19"/>
      <c r="BX561" s="19"/>
      <c r="BY561" s="19"/>
      <c r="BZ561" s="19"/>
      <c r="CA561" s="19"/>
      <c r="CB561" s="19"/>
      <c r="CC561" s="19"/>
      <c r="CD561" s="19"/>
      <c r="CE561" s="19"/>
      <c r="CF561" s="19"/>
      <c r="CG561" s="19"/>
      <c r="CH561" s="19"/>
      <c r="CI561" s="19"/>
      <c r="CJ561" s="19"/>
      <c r="CK561" s="19"/>
      <c r="CL561" s="19"/>
      <c r="CM561" s="19"/>
      <c r="CN561" s="19"/>
      <c r="CO561" s="19"/>
      <c r="CP561" s="19"/>
      <c r="CQ561" s="19"/>
      <c r="CR561" s="19"/>
      <c r="CS561" s="19"/>
      <c r="CT561" s="19"/>
      <c r="CU561" s="19"/>
      <c r="CV561" s="19"/>
      <c r="CW561" s="19"/>
      <c r="CX561" s="19"/>
      <c r="CY561" s="19"/>
      <c r="CZ561" s="19"/>
      <c r="DA561" s="19"/>
      <c r="DB561" s="19"/>
      <c r="DC561" s="19"/>
      <c r="DD561" s="19"/>
      <c r="DE561" s="19"/>
      <c r="DF561" s="19"/>
      <c r="DG561" s="19"/>
      <c r="DH561" s="19"/>
      <c r="DI561" s="19"/>
      <c r="DJ561" s="19"/>
      <c r="DK561" s="19"/>
      <c r="DL561" s="19"/>
      <c r="DM561" s="19"/>
      <c r="DN561" s="19"/>
      <c r="DO561" s="19"/>
      <c r="DP561" s="19"/>
      <c r="DQ561" s="19"/>
      <c r="DR561" s="19"/>
      <c r="DS561" s="19"/>
      <c r="DT561" s="19"/>
      <c r="DU561" s="19"/>
      <c r="DV561" s="19"/>
      <c r="DW561" s="19"/>
      <c r="DX561" s="19"/>
      <c r="DY561" s="19"/>
      <c r="DZ561" s="19"/>
      <c r="EA561" s="19"/>
      <c r="EB561" s="19"/>
      <c r="EC561" s="19"/>
      <c r="ED561" s="19"/>
      <c r="EE561" s="19"/>
      <c r="EF561" s="19"/>
      <c r="EG561" s="19"/>
      <c r="EH561" s="19"/>
      <c r="EI561" s="19"/>
      <c r="EJ561" s="19"/>
      <c r="EK561" s="19"/>
      <c r="EL561" s="19"/>
      <c r="EM561" s="19"/>
      <c r="EN561" s="19"/>
      <c r="EO561" s="19"/>
      <c r="EP561" s="17"/>
      <c r="EQ561" s="23"/>
      <c r="ER561" s="23" t="str">
        <f t="shared" si="1"/>
        <v/>
      </c>
      <c r="ES561" s="19"/>
      <c r="ET561" s="19" t="str">
        <f t="shared" si="2"/>
        <v/>
      </c>
      <c r="EU561" s="19"/>
      <c r="EV561" s="19"/>
      <c r="EW561" s="19"/>
      <c r="EX561" s="19"/>
      <c r="EY561" s="19"/>
      <c r="EZ561" s="19"/>
      <c r="FA561" s="19"/>
      <c r="FB561" s="19"/>
    </row>
    <row r="562" ht="15.75" customHeight="1">
      <c r="A562" s="19"/>
      <c r="F562" s="19"/>
      <c r="AH562" s="23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  <c r="BD562" s="19"/>
      <c r="BE562" s="19"/>
      <c r="BF562" s="19"/>
      <c r="BG562" s="19"/>
      <c r="BH562" s="19"/>
      <c r="BI562" s="19"/>
      <c r="BJ562" s="19"/>
      <c r="BK562" s="19"/>
      <c r="BL562" s="19"/>
      <c r="BM562" s="19"/>
      <c r="BN562" s="19"/>
      <c r="BO562" s="19"/>
      <c r="BP562" s="19"/>
      <c r="BQ562" s="19"/>
      <c r="BR562" s="19"/>
      <c r="BS562" s="19"/>
      <c r="BT562" s="19"/>
      <c r="BU562" s="19"/>
      <c r="BV562" s="19"/>
      <c r="BW562" s="19"/>
      <c r="BX562" s="19"/>
      <c r="BY562" s="19"/>
      <c r="BZ562" s="19"/>
      <c r="CA562" s="19"/>
      <c r="CB562" s="19"/>
      <c r="CC562" s="19"/>
      <c r="CD562" s="19"/>
      <c r="CE562" s="19"/>
      <c r="CF562" s="19"/>
      <c r="CG562" s="19"/>
      <c r="CH562" s="19"/>
      <c r="CI562" s="19"/>
      <c r="CJ562" s="19"/>
      <c r="CK562" s="19"/>
      <c r="CL562" s="19"/>
      <c r="CM562" s="19"/>
      <c r="CN562" s="19"/>
      <c r="CO562" s="19"/>
      <c r="CP562" s="19"/>
      <c r="CQ562" s="19"/>
      <c r="CR562" s="19"/>
      <c r="CS562" s="19"/>
      <c r="CT562" s="19"/>
      <c r="CU562" s="19"/>
      <c r="CV562" s="19"/>
      <c r="CW562" s="19"/>
      <c r="CX562" s="19"/>
      <c r="CY562" s="19"/>
      <c r="CZ562" s="19"/>
      <c r="DA562" s="19"/>
      <c r="DB562" s="19"/>
      <c r="DC562" s="19"/>
      <c r="DD562" s="19"/>
      <c r="DE562" s="19"/>
      <c r="DF562" s="19"/>
      <c r="DG562" s="19"/>
      <c r="DH562" s="19"/>
      <c r="DI562" s="19"/>
      <c r="DJ562" s="19"/>
      <c r="DK562" s="19"/>
      <c r="DL562" s="19"/>
      <c r="DM562" s="19"/>
      <c r="DN562" s="19"/>
      <c r="DO562" s="19"/>
      <c r="DP562" s="19"/>
      <c r="DQ562" s="19"/>
      <c r="DR562" s="19"/>
      <c r="DS562" s="19"/>
      <c r="DT562" s="19"/>
      <c r="DU562" s="19"/>
      <c r="DV562" s="19"/>
      <c r="DW562" s="19"/>
      <c r="DX562" s="19"/>
      <c r="DY562" s="19"/>
      <c r="DZ562" s="19"/>
      <c r="EA562" s="19"/>
      <c r="EB562" s="19"/>
      <c r="EC562" s="19"/>
      <c r="ED562" s="19"/>
      <c r="EE562" s="19"/>
      <c r="EF562" s="19"/>
      <c r="EG562" s="19"/>
      <c r="EH562" s="19"/>
      <c r="EI562" s="19"/>
      <c r="EJ562" s="19"/>
      <c r="EK562" s="19"/>
      <c r="EL562" s="19"/>
      <c r="EM562" s="19"/>
      <c r="EN562" s="19"/>
      <c r="EO562" s="19"/>
      <c r="EP562" s="17"/>
      <c r="EQ562" s="23"/>
      <c r="ER562" s="23" t="str">
        <f t="shared" si="1"/>
        <v/>
      </c>
      <c r="ES562" s="19"/>
      <c r="ET562" s="19" t="str">
        <f t="shared" si="2"/>
        <v/>
      </c>
      <c r="EU562" s="19"/>
      <c r="EV562" s="19"/>
      <c r="EW562" s="19"/>
      <c r="EX562" s="19"/>
      <c r="EY562" s="19"/>
      <c r="EZ562" s="19"/>
      <c r="FA562" s="19"/>
      <c r="FB562" s="19"/>
    </row>
    <row r="563" ht="15.75" customHeight="1">
      <c r="A563" s="19"/>
      <c r="F563" s="19"/>
      <c r="AH563" s="23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  <c r="BD563" s="19"/>
      <c r="BE563" s="19"/>
      <c r="BF563" s="19"/>
      <c r="BG563" s="19"/>
      <c r="BH563" s="19"/>
      <c r="BI563" s="19"/>
      <c r="BJ563" s="19"/>
      <c r="BK563" s="19"/>
      <c r="BL563" s="19"/>
      <c r="BM563" s="19"/>
      <c r="BN563" s="19"/>
      <c r="BO563" s="19"/>
      <c r="BP563" s="19"/>
      <c r="BQ563" s="19"/>
      <c r="BR563" s="19"/>
      <c r="BS563" s="19"/>
      <c r="BT563" s="19"/>
      <c r="BU563" s="19"/>
      <c r="BV563" s="19"/>
      <c r="BW563" s="19"/>
      <c r="BX563" s="19"/>
      <c r="BY563" s="19"/>
      <c r="BZ563" s="19"/>
      <c r="CA563" s="19"/>
      <c r="CB563" s="19"/>
      <c r="CC563" s="19"/>
      <c r="CD563" s="19"/>
      <c r="CE563" s="19"/>
      <c r="CF563" s="19"/>
      <c r="CG563" s="19"/>
      <c r="CH563" s="19"/>
      <c r="CI563" s="19"/>
      <c r="CJ563" s="19"/>
      <c r="CK563" s="19"/>
      <c r="CL563" s="19"/>
      <c r="CM563" s="19"/>
      <c r="CN563" s="19"/>
      <c r="CO563" s="19"/>
      <c r="CP563" s="19"/>
      <c r="CQ563" s="19"/>
      <c r="CR563" s="19"/>
      <c r="CS563" s="19"/>
      <c r="CT563" s="19"/>
      <c r="CU563" s="19"/>
      <c r="CV563" s="19"/>
      <c r="CW563" s="19"/>
      <c r="CX563" s="19"/>
      <c r="CY563" s="19"/>
      <c r="CZ563" s="19"/>
      <c r="DA563" s="19"/>
      <c r="DB563" s="19"/>
      <c r="DC563" s="19"/>
      <c r="DD563" s="19"/>
      <c r="DE563" s="19"/>
      <c r="DF563" s="19"/>
      <c r="DG563" s="19"/>
      <c r="DH563" s="19"/>
      <c r="DI563" s="19"/>
      <c r="DJ563" s="19"/>
      <c r="DK563" s="19"/>
      <c r="DL563" s="19"/>
      <c r="DM563" s="19"/>
      <c r="DN563" s="19"/>
      <c r="DO563" s="19"/>
      <c r="DP563" s="19"/>
      <c r="DQ563" s="19"/>
      <c r="DR563" s="19"/>
      <c r="DS563" s="19"/>
      <c r="DT563" s="19"/>
      <c r="DU563" s="19"/>
      <c r="DV563" s="19"/>
      <c r="DW563" s="19"/>
      <c r="DX563" s="19"/>
      <c r="DY563" s="19"/>
      <c r="DZ563" s="19"/>
      <c r="EA563" s="19"/>
      <c r="EB563" s="19"/>
      <c r="EC563" s="19"/>
      <c r="ED563" s="19"/>
      <c r="EE563" s="19"/>
      <c r="EF563" s="19"/>
      <c r="EG563" s="19"/>
      <c r="EH563" s="19"/>
      <c r="EI563" s="19"/>
      <c r="EJ563" s="19"/>
      <c r="EK563" s="19"/>
      <c r="EL563" s="19"/>
      <c r="EM563" s="19"/>
      <c r="EN563" s="19"/>
      <c r="EO563" s="19"/>
      <c r="EP563" s="17"/>
      <c r="EQ563" s="23"/>
      <c r="ER563" s="23" t="str">
        <f t="shared" si="1"/>
        <v/>
      </c>
      <c r="ES563" s="19"/>
      <c r="ET563" s="19" t="str">
        <f t="shared" si="2"/>
        <v/>
      </c>
      <c r="EU563" s="19"/>
      <c r="EV563" s="19"/>
      <c r="EW563" s="19"/>
      <c r="EX563" s="19"/>
      <c r="EY563" s="19"/>
      <c r="EZ563" s="19"/>
      <c r="FA563" s="19"/>
      <c r="FB563" s="19"/>
    </row>
    <row r="564" ht="15.75" customHeight="1">
      <c r="A564" s="19"/>
      <c r="F564" s="19"/>
      <c r="AH564" s="23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  <c r="BD564" s="19"/>
      <c r="BE564" s="19"/>
      <c r="BF564" s="19"/>
      <c r="BG564" s="19"/>
      <c r="BH564" s="19"/>
      <c r="BI564" s="19"/>
      <c r="BJ564" s="19"/>
      <c r="BK564" s="19"/>
      <c r="BL564" s="19"/>
      <c r="BM564" s="19"/>
      <c r="BN564" s="19"/>
      <c r="BO564" s="19"/>
      <c r="BP564" s="19"/>
      <c r="BQ564" s="19"/>
      <c r="BR564" s="19"/>
      <c r="BS564" s="19"/>
      <c r="BT564" s="19"/>
      <c r="BU564" s="19"/>
      <c r="BV564" s="19"/>
      <c r="BW564" s="19"/>
      <c r="BX564" s="19"/>
      <c r="BY564" s="19"/>
      <c r="BZ564" s="19"/>
      <c r="CA564" s="19"/>
      <c r="CB564" s="19"/>
      <c r="CC564" s="19"/>
      <c r="CD564" s="19"/>
      <c r="CE564" s="19"/>
      <c r="CF564" s="19"/>
      <c r="CG564" s="19"/>
      <c r="CH564" s="19"/>
      <c r="CI564" s="19"/>
      <c r="CJ564" s="19"/>
      <c r="CK564" s="19"/>
      <c r="CL564" s="19"/>
      <c r="CM564" s="19"/>
      <c r="CN564" s="19"/>
      <c r="CO564" s="19"/>
      <c r="CP564" s="19"/>
      <c r="CQ564" s="19"/>
      <c r="CR564" s="19"/>
      <c r="CS564" s="19"/>
      <c r="CT564" s="19"/>
      <c r="CU564" s="19"/>
      <c r="CV564" s="19"/>
      <c r="CW564" s="19"/>
      <c r="CX564" s="19"/>
      <c r="CY564" s="19"/>
      <c r="CZ564" s="19"/>
      <c r="DA564" s="19"/>
      <c r="DB564" s="19"/>
      <c r="DC564" s="19"/>
      <c r="DD564" s="19"/>
      <c r="DE564" s="19"/>
      <c r="DF564" s="19"/>
      <c r="DG564" s="19"/>
      <c r="DH564" s="19"/>
      <c r="DI564" s="19"/>
      <c r="DJ564" s="19"/>
      <c r="DK564" s="19"/>
      <c r="DL564" s="19"/>
      <c r="DM564" s="19"/>
      <c r="DN564" s="19"/>
      <c r="DO564" s="19"/>
      <c r="DP564" s="19"/>
      <c r="DQ564" s="19"/>
      <c r="DR564" s="19"/>
      <c r="DS564" s="19"/>
      <c r="DT564" s="19"/>
      <c r="DU564" s="19"/>
      <c r="DV564" s="19"/>
      <c r="DW564" s="19"/>
      <c r="DX564" s="19"/>
      <c r="DY564" s="19"/>
      <c r="DZ564" s="19"/>
      <c r="EA564" s="19"/>
      <c r="EB564" s="19"/>
      <c r="EC564" s="19"/>
      <c r="ED564" s="19"/>
      <c r="EE564" s="19"/>
      <c r="EF564" s="19"/>
      <c r="EG564" s="19"/>
      <c r="EH564" s="19"/>
      <c r="EI564" s="19"/>
      <c r="EJ564" s="19"/>
      <c r="EK564" s="19"/>
      <c r="EL564" s="19"/>
      <c r="EM564" s="19"/>
      <c r="EN564" s="19"/>
      <c r="EO564" s="19"/>
      <c r="EP564" s="17"/>
      <c r="EQ564" s="23"/>
      <c r="ER564" s="23" t="str">
        <f t="shared" si="1"/>
        <v/>
      </c>
      <c r="ES564" s="19"/>
      <c r="ET564" s="19" t="str">
        <f t="shared" si="2"/>
        <v/>
      </c>
      <c r="EU564" s="19"/>
      <c r="EV564" s="19"/>
      <c r="EW564" s="19"/>
      <c r="EX564" s="19"/>
      <c r="EY564" s="19"/>
      <c r="EZ564" s="19"/>
      <c r="FA564" s="19"/>
      <c r="FB564" s="19"/>
    </row>
    <row r="565" ht="15.75" customHeight="1">
      <c r="A565" s="19"/>
      <c r="F565" s="19"/>
      <c r="AH565" s="23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  <c r="BD565" s="19"/>
      <c r="BE565" s="19"/>
      <c r="BF565" s="19"/>
      <c r="BG565" s="19"/>
      <c r="BH565" s="19"/>
      <c r="BI565" s="19"/>
      <c r="BJ565" s="19"/>
      <c r="BK565" s="19"/>
      <c r="BL565" s="19"/>
      <c r="BM565" s="19"/>
      <c r="BN565" s="19"/>
      <c r="BO565" s="19"/>
      <c r="BP565" s="19"/>
      <c r="BQ565" s="19"/>
      <c r="BR565" s="19"/>
      <c r="BS565" s="19"/>
      <c r="BT565" s="19"/>
      <c r="BU565" s="19"/>
      <c r="BV565" s="19"/>
      <c r="BW565" s="19"/>
      <c r="BX565" s="19"/>
      <c r="BY565" s="19"/>
      <c r="BZ565" s="19"/>
      <c r="CA565" s="19"/>
      <c r="CB565" s="19"/>
      <c r="CC565" s="19"/>
      <c r="CD565" s="19"/>
      <c r="CE565" s="19"/>
      <c r="CF565" s="19"/>
      <c r="CG565" s="19"/>
      <c r="CH565" s="19"/>
      <c r="CI565" s="19"/>
      <c r="CJ565" s="19"/>
      <c r="CK565" s="19"/>
      <c r="CL565" s="19"/>
      <c r="CM565" s="19"/>
      <c r="CN565" s="19"/>
      <c r="CO565" s="19"/>
      <c r="CP565" s="19"/>
      <c r="CQ565" s="19"/>
      <c r="CR565" s="19"/>
      <c r="CS565" s="19"/>
      <c r="CT565" s="19"/>
      <c r="CU565" s="19"/>
      <c r="CV565" s="19"/>
      <c r="CW565" s="19"/>
      <c r="CX565" s="19"/>
      <c r="CY565" s="19"/>
      <c r="CZ565" s="19"/>
      <c r="DA565" s="19"/>
      <c r="DB565" s="19"/>
      <c r="DC565" s="19"/>
      <c r="DD565" s="19"/>
      <c r="DE565" s="19"/>
      <c r="DF565" s="19"/>
      <c r="DG565" s="19"/>
      <c r="DH565" s="19"/>
      <c r="DI565" s="19"/>
      <c r="DJ565" s="19"/>
      <c r="DK565" s="19"/>
      <c r="DL565" s="19"/>
      <c r="DM565" s="19"/>
      <c r="DN565" s="19"/>
      <c r="DO565" s="19"/>
      <c r="DP565" s="19"/>
      <c r="DQ565" s="19"/>
      <c r="DR565" s="19"/>
      <c r="DS565" s="19"/>
      <c r="DT565" s="19"/>
      <c r="DU565" s="19"/>
      <c r="DV565" s="19"/>
      <c r="DW565" s="19"/>
      <c r="DX565" s="19"/>
      <c r="DY565" s="19"/>
      <c r="DZ565" s="19"/>
      <c r="EA565" s="19"/>
      <c r="EB565" s="19"/>
      <c r="EC565" s="19"/>
      <c r="ED565" s="19"/>
      <c r="EE565" s="19"/>
      <c r="EF565" s="19"/>
      <c r="EG565" s="19"/>
      <c r="EH565" s="19"/>
      <c r="EI565" s="19"/>
      <c r="EJ565" s="19"/>
      <c r="EK565" s="19"/>
      <c r="EL565" s="19"/>
      <c r="EM565" s="19"/>
      <c r="EN565" s="19"/>
      <c r="EO565" s="19"/>
      <c r="EP565" s="17"/>
      <c r="EQ565" s="23"/>
      <c r="ER565" s="23" t="str">
        <f t="shared" si="1"/>
        <v/>
      </c>
      <c r="ES565" s="19"/>
      <c r="ET565" s="19" t="str">
        <f t="shared" si="2"/>
        <v/>
      </c>
      <c r="EU565" s="19"/>
      <c r="EV565" s="19"/>
      <c r="EW565" s="19"/>
      <c r="EX565" s="19"/>
      <c r="EY565" s="19"/>
      <c r="EZ565" s="19"/>
      <c r="FA565" s="19"/>
      <c r="FB565" s="19"/>
    </row>
    <row r="566" ht="15.75" customHeight="1">
      <c r="A566" s="19"/>
      <c r="F566" s="19"/>
      <c r="AH566" s="23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  <c r="BD566" s="19"/>
      <c r="BE566" s="19"/>
      <c r="BF566" s="19"/>
      <c r="BG566" s="19"/>
      <c r="BH566" s="19"/>
      <c r="BI566" s="19"/>
      <c r="BJ566" s="19"/>
      <c r="BK566" s="19"/>
      <c r="BL566" s="19"/>
      <c r="BM566" s="19"/>
      <c r="BN566" s="19"/>
      <c r="BO566" s="19"/>
      <c r="BP566" s="19"/>
      <c r="BQ566" s="19"/>
      <c r="BR566" s="19"/>
      <c r="BS566" s="19"/>
      <c r="BT566" s="19"/>
      <c r="BU566" s="19"/>
      <c r="BV566" s="19"/>
      <c r="BW566" s="19"/>
      <c r="BX566" s="19"/>
      <c r="BY566" s="19"/>
      <c r="BZ566" s="19"/>
      <c r="CA566" s="19"/>
      <c r="CB566" s="19"/>
      <c r="CC566" s="19"/>
      <c r="CD566" s="19"/>
      <c r="CE566" s="19"/>
      <c r="CF566" s="19"/>
      <c r="CG566" s="19"/>
      <c r="CH566" s="19"/>
      <c r="CI566" s="19"/>
      <c r="CJ566" s="19"/>
      <c r="CK566" s="19"/>
      <c r="CL566" s="19"/>
      <c r="CM566" s="19"/>
      <c r="CN566" s="19"/>
      <c r="CO566" s="19"/>
      <c r="CP566" s="19"/>
      <c r="CQ566" s="19"/>
      <c r="CR566" s="19"/>
      <c r="CS566" s="19"/>
      <c r="CT566" s="19"/>
      <c r="CU566" s="19"/>
      <c r="CV566" s="19"/>
      <c r="CW566" s="19"/>
      <c r="CX566" s="19"/>
      <c r="CY566" s="19"/>
      <c r="CZ566" s="19"/>
      <c r="DA566" s="19"/>
      <c r="DB566" s="19"/>
      <c r="DC566" s="19"/>
      <c r="DD566" s="19"/>
      <c r="DE566" s="19"/>
      <c r="DF566" s="19"/>
      <c r="DG566" s="19"/>
      <c r="DH566" s="19"/>
      <c r="DI566" s="19"/>
      <c r="DJ566" s="19"/>
      <c r="DK566" s="19"/>
      <c r="DL566" s="19"/>
      <c r="DM566" s="19"/>
      <c r="DN566" s="19"/>
      <c r="DO566" s="19"/>
      <c r="DP566" s="19"/>
      <c r="DQ566" s="19"/>
      <c r="DR566" s="19"/>
      <c r="DS566" s="19"/>
      <c r="DT566" s="19"/>
      <c r="DU566" s="19"/>
      <c r="DV566" s="19"/>
      <c r="DW566" s="19"/>
      <c r="DX566" s="19"/>
      <c r="DY566" s="19"/>
      <c r="DZ566" s="19"/>
      <c r="EA566" s="19"/>
      <c r="EB566" s="19"/>
      <c r="EC566" s="19"/>
      <c r="ED566" s="19"/>
      <c r="EE566" s="19"/>
      <c r="EF566" s="19"/>
      <c r="EG566" s="19"/>
      <c r="EH566" s="19"/>
      <c r="EI566" s="19"/>
      <c r="EJ566" s="19"/>
      <c r="EK566" s="19"/>
      <c r="EL566" s="19"/>
      <c r="EM566" s="19"/>
      <c r="EN566" s="19"/>
      <c r="EO566" s="19"/>
      <c r="EP566" s="17"/>
      <c r="EQ566" s="23"/>
      <c r="ER566" s="23" t="str">
        <f t="shared" si="1"/>
        <v/>
      </c>
      <c r="ES566" s="19"/>
      <c r="ET566" s="19" t="str">
        <f t="shared" si="2"/>
        <v/>
      </c>
      <c r="EU566" s="19"/>
      <c r="EV566" s="19"/>
      <c r="EW566" s="19"/>
      <c r="EX566" s="19"/>
      <c r="EY566" s="19"/>
      <c r="EZ566" s="19"/>
      <c r="FA566" s="19"/>
      <c r="FB566" s="19"/>
    </row>
    <row r="567" ht="15.75" customHeight="1">
      <c r="A567" s="19"/>
      <c r="F567" s="19"/>
      <c r="AH567" s="23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  <c r="BD567" s="19"/>
      <c r="BE567" s="19"/>
      <c r="BF567" s="19"/>
      <c r="BG567" s="19"/>
      <c r="BH567" s="19"/>
      <c r="BI567" s="19"/>
      <c r="BJ567" s="19"/>
      <c r="BK567" s="19"/>
      <c r="BL567" s="19"/>
      <c r="BM567" s="19"/>
      <c r="BN567" s="19"/>
      <c r="BO567" s="19"/>
      <c r="BP567" s="19"/>
      <c r="BQ567" s="19"/>
      <c r="BR567" s="19"/>
      <c r="BS567" s="19"/>
      <c r="BT567" s="19"/>
      <c r="BU567" s="19"/>
      <c r="BV567" s="19"/>
      <c r="BW567" s="19"/>
      <c r="BX567" s="19"/>
      <c r="BY567" s="19"/>
      <c r="BZ567" s="19"/>
      <c r="CA567" s="19"/>
      <c r="CB567" s="19"/>
      <c r="CC567" s="19"/>
      <c r="CD567" s="19"/>
      <c r="CE567" s="19"/>
      <c r="CF567" s="19"/>
      <c r="CG567" s="19"/>
      <c r="CH567" s="19"/>
      <c r="CI567" s="19"/>
      <c r="CJ567" s="19"/>
      <c r="CK567" s="19"/>
      <c r="CL567" s="19"/>
      <c r="CM567" s="19"/>
      <c r="CN567" s="19"/>
      <c r="CO567" s="19"/>
      <c r="CP567" s="19"/>
      <c r="CQ567" s="19"/>
      <c r="CR567" s="19"/>
      <c r="CS567" s="19"/>
      <c r="CT567" s="19"/>
      <c r="CU567" s="19"/>
      <c r="CV567" s="19"/>
      <c r="CW567" s="19"/>
      <c r="CX567" s="19"/>
      <c r="CY567" s="19"/>
      <c r="CZ567" s="19"/>
      <c r="DA567" s="19"/>
      <c r="DB567" s="19"/>
      <c r="DC567" s="19"/>
      <c r="DD567" s="19"/>
      <c r="DE567" s="19"/>
      <c r="DF567" s="19"/>
      <c r="DG567" s="19"/>
      <c r="DH567" s="19"/>
      <c r="DI567" s="19"/>
      <c r="DJ567" s="19"/>
      <c r="DK567" s="19"/>
      <c r="DL567" s="19"/>
      <c r="DM567" s="19"/>
      <c r="DN567" s="19"/>
      <c r="DO567" s="19"/>
      <c r="DP567" s="19"/>
      <c r="DQ567" s="19"/>
      <c r="DR567" s="19"/>
      <c r="DS567" s="19"/>
      <c r="DT567" s="19"/>
      <c r="DU567" s="19"/>
      <c r="DV567" s="19"/>
      <c r="DW567" s="19"/>
      <c r="DX567" s="19"/>
      <c r="DY567" s="19"/>
      <c r="DZ567" s="19"/>
      <c r="EA567" s="19"/>
      <c r="EB567" s="19"/>
      <c r="EC567" s="19"/>
      <c r="ED567" s="19"/>
      <c r="EE567" s="19"/>
      <c r="EF567" s="19"/>
      <c r="EG567" s="19"/>
      <c r="EH567" s="19"/>
      <c r="EI567" s="19"/>
      <c r="EJ567" s="19"/>
      <c r="EK567" s="19"/>
      <c r="EL567" s="19"/>
      <c r="EM567" s="19"/>
      <c r="EN567" s="19"/>
      <c r="EO567" s="19"/>
      <c r="EP567" s="17"/>
      <c r="EQ567" s="23"/>
      <c r="ER567" s="23" t="str">
        <f t="shared" si="1"/>
        <v/>
      </c>
      <c r="ES567" s="19"/>
      <c r="ET567" s="19" t="str">
        <f t="shared" si="2"/>
        <v/>
      </c>
      <c r="EU567" s="19"/>
      <c r="EV567" s="19"/>
      <c r="EW567" s="19"/>
      <c r="EX567" s="19"/>
      <c r="EY567" s="19"/>
      <c r="EZ567" s="19"/>
      <c r="FA567" s="19"/>
      <c r="FB567" s="19"/>
    </row>
    <row r="568" ht="15.75" customHeight="1">
      <c r="A568" s="19"/>
      <c r="F568" s="19"/>
      <c r="AH568" s="23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  <c r="BD568" s="19"/>
      <c r="BE568" s="19"/>
      <c r="BF568" s="19"/>
      <c r="BG568" s="19"/>
      <c r="BH568" s="19"/>
      <c r="BI568" s="19"/>
      <c r="BJ568" s="19"/>
      <c r="BK568" s="19"/>
      <c r="BL568" s="19"/>
      <c r="BM568" s="19"/>
      <c r="BN568" s="19"/>
      <c r="BO568" s="19"/>
      <c r="BP568" s="19"/>
      <c r="BQ568" s="19"/>
      <c r="BR568" s="19"/>
      <c r="BS568" s="19"/>
      <c r="BT568" s="19"/>
      <c r="BU568" s="19"/>
      <c r="BV568" s="19"/>
      <c r="BW568" s="19"/>
      <c r="BX568" s="19"/>
      <c r="BY568" s="19"/>
      <c r="BZ568" s="19"/>
      <c r="CA568" s="19"/>
      <c r="CB568" s="19"/>
      <c r="CC568" s="19"/>
      <c r="CD568" s="19"/>
      <c r="CE568" s="19"/>
      <c r="CF568" s="19"/>
      <c r="CG568" s="19"/>
      <c r="CH568" s="19"/>
      <c r="CI568" s="19"/>
      <c r="CJ568" s="19"/>
      <c r="CK568" s="19"/>
      <c r="CL568" s="19"/>
      <c r="CM568" s="19"/>
      <c r="CN568" s="19"/>
      <c r="CO568" s="19"/>
      <c r="CP568" s="19"/>
      <c r="CQ568" s="19"/>
      <c r="CR568" s="19"/>
      <c r="CS568" s="19"/>
      <c r="CT568" s="19"/>
      <c r="CU568" s="19"/>
      <c r="CV568" s="19"/>
      <c r="CW568" s="19"/>
      <c r="CX568" s="19"/>
      <c r="CY568" s="19"/>
      <c r="CZ568" s="19"/>
      <c r="DA568" s="19"/>
      <c r="DB568" s="19"/>
      <c r="DC568" s="19"/>
      <c r="DD568" s="19"/>
      <c r="DE568" s="19"/>
      <c r="DF568" s="19"/>
      <c r="DG568" s="19"/>
      <c r="DH568" s="19"/>
      <c r="DI568" s="19"/>
      <c r="DJ568" s="19"/>
      <c r="DK568" s="19"/>
      <c r="DL568" s="19"/>
      <c r="DM568" s="19"/>
      <c r="DN568" s="19"/>
      <c r="DO568" s="19"/>
      <c r="DP568" s="19"/>
      <c r="DQ568" s="19"/>
      <c r="DR568" s="19"/>
      <c r="DS568" s="19"/>
      <c r="DT568" s="19"/>
      <c r="DU568" s="19"/>
      <c r="DV568" s="19"/>
      <c r="DW568" s="19"/>
      <c r="DX568" s="19"/>
      <c r="DY568" s="19"/>
      <c r="DZ568" s="19"/>
      <c r="EA568" s="19"/>
      <c r="EB568" s="19"/>
      <c r="EC568" s="19"/>
      <c r="ED568" s="19"/>
      <c r="EE568" s="19"/>
      <c r="EF568" s="19"/>
      <c r="EG568" s="19"/>
      <c r="EH568" s="19"/>
      <c r="EI568" s="19"/>
      <c r="EJ568" s="19"/>
      <c r="EK568" s="19"/>
      <c r="EL568" s="19"/>
      <c r="EM568" s="19"/>
      <c r="EN568" s="19"/>
      <c r="EO568" s="19"/>
      <c r="EP568" s="17"/>
      <c r="EQ568" s="23"/>
      <c r="ER568" s="23" t="str">
        <f t="shared" si="1"/>
        <v/>
      </c>
      <c r="ES568" s="19"/>
      <c r="ET568" s="19" t="str">
        <f t="shared" si="2"/>
        <v/>
      </c>
      <c r="EU568" s="19"/>
      <c r="EV568" s="19"/>
      <c r="EW568" s="19"/>
      <c r="EX568" s="19"/>
      <c r="EY568" s="19"/>
      <c r="EZ568" s="19"/>
      <c r="FA568" s="19"/>
      <c r="FB568" s="19"/>
    </row>
    <row r="569" ht="15.75" customHeight="1">
      <c r="A569" s="19"/>
      <c r="F569" s="19"/>
      <c r="AH569" s="23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  <c r="BD569" s="19"/>
      <c r="BE569" s="19"/>
      <c r="BF569" s="19"/>
      <c r="BG569" s="19"/>
      <c r="BH569" s="19"/>
      <c r="BI569" s="19"/>
      <c r="BJ569" s="19"/>
      <c r="BK569" s="19"/>
      <c r="BL569" s="19"/>
      <c r="BM569" s="19"/>
      <c r="BN569" s="19"/>
      <c r="BO569" s="19"/>
      <c r="BP569" s="19"/>
      <c r="BQ569" s="19"/>
      <c r="BR569" s="19"/>
      <c r="BS569" s="19"/>
      <c r="BT569" s="19"/>
      <c r="BU569" s="19"/>
      <c r="BV569" s="19"/>
      <c r="BW569" s="19"/>
      <c r="BX569" s="19"/>
      <c r="BY569" s="19"/>
      <c r="BZ569" s="19"/>
      <c r="CA569" s="19"/>
      <c r="CB569" s="19"/>
      <c r="CC569" s="19"/>
      <c r="CD569" s="19"/>
      <c r="CE569" s="19"/>
      <c r="CF569" s="19"/>
      <c r="CG569" s="19"/>
      <c r="CH569" s="19"/>
      <c r="CI569" s="19"/>
      <c r="CJ569" s="19"/>
      <c r="CK569" s="19"/>
      <c r="CL569" s="19"/>
      <c r="CM569" s="19"/>
      <c r="CN569" s="19"/>
      <c r="CO569" s="19"/>
      <c r="CP569" s="19"/>
      <c r="CQ569" s="19"/>
      <c r="CR569" s="19"/>
      <c r="CS569" s="19"/>
      <c r="CT569" s="19"/>
      <c r="CU569" s="19"/>
      <c r="CV569" s="19"/>
      <c r="CW569" s="19"/>
      <c r="CX569" s="19"/>
      <c r="CY569" s="19"/>
      <c r="CZ569" s="19"/>
      <c r="DA569" s="19"/>
      <c r="DB569" s="19"/>
      <c r="DC569" s="19"/>
      <c r="DD569" s="19"/>
      <c r="DE569" s="19"/>
      <c r="DF569" s="19"/>
      <c r="DG569" s="19"/>
      <c r="DH569" s="19"/>
      <c r="DI569" s="19"/>
      <c r="DJ569" s="19"/>
      <c r="DK569" s="19"/>
      <c r="DL569" s="19"/>
      <c r="DM569" s="19"/>
      <c r="DN569" s="19"/>
      <c r="DO569" s="19"/>
      <c r="DP569" s="19"/>
      <c r="DQ569" s="19"/>
      <c r="DR569" s="19"/>
      <c r="DS569" s="19"/>
      <c r="DT569" s="19"/>
      <c r="DU569" s="19"/>
      <c r="DV569" s="19"/>
      <c r="DW569" s="19"/>
      <c r="DX569" s="19"/>
      <c r="DY569" s="19"/>
      <c r="DZ569" s="19"/>
      <c r="EA569" s="19"/>
      <c r="EB569" s="19"/>
      <c r="EC569" s="19"/>
      <c r="ED569" s="19"/>
      <c r="EE569" s="19"/>
      <c r="EF569" s="19"/>
      <c r="EG569" s="19"/>
      <c r="EH569" s="19"/>
      <c r="EI569" s="19"/>
      <c r="EJ569" s="19"/>
      <c r="EK569" s="19"/>
      <c r="EL569" s="19"/>
      <c r="EM569" s="19"/>
      <c r="EN569" s="19"/>
      <c r="EO569" s="19"/>
      <c r="EP569" s="17"/>
      <c r="EQ569" s="23"/>
      <c r="ER569" s="23" t="str">
        <f t="shared" si="1"/>
        <v/>
      </c>
      <c r="ES569" s="19"/>
      <c r="ET569" s="19" t="str">
        <f t="shared" si="2"/>
        <v/>
      </c>
      <c r="EU569" s="19"/>
      <c r="EV569" s="19"/>
      <c r="EW569" s="19"/>
      <c r="EX569" s="19"/>
      <c r="EY569" s="19"/>
      <c r="EZ569" s="19"/>
      <c r="FA569" s="19"/>
      <c r="FB569" s="19"/>
    </row>
    <row r="570" ht="15.75" customHeight="1">
      <c r="A570" s="19"/>
      <c r="F570" s="19"/>
      <c r="AH570" s="23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  <c r="BD570" s="19"/>
      <c r="BE570" s="19"/>
      <c r="BF570" s="19"/>
      <c r="BG570" s="19"/>
      <c r="BH570" s="19"/>
      <c r="BI570" s="19"/>
      <c r="BJ570" s="19"/>
      <c r="BK570" s="19"/>
      <c r="BL570" s="19"/>
      <c r="BM570" s="19"/>
      <c r="BN570" s="19"/>
      <c r="BO570" s="19"/>
      <c r="BP570" s="19"/>
      <c r="BQ570" s="19"/>
      <c r="BR570" s="19"/>
      <c r="BS570" s="19"/>
      <c r="BT570" s="19"/>
      <c r="BU570" s="19"/>
      <c r="BV570" s="19"/>
      <c r="BW570" s="19"/>
      <c r="BX570" s="19"/>
      <c r="BY570" s="19"/>
      <c r="BZ570" s="19"/>
      <c r="CA570" s="19"/>
      <c r="CB570" s="19"/>
      <c r="CC570" s="19"/>
      <c r="CD570" s="19"/>
      <c r="CE570" s="19"/>
      <c r="CF570" s="19"/>
      <c r="CG570" s="19"/>
      <c r="CH570" s="19"/>
      <c r="CI570" s="19"/>
      <c r="CJ570" s="19"/>
      <c r="CK570" s="19"/>
      <c r="CL570" s="19"/>
      <c r="CM570" s="19"/>
      <c r="CN570" s="19"/>
      <c r="CO570" s="19"/>
      <c r="CP570" s="19"/>
      <c r="CQ570" s="19"/>
      <c r="CR570" s="19"/>
      <c r="CS570" s="19"/>
      <c r="CT570" s="19"/>
      <c r="CU570" s="19"/>
      <c r="CV570" s="19"/>
      <c r="CW570" s="19"/>
      <c r="CX570" s="19"/>
      <c r="CY570" s="19"/>
      <c r="CZ570" s="19"/>
      <c r="DA570" s="19"/>
      <c r="DB570" s="19"/>
      <c r="DC570" s="19"/>
      <c r="DD570" s="19"/>
      <c r="DE570" s="19"/>
      <c r="DF570" s="19"/>
      <c r="DG570" s="19"/>
      <c r="DH570" s="19"/>
      <c r="DI570" s="19"/>
      <c r="DJ570" s="19"/>
      <c r="DK570" s="19"/>
      <c r="DL570" s="19"/>
      <c r="DM570" s="19"/>
      <c r="DN570" s="19"/>
      <c r="DO570" s="19"/>
      <c r="DP570" s="19"/>
      <c r="DQ570" s="19"/>
      <c r="DR570" s="19"/>
      <c r="DS570" s="19"/>
      <c r="DT570" s="19"/>
      <c r="DU570" s="19"/>
      <c r="DV570" s="19"/>
      <c r="DW570" s="19"/>
      <c r="DX570" s="19"/>
      <c r="DY570" s="19"/>
      <c r="DZ570" s="19"/>
      <c r="EA570" s="19"/>
      <c r="EB570" s="19"/>
      <c r="EC570" s="19"/>
      <c r="ED570" s="19"/>
      <c r="EE570" s="19"/>
      <c r="EF570" s="19"/>
      <c r="EG570" s="19"/>
      <c r="EH570" s="19"/>
      <c r="EI570" s="19"/>
      <c r="EJ570" s="19"/>
      <c r="EK570" s="19"/>
      <c r="EL570" s="19"/>
      <c r="EM570" s="19"/>
      <c r="EN570" s="19"/>
      <c r="EO570" s="19"/>
      <c r="EP570" s="17"/>
      <c r="EQ570" s="23"/>
      <c r="ER570" s="23" t="str">
        <f t="shared" si="1"/>
        <v/>
      </c>
      <c r="ES570" s="19"/>
      <c r="ET570" s="19" t="str">
        <f t="shared" si="2"/>
        <v/>
      </c>
      <c r="EU570" s="19"/>
      <c r="EV570" s="19"/>
      <c r="EW570" s="19"/>
      <c r="EX570" s="19"/>
      <c r="EY570" s="19"/>
      <c r="EZ570" s="19"/>
      <c r="FA570" s="19"/>
      <c r="FB570" s="19"/>
    </row>
    <row r="571" ht="15.75" customHeight="1">
      <c r="A571" s="19"/>
      <c r="F571" s="19"/>
      <c r="AH571" s="23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  <c r="BD571" s="19"/>
      <c r="BE571" s="19"/>
      <c r="BF571" s="19"/>
      <c r="BG571" s="19"/>
      <c r="BH571" s="19"/>
      <c r="BI571" s="19"/>
      <c r="BJ571" s="19"/>
      <c r="BK571" s="19"/>
      <c r="BL571" s="19"/>
      <c r="BM571" s="19"/>
      <c r="BN571" s="19"/>
      <c r="BO571" s="19"/>
      <c r="BP571" s="19"/>
      <c r="BQ571" s="19"/>
      <c r="BR571" s="19"/>
      <c r="BS571" s="19"/>
      <c r="BT571" s="19"/>
      <c r="BU571" s="19"/>
      <c r="BV571" s="19"/>
      <c r="BW571" s="19"/>
      <c r="BX571" s="19"/>
      <c r="BY571" s="19"/>
      <c r="BZ571" s="19"/>
      <c r="CA571" s="19"/>
      <c r="CB571" s="19"/>
      <c r="CC571" s="19"/>
      <c r="CD571" s="19"/>
      <c r="CE571" s="19"/>
      <c r="CF571" s="19"/>
      <c r="CG571" s="19"/>
      <c r="CH571" s="19"/>
      <c r="CI571" s="19"/>
      <c r="CJ571" s="19"/>
      <c r="CK571" s="19"/>
      <c r="CL571" s="19"/>
      <c r="CM571" s="19"/>
      <c r="CN571" s="19"/>
      <c r="CO571" s="19"/>
      <c r="CP571" s="19"/>
      <c r="CQ571" s="19"/>
      <c r="CR571" s="19"/>
      <c r="CS571" s="19"/>
      <c r="CT571" s="19"/>
      <c r="CU571" s="19"/>
      <c r="CV571" s="19"/>
      <c r="CW571" s="19"/>
      <c r="CX571" s="19"/>
      <c r="CY571" s="19"/>
      <c r="CZ571" s="19"/>
      <c r="DA571" s="19"/>
      <c r="DB571" s="19"/>
      <c r="DC571" s="19"/>
      <c r="DD571" s="19"/>
      <c r="DE571" s="19"/>
      <c r="DF571" s="19"/>
      <c r="DG571" s="19"/>
      <c r="DH571" s="19"/>
      <c r="DI571" s="19"/>
      <c r="DJ571" s="19"/>
      <c r="DK571" s="19"/>
      <c r="DL571" s="19"/>
      <c r="DM571" s="19"/>
      <c r="DN571" s="19"/>
      <c r="DO571" s="19"/>
      <c r="DP571" s="19"/>
      <c r="DQ571" s="19"/>
      <c r="DR571" s="19"/>
      <c r="DS571" s="19"/>
      <c r="DT571" s="19"/>
      <c r="DU571" s="19"/>
      <c r="DV571" s="19"/>
      <c r="DW571" s="19"/>
      <c r="DX571" s="19"/>
      <c r="DY571" s="19"/>
      <c r="DZ571" s="19"/>
      <c r="EA571" s="19"/>
      <c r="EB571" s="19"/>
      <c r="EC571" s="19"/>
      <c r="ED571" s="19"/>
      <c r="EE571" s="19"/>
      <c r="EF571" s="19"/>
      <c r="EG571" s="19"/>
      <c r="EH571" s="19"/>
      <c r="EI571" s="19"/>
      <c r="EJ571" s="19"/>
      <c r="EK571" s="19"/>
      <c r="EL571" s="19"/>
      <c r="EM571" s="19"/>
      <c r="EN571" s="19"/>
      <c r="EO571" s="19"/>
      <c r="EP571" s="17"/>
      <c r="EQ571" s="23"/>
      <c r="ER571" s="23" t="str">
        <f t="shared" si="1"/>
        <v/>
      </c>
      <c r="ES571" s="19"/>
      <c r="ET571" s="19" t="str">
        <f t="shared" si="2"/>
        <v/>
      </c>
      <c r="EU571" s="19"/>
      <c r="EV571" s="19"/>
      <c r="EW571" s="19"/>
      <c r="EX571" s="19"/>
      <c r="EY571" s="19"/>
      <c r="EZ571" s="19"/>
      <c r="FA571" s="19"/>
      <c r="FB571" s="19"/>
    </row>
    <row r="572" ht="15.75" customHeight="1">
      <c r="A572" s="19"/>
      <c r="F572" s="19"/>
      <c r="AH572" s="23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  <c r="BD572" s="19"/>
      <c r="BE572" s="19"/>
      <c r="BF572" s="19"/>
      <c r="BG572" s="19"/>
      <c r="BH572" s="19"/>
      <c r="BI572" s="19"/>
      <c r="BJ572" s="19"/>
      <c r="BK572" s="19"/>
      <c r="BL572" s="19"/>
      <c r="BM572" s="19"/>
      <c r="BN572" s="19"/>
      <c r="BO572" s="19"/>
      <c r="BP572" s="19"/>
      <c r="BQ572" s="19"/>
      <c r="BR572" s="19"/>
      <c r="BS572" s="19"/>
      <c r="BT572" s="19"/>
      <c r="BU572" s="19"/>
      <c r="BV572" s="19"/>
      <c r="BW572" s="19"/>
      <c r="BX572" s="19"/>
      <c r="BY572" s="19"/>
      <c r="BZ572" s="19"/>
      <c r="CA572" s="19"/>
      <c r="CB572" s="19"/>
      <c r="CC572" s="19"/>
      <c r="CD572" s="19"/>
      <c r="CE572" s="19"/>
      <c r="CF572" s="19"/>
      <c r="CG572" s="19"/>
      <c r="CH572" s="19"/>
      <c r="CI572" s="19"/>
      <c r="CJ572" s="19"/>
      <c r="CK572" s="19"/>
      <c r="CL572" s="19"/>
      <c r="CM572" s="19"/>
      <c r="CN572" s="19"/>
      <c r="CO572" s="19"/>
      <c r="CP572" s="19"/>
      <c r="CQ572" s="19"/>
      <c r="CR572" s="19"/>
      <c r="CS572" s="19"/>
      <c r="CT572" s="19"/>
      <c r="CU572" s="19"/>
      <c r="CV572" s="19"/>
      <c r="CW572" s="19"/>
      <c r="CX572" s="19"/>
      <c r="CY572" s="19"/>
      <c r="CZ572" s="19"/>
      <c r="DA572" s="19"/>
      <c r="DB572" s="19"/>
      <c r="DC572" s="19"/>
      <c r="DD572" s="19"/>
      <c r="DE572" s="19"/>
      <c r="DF572" s="19"/>
      <c r="DG572" s="19"/>
      <c r="DH572" s="19"/>
      <c r="DI572" s="19"/>
      <c r="DJ572" s="19"/>
      <c r="DK572" s="19"/>
      <c r="DL572" s="19"/>
      <c r="DM572" s="19"/>
      <c r="DN572" s="19"/>
      <c r="DO572" s="19"/>
      <c r="DP572" s="19"/>
      <c r="DQ572" s="19"/>
      <c r="DR572" s="19"/>
      <c r="DS572" s="19"/>
      <c r="DT572" s="19"/>
      <c r="DU572" s="19"/>
      <c r="DV572" s="19"/>
      <c r="DW572" s="19"/>
      <c r="DX572" s="19"/>
      <c r="DY572" s="19"/>
      <c r="DZ572" s="19"/>
      <c r="EA572" s="19"/>
      <c r="EB572" s="19"/>
      <c r="EC572" s="19"/>
      <c r="ED572" s="19"/>
      <c r="EE572" s="19"/>
      <c r="EF572" s="19"/>
      <c r="EG572" s="19"/>
      <c r="EH572" s="19"/>
      <c r="EI572" s="19"/>
      <c r="EJ572" s="19"/>
      <c r="EK572" s="19"/>
      <c r="EL572" s="19"/>
      <c r="EM572" s="19"/>
      <c r="EN572" s="19"/>
      <c r="EO572" s="19"/>
      <c r="EP572" s="17"/>
      <c r="EQ572" s="23"/>
      <c r="ER572" s="23" t="str">
        <f t="shared" si="1"/>
        <v/>
      </c>
      <c r="ES572" s="19"/>
      <c r="ET572" s="19" t="str">
        <f t="shared" si="2"/>
        <v/>
      </c>
      <c r="EU572" s="19"/>
      <c r="EV572" s="19"/>
      <c r="EW572" s="19"/>
      <c r="EX572" s="19"/>
      <c r="EY572" s="19"/>
      <c r="EZ572" s="19"/>
      <c r="FA572" s="19"/>
      <c r="FB572" s="19"/>
    </row>
    <row r="573" ht="15.75" customHeight="1">
      <c r="A573" s="19"/>
      <c r="F573" s="19"/>
      <c r="AH573" s="23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  <c r="BD573" s="19"/>
      <c r="BE573" s="19"/>
      <c r="BF573" s="19"/>
      <c r="BG573" s="19"/>
      <c r="BH573" s="19"/>
      <c r="BI573" s="19"/>
      <c r="BJ573" s="19"/>
      <c r="BK573" s="19"/>
      <c r="BL573" s="19"/>
      <c r="BM573" s="19"/>
      <c r="BN573" s="19"/>
      <c r="BO573" s="19"/>
      <c r="BP573" s="19"/>
      <c r="BQ573" s="19"/>
      <c r="BR573" s="19"/>
      <c r="BS573" s="19"/>
      <c r="BT573" s="19"/>
      <c r="BU573" s="19"/>
      <c r="BV573" s="19"/>
      <c r="BW573" s="19"/>
      <c r="BX573" s="19"/>
      <c r="BY573" s="19"/>
      <c r="BZ573" s="19"/>
      <c r="CA573" s="19"/>
      <c r="CB573" s="19"/>
      <c r="CC573" s="19"/>
      <c r="CD573" s="19"/>
      <c r="CE573" s="19"/>
      <c r="CF573" s="19"/>
      <c r="CG573" s="19"/>
      <c r="CH573" s="19"/>
      <c r="CI573" s="19"/>
      <c r="CJ573" s="19"/>
      <c r="CK573" s="19"/>
      <c r="CL573" s="19"/>
      <c r="CM573" s="19"/>
      <c r="CN573" s="19"/>
      <c r="CO573" s="19"/>
      <c r="CP573" s="19"/>
      <c r="CQ573" s="19"/>
      <c r="CR573" s="19"/>
      <c r="CS573" s="19"/>
      <c r="CT573" s="19"/>
      <c r="CU573" s="19"/>
      <c r="CV573" s="19"/>
      <c r="CW573" s="19"/>
      <c r="CX573" s="19"/>
      <c r="CY573" s="19"/>
      <c r="CZ573" s="19"/>
      <c r="DA573" s="19"/>
      <c r="DB573" s="19"/>
      <c r="DC573" s="19"/>
      <c r="DD573" s="19"/>
      <c r="DE573" s="19"/>
      <c r="DF573" s="19"/>
      <c r="DG573" s="19"/>
      <c r="DH573" s="19"/>
      <c r="DI573" s="19"/>
      <c r="DJ573" s="19"/>
      <c r="DK573" s="19"/>
      <c r="DL573" s="19"/>
      <c r="DM573" s="19"/>
      <c r="DN573" s="19"/>
      <c r="DO573" s="19"/>
      <c r="DP573" s="19"/>
      <c r="DQ573" s="19"/>
      <c r="DR573" s="19"/>
      <c r="DS573" s="19"/>
      <c r="DT573" s="19"/>
      <c r="DU573" s="19"/>
      <c r="DV573" s="19"/>
      <c r="DW573" s="19"/>
      <c r="DX573" s="19"/>
      <c r="DY573" s="19"/>
      <c r="DZ573" s="19"/>
      <c r="EA573" s="19"/>
      <c r="EB573" s="19"/>
      <c r="EC573" s="19"/>
      <c r="ED573" s="19"/>
      <c r="EE573" s="19"/>
      <c r="EF573" s="19"/>
      <c r="EG573" s="19"/>
      <c r="EH573" s="19"/>
      <c r="EI573" s="19"/>
      <c r="EJ573" s="19"/>
      <c r="EK573" s="19"/>
      <c r="EL573" s="19"/>
      <c r="EM573" s="19"/>
      <c r="EN573" s="19"/>
      <c r="EO573" s="19"/>
      <c r="EP573" s="17"/>
      <c r="EQ573" s="23"/>
      <c r="ER573" s="23" t="str">
        <f t="shared" si="1"/>
        <v/>
      </c>
      <c r="ES573" s="19"/>
      <c r="ET573" s="19" t="str">
        <f t="shared" si="2"/>
        <v/>
      </c>
      <c r="EU573" s="19"/>
      <c r="EV573" s="19"/>
      <c r="EW573" s="19"/>
      <c r="EX573" s="19"/>
      <c r="EY573" s="19"/>
      <c r="EZ573" s="19"/>
      <c r="FA573" s="19"/>
      <c r="FB573" s="19"/>
    </row>
    <row r="574" ht="15.75" customHeight="1">
      <c r="A574" s="19"/>
      <c r="F574" s="19"/>
      <c r="AH574" s="23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  <c r="BD574" s="19"/>
      <c r="BE574" s="19"/>
      <c r="BF574" s="19"/>
      <c r="BG574" s="19"/>
      <c r="BH574" s="19"/>
      <c r="BI574" s="19"/>
      <c r="BJ574" s="19"/>
      <c r="BK574" s="19"/>
      <c r="BL574" s="19"/>
      <c r="BM574" s="19"/>
      <c r="BN574" s="19"/>
      <c r="BO574" s="19"/>
      <c r="BP574" s="19"/>
      <c r="BQ574" s="19"/>
      <c r="BR574" s="19"/>
      <c r="BS574" s="19"/>
      <c r="BT574" s="19"/>
      <c r="BU574" s="19"/>
      <c r="BV574" s="19"/>
      <c r="BW574" s="19"/>
      <c r="BX574" s="19"/>
      <c r="BY574" s="19"/>
      <c r="BZ574" s="19"/>
      <c r="CA574" s="19"/>
      <c r="CB574" s="19"/>
      <c r="CC574" s="19"/>
      <c r="CD574" s="19"/>
      <c r="CE574" s="19"/>
      <c r="CF574" s="19"/>
      <c r="CG574" s="19"/>
      <c r="CH574" s="19"/>
      <c r="CI574" s="19"/>
      <c r="CJ574" s="19"/>
      <c r="CK574" s="19"/>
      <c r="CL574" s="19"/>
      <c r="CM574" s="19"/>
      <c r="CN574" s="19"/>
      <c r="CO574" s="19"/>
      <c r="CP574" s="19"/>
      <c r="CQ574" s="19"/>
      <c r="CR574" s="19"/>
      <c r="CS574" s="19"/>
      <c r="CT574" s="19"/>
      <c r="CU574" s="19"/>
      <c r="CV574" s="19"/>
      <c r="CW574" s="19"/>
      <c r="CX574" s="19"/>
      <c r="CY574" s="19"/>
      <c r="CZ574" s="19"/>
      <c r="DA574" s="19"/>
      <c r="DB574" s="19"/>
      <c r="DC574" s="19"/>
      <c r="DD574" s="19"/>
      <c r="DE574" s="19"/>
      <c r="DF574" s="19"/>
      <c r="DG574" s="19"/>
      <c r="DH574" s="19"/>
      <c r="DI574" s="19"/>
      <c r="DJ574" s="19"/>
      <c r="DK574" s="19"/>
      <c r="DL574" s="19"/>
      <c r="DM574" s="19"/>
      <c r="DN574" s="19"/>
      <c r="DO574" s="19"/>
      <c r="DP574" s="19"/>
      <c r="DQ574" s="19"/>
      <c r="DR574" s="19"/>
      <c r="DS574" s="19"/>
      <c r="DT574" s="19"/>
      <c r="DU574" s="19"/>
      <c r="DV574" s="19"/>
      <c r="DW574" s="19"/>
      <c r="DX574" s="19"/>
      <c r="DY574" s="19"/>
      <c r="DZ574" s="19"/>
      <c r="EA574" s="19"/>
      <c r="EB574" s="19"/>
      <c r="EC574" s="19"/>
      <c r="ED574" s="19"/>
      <c r="EE574" s="19"/>
      <c r="EF574" s="19"/>
      <c r="EG574" s="19"/>
      <c r="EH574" s="19"/>
      <c r="EI574" s="19"/>
      <c r="EJ574" s="19"/>
      <c r="EK574" s="19"/>
      <c r="EL574" s="19"/>
      <c r="EM574" s="19"/>
      <c r="EN574" s="19"/>
      <c r="EO574" s="19"/>
      <c r="EP574" s="17"/>
      <c r="EQ574" s="23"/>
      <c r="ER574" s="23" t="str">
        <f t="shared" si="1"/>
        <v/>
      </c>
      <c r="ES574" s="19"/>
      <c r="ET574" s="19" t="str">
        <f t="shared" si="2"/>
        <v/>
      </c>
      <c r="EU574" s="19"/>
      <c r="EV574" s="19"/>
      <c r="EW574" s="19"/>
      <c r="EX574" s="19"/>
      <c r="EY574" s="19"/>
      <c r="EZ574" s="19"/>
      <c r="FA574" s="19"/>
      <c r="FB574" s="19"/>
    </row>
    <row r="575" ht="15.75" customHeight="1">
      <c r="A575" s="19"/>
      <c r="F575" s="19"/>
      <c r="AH575" s="23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  <c r="BD575" s="19"/>
      <c r="BE575" s="19"/>
      <c r="BF575" s="19"/>
      <c r="BG575" s="19"/>
      <c r="BH575" s="19"/>
      <c r="BI575" s="19"/>
      <c r="BJ575" s="19"/>
      <c r="BK575" s="19"/>
      <c r="BL575" s="19"/>
      <c r="BM575" s="19"/>
      <c r="BN575" s="19"/>
      <c r="BO575" s="19"/>
      <c r="BP575" s="19"/>
      <c r="BQ575" s="19"/>
      <c r="BR575" s="19"/>
      <c r="BS575" s="19"/>
      <c r="BT575" s="19"/>
      <c r="BU575" s="19"/>
      <c r="BV575" s="19"/>
      <c r="BW575" s="19"/>
      <c r="BX575" s="19"/>
      <c r="BY575" s="19"/>
      <c r="BZ575" s="19"/>
      <c r="CA575" s="19"/>
      <c r="CB575" s="19"/>
      <c r="CC575" s="19"/>
      <c r="CD575" s="19"/>
      <c r="CE575" s="19"/>
      <c r="CF575" s="19"/>
      <c r="CG575" s="19"/>
      <c r="CH575" s="19"/>
      <c r="CI575" s="19"/>
      <c r="CJ575" s="19"/>
      <c r="CK575" s="19"/>
      <c r="CL575" s="19"/>
      <c r="CM575" s="19"/>
      <c r="CN575" s="19"/>
      <c r="CO575" s="19"/>
      <c r="CP575" s="19"/>
      <c r="CQ575" s="19"/>
      <c r="CR575" s="19"/>
      <c r="CS575" s="19"/>
      <c r="CT575" s="19"/>
      <c r="CU575" s="19"/>
      <c r="CV575" s="19"/>
      <c r="CW575" s="19"/>
      <c r="CX575" s="19"/>
      <c r="CY575" s="19"/>
      <c r="CZ575" s="19"/>
      <c r="DA575" s="19"/>
      <c r="DB575" s="19"/>
      <c r="DC575" s="19"/>
      <c r="DD575" s="19"/>
      <c r="DE575" s="19"/>
      <c r="DF575" s="19"/>
      <c r="DG575" s="19"/>
      <c r="DH575" s="19"/>
      <c r="DI575" s="19"/>
      <c r="DJ575" s="19"/>
      <c r="DK575" s="19"/>
      <c r="DL575" s="19"/>
      <c r="DM575" s="19"/>
      <c r="DN575" s="19"/>
      <c r="DO575" s="19"/>
      <c r="DP575" s="19"/>
      <c r="DQ575" s="19"/>
      <c r="DR575" s="19"/>
      <c r="DS575" s="19"/>
      <c r="DT575" s="19"/>
      <c r="DU575" s="19"/>
      <c r="DV575" s="19"/>
      <c r="DW575" s="19"/>
      <c r="DX575" s="19"/>
      <c r="DY575" s="19"/>
      <c r="DZ575" s="19"/>
      <c r="EA575" s="19"/>
      <c r="EB575" s="19"/>
      <c r="EC575" s="19"/>
      <c r="ED575" s="19"/>
      <c r="EE575" s="19"/>
      <c r="EF575" s="19"/>
      <c r="EG575" s="19"/>
      <c r="EH575" s="19"/>
      <c r="EI575" s="19"/>
      <c r="EJ575" s="19"/>
      <c r="EK575" s="19"/>
      <c r="EL575" s="19"/>
      <c r="EM575" s="19"/>
      <c r="EN575" s="19"/>
      <c r="EO575" s="19"/>
      <c r="EP575" s="17"/>
      <c r="EQ575" s="23"/>
      <c r="ER575" s="23" t="str">
        <f t="shared" si="1"/>
        <v/>
      </c>
      <c r="ES575" s="19"/>
      <c r="ET575" s="19" t="str">
        <f t="shared" si="2"/>
        <v/>
      </c>
      <c r="EU575" s="19"/>
      <c r="EV575" s="19"/>
      <c r="EW575" s="19"/>
      <c r="EX575" s="19"/>
      <c r="EY575" s="19"/>
      <c r="EZ575" s="19"/>
      <c r="FA575" s="19"/>
      <c r="FB575" s="19"/>
    </row>
    <row r="576" ht="15.75" customHeight="1">
      <c r="A576" s="19"/>
      <c r="F576" s="19"/>
      <c r="AH576" s="23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  <c r="BD576" s="19"/>
      <c r="BE576" s="19"/>
      <c r="BF576" s="19"/>
      <c r="BG576" s="19"/>
      <c r="BH576" s="19"/>
      <c r="BI576" s="19"/>
      <c r="BJ576" s="19"/>
      <c r="BK576" s="19"/>
      <c r="BL576" s="19"/>
      <c r="BM576" s="19"/>
      <c r="BN576" s="19"/>
      <c r="BO576" s="19"/>
      <c r="BP576" s="19"/>
      <c r="BQ576" s="19"/>
      <c r="BR576" s="19"/>
      <c r="BS576" s="19"/>
      <c r="BT576" s="19"/>
      <c r="BU576" s="19"/>
      <c r="BV576" s="19"/>
      <c r="BW576" s="19"/>
      <c r="BX576" s="19"/>
      <c r="BY576" s="19"/>
      <c r="BZ576" s="19"/>
      <c r="CA576" s="19"/>
      <c r="CB576" s="19"/>
      <c r="CC576" s="19"/>
      <c r="CD576" s="19"/>
      <c r="CE576" s="19"/>
      <c r="CF576" s="19"/>
      <c r="CG576" s="19"/>
      <c r="CH576" s="19"/>
      <c r="CI576" s="19"/>
      <c r="CJ576" s="19"/>
      <c r="CK576" s="19"/>
      <c r="CL576" s="19"/>
      <c r="CM576" s="19"/>
      <c r="CN576" s="19"/>
      <c r="CO576" s="19"/>
      <c r="CP576" s="19"/>
      <c r="CQ576" s="19"/>
      <c r="CR576" s="19"/>
      <c r="CS576" s="19"/>
      <c r="CT576" s="19"/>
      <c r="CU576" s="19"/>
      <c r="CV576" s="19"/>
      <c r="CW576" s="19"/>
      <c r="CX576" s="19"/>
      <c r="CY576" s="19"/>
      <c r="CZ576" s="19"/>
      <c r="DA576" s="19"/>
      <c r="DB576" s="19"/>
      <c r="DC576" s="19"/>
      <c r="DD576" s="19"/>
      <c r="DE576" s="19"/>
      <c r="DF576" s="19"/>
      <c r="DG576" s="19"/>
      <c r="DH576" s="19"/>
      <c r="DI576" s="19"/>
      <c r="DJ576" s="19"/>
      <c r="DK576" s="19"/>
      <c r="DL576" s="19"/>
      <c r="DM576" s="19"/>
      <c r="DN576" s="19"/>
      <c r="DO576" s="19"/>
      <c r="DP576" s="19"/>
      <c r="DQ576" s="19"/>
      <c r="DR576" s="19"/>
      <c r="DS576" s="19"/>
      <c r="DT576" s="19"/>
      <c r="DU576" s="19"/>
      <c r="DV576" s="19"/>
      <c r="DW576" s="19"/>
      <c r="DX576" s="19"/>
      <c r="DY576" s="19"/>
      <c r="DZ576" s="19"/>
      <c r="EA576" s="19"/>
      <c r="EB576" s="19"/>
      <c r="EC576" s="19"/>
      <c r="ED576" s="19"/>
      <c r="EE576" s="19"/>
      <c r="EF576" s="19"/>
      <c r="EG576" s="19"/>
      <c r="EH576" s="19"/>
      <c r="EI576" s="19"/>
      <c r="EJ576" s="19"/>
      <c r="EK576" s="19"/>
      <c r="EL576" s="19"/>
      <c r="EM576" s="19"/>
      <c r="EN576" s="19"/>
      <c r="EO576" s="19"/>
      <c r="EP576" s="17"/>
      <c r="EQ576" s="23"/>
      <c r="ER576" s="23" t="str">
        <f t="shared" si="1"/>
        <v/>
      </c>
      <c r="ES576" s="19"/>
      <c r="ET576" s="19" t="str">
        <f t="shared" si="2"/>
        <v/>
      </c>
      <c r="EU576" s="19"/>
      <c r="EV576" s="19"/>
      <c r="EW576" s="19"/>
      <c r="EX576" s="19"/>
      <c r="EY576" s="19"/>
      <c r="EZ576" s="19"/>
      <c r="FA576" s="19"/>
      <c r="FB576" s="19"/>
    </row>
    <row r="577" ht="15.75" customHeight="1">
      <c r="A577" s="19"/>
      <c r="F577" s="19"/>
      <c r="AH577" s="23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  <c r="BD577" s="19"/>
      <c r="BE577" s="19"/>
      <c r="BF577" s="19"/>
      <c r="BG577" s="19"/>
      <c r="BH577" s="19"/>
      <c r="BI577" s="19"/>
      <c r="BJ577" s="19"/>
      <c r="BK577" s="19"/>
      <c r="BL577" s="19"/>
      <c r="BM577" s="19"/>
      <c r="BN577" s="19"/>
      <c r="BO577" s="19"/>
      <c r="BP577" s="19"/>
      <c r="BQ577" s="19"/>
      <c r="BR577" s="19"/>
      <c r="BS577" s="19"/>
      <c r="BT577" s="19"/>
      <c r="BU577" s="19"/>
      <c r="BV577" s="19"/>
      <c r="BW577" s="19"/>
      <c r="BX577" s="19"/>
      <c r="BY577" s="19"/>
      <c r="BZ577" s="19"/>
      <c r="CA577" s="19"/>
      <c r="CB577" s="19"/>
      <c r="CC577" s="19"/>
      <c r="CD577" s="19"/>
      <c r="CE577" s="19"/>
      <c r="CF577" s="19"/>
      <c r="CG577" s="19"/>
      <c r="CH577" s="19"/>
      <c r="CI577" s="19"/>
      <c r="CJ577" s="19"/>
      <c r="CK577" s="19"/>
      <c r="CL577" s="19"/>
      <c r="CM577" s="19"/>
      <c r="CN577" s="19"/>
      <c r="CO577" s="19"/>
      <c r="CP577" s="19"/>
      <c r="CQ577" s="19"/>
      <c r="CR577" s="19"/>
      <c r="CS577" s="19"/>
      <c r="CT577" s="19"/>
      <c r="CU577" s="19"/>
      <c r="CV577" s="19"/>
      <c r="CW577" s="19"/>
      <c r="CX577" s="19"/>
      <c r="CY577" s="19"/>
      <c r="CZ577" s="19"/>
      <c r="DA577" s="19"/>
      <c r="DB577" s="19"/>
      <c r="DC577" s="19"/>
      <c r="DD577" s="19"/>
      <c r="DE577" s="19"/>
      <c r="DF577" s="19"/>
      <c r="DG577" s="19"/>
      <c r="DH577" s="19"/>
      <c r="DI577" s="19"/>
      <c r="DJ577" s="19"/>
      <c r="DK577" s="19"/>
      <c r="DL577" s="19"/>
      <c r="DM577" s="19"/>
      <c r="DN577" s="19"/>
      <c r="DO577" s="19"/>
      <c r="DP577" s="19"/>
      <c r="DQ577" s="19"/>
      <c r="DR577" s="19"/>
      <c r="DS577" s="19"/>
      <c r="DT577" s="19"/>
      <c r="DU577" s="19"/>
      <c r="DV577" s="19"/>
      <c r="DW577" s="19"/>
      <c r="DX577" s="19"/>
      <c r="DY577" s="19"/>
      <c r="DZ577" s="19"/>
      <c r="EA577" s="19"/>
      <c r="EB577" s="19"/>
      <c r="EC577" s="19"/>
      <c r="ED577" s="19"/>
      <c r="EE577" s="19"/>
      <c r="EF577" s="19"/>
      <c r="EG577" s="19"/>
      <c r="EH577" s="19"/>
      <c r="EI577" s="19"/>
      <c r="EJ577" s="19"/>
      <c r="EK577" s="19"/>
      <c r="EL577" s="19"/>
      <c r="EM577" s="19"/>
      <c r="EN577" s="19"/>
      <c r="EO577" s="19"/>
      <c r="EP577" s="17"/>
      <c r="EQ577" s="23"/>
      <c r="ER577" s="23" t="str">
        <f t="shared" si="1"/>
        <v/>
      </c>
      <c r="ES577" s="19"/>
      <c r="ET577" s="19" t="str">
        <f t="shared" si="2"/>
        <v/>
      </c>
      <c r="EU577" s="19"/>
      <c r="EV577" s="19"/>
      <c r="EW577" s="19"/>
      <c r="EX577" s="19"/>
      <c r="EY577" s="19"/>
      <c r="EZ577" s="19"/>
      <c r="FA577" s="19"/>
      <c r="FB577" s="19"/>
    </row>
    <row r="578" ht="15.75" customHeight="1">
      <c r="A578" s="19"/>
      <c r="F578" s="19"/>
      <c r="AH578" s="23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  <c r="BD578" s="19"/>
      <c r="BE578" s="19"/>
      <c r="BF578" s="19"/>
      <c r="BG578" s="19"/>
      <c r="BH578" s="19"/>
      <c r="BI578" s="19"/>
      <c r="BJ578" s="19"/>
      <c r="BK578" s="19"/>
      <c r="BL578" s="19"/>
      <c r="BM578" s="19"/>
      <c r="BN578" s="19"/>
      <c r="BO578" s="19"/>
      <c r="BP578" s="19"/>
      <c r="BQ578" s="19"/>
      <c r="BR578" s="19"/>
      <c r="BS578" s="19"/>
      <c r="BT578" s="19"/>
      <c r="BU578" s="19"/>
      <c r="BV578" s="19"/>
      <c r="BW578" s="19"/>
      <c r="BX578" s="19"/>
      <c r="BY578" s="19"/>
      <c r="BZ578" s="19"/>
      <c r="CA578" s="19"/>
      <c r="CB578" s="19"/>
      <c r="CC578" s="19"/>
      <c r="CD578" s="19"/>
      <c r="CE578" s="19"/>
      <c r="CF578" s="19"/>
      <c r="CG578" s="19"/>
      <c r="CH578" s="19"/>
      <c r="CI578" s="19"/>
      <c r="CJ578" s="19"/>
      <c r="CK578" s="19"/>
      <c r="CL578" s="19"/>
      <c r="CM578" s="19"/>
      <c r="CN578" s="19"/>
      <c r="CO578" s="19"/>
      <c r="CP578" s="19"/>
      <c r="CQ578" s="19"/>
      <c r="CR578" s="19"/>
      <c r="CS578" s="19"/>
      <c r="CT578" s="19"/>
      <c r="CU578" s="19"/>
      <c r="CV578" s="19"/>
      <c r="CW578" s="19"/>
      <c r="CX578" s="19"/>
      <c r="CY578" s="19"/>
      <c r="CZ578" s="19"/>
      <c r="DA578" s="19"/>
      <c r="DB578" s="19"/>
      <c r="DC578" s="19"/>
      <c r="DD578" s="19"/>
      <c r="DE578" s="19"/>
      <c r="DF578" s="19"/>
      <c r="DG578" s="19"/>
      <c r="DH578" s="19"/>
      <c r="DI578" s="19"/>
      <c r="DJ578" s="19"/>
      <c r="DK578" s="19"/>
      <c r="DL578" s="19"/>
      <c r="DM578" s="19"/>
      <c r="DN578" s="19"/>
      <c r="DO578" s="19"/>
      <c r="DP578" s="19"/>
      <c r="DQ578" s="19"/>
      <c r="DR578" s="19"/>
      <c r="DS578" s="19"/>
      <c r="DT578" s="19"/>
      <c r="DU578" s="19"/>
      <c r="DV578" s="19"/>
      <c r="DW578" s="19"/>
      <c r="DX578" s="19"/>
      <c r="DY578" s="19"/>
      <c r="DZ578" s="19"/>
      <c r="EA578" s="19"/>
      <c r="EB578" s="19"/>
      <c r="EC578" s="19"/>
      <c r="ED578" s="19"/>
      <c r="EE578" s="19"/>
      <c r="EF578" s="19"/>
      <c r="EG578" s="19"/>
      <c r="EH578" s="19"/>
      <c r="EI578" s="19"/>
      <c r="EJ578" s="19"/>
      <c r="EK578" s="19"/>
      <c r="EL578" s="19"/>
      <c r="EM578" s="19"/>
      <c r="EN578" s="19"/>
      <c r="EO578" s="19"/>
      <c r="EP578" s="17"/>
      <c r="EQ578" s="23"/>
      <c r="ER578" s="23" t="str">
        <f t="shared" si="1"/>
        <v/>
      </c>
      <c r="ES578" s="19"/>
      <c r="ET578" s="19" t="str">
        <f t="shared" si="2"/>
        <v/>
      </c>
      <c r="EU578" s="19"/>
      <c r="EV578" s="19"/>
      <c r="EW578" s="19"/>
      <c r="EX578" s="19"/>
      <c r="EY578" s="19"/>
      <c r="EZ578" s="19"/>
      <c r="FA578" s="19"/>
      <c r="FB578" s="19"/>
    </row>
    <row r="579" ht="15.75" customHeight="1">
      <c r="A579" s="19"/>
      <c r="F579" s="19"/>
      <c r="AH579" s="23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  <c r="BD579" s="19"/>
      <c r="BE579" s="19"/>
      <c r="BF579" s="19"/>
      <c r="BG579" s="19"/>
      <c r="BH579" s="19"/>
      <c r="BI579" s="19"/>
      <c r="BJ579" s="19"/>
      <c r="BK579" s="19"/>
      <c r="BL579" s="19"/>
      <c r="BM579" s="19"/>
      <c r="BN579" s="19"/>
      <c r="BO579" s="19"/>
      <c r="BP579" s="19"/>
      <c r="BQ579" s="19"/>
      <c r="BR579" s="19"/>
      <c r="BS579" s="19"/>
      <c r="BT579" s="19"/>
      <c r="BU579" s="19"/>
      <c r="BV579" s="19"/>
      <c r="BW579" s="19"/>
      <c r="BX579" s="19"/>
      <c r="BY579" s="19"/>
      <c r="BZ579" s="19"/>
      <c r="CA579" s="19"/>
      <c r="CB579" s="19"/>
      <c r="CC579" s="19"/>
      <c r="CD579" s="19"/>
      <c r="CE579" s="19"/>
      <c r="CF579" s="19"/>
      <c r="CG579" s="19"/>
      <c r="CH579" s="19"/>
      <c r="CI579" s="19"/>
      <c r="CJ579" s="19"/>
      <c r="CK579" s="19"/>
      <c r="CL579" s="19"/>
      <c r="CM579" s="19"/>
      <c r="CN579" s="19"/>
      <c r="CO579" s="19"/>
      <c r="CP579" s="19"/>
      <c r="CQ579" s="19"/>
      <c r="CR579" s="19"/>
      <c r="CS579" s="19"/>
      <c r="CT579" s="19"/>
      <c r="CU579" s="19"/>
      <c r="CV579" s="19"/>
      <c r="CW579" s="19"/>
      <c r="CX579" s="19"/>
      <c r="CY579" s="19"/>
      <c r="CZ579" s="19"/>
      <c r="DA579" s="19"/>
      <c r="DB579" s="19"/>
      <c r="DC579" s="19"/>
      <c r="DD579" s="19"/>
      <c r="DE579" s="19"/>
      <c r="DF579" s="19"/>
      <c r="DG579" s="19"/>
      <c r="DH579" s="19"/>
      <c r="DI579" s="19"/>
      <c r="DJ579" s="19"/>
      <c r="DK579" s="19"/>
      <c r="DL579" s="19"/>
      <c r="DM579" s="19"/>
      <c r="DN579" s="19"/>
      <c r="DO579" s="19"/>
      <c r="DP579" s="19"/>
      <c r="DQ579" s="19"/>
      <c r="DR579" s="19"/>
      <c r="DS579" s="19"/>
      <c r="DT579" s="19"/>
      <c r="DU579" s="19"/>
      <c r="DV579" s="19"/>
      <c r="DW579" s="19"/>
      <c r="DX579" s="19"/>
      <c r="DY579" s="19"/>
      <c r="DZ579" s="19"/>
      <c r="EA579" s="19"/>
      <c r="EB579" s="19"/>
      <c r="EC579" s="19"/>
      <c r="ED579" s="19"/>
      <c r="EE579" s="19"/>
      <c r="EF579" s="19"/>
      <c r="EG579" s="19"/>
      <c r="EH579" s="19"/>
      <c r="EI579" s="19"/>
      <c r="EJ579" s="19"/>
      <c r="EK579" s="19"/>
      <c r="EL579" s="19"/>
      <c r="EM579" s="19"/>
      <c r="EN579" s="19"/>
      <c r="EO579" s="19"/>
      <c r="EP579" s="17"/>
      <c r="EQ579" s="23"/>
      <c r="ER579" s="23" t="str">
        <f t="shared" si="1"/>
        <v/>
      </c>
      <c r="ES579" s="19"/>
      <c r="ET579" s="19" t="str">
        <f t="shared" si="2"/>
        <v/>
      </c>
      <c r="EU579" s="19"/>
      <c r="EV579" s="19"/>
      <c r="EW579" s="19"/>
      <c r="EX579" s="19"/>
      <c r="EY579" s="19"/>
      <c r="EZ579" s="19"/>
      <c r="FA579" s="19"/>
      <c r="FB579" s="19"/>
    </row>
    <row r="580" ht="15.75" customHeight="1">
      <c r="A580" s="19"/>
      <c r="F580" s="19"/>
      <c r="AH580" s="23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  <c r="BD580" s="19"/>
      <c r="BE580" s="19"/>
      <c r="BF580" s="19"/>
      <c r="BG580" s="19"/>
      <c r="BH580" s="19"/>
      <c r="BI580" s="19"/>
      <c r="BJ580" s="19"/>
      <c r="BK580" s="19"/>
      <c r="BL580" s="19"/>
      <c r="BM580" s="19"/>
      <c r="BN580" s="19"/>
      <c r="BO580" s="19"/>
      <c r="BP580" s="19"/>
      <c r="BQ580" s="19"/>
      <c r="BR580" s="19"/>
      <c r="BS580" s="19"/>
      <c r="BT580" s="19"/>
      <c r="BU580" s="19"/>
      <c r="BV580" s="19"/>
      <c r="BW580" s="19"/>
      <c r="BX580" s="19"/>
      <c r="BY580" s="19"/>
      <c r="BZ580" s="19"/>
      <c r="CA580" s="19"/>
      <c r="CB580" s="19"/>
      <c r="CC580" s="19"/>
      <c r="CD580" s="19"/>
      <c r="CE580" s="19"/>
      <c r="CF580" s="19"/>
      <c r="CG580" s="19"/>
      <c r="CH580" s="19"/>
      <c r="CI580" s="19"/>
      <c r="CJ580" s="19"/>
      <c r="CK580" s="19"/>
      <c r="CL580" s="19"/>
      <c r="CM580" s="19"/>
      <c r="CN580" s="19"/>
      <c r="CO580" s="19"/>
      <c r="CP580" s="19"/>
      <c r="CQ580" s="19"/>
      <c r="CR580" s="19"/>
      <c r="CS580" s="19"/>
      <c r="CT580" s="19"/>
      <c r="CU580" s="19"/>
      <c r="CV580" s="19"/>
      <c r="CW580" s="19"/>
      <c r="CX580" s="19"/>
      <c r="CY580" s="19"/>
      <c r="CZ580" s="19"/>
      <c r="DA580" s="19"/>
      <c r="DB580" s="19"/>
      <c r="DC580" s="19"/>
      <c r="DD580" s="19"/>
      <c r="DE580" s="19"/>
      <c r="DF580" s="19"/>
      <c r="DG580" s="19"/>
      <c r="DH580" s="19"/>
      <c r="DI580" s="19"/>
      <c r="DJ580" s="19"/>
      <c r="DK580" s="19"/>
      <c r="DL580" s="19"/>
      <c r="DM580" s="19"/>
      <c r="DN580" s="19"/>
      <c r="DO580" s="19"/>
      <c r="DP580" s="19"/>
      <c r="DQ580" s="19"/>
      <c r="DR580" s="19"/>
      <c r="DS580" s="19"/>
      <c r="DT580" s="19"/>
      <c r="DU580" s="19"/>
      <c r="DV580" s="19"/>
      <c r="DW580" s="19"/>
      <c r="DX580" s="19"/>
      <c r="DY580" s="19"/>
      <c r="DZ580" s="19"/>
      <c r="EA580" s="19"/>
      <c r="EB580" s="19"/>
      <c r="EC580" s="19"/>
      <c r="ED580" s="19"/>
      <c r="EE580" s="19"/>
      <c r="EF580" s="19"/>
      <c r="EG580" s="19"/>
      <c r="EH580" s="19"/>
      <c r="EI580" s="19"/>
      <c r="EJ580" s="19"/>
      <c r="EK580" s="19"/>
      <c r="EL580" s="19"/>
      <c r="EM580" s="19"/>
      <c r="EN580" s="19"/>
      <c r="EO580" s="19"/>
      <c r="EP580" s="17"/>
      <c r="EQ580" s="23"/>
      <c r="ER580" s="23" t="str">
        <f t="shared" si="1"/>
        <v/>
      </c>
      <c r="ES580" s="19"/>
      <c r="ET580" s="19" t="str">
        <f t="shared" si="2"/>
        <v/>
      </c>
      <c r="EU580" s="19"/>
      <c r="EV580" s="19"/>
      <c r="EW580" s="19"/>
      <c r="EX580" s="19"/>
      <c r="EY580" s="19"/>
      <c r="EZ580" s="19"/>
      <c r="FA580" s="19"/>
      <c r="FB580" s="19"/>
    </row>
    <row r="581" ht="15.75" customHeight="1">
      <c r="A581" s="19"/>
      <c r="F581" s="19"/>
      <c r="AH581" s="23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  <c r="BD581" s="19"/>
      <c r="BE581" s="19"/>
      <c r="BF581" s="19"/>
      <c r="BG581" s="19"/>
      <c r="BH581" s="19"/>
      <c r="BI581" s="19"/>
      <c r="BJ581" s="19"/>
      <c r="BK581" s="19"/>
      <c r="BL581" s="19"/>
      <c r="BM581" s="19"/>
      <c r="BN581" s="19"/>
      <c r="BO581" s="19"/>
      <c r="BP581" s="19"/>
      <c r="BQ581" s="19"/>
      <c r="BR581" s="19"/>
      <c r="BS581" s="19"/>
      <c r="BT581" s="19"/>
      <c r="BU581" s="19"/>
      <c r="BV581" s="19"/>
      <c r="BW581" s="19"/>
      <c r="BX581" s="19"/>
      <c r="BY581" s="19"/>
      <c r="BZ581" s="19"/>
      <c r="CA581" s="19"/>
      <c r="CB581" s="19"/>
      <c r="CC581" s="19"/>
      <c r="CD581" s="19"/>
      <c r="CE581" s="19"/>
      <c r="CF581" s="19"/>
      <c r="CG581" s="19"/>
      <c r="CH581" s="19"/>
      <c r="CI581" s="19"/>
      <c r="CJ581" s="19"/>
      <c r="CK581" s="19"/>
      <c r="CL581" s="19"/>
      <c r="CM581" s="19"/>
      <c r="CN581" s="19"/>
      <c r="CO581" s="19"/>
      <c r="CP581" s="19"/>
      <c r="CQ581" s="19"/>
      <c r="CR581" s="19"/>
      <c r="CS581" s="19"/>
      <c r="CT581" s="19"/>
      <c r="CU581" s="19"/>
      <c r="CV581" s="19"/>
      <c r="CW581" s="19"/>
      <c r="CX581" s="19"/>
      <c r="CY581" s="19"/>
      <c r="CZ581" s="19"/>
      <c r="DA581" s="19"/>
      <c r="DB581" s="19"/>
      <c r="DC581" s="19"/>
      <c r="DD581" s="19"/>
      <c r="DE581" s="19"/>
      <c r="DF581" s="19"/>
      <c r="DG581" s="19"/>
      <c r="DH581" s="19"/>
      <c r="DI581" s="19"/>
      <c r="DJ581" s="19"/>
      <c r="DK581" s="19"/>
      <c r="DL581" s="19"/>
      <c r="DM581" s="19"/>
      <c r="DN581" s="19"/>
      <c r="DO581" s="19"/>
      <c r="DP581" s="19"/>
      <c r="DQ581" s="19"/>
      <c r="DR581" s="19"/>
      <c r="DS581" s="19"/>
      <c r="DT581" s="19"/>
      <c r="DU581" s="19"/>
      <c r="DV581" s="19"/>
      <c r="DW581" s="19"/>
      <c r="DX581" s="19"/>
      <c r="DY581" s="19"/>
      <c r="DZ581" s="19"/>
      <c r="EA581" s="19"/>
      <c r="EB581" s="19"/>
      <c r="EC581" s="19"/>
      <c r="ED581" s="19"/>
      <c r="EE581" s="19"/>
      <c r="EF581" s="19"/>
      <c r="EG581" s="19"/>
      <c r="EH581" s="19"/>
      <c r="EI581" s="19"/>
      <c r="EJ581" s="19"/>
      <c r="EK581" s="19"/>
      <c r="EL581" s="19"/>
      <c r="EM581" s="19"/>
      <c r="EN581" s="19"/>
      <c r="EO581" s="19"/>
      <c r="EP581" s="17"/>
      <c r="EQ581" s="23"/>
      <c r="ER581" s="23" t="str">
        <f t="shared" si="1"/>
        <v/>
      </c>
      <c r="ES581" s="19"/>
      <c r="ET581" s="19" t="str">
        <f t="shared" si="2"/>
        <v/>
      </c>
      <c r="EU581" s="19"/>
      <c r="EV581" s="19"/>
      <c r="EW581" s="19"/>
      <c r="EX581" s="19"/>
      <c r="EY581" s="19"/>
      <c r="EZ581" s="19"/>
      <c r="FA581" s="19"/>
      <c r="FB581" s="19"/>
    </row>
    <row r="582" ht="15.75" customHeight="1">
      <c r="A582" s="19"/>
      <c r="F582" s="19"/>
      <c r="AH582" s="23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  <c r="BD582" s="19"/>
      <c r="BE582" s="19"/>
      <c r="BF582" s="19"/>
      <c r="BG582" s="19"/>
      <c r="BH582" s="19"/>
      <c r="BI582" s="19"/>
      <c r="BJ582" s="19"/>
      <c r="BK582" s="19"/>
      <c r="BL582" s="19"/>
      <c r="BM582" s="19"/>
      <c r="BN582" s="19"/>
      <c r="BO582" s="19"/>
      <c r="BP582" s="19"/>
      <c r="BQ582" s="19"/>
      <c r="BR582" s="19"/>
      <c r="BS582" s="19"/>
      <c r="BT582" s="19"/>
      <c r="BU582" s="19"/>
      <c r="BV582" s="19"/>
      <c r="BW582" s="19"/>
      <c r="BX582" s="19"/>
      <c r="BY582" s="19"/>
      <c r="BZ582" s="19"/>
      <c r="CA582" s="19"/>
      <c r="CB582" s="19"/>
      <c r="CC582" s="19"/>
      <c r="CD582" s="19"/>
      <c r="CE582" s="19"/>
      <c r="CF582" s="19"/>
      <c r="CG582" s="19"/>
      <c r="CH582" s="19"/>
      <c r="CI582" s="19"/>
      <c r="CJ582" s="19"/>
      <c r="CK582" s="19"/>
      <c r="CL582" s="19"/>
      <c r="CM582" s="19"/>
      <c r="CN582" s="19"/>
      <c r="CO582" s="19"/>
      <c r="CP582" s="19"/>
      <c r="CQ582" s="19"/>
      <c r="CR582" s="19"/>
      <c r="CS582" s="19"/>
      <c r="CT582" s="19"/>
      <c r="CU582" s="19"/>
      <c r="CV582" s="19"/>
      <c r="CW582" s="19"/>
      <c r="CX582" s="19"/>
      <c r="CY582" s="19"/>
      <c r="CZ582" s="19"/>
      <c r="DA582" s="19"/>
      <c r="DB582" s="19"/>
      <c r="DC582" s="19"/>
      <c r="DD582" s="19"/>
      <c r="DE582" s="19"/>
      <c r="DF582" s="19"/>
      <c r="DG582" s="19"/>
      <c r="DH582" s="19"/>
      <c r="DI582" s="19"/>
      <c r="DJ582" s="19"/>
      <c r="DK582" s="19"/>
      <c r="DL582" s="19"/>
      <c r="DM582" s="19"/>
      <c r="DN582" s="19"/>
      <c r="DO582" s="19"/>
      <c r="DP582" s="19"/>
      <c r="DQ582" s="19"/>
      <c r="DR582" s="19"/>
      <c r="DS582" s="19"/>
      <c r="DT582" s="19"/>
      <c r="DU582" s="19"/>
      <c r="DV582" s="19"/>
      <c r="DW582" s="19"/>
      <c r="DX582" s="19"/>
      <c r="DY582" s="19"/>
      <c r="DZ582" s="19"/>
      <c r="EA582" s="19"/>
      <c r="EB582" s="19"/>
      <c r="EC582" s="19"/>
      <c r="ED582" s="19"/>
      <c r="EE582" s="19"/>
      <c r="EF582" s="19"/>
      <c r="EG582" s="19"/>
      <c r="EH582" s="19"/>
      <c r="EI582" s="19"/>
      <c r="EJ582" s="19"/>
      <c r="EK582" s="19"/>
      <c r="EL582" s="19"/>
      <c r="EM582" s="19"/>
      <c r="EN582" s="19"/>
      <c r="EO582" s="19"/>
      <c r="EP582" s="17"/>
      <c r="EQ582" s="23"/>
      <c r="ER582" s="23" t="str">
        <f t="shared" si="1"/>
        <v/>
      </c>
      <c r="ES582" s="19"/>
      <c r="ET582" s="19" t="str">
        <f t="shared" si="2"/>
        <v/>
      </c>
      <c r="EU582" s="19"/>
      <c r="EV582" s="19"/>
      <c r="EW582" s="19"/>
      <c r="EX582" s="19"/>
      <c r="EY582" s="19"/>
      <c r="EZ582" s="19"/>
      <c r="FA582" s="19"/>
      <c r="FB582" s="19"/>
    </row>
    <row r="583" ht="15.75" customHeight="1">
      <c r="A583" s="19"/>
      <c r="F583" s="19"/>
      <c r="AH583" s="23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  <c r="BD583" s="19"/>
      <c r="BE583" s="19"/>
      <c r="BF583" s="19"/>
      <c r="BG583" s="19"/>
      <c r="BH583" s="19"/>
      <c r="BI583" s="19"/>
      <c r="BJ583" s="19"/>
      <c r="BK583" s="19"/>
      <c r="BL583" s="19"/>
      <c r="BM583" s="19"/>
      <c r="BN583" s="19"/>
      <c r="BO583" s="19"/>
      <c r="BP583" s="19"/>
      <c r="BQ583" s="19"/>
      <c r="BR583" s="19"/>
      <c r="BS583" s="19"/>
      <c r="BT583" s="19"/>
      <c r="BU583" s="19"/>
      <c r="BV583" s="19"/>
      <c r="BW583" s="19"/>
      <c r="BX583" s="19"/>
      <c r="BY583" s="19"/>
      <c r="BZ583" s="19"/>
      <c r="CA583" s="19"/>
      <c r="CB583" s="19"/>
      <c r="CC583" s="19"/>
      <c r="CD583" s="19"/>
      <c r="CE583" s="19"/>
      <c r="CF583" s="19"/>
      <c r="CG583" s="19"/>
      <c r="CH583" s="19"/>
      <c r="CI583" s="19"/>
      <c r="CJ583" s="19"/>
      <c r="CK583" s="19"/>
      <c r="CL583" s="19"/>
      <c r="CM583" s="19"/>
      <c r="CN583" s="19"/>
      <c r="CO583" s="19"/>
      <c r="CP583" s="19"/>
      <c r="CQ583" s="19"/>
      <c r="CR583" s="19"/>
      <c r="CS583" s="19"/>
      <c r="CT583" s="19"/>
      <c r="CU583" s="19"/>
      <c r="CV583" s="19"/>
      <c r="CW583" s="19"/>
      <c r="CX583" s="19"/>
      <c r="CY583" s="19"/>
      <c r="CZ583" s="19"/>
      <c r="DA583" s="19"/>
      <c r="DB583" s="19"/>
      <c r="DC583" s="19"/>
      <c r="DD583" s="19"/>
      <c r="DE583" s="19"/>
      <c r="DF583" s="19"/>
      <c r="DG583" s="19"/>
      <c r="DH583" s="19"/>
      <c r="DI583" s="19"/>
      <c r="DJ583" s="19"/>
      <c r="DK583" s="19"/>
      <c r="DL583" s="19"/>
      <c r="DM583" s="19"/>
      <c r="DN583" s="19"/>
      <c r="DO583" s="19"/>
      <c r="DP583" s="19"/>
      <c r="DQ583" s="19"/>
      <c r="DR583" s="19"/>
      <c r="DS583" s="19"/>
      <c r="DT583" s="19"/>
      <c r="DU583" s="19"/>
      <c r="DV583" s="19"/>
      <c r="DW583" s="19"/>
      <c r="DX583" s="19"/>
      <c r="DY583" s="19"/>
      <c r="DZ583" s="19"/>
      <c r="EA583" s="19"/>
      <c r="EB583" s="19"/>
      <c r="EC583" s="19"/>
      <c r="ED583" s="19"/>
      <c r="EE583" s="19"/>
      <c r="EF583" s="19"/>
      <c r="EG583" s="19"/>
      <c r="EH583" s="19"/>
      <c r="EI583" s="19"/>
      <c r="EJ583" s="19"/>
      <c r="EK583" s="19"/>
      <c r="EL583" s="19"/>
      <c r="EM583" s="19"/>
      <c r="EN583" s="19"/>
      <c r="EO583" s="19"/>
      <c r="EP583" s="17"/>
      <c r="EQ583" s="23"/>
      <c r="ER583" s="23" t="str">
        <f t="shared" si="1"/>
        <v/>
      </c>
      <c r="ES583" s="19"/>
      <c r="ET583" s="19" t="str">
        <f t="shared" si="2"/>
        <v/>
      </c>
      <c r="EU583" s="19"/>
      <c r="EV583" s="19"/>
      <c r="EW583" s="19"/>
      <c r="EX583" s="19"/>
      <c r="EY583" s="19"/>
      <c r="EZ583" s="19"/>
      <c r="FA583" s="19"/>
      <c r="FB583" s="19"/>
    </row>
    <row r="584" ht="15.75" customHeight="1">
      <c r="A584" s="19"/>
      <c r="F584" s="19"/>
      <c r="AH584" s="23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  <c r="BD584" s="19"/>
      <c r="BE584" s="19"/>
      <c r="BF584" s="19"/>
      <c r="BG584" s="19"/>
      <c r="BH584" s="19"/>
      <c r="BI584" s="19"/>
      <c r="BJ584" s="19"/>
      <c r="BK584" s="19"/>
      <c r="BL584" s="19"/>
      <c r="BM584" s="19"/>
      <c r="BN584" s="19"/>
      <c r="BO584" s="19"/>
      <c r="BP584" s="19"/>
      <c r="BQ584" s="19"/>
      <c r="BR584" s="19"/>
      <c r="BS584" s="19"/>
      <c r="BT584" s="19"/>
      <c r="BU584" s="19"/>
      <c r="BV584" s="19"/>
      <c r="BW584" s="19"/>
      <c r="BX584" s="19"/>
      <c r="BY584" s="19"/>
      <c r="BZ584" s="19"/>
      <c r="CA584" s="19"/>
      <c r="CB584" s="19"/>
      <c r="CC584" s="19"/>
      <c r="CD584" s="19"/>
      <c r="CE584" s="19"/>
      <c r="CF584" s="19"/>
      <c r="CG584" s="19"/>
      <c r="CH584" s="19"/>
      <c r="CI584" s="19"/>
      <c r="CJ584" s="19"/>
      <c r="CK584" s="19"/>
      <c r="CL584" s="19"/>
      <c r="CM584" s="19"/>
      <c r="CN584" s="19"/>
      <c r="CO584" s="19"/>
      <c r="CP584" s="19"/>
      <c r="CQ584" s="19"/>
      <c r="CR584" s="19"/>
      <c r="CS584" s="19"/>
      <c r="CT584" s="19"/>
      <c r="CU584" s="19"/>
      <c r="CV584" s="19"/>
      <c r="CW584" s="19"/>
      <c r="CX584" s="19"/>
      <c r="CY584" s="19"/>
      <c r="CZ584" s="19"/>
      <c r="DA584" s="19"/>
      <c r="DB584" s="19"/>
      <c r="DC584" s="19"/>
      <c r="DD584" s="19"/>
      <c r="DE584" s="19"/>
      <c r="DF584" s="19"/>
      <c r="DG584" s="19"/>
      <c r="DH584" s="19"/>
      <c r="DI584" s="19"/>
      <c r="DJ584" s="19"/>
      <c r="DK584" s="19"/>
      <c r="DL584" s="19"/>
      <c r="DM584" s="19"/>
      <c r="DN584" s="19"/>
      <c r="DO584" s="19"/>
      <c r="DP584" s="19"/>
      <c r="DQ584" s="19"/>
      <c r="DR584" s="19"/>
      <c r="DS584" s="19"/>
      <c r="DT584" s="19"/>
      <c r="DU584" s="19"/>
      <c r="DV584" s="19"/>
      <c r="DW584" s="19"/>
      <c r="DX584" s="19"/>
      <c r="DY584" s="19"/>
      <c r="DZ584" s="19"/>
      <c r="EA584" s="19"/>
      <c r="EB584" s="19"/>
      <c r="EC584" s="19"/>
      <c r="ED584" s="19"/>
      <c r="EE584" s="19"/>
      <c r="EF584" s="19"/>
      <c r="EG584" s="19"/>
      <c r="EH584" s="19"/>
      <c r="EI584" s="19"/>
      <c r="EJ584" s="19"/>
      <c r="EK584" s="19"/>
      <c r="EL584" s="19"/>
      <c r="EM584" s="19"/>
      <c r="EN584" s="19"/>
      <c r="EO584" s="19"/>
      <c r="EP584" s="17"/>
      <c r="EQ584" s="23"/>
      <c r="ER584" s="23" t="str">
        <f t="shared" si="1"/>
        <v/>
      </c>
      <c r="ES584" s="19"/>
      <c r="ET584" s="19" t="str">
        <f t="shared" si="2"/>
        <v/>
      </c>
      <c r="EU584" s="19"/>
      <c r="EV584" s="19"/>
      <c r="EW584" s="19"/>
      <c r="EX584" s="19"/>
      <c r="EY584" s="19"/>
      <c r="EZ584" s="19"/>
      <c r="FA584" s="19"/>
      <c r="FB584" s="19"/>
    </row>
    <row r="585" ht="15.75" customHeight="1">
      <c r="A585" s="19"/>
      <c r="F585" s="19"/>
      <c r="AH585" s="23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  <c r="BD585" s="19"/>
      <c r="BE585" s="19"/>
      <c r="BF585" s="19"/>
      <c r="BG585" s="19"/>
      <c r="BH585" s="19"/>
      <c r="BI585" s="19"/>
      <c r="BJ585" s="19"/>
      <c r="BK585" s="19"/>
      <c r="BL585" s="19"/>
      <c r="BM585" s="19"/>
      <c r="BN585" s="19"/>
      <c r="BO585" s="19"/>
      <c r="BP585" s="19"/>
      <c r="BQ585" s="19"/>
      <c r="BR585" s="19"/>
      <c r="BS585" s="19"/>
      <c r="BT585" s="19"/>
      <c r="BU585" s="19"/>
      <c r="BV585" s="19"/>
      <c r="BW585" s="19"/>
      <c r="BX585" s="19"/>
      <c r="BY585" s="19"/>
      <c r="BZ585" s="19"/>
      <c r="CA585" s="19"/>
      <c r="CB585" s="19"/>
      <c r="CC585" s="19"/>
      <c r="CD585" s="19"/>
      <c r="CE585" s="19"/>
      <c r="CF585" s="19"/>
      <c r="CG585" s="19"/>
      <c r="CH585" s="19"/>
      <c r="CI585" s="19"/>
      <c r="CJ585" s="19"/>
      <c r="CK585" s="19"/>
      <c r="CL585" s="19"/>
      <c r="CM585" s="19"/>
      <c r="CN585" s="19"/>
      <c r="CO585" s="19"/>
      <c r="CP585" s="19"/>
      <c r="CQ585" s="19"/>
      <c r="CR585" s="19"/>
      <c r="CS585" s="19"/>
      <c r="CT585" s="19"/>
      <c r="CU585" s="19"/>
      <c r="CV585" s="19"/>
      <c r="CW585" s="19"/>
      <c r="CX585" s="19"/>
      <c r="CY585" s="19"/>
      <c r="CZ585" s="19"/>
      <c r="DA585" s="19"/>
      <c r="DB585" s="19"/>
      <c r="DC585" s="19"/>
      <c r="DD585" s="19"/>
      <c r="DE585" s="19"/>
      <c r="DF585" s="19"/>
      <c r="DG585" s="19"/>
      <c r="DH585" s="19"/>
      <c r="DI585" s="19"/>
      <c r="DJ585" s="19"/>
      <c r="DK585" s="19"/>
      <c r="DL585" s="19"/>
      <c r="DM585" s="19"/>
      <c r="DN585" s="19"/>
      <c r="DO585" s="19"/>
      <c r="DP585" s="19"/>
      <c r="DQ585" s="19"/>
      <c r="DR585" s="19"/>
      <c r="DS585" s="19"/>
      <c r="DT585" s="19"/>
      <c r="DU585" s="19"/>
      <c r="DV585" s="19"/>
      <c r="DW585" s="19"/>
      <c r="DX585" s="19"/>
      <c r="DY585" s="19"/>
      <c r="DZ585" s="19"/>
      <c r="EA585" s="19"/>
      <c r="EB585" s="19"/>
      <c r="EC585" s="19"/>
      <c r="ED585" s="19"/>
      <c r="EE585" s="19"/>
      <c r="EF585" s="19"/>
      <c r="EG585" s="19"/>
      <c r="EH585" s="19"/>
      <c r="EI585" s="19"/>
      <c r="EJ585" s="19"/>
      <c r="EK585" s="19"/>
      <c r="EL585" s="19"/>
      <c r="EM585" s="19"/>
      <c r="EN585" s="19"/>
      <c r="EO585" s="19"/>
      <c r="EP585" s="17"/>
      <c r="EQ585" s="23"/>
      <c r="ER585" s="23" t="str">
        <f t="shared" si="1"/>
        <v/>
      </c>
      <c r="ES585" s="19"/>
      <c r="ET585" s="19" t="str">
        <f t="shared" si="2"/>
        <v/>
      </c>
      <c r="EU585" s="19"/>
      <c r="EV585" s="19"/>
      <c r="EW585" s="19"/>
      <c r="EX585" s="19"/>
      <c r="EY585" s="19"/>
      <c r="EZ585" s="19"/>
      <c r="FA585" s="19"/>
      <c r="FB585" s="19"/>
    </row>
    <row r="586" ht="15.75" customHeight="1">
      <c r="A586" s="19"/>
      <c r="F586" s="19"/>
      <c r="AH586" s="23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  <c r="BD586" s="19"/>
      <c r="BE586" s="19"/>
      <c r="BF586" s="19"/>
      <c r="BG586" s="19"/>
      <c r="BH586" s="19"/>
      <c r="BI586" s="19"/>
      <c r="BJ586" s="19"/>
      <c r="BK586" s="19"/>
      <c r="BL586" s="19"/>
      <c r="BM586" s="19"/>
      <c r="BN586" s="19"/>
      <c r="BO586" s="19"/>
      <c r="BP586" s="19"/>
      <c r="BQ586" s="19"/>
      <c r="BR586" s="19"/>
      <c r="BS586" s="19"/>
      <c r="BT586" s="19"/>
      <c r="BU586" s="19"/>
      <c r="BV586" s="19"/>
      <c r="BW586" s="19"/>
      <c r="BX586" s="19"/>
      <c r="BY586" s="19"/>
      <c r="BZ586" s="19"/>
      <c r="CA586" s="19"/>
      <c r="CB586" s="19"/>
      <c r="CC586" s="19"/>
      <c r="CD586" s="19"/>
      <c r="CE586" s="19"/>
      <c r="CF586" s="19"/>
      <c r="CG586" s="19"/>
      <c r="CH586" s="19"/>
      <c r="CI586" s="19"/>
      <c r="CJ586" s="19"/>
      <c r="CK586" s="19"/>
      <c r="CL586" s="19"/>
      <c r="CM586" s="19"/>
      <c r="CN586" s="19"/>
      <c r="CO586" s="19"/>
      <c r="CP586" s="19"/>
      <c r="CQ586" s="19"/>
      <c r="CR586" s="19"/>
      <c r="CS586" s="19"/>
      <c r="CT586" s="19"/>
      <c r="CU586" s="19"/>
      <c r="CV586" s="19"/>
      <c r="CW586" s="19"/>
      <c r="CX586" s="19"/>
      <c r="CY586" s="19"/>
      <c r="CZ586" s="19"/>
      <c r="DA586" s="19"/>
      <c r="DB586" s="19"/>
      <c r="DC586" s="19"/>
      <c r="DD586" s="19"/>
      <c r="DE586" s="19"/>
      <c r="DF586" s="19"/>
      <c r="DG586" s="19"/>
      <c r="DH586" s="19"/>
      <c r="DI586" s="19"/>
      <c r="DJ586" s="19"/>
      <c r="DK586" s="19"/>
      <c r="DL586" s="19"/>
      <c r="DM586" s="19"/>
      <c r="DN586" s="19"/>
      <c r="DO586" s="19"/>
      <c r="DP586" s="19"/>
      <c r="DQ586" s="19"/>
      <c r="DR586" s="19"/>
      <c r="DS586" s="19"/>
      <c r="DT586" s="19"/>
      <c r="DU586" s="19"/>
      <c r="DV586" s="19"/>
      <c r="DW586" s="19"/>
      <c r="DX586" s="19"/>
      <c r="DY586" s="19"/>
      <c r="DZ586" s="19"/>
      <c r="EA586" s="19"/>
      <c r="EB586" s="19"/>
      <c r="EC586" s="19"/>
      <c r="ED586" s="19"/>
      <c r="EE586" s="19"/>
      <c r="EF586" s="19"/>
      <c r="EG586" s="19"/>
      <c r="EH586" s="19"/>
      <c r="EI586" s="19"/>
      <c r="EJ586" s="19"/>
      <c r="EK586" s="19"/>
      <c r="EL586" s="19"/>
      <c r="EM586" s="19"/>
      <c r="EN586" s="19"/>
      <c r="EO586" s="19"/>
      <c r="EP586" s="17"/>
      <c r="EQ586" s="23"/>
      <c r="ER586" s="23" t="str">
        <f t="shared" si="1"/>
        <v/>
      </c>
      <c r="ES586" s="19"/>
      <c r="ET586" s="19" t="str">
        <f t="shared" si="2"/>
        <v/>
      </c>
      <c r="EU586" s="19"/>
      <c r="EV586" s="19"/>
      <c r="EW586" s="19"/>
      <c r="EX586" s="19"/>
      <c r="EY586" s="19"/>
      <c r="EZ586" s="19"/>
      <c r="FA586" s="19"/>
      <c r="FB586" s="19"/>
    </row>
    <row r="587" ht="15.75" customHeight="1">
      <c r="A587" s="19"/>
      <c r="F587" s="19"/>
      <c r="AH587" s="23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  <c r="BD587" s="19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  <c r="BP587" s="19"/>
      <c r="BQ587" s="19"/>
      <c r="BR587" s="19"/>
      <c r="BS587" s="19"/>
      <c r="BT587" s="19"/>
      <c r="BU587" s="19"/>
      <c r="BV587" s="19"/>
      <c r="BW587" s="19"/>
      <c r="BX587" s="19"/>
      <c r="BY587" s="19"/>
      <c r="BZ587" s="19"/>
      <c r="CA587" s="19"/>
      <c r="CB587" s="19"/>
      <c r="CC587" s="19"/>
      <c r="CD587" s="19"/>
      <c r="CE587" s="19"/>
      <c r="CF587" s="19"/>
      <c r="CG587" s="19"/>
      <c r="CH587" s="19"/>
      <c r="CI587" s="19"/>
      <c r="CJ587" s="19"/>
      <c r="CK587" s="19"/>
      <c r="CL587" s="19"/>
      <c r="CM587" s="19"/>
      <c r="CN587" s="19"/>
      <c r="CO587" s="19"/>
      <c r="CP587" s="19"/>
      <c r="CQ587" s="19"/>
      <c r="CR587" s="19"/>
      <c r="CS587" s="19"/>
      <c r="CT587" s="19"/>
      <c r="CU587" s="19"/>
      <c r="CV587" s="19"/>
      <c r="CW587" s="19"/>
      <c r="CX587" s="19"/>
      <c r="CY587" s="19"/>
      <c r="CZ587" s="19"/>
      <c r="DA587" s="19"/>
      <c r="DB587" s="19"/>
      <c r="DC587" s="19"/>
      <c r="DD587" s="19"/>
      <c r="DE587" s="19"/>
      <c r="DF587" s="19"/>
      <c r="DG587" s="19"/>
      <c r="DH587" s="19"/>
      <c r="DI587" s="19"/>
      <c r="DJ587" s="19"/>
      <c r="DK587" s="19"/>
      <c r="DL587" s="19"/>
      <c r="DM587" s="19"/>
      <c r="DN587" s="19"/>
      <c r="DO587" s="19"/>
      <c r="DP587" s="19"/>
      <c r="DQ587" s="19"/>
      <c r="DR587" s="19"/>
      <c r="DS587" s="19"/>
      <c r="DT587" s="19"/>
      <c r="DU587" s="19"/>
      <c r="DV587" s="19"/>
      <c r="DW587" s="19"/>
      <c r="DX587" s="19"/>
      <c r="DY587" s="19"/>
      <c r="DZ587" s="19"/>
      <c r="EA587" s="19"/>
      <c r="EB587" s="19"/>
      <c r="EC587" s="19"/>
      <c r="ED587" s="19"/>
      <c r="EE587" s="19"/>
      <c r="EF587" s="19"/>
      <c r="EG587" s="19"/>
      <c r="EH587" s="19"/>
      <c r="EI587" s="19"/>
      <c r="EJ587" s="19"/>
      <c r="EK587" s="19"/>
      <c r="EL587" s="19"/>
      <c r="EM587" s="19"/>
      <c r="EN587" s="19"/>
      <c r="EO587" s="19"/>
      <c r="EP587" s="17"/>
      <c r="EQ587" s="23"/>
      <c r="ER587" s="23" t="str">
        <f t="shared" si="1"/>
        <v/>
      </c>
      <c r="ES587" s="19"/>
      <c r="ET587" s="19" t="str">
        <f t="shared" si="2"/>
        <v/>
      </c>
      <c r="EU587" s="19"/>
      <c r="EV587" s="19"/>
      <c r="EW587" s="19"/>
      <c r="EX587" s="19"/>
      <c r="EY587" s="19"/>
      <c r="EZ587" s="19"/>
      <c r="FA587" s="19"/>
      <c r="FB587" s="19"/>
    </row>
    <row r="588" ht="15.75" customHeight="1">
      <c r="A588" s="19"/>
      <c r="F588" s="19"/>
      <c r="AH588" s="23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  <c r="BD588" s="19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  <c r="BP588" s="19"/>
      <c r="BQ588" s="19"/>
      <c r="BR588" s="19"/>
      <c r="BS588" s="19"/>
      <c r="BT588" s="19"/>
      <c r="BU588" s="19"/>
      <c r="BV588" s="19"/>
      <c r="BW588" s="19"/>
      <c r="BX588" s="19"/>
      <c r="BY588" s="19"/>
      <c r="BZ588" s="19"/>
      <c r="CA588" s="19"/>
      <c r="CB588" s="19"/>
      <c r="CC588" s="19"/>
      <c r="CD588" s="19"/>
      <c r="CE588" s="19"/>
      <c r="CF588" s="19"/>
      <c r="CG588" s="19"/>
      <c r="CH588" s="19"/>
      <c r="CI588" s="19"/>
      <c r="CJ588" s="19"/>
      <c r="CK588" s="19"/>
      <c r="CL588" s="19"/>
      <c r="CM588" s="19"/>
      <c r="CN588" s="19"/>
      <c r="CO588" s="19"/>
      <c r="CP588" s="19"/>
      <c r="CQ588" s="19"/>
      <c r="CR588" s="19"/>
      <c r="CS588" s="19"/>
      <c r="CT588" s="19"/>
      <c r="CU588" s="19"/>
      <c r="CV588" s="19"/>
      <c r="CW588" s="19"/>
      <c r="CX588" s="19"/>
      <c r="CY588" s="19"/>
      <c r="CZ588" s="19"/>
      <c r="DA588" s="19"/>
      <c r="DB588" s="19"/>
      <c r="DC588" s="19"/>
      <c r="DD588" s="19"/>
      <c r="DE588" s="19"/>
      <c r="DF588" s="19"/>
      <c r="DG588" s="19"/>
      <c r="DH588" s="19"/>
      <c r="DI588" s="19"/>
      <c r="DJ588" s="19"/>
      <c r="DK588" s="19"/>
      <c r="DL588" s="19"/>
      <c r="DM588" s="19"/>
      <c r="DN588" s="19"/>
      <c r="DO588" s="19"/>
      <c r="DP588" s="19"/>
      <c r="DQ588" s="19"/>
      <c r="DR588" s="19"/>
      <c r="DS588" s="19"/>
      <c r="DT588" s="19"/>
      <c r="DU588" s="19"/>
      <c r="DV588" s="19"/>
      <c r="DW588" s="19"/>
      <c r="DX588" s="19"/>
      <c r="DY588" s="19"/>
      <c r="DZ588" s="19"/>
      <c r="EA588" s="19"/>
      <c r="EB588" s="19"/>
      <c r="EC588" s="19"/>
      <c r="ED588" s="19"/>
      <c r="EE588" s="19"/>
      <c r="EF588" s="19"/>
      <c r="EG588" s="19"/>
      <c r="EH588" s="19"/>
      <c r="EI588" s="19"/>
      <c r="EJ588" s="19"/>
      <c r="EK588" s="19"/>
      <c r="EL588" s="19"/>
      <c r="EM588" s="19"/>
      <c r="EN588" s="19"/>
      <c r="EO588" s="19"/>
      <c r="EP588" s="17"/>
      <c r="EQ588" s="23"/>
      <c r="ER588" s="23" t="str">
        <f t="shared" si="1"/>
        <v/>
      </c>
      <c r="ES588" s="19"/>
      <c r="ET588" s="19" t="str">
        <f t="shared" si="2"/>
        <v/>
      </c>
      <c r="EU588" s="19"/>
      <c r="EV588" s="19"/>
      <c r="EW588" s="19"/>
      <c r="EX588" s="19"/>
      <c r="EY588" s="19"/>
      <c r="EZ588" s="19"/>
      <c r="FA588" s="19"/>
      <c r="FB588" s="19"/>
    </row>
    <row r="589" ht="15.75" customHeight="1">
      <c r="A589" s="19"/>
      <c r="F589" s="19"/>
      <c r="AH589" s="23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  <c r="BD589" s="19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  <c r="BP589" s="19"/>
      <c r="BQ589" s="19"/>
      <c r="BR589" s="19"/>
      <c r="BS589" s="19"/>
      <c r="BT589" s="19"/>
      <c r="BU589" s="19"/>
      <c r="BV589" s="19"/>
      <c r="BW589" s="19"/>
      <c r="BX589" s="19"/>
      <c r="BY589" s="19"/>
      <c r="BZ589" s="19"/>
      <c r="CA589" s="19"/>
      <c r="CB589" s="19"/>
      <c r="CC589" s="19"/>
      <c r="CD589" s="19"/>
      <c r="CE589" s="19"/>
      <c r="CF589" s="19"/>
      <c r="CG589" s="19"/>
      <c r="CH589" s="19"/>
      <c r="CI589" s="19"/>
      <c r="CJ589" s="19"/>
      <c r="CK589" s="19"/>
      <c r="CL589" s="19"/>
      <c r="CM589" s="19"/>
      <c r="CN589" s="19"/>
      <c r="CO589" s="19"/>
      <c r="CP589" s="19"/>
      <c r="CQ589" s="19"/>
      <c r="CR589" s="19"/>
      <c r="CS589" s="19"/>
      <c r="CT589" s="19"/>
      <c r="CU589" s="19"/>
      <c r="CV589" s="19"/>
      <c r="CW589" s="19"/>
      <c r="CX589" s="19"/>
      <c r="CY589" s="19"/>
      <c r="CZ589" s="19"/>
      <c r="DA589" s="19"/>
      <c r="DB589" s="19"/>
      <c r="DC589" s="19"/>
      <c r="DD589" s="19"/>
      <c r="DE589" s="19"/>
      <c r="DF589" s="19"/>
      <c r="DG589" s="19"/>
      <c r="DH589" s="19"/>
      <c r="DI589" s="19"/>
      <c r="DJ589" s="19"/>
      <c r="DK589" s="19"/>
      <c r="DL589" s="19"/>
      <c r="DM589" s="19"/>
      <c r="DN589" s="19"/>
      <c r="DO589" s="19"/>
      <c r="DP589" s="19"/>
      <c r="DQ589" s="19"/>
      <c r="DR589" s="19"/>
      <c r="DS589" s="19"/>
      <c r="DT589" s="19"/>
      <c r="DU589" s="19"/>
      <c r="DV589" s="19"/>
      <c r="DW589" s="19"/>
      <c r="DX589" s="19"/>
      <c r="DY589" s="19"/>
      <c r="DZ589" s="19"/>
      <c r="EA589" s="19"/>
      <c r="EB589" s="19"/>
      <c r="EC589" s="19"/>
      <c r="ED589" s="19"/>
      <c r="EE589" s="19"/>
      <c r="EF589" s="19"/>
      <c r="EG589" s="19"/>
      <c r="EH589" s="19"/>
      <c r="EI589" s="19"/>
      <c r="EJ589" s="19"/>
      <c r="EK589" s="19"/>
      <c r="EL589" s="19"/>
      <c r="EM589" s="19"/>
      <c r="EN589" s="19"/>
      <c r="EO589" s="19"/>
      <c r="EP589" s="17"/>
      <c r="EQ589" s="23"/>
      <c r="ER589" s="23" t="str">
        <f t="shared" si="1"/>
        <v/>
      </c>
      <c r="ES589" s="19"/>
      <c r="ET589" s="19" t="str">
        <f t="shared" si="2"/>
        <v/>
      </c>
      <c r="EU589" s="19"/>
      <c r="EV589" s="19"/>
      <c r="EW589" s="19"/>
      <c r="EX589" s="19"/>
      <c r="EY589" s="19"/>
      <c r="EZ589" s="19"/>
      <c r="FA589" s="19"/>
      <c r="FB589" s="19"/>
    </row>
    <row r="590" ht="15.75" customHeight="1">
      <c r="A590" s="19"/>
      <c r="F590" s="19"/>
      <c r="AH590" s="23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  <c r="BD590" s="19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  <c r="BP590" s="19"/>
      <c r="BQ590" s="19"/>
      <c r="BR590" s="19"/>
      <c r="BS590" s="19"/>
      <c r="BT590" s="19"/>
      <c r="BU590" s="19"/>
      <c r="BV590" s="19"/>
      <c r="BW590" s="19"/>
      <c r="BX590" s="19"/>
      <c r="BY590" s="19"/>
      <c r="BZ590" s="19"/>
      <c r="CA590" s="19"/>
      <c r="CB590" s="19"/>
      <c r="CC590" s="19"/>
      <c r="CD590" s="19"/>
      <c r="CE590" s="19"/>
      <c r="CF590" s="19"/>
      <c r="CG590" s="19"/>
      <c r="CH590" s="19"/>
      <c r="CI590" s="19"/>
      <c r="CJ590" s="19"/>
      <c r="CK590" s="19"/>
      <c r="CL590" s="19"/>
      <c r="CM590" s="19"/>
      <c r="CN590" s="19"/>
      <c r="CO590" s="19"/>
      <c r="CP590" s="19"/>
      <c r="CQ590" s="19"/>
      <c r="CR590" s="19"/>
      <c r="CS590" s="19"/>
      <c r="CT590" s="19"/>
      <c r="CU590" s="19"/>
      <c r="CV590" s="19"/>
      <c r="CW590" s="19"/>
      <c r="CX590" s="19"/>
      <c r="CY590" s="19"/>
      <c r="CZ590" s="19"/>
      <c r="DA590" s="19"/>
      <c r="DB590" s="19"/>
      <c r="DC590" s="19"/>
      <c r="DD590" s="19"/>
      <c r="DE590" s="19"/>
      <c r="DF590" s="19"/>
      <c r="DG590" s="19"/>
      <c r="DH590" s="19"/>
      <c r="DI590" s="19"/>
      <c r="DJ590" s="19"/>
      <c r="DK590" s="19"/>
      <c r="DL590" s="19"/>
      <c r="DM590" s="19"/>
      <c r="DN590" s="19"/>
      <c r="DO590" s="19"/>
      <c r="DP590" s="19"/>
      <c r="DQ590" s="19"/>
      <c r="DR590" s="19"/>
      <c r="DS590" s="19"/>
      <c r="DT590" s="19"/>
      <c r="DU590" s="19"/>
      <c r="DV590" s="19"/>
      <c r="DW590" s="19"/>
      <c r="DX590" s="19"/>
      <c r="DY590" s="19"/>
      <c r="DZ590" s="19"/>
      <c r="EA590" s="19"/>
      <c r="EB590" s="19"/>
      <c r="EC590" s="19"/>
      <c r="ED590" s="19"/>
      <c r="EE590" s="19"/>
      <c r="EF590" s="19"/>
      <c r="EG590" s="19"/>
      <c r="EH590" s="19"/>
      <c r="EI590" s="19"/>
      <c r="EJ590" s="19"/>
      <c r="EK590" s="19"/>
      <c r="EL590" s="19"/>
      <c r="EM590" s="19"/>
      <c r="EN590" s="19"/>
      <c r="EO590" s="19"/>
      <c r="EP590" s="17"/>
      <c r="EQ590" s="23"/>
      <c r="ER590" s="23" t="str">
        <f t="shared" si="1"/>
        <v/>
      </c>
      <c r="ES590" s="19"/>
      <c r="ET590" s="19" t="str">
        <f t="shared" si="2"/>
        <v/>
      </c>
      <c r="EU590" s="19"/>
      <c r="EV590" s="19"/>
      <c r="EW590" s="19"/>
      <c r="EX590" s="19"/>
      <c r="EY590" s="19"/>
      <c r="EZ590" s="19"/>
      <c r="FA590" s="19"/>
      <c r="FB590" s="19"/>
    </row>
    <row r="591" ht="15.75" customHeight="1">
      <c r="A591" s="19"/>
      <c r="F591" s="19"/>
      <c r="AH591" s="23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  <c r="BD591" s="19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  <c r="BP591" s="19"/>
      <c r="BQ591" s="19"/>
      <c r="BR591" s="19"/>
      <c r="BS591" s="19"/>
      <c r="BT591" s="19"/>
      <c r="BU591" s="19"/>
      <c r="BV591" s="19"/>
      <c r="BW591" s="19"/>
      <c r="BX591" s="19"/>
      <c r="BY591" s="19"/>
      <c r="BZ591" s="19"/>
      <c r="CA591" s="19"/>
      <c r="CB591" s="19"/>
      <c r="CC591" s="19"/>
      <c r="CD591" s="19"/>
      <c r="CE591" s="19"/>
      <c r="CF591" s="19"/>
      <c r="CG591" s="19"/>
      <c r="CH591" s="19"/>
      <c r="CI591" s="19"/>
      <c r="CJ591" s="19"/>
      <c r="CK591" s="19"/>
      <c r="CL591" s="19"/>
      <c r="CM591" s="19"/>
      <c r="CN591" s="19"/>
      <c r="CO591" s="19"/>
      <c r="CP591" s="19"/>
      <c r="CQ591" s="19"/>
      <c r="CR591" s="19"/>
      <c r="CS591" s="19"/>
      <c r="CT591" s="19"/>
      <c r="CU591" s="19"/>
      <c r="CV591" s="19"/>
      <c r="CW591" s="19"/>
      <c r="CX591" s="19"/>
      <c r="CY591" s="19"/>
      <c r="CZ591" s="19"/>
      <c r="DA591" s="19"/>
      <c r="DB591" s="19"/>
      <c r="DC591" s="19"/>
      <c r="DD591" s="19"/>
      <c r="DE591" s="19"/>
      <c r="DF591" s="19"/>
      <c r="DG591" s="19"/>
      <c r="DH591" s="19"/>
      <c r="DI591" s="19"/>
      <c r="DJ591" s="19"/>
      <c r="DK591" s="19"/>
      <c r="DL591" s="19"/>
      <c r="DM591" s="19"/>
      <c r="DN591" s="19"/>
      <c r="DO591" s="19"/>
      <c r="DP591" s="19"/>
      <c r="DQ591" s="19"/>
      <c r="DR591" s="19"/>
      <c r="DS591" s="19"/>
      <c r="DT591" s="19"/>
      <c r="DU591" s="19"/>
      <c r="DV591" s="19"/>
      <c r="DW591" s="19"/>
      <c r="DX591" s="19"/>
      <c r="DY591" s="19"/>
      <c r="DZ591" s="19"/>
      <c r="EA591" s="19"/>
      <c r="EB591" s="19"/>
      <c r="EC591" s="19"/>
      <c r="ED591" s="19"/>
      <c r="EE591" s="19"/>
      <c r="EF591" s="19"/>
      <c r="EG591" s="19"/>
      <c r="EH591" s="19"/>
      <c r="EI591" s="19"/>
      <c r="EJ591" s="19"/>
      <c r="EK591" s="19"/>
      <c r="EL591" s="19"/>
      <c r="EM591" s="19"/>
      <c r="EN591" s="19"/>
      <c r="EO591" s="19"/>
      <c r="EP591" s="17"/>
      <c r="EQ591" s="23"/>
      <c r="ER591" s="23" t="str">
        <f t="shared" si="1"/>
        <v/>
      </c>
      <c r="ES591" s="19"/>
      <c r="ET591" s="19" t="str">
        <f t="shared" si="2"/>
        <v/>
      </c>
      <c r="EU591" s="19"/>
      <c r="EV591" s="19"/>
      <c r="EW591" s="19"/>
      <c r="EX591" s="19"/>
      <c r="EY591" s="19"/>
      <c r="EZ591" s="19"/>
      <c r="FA591" s="19"/>
      <c r="FB591" s="19"/>
    </row>
    <row r="592" ht="15.75" customHeight="1">
      <c r="A592" s="19"/>
      <c r="F592" s="19"/>
      <c r="AH592" s="23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  <c r="BD592" s="19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  <c r="BP592" s="19"/>
      <c r="BQ592" s="19"/>
      <c r="BR592" s="19"/>
      <c r="BS592" s="19"/>
      <c r="BT592" s="19"/>
      <c r="BU592" s="19"/>
      <c r="BV592" s="19"/>
      <c r="BW592" s="19"/>
      <c r="BX592" s="19"/>
      <c r="BY592" s="19"/>
      <c r="BZ592" s="19"/>
      <c r="CA592" s="19"/>
      <c r="CB592" s="19"/>
      <c r="CC592" s="19"/>
      <c r="CD592" s="19"/>
      <c r="CE592" s="19"/>
      <c r="CF592" s="19"/>
      <c r="CG592" s="19"/>
      <c r="CH592" s="19"/>
      <c r="CI592" s="19"/>
      <c r="CJ592" s="19"/>
      <c r="CK592" s="19"/>
      <c r="CL592" s="19"/>
      <c r="CM592" s="19"/>
      <c r="CN592" s="19"/>
      <c r="CO592" s="19"/>
      <c r="CP592" s="19"/>
      <c r="CQ592" s="19"/>
      <c r="CR592" s="19"/>
      <c r="CS592" s="19"/>
      <c r="CT592" s="19"/>
      <c r="CU592" s="19"/>
      <c r="CV592" s="19"/>
      <c r="CW592" s="19"/>
      <c r="CX592" s="19"/>
      <c r="CY592" s="19"/>
      <c r="CZ592" s="19"/>
      <c r="DA592" s="19"/>
      <c r="DB592" s="19"/>
      <c r="DC592" s="19"/>
      <c r="DD592" s="19"/>
      <c r="DE592" s="19"/>
      <c r="DF592" s="19"/>
      <c r="DG592" s="19"/>
      <c r="DH592" s="19"/>
      <c r="DI592" s="19"/>
      <c r="DJ592" s="19"/>
      <c r="DK592" s="19"/>
      <c r="DL592" s="19"/>
      <c r="DM592" s="19"/>
      <c r="DN592" s="19"/>
      <c r="DO592" s="19"/>
      <c r="DP592" s="19"/>
      <c r="DQ592" s="19"/>
      <c r="DR592" s="19"/>
      <c r="DS592" s="19"/>
      <c r="DT592" s="19"/>
      <c r="DU592" s="19"/>
      <c r="DV592" s="19"/>
      <c r="DW592" s="19"/>
      <c r="DX592" s="19"/>
      <c r="DY592" s="19"/>
      <c r="DZ592" s="19"/>
      <c r="EA592" s="19"/>
      <c r="EB592" s="19"/>
      <c r="EC592" s="19"/>
      <c r="ED592" s="19"/>
      <c r="EE592" s="19"/>
      <c r="EF592" s="19"/>
      <c r="EG592" s="19"/>
      <c r="EH592" s="19"/>
      <c r="EI592" s="19"/>
      <c r="EJ592" s="19"/>
      <c r="EK592" s="19"/>
      <c r="EL592" s="19"/>
      <c r="EM592" s="19"/>
      <c r="EN592" s="19"/>
      <c r="EO592" s="19"/>
      <c r="EP592" s="17"/>
      <c r="EQ592" s="23"/>
      <c r="ER592" s="23" t="str">
        <f t="shared" si="1"/>
        <v/>
      </c>
      <c r="ES592" s="19"/>
      <c r="ET592" s="19" t="str">
        <f t="shared" si="2"/>
        <v/>
      </c>
      <c r="EU592" s="19"/>
      <c r="EV592" s="19"/>
      <c r="EW592" s="19"/>
      <c r="EX592" s="19"/>
      <c r="EY592" s="19"/>
      <c r="EZ592" s="19"/>
      <c r="FA592" s="19"/>
      <c r="FB592" s="19"/>
    </row>
    <row r="593" ht="15.75" customHeight="1">
      <c r="A593" s="19"/>
      <c r="F593" s="19"/>
      <c r="AH593" s="23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  <c r="BD593" s="19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  <c r="BP593" s="19"/>
      <c r="BQ593" s="19"/>
      <c r="BR593" s="19"/>
      <c r="BS593" s="19"/>
      <c r="BT593" s="19"/>
      <c r="BU593" s="19"/>
      <c r="BV593" s="19"/>
      <c r="BW593" s="19"/>
      <c r="BX593" s="19"/>
      <c r="BY593" s="19"/>
      <c r="BZ593" s="19"/>
      <c r="CA593" s="19"/>
      <c r="CB593" s="19"/>
      <c r="CC593" s="19"/>
      <c r="CD593" s="19"/>
      <c r="CE593" s="19"/>
      <c r="CF593" s="19"/>
      <c r="CG593" s="19"/>
      <c r="CH593" s="19"/>
      <c r="CI593" s="19"/>
      <c r="CJ593" s="19"/>
      <c r="CK593" s="19"/>
      <c r="CL593" s="19"/>
      <c r="CM593" s="19"/>
      <c r="CN593" s="19"/>
      <c r="CO593" s="19"/>
      <c r="CP593" s="19"/>
      <c r="CQ593" s="19"/>
      <c r="CR593" s="19"/>
      <c r="CS593" s="19"/>
      <c r="CT593" s="19"/>
      <c r="CU593" s="19"/>
      <c r="CV593" s="19"/>
      <c r="CW593" s="19"/>
      <c r="CX593" s="19"/>
      <c r="CY593" s="19"/>
      <c r="CZ593" s="19"/>
      <c r="DA593" s="19"/>
      <c r="DB593" s="19"/>
      <c r="DC593" s="19"/>
      <c r="DD593" s="19"/>
      <c r="DE593" s="19"/>
      <c r="DF593" s="19"/>
      <c r="DG593" s="19"/>
      <c r="DH593" s="19"/>
      <c r="DI593" s="19"/>
      <c r="DJ593" s="19"/>
      <c r="DK593" s="19"/>
      <c r="DL593" s="19"/>
      <c r="DM593" s="19"/>
      <c r="DN593" s="19"/>
      <c r="DO593" s="19"/>
      <c r="DP593" s="19"/>
      <c r="DQ593" s="19"/>
      <c r="DR593" s="19"/>
      <c r="DS593" s="19"/>
      <c r="DT593" s="19"/>
      <c r="DU593" s="19"/>
      <c r="DV593" s="19"/>
      <c r="DW593" s="19"/>
      <c r="DX593" s="19"/>
      <c r="DY593" s="19"/>
      <c r="DZ593" s="19"/>
      <c r="EA593" s="19"/>
      <c r="EB593" s="19"/>
      <c r="EC593" s="19"/>
      <c r="ED593" s="19"/>
      <c r="EE593" s="19"/>
      <c r="EF593" s="19"/>
      <c r="EG593" s="19"/>
      <c r="EH593" s="19"/>
      <c r="EI593" s="19"/>
      <c r="EJ593" s="19"/>
      <c r="EK593" s="19"/>
      <c r="EL593" s="19"/>
      <c r="EM593" s="19"/>
      <c r="EN593" s="19"/>
      <c r="EO593" s="19"/>
      <c r="EP593" s="17"/>
      <c r="EQ593" s="23"/>
      <c r="ER593" s="23" t="str">
        <f t="shared" si="1"/>
        <v/>
      </c>
      <c r="ES593" s="19"/>
      <c r="ET593" s="19" t="str">
        <f t="shared" si="2"/>
        <v/>
      </c>
      <c r="EU593" s="19"/>
      <c r="EV593" s="19"/>
      <c r="EW593" s="19"/>
      <c r="EX593" s="19"/>
      <c r="EY593" s="19"/>
      <c r="EZ593" s="19"/>
      <c r="FA593" s="19"/>
      <c r="FB593" s="19"/>
    </row>
    <row r="594" ht="15.75" customHeight="1">
      <c r="A594" s="19"/>
      <c r="F594" s="19"/>
      <c r="AH594" s="23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  <c r="BD594" s="19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  <c r="BP594" s="19"/>
      <c r="BQ594" s="19"/>
      <c r="BR594" s="19"/>
      <c r="BS594" s="19"/>
      <c r="BT594" s="19"/>
      <c r="BU594" s="19"/>
      <c r="BV594" s="19"/>
      <c r="BW594" s="19"/>
      <c r="BX594" s="19"/>
      <c r="BY594" s="19"/>
      <c r="BZ594" s="19"/>
      <c r="CA594" s="19"/>
      <c r="CB594" s="19"/>
      <c r="CC594" s="19"/>
      <c r="CD594" s="19"/>
      <c r="CE594" s="19"/>
      <c r="CF594" s="19"/>
      <c r="CG594" s="19"/>
      <c r="CH594" s="19"/>
      <c r="CI594" s="19"/>
      <c r="CJ594" s="19"/>
      <c r="CK594" s="19"/>
      <c r="CL594" s="19"/>
      <c r="CM594" s="19"/>
      <c r="CN594" s="19"/>
      <c r="CO594" s="19"/>
      <c r="CP594" s="19"/>
      <c r="CQ594" s="19"/>
      <c r="CR594" s="19"/>
      <c r="CS594" s="19"/>
      <c r="CT594" s="19"/>
      <c r="CU594" s="19"/>
      <c r="CV594" s="19"/>
      <c r="CW594" s="19"/>
      <c r="CX594" s="19"/>
      <c r="CY594" s="19"/>
      <c r="CZ594" s="19"/>
      <c r="DA594" s="19"/>
      <c r="DB594" s="19"/>
      <c r="DC594" s="19"/>
      <c r="DD594" s="19"/>
      <c r="DE594" s="19"/>
      <c r="DF594" s="19"/>
      <c r="DG594" s="19"/>
      <c r="DH594" s="19"/>
      <c r="DI594" s="19"/>
      <c r="DJ594" s="19"/>
      <c r="DK594" s="19"/>
      <c r="DL594" s="19"/>
      <c r="DM594" s="19"/>
      <c r="DN594" s="19"/>
      <c r="DO594" s="19"/>
      <c r="DP594" s="19"/>
      <c r="DQ594" s="19"/>
      <c r="DR594" s="19"/>
      <c r="DS594" s="19"/>
      <c r="DT594" s="19"/>
      <c r="DU594" s="19"/>
      <c r="DV594" s="19"/>
      <c r="DW594" s="19"/>
      <c r="DX594" s="19"/>
      <c r="DY594" s="19"/>
      <c r="DZ594" s="19"/>
      <c r="EA594" s="19"/>
      <c r="EB594" s="19"/>
      <c r="EC594" s="19"/>
      <c r="ED594" s="19"/>
      <c r="EE594" s="19"/>
      <c r="EF594" s="19"/>
      <c r="EG594" s="19"/>
      <c r="EH594" s="19"/>
      <c r="EI594" s="19"/>
      <c r="EJ594" s="19"/>
      <c r="EK594" s="19"/>
      <c r="EL594" s="19"/>
      <c r="EM594" s="19"/>
      <c r="EN594" s="19"/>
      <c r="EO594" s="19"/>
      <c r="EP594" s="17"/>
      <c r="EQ594" s="23"/>
      <c r="ER594" s="23" t="str">
        <f t="shared" si="1"/>
        <v/>
      </c>
      <c r="ES594" s="19"/>
      <c r="ET594" s="19" t="str">
        <f t="shared" si="2"/>
        <v/>
      </c>
      <c r="EU594" s="19"/>
      <c r="EV594" s="19"/>
      <c r="EW594" s="19"/>
      <c r="EX594" s="19"/>
      <c r="EY594" s="19"/>
      <c r="EZ594" s="19"/>
      <c r="FA594" s="19"/>
      <c r="FB594" s="19"/>
    </row>
    <row r="595" ht="15.75" customHeight="1">
      <c r="A595" s="19"/>
      <c r="F595" s="19"/>
      <c r="AH595" s="23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  <c r="BD595" s="19"/>
      <c r="BE595" s="19"/>
      <c r="BF595" s="19"/>
      <c r="BG595" s="19"/>
      <c r="BH595" s="19"/>
      <c r="BI595" s="19"/>
      <c r="BJ595" s="19"/>
      <c r="BK595" s="19"/>
      <c r="BL595" s="19"/>
      <c r="BM595" s="19"/>
      <c r="BN595" s="19"/>
      <c r="BO595" s="19"/>
      <c r="BP595" s="19"/>
      <c r="BQ595" s="19"/>
      <c r="BR595" s="19"/>
      <c r="BS595" s="19"/>
      <c r="BT595" s="19"/>
      <c r="BU595" s="19"/>
      <c r="BV595" s="19"/>
      <c r="BW595" s="19"/>
      <c r="BX595" s="19"/>
      <c r="BY595" s="19"/>
      <c r="BZ595" s="19"/>
      <c r="CA595" s="19"/>
      <c r="CB595" s="19"/>
      <c r="CC595" s="19"/>
      <c r="CD595" s="19"/>
      <c r="CE595" s="19"/>
      <c r="CF595" s="19"/>
      <c r="CG595" s="19"/>
      <c r="CH595" s="19"/>
      <c r="CI595" s="19"/>
      <c r="CJ595" s="19"/>
      <c r="CK595" s="19"/>
      <c r="CL595" s="19"/>
      <c r="CM595" s="19"/>
      <c r="CN595" s="19"/>
      <c r="CO595" s="19"/>
      <c r="CP595" s="19"/>
      <c r="CQ595" s="19"/>
      <c r="CR595" s="19"/>
      <c r="CS595" s="19"/>
      <c r="CT595" s="19"/>
      <c r="CU595" s="19"/>
      <c r="CV595" s="19"/>
      <c r="CW595" s="19"/>
      <c r="CX595" s="19"/>
      <c r="CY595" s="19"/>
      <c r="CZ595" s="19"/>
      <c r="DA595" s="19"/>
      <c r="DB595" s="19"/>
      <c r="DC595" s="19"/>
      <c r="DD595" s="19"/>
      <c r="DE595" s="19"/>
      <c r="DF595" s="19"/>
      <c r="DG595" s="19"/>
      <c r="DH595" s="19"/>
      <c r="DI595" s="19"/>
      <c r="DJ595" s="19"/>
      <c r="DK595" s="19"/>
      <c r="DL595" s="19"/>
      <c r="DM595" s="19"/>
      <c r="DN595" s="19"/>
      <c r="DO595" s="19"/>
      <c r="DP595" s="19"/>
      <c r="DQ595" s="19"/>
      <c r="DR595" s="19"/>
      <c r="DS595" s="19"/>
      <c r="DT595" s="19"/>
      <c r="DU595" s="19"/>
      <c r="DV595" s="19"/>
      <c r="DW595" s="19"/>
      <c r="DX595" s="19"/>
      <c r="DY595" s="19"/>
      <c r="DZ595" s="19"/>
      <c r="EA595" s="19"/>
      <c r="EB595" s="19"/>
      <c r="EC595" s="19"/>
      <c r="ED595" s="19"/>
      <c r="EE595" s="19"/>
      <c r="EF595" s="19"/>
      <c r="EG595" s="19"/>
      <c r="EH595" s="19"/>
      <c r="EI595" s="19"/>
      <c r="EJ595" s="19"/>
      <c r="EK595" s="19"/>
      <c r="EL595" s="19"/>
      <c r="EM595" s="19"/>
      <c r="EN595" s="19"/>
      <c r="EO595" s="19"/>
      <c r="EP595" s="17"/>
      <c r="EQ595" s="23"/>
      <c r="ER595" s="23" t="str">
        <f t="shared" si="1"/>
        <v/>
      </c>
      <c r="ES595" s="19"/>
      <c r="ET595" s="19" t="str">
        <f t="shared" si="2"/>
        <v/>
      </c>
      <c r="EU595" s="19"/>
      <c r="EV595" s="19"/>
      <c r="EW595" s="19"/>
      <c r="EX595" s="19"/>
      <c r="EY595" s="19"/>
      <c r="EZ595" s="19"/>
      <c r="FA595" s="19"/>
      <c r="FB595" s="19"/>
    </row>
    <row r="596" ht="15.75" customHeight="1">
      <c r="A596" s="19"/>
      <c r="F596" s="19"/>
      <c r="AH596" s="23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  <c r="BD596" s="19"/>
      <c r="BE596" s="19"/>
      <c r="BF596" s="19"/>
      <c r="BG596" s="19"/>
      <c r="BH596" s="19"/>
      <c r="BI596" s="19"/>
      <c r="BJ596" s="19"/>
      <c r="BK596" s="19"/>
      <c r="BL596" s="19"/>
      <c r="BM596" s="19"/>
      <c r="BN596" s="19"/>
      <c r="BO596" s="19"/>
      <c r="BP596" s="19"/>
      <c r="BQ596" s="19"/>
      <c r="BR596" s="19"/>
      <c r="BS596" s="19"/>
      <c r="BT596" s="19"/>
      <c r="BU596" s="19"/>
      <c r="BV596" s="19"/>
      <c r="BW596" s="19"/>
      <c r="BX596" s="19"/>
      <c r="BY596" s="19"/>
      <c r="BZ596" s="19"/>
      <c r="CA596" s="19"/>
      <c r="CB596" s="19"/>
      <c r="CC596" s="19"/>
      <c r="CD596" s="19"/>
      <c r="CE596" s="19"/>
      <c r="CF596" s="19"/>
      <c r="CG596" s="19"/>
      <c r="CH596" s="19"/>
      <c r="CI596" s="19"/>
      <c r="CJ596" s="19"/>
      <c r="CK596" s="19"/>
      <c r="CL596" s="19"/>
      <c r="CM596" s="19"/>
      <c r="CN596" s="19"/>
      <c r="CO596" s="19"/>
      <c r="CP596" s="19"/>
      <c r="CQ596" s="19"/>
      <c r="CR596" s="19"/>
      <c r="CS596" s="19"/>
      <c r="CT596" s="19"/>
      <c r="CU596" s="19"/>
      <c r="CV596" s="19"/>
      <c r="CW596" s="19"/>
      <c r="CX596" s="19"/>
      <c r="CY596" s="19"/>
      <c r="CZ596" s="19"/>
      <c r="DA596" s="19"/>
      <c r="DB596" s="19"/>
      <c r="DC596" s="19"/>
      <c r="DD596" s="19"/>
      <c r="DE596" s="19"/>
      <c r="DF596" s="19"/>
      <c r="DG596" s="19"/>
      <c r="DH596" s="19"/>
      <c r="DI596" s="19"/>
      <c r="DJ596" s="19"/>
      <c r="DK596" s="19"/>
      <c r="DL596" s="19"/>
      <c r="DM596" s="19"/>
      <c r="DN596" s="19"/>
      <c r="DO596" s="19"/>
      <c r="DP596" s="19"/>
      <c r="DQ596" s="19"/>
      <c r="DR596" s="19"/>
      <c r="DS596" s="19"/>
      <c r="DT596" s="19"/>
      <c r="DU596" s="19"/>
      <c r="DV596" s="19"/>
      <c r="DW596" s="19"/>
      <c r="DX596" s="19"/>
      <c r="DY596" s="19"/>
      <c r="DZ596" s="19"/>
      <c r="EA596" s="19"/>
      <c r="EB596" s="19"/>
      <c r="EC596" s="19"/>
      <c r="ED596" s="19"/>
      <c r="EE596" s="19"/>
      <c r="EF596" s="19"/>
      <c r="EG596" s="19"/>
      <c r="EH596" s="19"/>
      <c r="EI596" s="19"/>
      <c r="EJ596" s="19"/>
      <c r="EK596" s="19"/>
      <c r="EL596" s="19"/>
      <c r="EM596" s="19"/>
      <c r="EN596" s="19"/>
      <c r="EO596" s="19"/>
      <c r="EP596" s="17"/>
      <c r="EQ596" s="23"/>
      <c r="ER596" s="23" t="str">
        <f t="shared" si="1"/>
        <v/>
      </c>
      <c r="ES596" s="19"/>
      <c r="ET596" s="19" t="str">
        <f t="shared" si="2"/>
        <v/>
      </c>
      <c r="EU596" s="19"/>
      <c r="EV596" s="19"/>
      <c r="EW596" s="19"/>
      <c r="EX596" s="19"/>
      <c r="EY596" s="19"/>
      <c r="EZ596" s="19"/>
      <c r="FA596" s="19"/>
      <c r="FB596" s="19"/>
    </row>
    <row r="597" ht="15.75" customHeight="1">
      <c r="A597" s="19"/>
      <c r="F597" s="19"/>
      <c r="AH597" s="23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  <c r="BD597" s="19"/>
      <c r="BE597" s="19"/>
      <c r="BF597" s="19"/>
      <c r="BG597" s="19"/>
      <c r="BH597" s="19"/>
      <c r="BI597" s="19"/>
      <c r="BJ597" s="19"/>
      <c r="BK597" s="19"/>
      <c r="BL597" s="19"/>
      <c r="BM597" s="19"/>
      <c r="BN597" s="19"/>
      <c r="BO597" s="19"/>
      <c r="BP597" s="19"/>
      <c r="BQ597" s="19"/>
      <c r="BR597" s="19"/>
      <c r="BS597" s="19"/>
      <c r="BT597" s="19"/>
      <c r="BU597" s="19"/>
      <c r="BV597" s="19"/>
      <c r="BW597" s="19"/>
      <c r="BX597" s="19"/>
      <c r="BY597" s="19"/>
      <c r="BZ597" s="19"/>
      <c r="CA597" s="19"/>
      <c r="CB597" s="19"/>
      <c r="CC597" s="19"/>
      <c r="CD597" s="19"/>
      <c r="CE597" s="19"/>
      <c r="CF597" s="19"/>
      <c r="CG597" s="19"/>
      <c r="CH597" s="19"/>
      <c r="CI597" s="19"/>
      <c r="CJ597" s="19"/>
      <c r="CK597" s="19"/>
      <c r="CL597" s="19"/>
      <c r="CM597" s="19"/>
      <c r="CN597" s="19"/>
      <c r="CO597" s="19"/>
      <c r="CP597" s="19"/>
      <c r="CQ597" s="19"/>
      <c r="CR597" s="19"/>
      <c r="CS597" s="19"/>
      <c r="CT597" s="19"/>
      <c r="CU597" s="19"/>
      <c r="CV597" s="19"/>
      <c r="CW597" s="19"/>
      <c r="CX597" s="19"/>
      <c r="CY597" s="19"/>
      <c r="CZ597" s="19"/>
      <c r="DA597" s="19"/>
      <c r="DB597" s="19"/>
      <c r="DC597" s="19"/>
      <c r="DD597" s="19"/>
      <c r="DE597" s="19"/>
      <c r="DF597" s="19"/>
      <c r="DG597" s="19"/>
      <c r="DH597" s="19"/>
      <c r="DI597" s="19"/>
      <c r="DJ597" s="19"/>
      <c r="DK597" s="19"/>
      <c r="DL597" s="19"/>
      <c r="DM597" s="19"/>
      <c r="DN597" s="19"/>
      <c r="DO597" s="19"/>
      <c r="DP597" s="19"/>
      <c r="DQ597" s="19"/>
      <c r="DR597" s="19"/>
      <c r="DS597" s="19"/>
      <c r="DT597" s="19"/>
      <c r="DU597" s="19"/>
      <c r="DV597" s="19"/>
      <c r="DW597" s="19"/>
      <c r="DX597" s="19"/>
      <c r="DY597" s="19"/>
      <c r="DZ597" s="19"/>
      <c r="EA597" s="19"/>
      <c r="EB597" s="19"/>
      <c r="EC597" s="19"/>
      <c r="ED597" s="19"/>
      <c r="EE597" s="19"/>
      <c r="EF597" s="19"/>
      <c r="EG597" s="19"/>
      <c r="EH597" s="19"/>
      <c r="EI597" s="19"/>
      <c r="EJ597" s="19"/>
      <c r="EK597" s="19"/>
      <c r="EL597" s="19"/>
      <c r="EM597" s="19"/>
      <c r="EN597" s="19"/>
      <c r="EO597" s="19"/>
      <c r="EP597" s="17"/>
      <c r="EQ597" s="23"/>
      <c r="ER597" s="23" t="str">
        <f t="shared" si="1"/>
        <v/>
      </c>
      <c r="ES597" s="19"/>
      <c r="ET597" s="19" t="str">
        <f t="shared" si="2"/>
        <v/>
      </c>
      <c r="EU597" s="19"/>
      <c r="EV597" s="19"/>
      <c r="EW597" s="19"/>
      <c r="EX597" s="19"/>
      <c r="EY597" s="19"/>
      <c r="EZ597" s="19"/>
      <c r="FA597" s="19"/>
      <c r="FB597" s="19"/>
    </row>
    <row r="598" ht="15.75" customHeight="1">
      <c r="A598" s="19"/>
      <c r="F598" s="19"/>
      <c r="AH598" s="23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  <c r="BD598" s="19"/>
      <c r="BE598" s="19"/>
      <c r="BF598" s="19"/>
      <c r="BG598" s="19"/>
      <c r="BH598" s="19"/>
      <c r="BI598" s="19"/>
      <c r="BJ598" s="19"/>
      <c r="BK598" s="19"/>
      <c r="BL598" s="19"/>
      <c r="BM598" s="19"/>
      <c r="BN598" s="19"/>
      <c r="BO598" s="19"/>
      <c r="BP598" s="19"/>
      <c r="BQ598" s="19"/>
      <c r="BR598" s="19"/>
      <c r="BS598" s="19"/>
      <c r="BT598" s="19"/>
      <c r="BU598" s="19"/>
      <c r="BV598" s="19"/>
      <c r="BW598" s="19"/>
      <c r="BX598" s="19"/>
      <c r="BY598" s="19"/>
      <c r="BZ598" s="19"/>
      <c r="CA598" s="19"/>
      <c r="CB598" s="19"/>
      <c r="CC598" s="19"/>
      <c r="CD598" s="19"/>
      <c r="CE598" s="19"/>
      <c r="CF598" s="19"/>
      <c r="CG598" s="19"/>
      <c r="CH598" s="19"/>
      <c r="CI598" s="19"/>
      <c r="CJ598" s="19"/>
      <c r="CK598" s="19"/>
      <c r="CL598" s="19"/>
      <c r="CM598" s="19"/>
      <c r="CN598" s="19"/>
      <c r="CO598" s="19"/>
      <c r="CP598" s="19"/>
      <c r="CQ598" s="19"/>
      <c r="CR598" s="19"/>
      <c r="CS598" s="19"/>
      <c r="CT598" s="19"/>
      <c r="CU598" s="19"/>
      <c r="CV598" s="19"/>
      <c r="CW598" s="19"/>
      <c r="CX598" s="19"/>
      <c r="CY598" s="19"/>
      <c r="CZ598" s="19"/>
      <c r="DA598" s="19"/>
      <c r="DB598" s="19"/>
      <c r="DC598" s="19"/>
      <c r="DD598" s="19"/>
      <c r="DE598" s="19"/>
      <c r="DF598" s="19"/>
      <c r="DG598" s="19"/>
      <c r="DH598" s="19"/>
      <c r="DI598" s="19"/>
      <c r="DJ598" s="19"/>
      <c r="DK598" s="19"/>
      <c r="DL598" s="19"/>
      <c r="DM598" s="19"/>
      <c r="DN598" s="19"/>
      <c r="DO598" s="19"/>
      <c r="DP598" s="19"/>
      <c r="DQ598" s="19"/>
      <c r="DR598" s="19"/>
      <c r="DS598" s="19"/>
      <c r="DT598" s="19"/>
      <c r="DU598" s="19"/>
      <c r="DV598" s="19"/>
      <c r="DW598" s="19"/>
      <c r="DX598" s="19"/>
      <c r="DY598" s="19"/>
      <c r="DZ598" s="19"/>
      <c r="EA598" s="19"/>
      <c r="EB598" s="19"/>
      <c r="EC598" s="19"/>
      <c r="ED598" s="19"/>
      <c r="EE598" s="19"/>
      <c r="EF598" s="19"/>
      <c r="EG598" s="19"/>
      <c r="EH598" s="19"/>
      <c r="EI598" s="19"/>
      <c r="EJ598" s="19"/>
      <c r="EK598" s="19"/>
      <c r="EL598" s="19"/>
      <c r="EM598" s="19"/>
      <c r="EN598" s="19"/>
      <c r="EO598" s="19"/>
      <c r="EP598" s="17"/>
      <c r="EQ598" s="23"/>
      <c r="ER598" s="23" t="str">
        <f t="shared" si="1"/>
        <v/>
      </c>
      <c r="ES598" s="19"/>
      <c r="ET598" s="19" t="str">
        <f t="shared" si="2"/>
        <v/>
      </c>
      <c r="EU598" s="19"/>
      <c r="EV598" s="19"/>
      <c r="EW598" s="19"/>
      <c r="EX598" s="19"/>
      <c r="EY598" s="19"/>
      <c r="EZ598" s="19"/>
      <c r="FA598" s="19"/>
      <c r="FB598" s="19"/>
    </row>
    <row r="599" ht="15.75" customHeight="1">
      <c r="A599" s="19"/>
      <c r="F599" s="19"/>
      <c r="AH599" s="23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  <c r="BD599" s="19"/>
      <c r="BE599" s="19"/>
      <c r="BF599" s="19"/>
      <c r="BG599" s="19"/>
      <c r="BH599" s="19"/>
      <c r="BI599" s="19"/>
      <c r="BJ599" s="19"/>
      <c r="BK599" s="19"/>
      <c r="BL599" s="19"/>
      <c r="BM599" s="19"/>
      <c r="BN599" s="19"/>
      <c r="BO599" s="19"/>
      <c r="BP599" s="19"/>
      <c r="BQ599" s="19"/>
      <c r="BR599" s="19"/>
      <c r="BS599" s="19"/>
      <c r="BT599" s="19"/>
      <c r="BU599" s="19"/>
      <c r="BV599" s="19"/>
      <c r="BW599" s="19"/>
      <c r="BX599" s="19"/>
      <c r="BY599" s="19"/>
      <c r="BZ599" s="19"/>
      <c r="CA599" s="19"/>
      <c r="CB599" s="19"/>
      <c r="CC599" s="19"/>
      <c r="CD599" s="19"/>
      <c r="CE599" s="19"/>
      <c r="CF599" s="19"/>
      <c r="CG599" s="19"/>
      <c r="CH599" s="19"/>
      <c r="CI599" s="19"/>
      <c r="CJ599" s="19"/>
      <c r="CK599" s="19"/>
      <c r="CL599" s="19"/>
      <c r="CM599" s="19"/>
      <c r="CN599" s="19"/>
      <c r="CO599" s="19"/>
      <c r="CP599" s="19"/>
      <c r="CQ599" s="19"/>
      <c r="CR599" s="19"/>
      <c r="CS599" s="19"/>
      <c r="CT599" s="19"/>
      <c r="CU599" s="19"/>
      <c r="CV599" s="19"/>
      <c r="CW599" s="19"/>
      <c r="CX599" s="19"/>
      <c r="CY599" s="19"/>
      <c r="CZ599" s="19"/>
      <c r="DA599" s="19"/>
      <c r="DB599" s="19"/>
      <c r="DC599" s="19"/>
      <c r="DD599" s="19"/>
      <c r="DE599" s="19"/>
      <c r="DF599" s="19"/>
      <c r="DG599" s="19"/>
      <c r="DH599" s="19"/>
      <c r="DI599" s="19"/>
      <c r="DJ599" s="19"/>
      <c r="DK599" s="19"/>
      <c r="DL599" s="19"/>
      <c r="DM599" s="19"/>
      <c r="DN599" s="19"/>
      <c r="DO599" s="19"/>
      <c r="DP599" s="19"/>
      <c r="DQ599" s="19"/>
      <c r="DR599" s="19"/>
      <c r="DS599" s="19"/>
      <c r="DT599" s="19"/>
      <c r="DU599" s="19"/>
      <c r="DV599" s="19"/>
      <c r="DW599" s="19"/>
      <c r="DX599" s="19"/>
      <c r="DY599" s="19"/>
      <c r="DZ599" s="19"/>
      <c r="EA599" s="19"/>
      <c r="EB599" s="19"/>
      <c r="EC599" s="19"/>
      <c r="ED599" s="19"/>
      <c r="EE599" s="19"/>
      <c r="EF599" s="19"/>
      <c r="EG599" s="19"/>
      <c r="EH599" s="19"/>
      <c r="EI599" s="19"/>
      <c r="EJ599" s="19"/>
      <c r="EK599" s="19"/>
      <c r="EL599" s="19"/>
      <c r="EM599" s="19"/>
      <c r="EN599" s="19"/>
      <c r="EO599" s="19"/>
      <c r="EP599" s="17"/>
      <c r="EQ599" s="23"/>
      <c r="ER599" s="23" t="str">
        <f t="shared" si="1"/>
        <v/>
      </c>
      <c r="ES599" s="19"/>
      <c r="ET599" s="19" t="str">
        <f t="shared" si="2"/>
        <v/>
      </c>
      <c r="EU599" s="19"/>
      <c r="EV599" s="19"/>
      <c r="EW599" s="19"/>
      <c r="EX599" s="19"/>
      <c r="EY599" s="19"/>
      <c r="EZ599" s="19"/>
      <c r="FA599" s="19"/>
      <c r="FB599" s="19"/>
    </row>
    <row r="600" ht="15.75" customHeight="1">
      <c r="A600" s="19"/>
      <c r="F600" s="19"/>
      <c r="AH600" s="23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  <c r="BD600" s="19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  <c r="BP600" s="19"/>
      <c r="BQ600" s="19"/>
      <c r="BR600" s="19"/>
      <c r="BS600" s="19"/>
      <c r="BT600" s="19"/>
      <c r="BU600" s="19"/>
      <c r="BV600" s="19"/>
      <c r="BW600" s="19"/>
      <c r="BX600" s="19"/>
      <c r="BY600" s="19"/>
      <c r="BZ600" s="19"/>
      <c r="CA600" s="19"/>
      <c r="CB600" s="19"/>
      <c r="CC600" s="19"/>
      <c r="CD600" s="19"/>
      <c r="CE600" s="19"/>
      <c r="CF600" s="19"/>
      <c r="CG600" s="19"/>
      <c r="CH600" s="19"/>
      <c r="CI600" s="19"/>
      <c r="CJ600" s="19"/>
      <c r="CK600" s="19"/>
      <c r="CL600" s="19"/>
      <c r="CM600" s="19"/>
      <c r="CN600" s="19"/>
      <c r="CO600" s="19"/>
      <c r="CP600" s="19"/>
      <c r="CQ600" s="19"/>
      <c r="CR600" s="19"/>
      <c r="CS600" s="19"/>
      <c r="CT600" s="19"/>
      <c r="CU600" s="19"/>
      <c r="CV600" s="19"/>
      <c r="CW600" s="19"/>
      <c r="CX600" s="19"/>
      <c r="CY600" s="19"/>
      <c r="CZ600" s="19"/>
      <c r="DA600" s="19"/>
      <c r="DB600" s="19"/>
      <c r="DC600" s="19"/>
      <c r="DD600" s="19"/>
      <c r="DE600" s="19"/>
      <c r="DF600" s="19"/>
      <c r="DG600" s="19"/>
      <c r="DH600" s="19"/>
      <c r="DI600" s="19"/>
      <c r="DJ600" s="19"/>
      <c r="DK600" s="19"/>
      <c r="DL600" s="19"/>
      <c r="DM600" s="19"/>
      <c r="DN600" s="19"/>
      <c r="DO600" s="19"/>
      <c r="DP600" s="19"/>
      <c r="DQ600" s="19"/>
      <c r="DR600" s="19"/>
      <c r="DS600" s="19"/>
      <c r="DT600" s="19"/>
      <c r="DU600" s="19"/>
      <c r="DV600" s="19"/>
      <c r="DW600" s="19"/>
      <c r="DX600" s="19"/>
      <c r="DY600" s="19"/>
      <c r="DZ600" s="19"/>
      <c r="EA600" s="19"/>
      <c r="EB600" s="19"/>
      <c r="EC600" s="19"/>
      <c r="ED600" s="19"/>
      <c r="EE600" s="19"/>
      <c r="EF600" s="19"/>
      <c r="EG600" s="19"/>
      <c r="EH600" s="19"/>
      <c r="EI600" s="19"/>
      <c r="EJ600" s="19"/>
      <c r="EK600" s="19"/>
      <c r="EL600" s="19"/>
      <c r="EM600" s="19"/>
      <c r="EN600" s="19"/>
      <c r="EO600" s="19"/>
      <c r="EP600" s="17"/>
      <c r="EQ600" s="23"/>
      <c r="ER600" s="23" t="str">
        <f t="shared" si="1"/>
        <v/>
      </c>
      <c r="ES600" s="19"/>
      <c r="ET600" s="19" t="str">
        <f t="shared" si="2"/>
        <v/>
      </c>
      <c r="EU600" s="19"/>
      <c r="EV600" s="19"/>
      <c r="EW600" s="19"/>
      <c r="EX600" s="19"/>
      <c r="EY600" s="19"/>
      <c r="EZ600" s="19"/>
      <c r="FA600" s="19"/>
      <c r="FB600" s="19"/>
    </row>
    <row r="601" ht="15.75" customHeight="1">
      <c r="A601" s="19"/>
      <c r="F601" s="19"/>
      <c r="AH601" s="23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  <c r="BD601" s="19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  <c r="BP601" s="19"/>
      <c r="BQ601" s="19"/>
      <c r="BR601" s="19"/>
      <c r="BS601" s="19"/>
      <c r="BT601" s="19"/>
      <c r="BU601" s="19"/>
      <c r="BV601" s="19"/>
      <c r="BW601" s="19"/>
      <c r="BX601" s="19"/>
      <c r="BY601" s="19"/>
      <c r="BZ601" s="19"/>
      <c r="CA601" s="19"/>
      <c r="CB601" s="19"/>
      <c r="CC601" s="19"/>
      <c r="CD601" s="19"/>
      <c r="CE601" s="19"/>
      <c r="CF601" s="19"/>
      <c r="CG601" s="19"/>
      <c r="CH601" s="19"/>
      <c r="CI601" s="19"/>
      <c r="CJ601" s="19"/>
      <c r="CK601" s="19"/>
      <c r="CL601" s="19"/>
      <c r="CM601" s="19"/>
      <c r="CN601" s="19"/>
      <c r="CO601" s="19"/>
      <c r="CP601" s="19"/>
      <c r="CQ601" s="19"/>
      <c r="CR601" s="19"/>
      <c r="CS601" s="19"/>
      <c r="CT601" s="19"/>
      <c r="CU601" s="19"/>
      <c r="CV601" s="19"/>
      <c r="CW601" s="19"/>
      <c r="CX601" s="19"/>
      <c r="CY601" s="19"/>
      <c r="CZ601" s="19"/>
      <c r="DA601" s="19"/>
      <c r="DB601" s="19"/>
      <c r="DC601" s="19"/>
      <c r="DD601" s="19"/>
      <c r="DE601" s="19"/>
      <c r="DF601" s="19"/>
      <c r="DG601" s="19"/>
      <c r="DH601" s="19"/>
      <c r="DI601" s="19"/>
      <c r="DJ601" s="19"/>
      <c r="DK601" s="19"/>
      <c r="DL601" s="19"/>
      <c r="DM601" s="19"/>
      <c r="DN601" s="19"/>
      <c r="DO601" s="19"/>
      <c r="DP601" s="19"/>
      <c r="DQ601" s="19"/>
      <c r="DR601" s="19"/>
      <c r="DS601" s="19"/>
      <c r="DT601" s="19"/>
      <c r="DU601" s="19"/>
      <c r="DV601" s="19"/>
      <c r="DW601" s="19"/>
      <c r="DX601" s="19"/>
      <c r="DY601" s="19"/>
      <c r="DZ601" s="19"/>
      <c r="EA601" s="19"/>
      <c r="EB601" s="19"/>
      <c r="EC601" s="19"/>
      <c r="ED601" s="19"/>
      <c r="EE601" s="19"/>
      <c r="EF601" s="19"/>
      <c r="EG601" s="19"/>
      <c r="EH601" s="19"/>
      <c r="EI601" s="19"/>
      <c r="EJ601" s="19"/>
      <c r="EK601" s="19"/>
      <c r="EL601" s="19"/>
      <c r="EM601" s="19"/>
      <c r="EN601" s="19"/>
      <c r="EO601" s="19"/>
      <c r="EP601" s="17"/>
      <c r="EQ601" s="23"/>
      <c r="ER601" s="23" t="str">
        <f t="shared" si="1"/>
        <v/>
      </c>
      <c r="ES601" s="19"/>
      <c r="ET601" s="19" t="str">
        <f t="shared" si="2"/>
        <v/>
      </c>
      <c r="EU601" s="19"/>
      <c r="EV601" s="19"/>
      <c r="EW601" s="19"/>
      <c r="EX601" s="19"/>
      <c r="EY601" s="19"/>
      <c r="EZ601" s="19"/>
      <c r="FA601" s="19"/>
      <c r="FB601" s="19"/>
    </row>
    <row r="602" ht="15.75" customHeight="1">
      <c r="A602" s="19"/>
      <c r="F602" s="19"/>
      <c r="AH602" s="23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  <c r="BD602" s="19"/>
      <c r="BE602" s="19"/>
      <c r="BF602" s="19"/>
      <c r="BG602" s="19"/>
      <c r="BH602" s="19"/>
      <c r="BI602" s="19"/>
      <c r="BJ602" s="19"/>
      <c r="BK602" s="19"/>
      <c r="BL602" s="19"/>
      <c r="BM602" s="19"/>
      <c r="BN602" s="19"/>
      <c r="BO602" s="19"/>
      <c r="BP602" s="19"/>
      <c r="BQ602" s="19"/>
      <c r="BR602" s="19"/>
      <c r="BS602" s="19"/>
      <c r="BT602" s="19"/>
      <c r="BU602" s="19"/>
      <c r="BV602" s="19"/>
      <c r="BW602" s="19"/>
      <c r="BX602" s="19"/>
      <c r="BY602" s="19"/>
      <c r="BZ602" s="19"/>
      <c r="CA602" s="19"/>
      <c r="CB602" s="19"/>
      <c r="CC602" s="19"/>
      <c r="CD602" s="19"/>
      <c r="CE602" s="19"/>
      <c r="CF602" s="19"/>
      <c r="CG602" s="19"/>
      <c r="CH602" s="19"/>
      <c r="CI602" s="19"/>
      <c r="CJ602" s="19"/>
      <c r="CK602" s="19"/>
      <c r="CL602" s="19"/>
      <c r="CM602" s="19"/>
      <c r="CN602" s="19"/>
      <c r="CO602" s="19"/>
      <c r="CP602" s="19"/>
      <c r="CQ602" s="19"/>
      <c r="CR602" s="19"/>
      <c r="CS602" s="19"/>
      <c r="CT602" s="19"/>
      <c r="CU602" s="19"/>
      <c r="CV602" s="19"/>
      <c r="CW602" s="19"/>
      <c r="CX602" s="19"/>
      <c r="CY602" s="19"/>
      <c r="CZ602" s="19"/>
      <c r="DA602" s="19"/>
      <c r="DB602" s="19"/>
      <c r="DC602" s="19"/>
      <c r="DD602" s="19"/>
      <c r="DE602" s="19"/>
      <c r="DF602" s="19"/>
      <c r="DG602" s="19"/>
      <c r="DH602" s="19"/>
      <c r="DI602" s="19"/>
      <c r="DJ602" s="19"/>
      <c r="DK602" s="19"/>
      <c r="DL602" s="19"/>
      <c r="DM602" s="19"/>
      <c r="DN602" s="19"/>
      <c r="DO602" s="19"/>
      <c r="DP602" s="19"/>
      <c r="DQ602" s="19"/>
      <c r="DR602" s="19"/>
      <c r="DS602" s="19"/>
      <c r="DT602" s="19"/>
      <c r="DU602" s="19"/>
      <c r="DV602" s="19"/>
      <c r="DW602" s="19"/>
      <c r="DX602" s="19"/>
      <c r="DY602" s="19"/>
      <c r="DZ602" s="19"/>
      <c r="EA602" s="19"/>
      <c r="EB602" s="19"/>
      <c r="EC602" s="19"/>
      <c r="ED602" s="19"/>
      <c r="EE602" s="19"/>
      <c r="EF602" s="19"/>
      <c r="EG602" s="19"/>
      <c r="EH602" s="19"/>
      <c r="EI602" s="19"/>
      <c r="EJ602" s="19"/>
      <c r="EK602" s="19"/>
      <c r="EL602" s="19"/>
      <c r="EM602" s="19"/>
      <c r="EN602" s="19"/>
      <c r="EO602" s="19"/>
      <c r="EP602" s="17"/>
      <c r="EQ602" s="23"/>
      <c r="ER602" s="23" t="str">
        <f t="shared" si="1"/>
        <v/>
      </c>
      <c r="ES602" s="19"/>
      <c r="ET602" s="19" t="str">
        <f t="shared" si="2"/>
        <v/>
      </c>
      <c r="EU602" s="19"/>
      <c r="EV602" s="19"/>
      <c r="EW602" s="19"/>
      <c r="EX602" s="19"/>
      <c r="EY602" s="19"/>
      <c r="EZ602" s="19"/>
      <c r="FA602" s="19"/>
      <c r="FB602" s="19"/>
    </row>
    <row r="603" ht="15.75" customHeight="1">
      <c r="A603" s="19"/>
      <c r="F603" s="19"/>
      <c r="AH603" s="23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  <c r="BD603" s="19"/>
      <c r="BE603" s="19"/>
      <c r="BF603" s="19"/>
      <c r="BG603" s="19"/>
      <c r="BH603" s="19"/>
      <c r="BI603" s="19"/>
      <c r="BJ603" s="19"/>
      <c r="BK603" s="19"/>
      <c r="BL603" s="19"/>
      <c r="BM603" s="19"/>
      <c r="BN603" s="19"/>
      <c r="BO603" s="19"/>
      <c r="BP603" s="19"/>
      <c r="BQ603" s="19"/>
      <c r="BR603" s="19"/>
      <c r="BS603" s="19"/>
      <c r="BT603" s="19"/>
      <c r="BU603" s="19"/>
      <c r="BV603" s="19"/>
      <c r="BW603" s="19"/>
      <c r="BX603" s="19"/>
      <c r="BY603" s="19"/>
      <c r="BZ603" s="19"/>
      <c r="CA603" s="19"/>
      <c r="CB603" s="19"/>
      <c r="CC603" s="19"/>
      <c r="CD603" s="19"/>
      <c r="CE603" s="19"/>
      <c r="CF603" s="19"/>
      <c r="CG603" s="19"/>
      <c r="CH603" s="19"/>
      <c r="CI603" s="19"/>
      <c r="CJ603" s="19"/>
      <c r="CK603" s="19"/>
      <c r="CL603" s="19"/>
      <c r="CM603" s="19"/>
      <c r="CN603" s="19"/>
      <c r="CO603" s="19"/>
      <c r="CP603" s="19"/>
      <c r="CQ603" s="19"/>
      <c r="CR603" s="19"/>
      <c r="CS603" s="19"/>
      <c r="CT603" s="19"/>
      <c r="CU603" s="19"/>
      <c r="CV603" s="19"/>
      <c r="CW603" s="19"/>
      <c r="CX603" s="19"/>
      <c r="CY603" s="19"/>
      <c r="CZ603" s="19"/>
      <c r="DA603" s="19"/>
      <c r="DB603" s="19"/>
      <c r="DC603" s="19"/>
      <c r="DD603" s="19"/>
      <c r="DE603" s="19"/>
      <c r="DF603" s="19"/>
      <c r="DG603" s="19"/>
      <c r="DH603" s="19"/>
      <c r="DI603" s="19"/>
      <c r="DJ603" s="19"/>
      <c r="DK603" s="19"/>
      <c r="DL603" s="19"/>
      <c r="DM603" s="19"/>
      <c r="DN603" s="19"/>
      <c r="DO603" s="19"/>
      <c r="DP603" s="19"/>
      <c r="DQ603" s="19"/>
      <c r="DR603" s="19"/>
      <c r="DS603" s="19"/>
      <c r="DT603" s="19"/>
      <c r="DU603" s="19"/>
      <c r="DV603" s="19"/>
      <c r="DW603" s="19"/>
      <c r="DX603" s="19"/>
      <c r="DY603" s="19"/>
      <c r="DZ603" s="19"/>
      <c r="EA603" s="19"/>
      <c r="EB603" s="19"/>
      <c r="EC603" s="19"/>
      <c r="ED603" s="19"/>
      <c r="EE603" s="19"/>
      <c r="EF603" s="19"/>
      <c r="EG603" s="19"/>
      <c r="EH603" s="19"/>
      <c r="EI603" s="19"/>
      <c r="EJ603" s="19"/>
      <c r="EK603" s="19"/>
      <c r="EL603" s="19"/>
      <c r="EM603" s="19"/>
      <c r="EN603" s="19"/>
      <c r="EO603" s="19"/>
      <c r="EP603" s="17"/>
      <c r="EQ603" s="23"/>
      <c r="ER603" s="23" t="str">
        <f t="shared" si="1"/>
        <v/>
      </c>
      <c r="ES603" s="19"/>
      <c r="ET603" s="19" t="str">
        <f t="shared" si="2"/>
        <v/>
      </c>
      <c r="EU603" s="19"/>
      <c r="EV603" s="19"/>
      <c r="EW603" s="19"/>
      <c r="EX603" s="19"/>
      <c r="EY603" s="19"/>
      <c r="EZ603" s="19"/>
      <c r="FA603" s="19"/>
      <c r="FB603" s="19"/>
    </row>
    <row r="604" ht="15.75" customHeight="1">
      <c r="A604" s="19"/>
      <c r="F604" s="19"/>
      <c r="AH604" s="23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  <c r="BD604" s="19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  <c r="BP604" s="19"/>
      <c r="BQ604" s="19"/>
      <c r="BR604" s="19"/>
      <c r="BS604" s="19"/>
      <c r="BT604" s="19"/>
      <c r="BU604" s="19"/>
      <c r="BV604" s="19"/>
      <c r="BW604" s="19"/>
      <c r="BX604" s="19"/>
      <c r="BY604" s="19"/>
      <c r="BZ604" s="19"/>
      <c r="CA604" s="19"/>
      <c r="CB604" s="19"/>
      <c r="CC604" s="19"/>
      <c r="CD604" s="19"/>
      <c r="CE604" s="19"/>
      <c r="CF604" s="19"/>
      <c r="CG604" s="19"/>
      <c r="CH604" s="19"/>
      <c r="CI604" s="19"/>
      <c r="CJ604" s="19"/>
      <c r="CK604" s="19"/>
      <c r="CL604" s="19"/>
      <c r="CM604" s="19"/>
      <c r="CN604" s="19"/>
      <c r="CO604" s="19"/>
      <c r="CP604" s="19"/>
      <c r="CQ604" s="19"/>
      <c r="CR604" s="19"/>
      <c r="CS604" s="19"/>
      <c r="CT604" s="19"/>
      <c r="CU604" s="19"/>
      <c r="CV604" s="19"/>
      <c r="CW604" s="19"/>
      <c r="CX604" s="19"/>
      <c r="CY604" s="19"/>
      <c r="CZ604" s="19"/>
      <c r="DA604" s="19"/>
      <c r="DB604" s="19"/>
      <c r="DC604" s="19"/>
      <c r="DD604" s="19"/>
      <c r="DE604" s="19"/>
      <c r="DF604" s="19"/>
      <c r="DG604" s="19"/>
      <c r="DH604" s="19"/>
      <c r="DI604" s="19"/>
      <c r="DJ604" s="19"/>
      <c r="DK604" s="19"/>
      <c r="DL604" s="19"/>
      <c r="DM604" s="19"/>
      <c r="DN604" s="19"/>
      <c r="DO604" s="19"/>
      <c r="DP604" s="19"/>
      <c r="DQ604" s="19"/>
      <c r="DR604" s="19"/>
      <c r="DS604" s="19"/>
      <c r="DT604" s="19"/>
      <c r="DU604" s="19"/>
      <c r="DV604" s="19"/>
      <c r="DW604" s="19"/>
      <c r="DX604" s="19"/>
      <c r="DY604" s="19"/>
      <c r="DZ604" s="19"/>
      <c r="EA604" s="19"/>
      <c r="EB604" s="19"/>
      <c r="EC604" s="19"/>
      <c r="ED604" s="19"/>
      <c r="EE604" s="19"/>
      <c r="EF604" s="19"/>
      <c r="EG604" s="19"/>
      <c r="EH604" s="19"/>
      <c r="EI604" s="19"/>
      <c r="EJ604" s="19"/>
      <c r="EK604" s="19"/>
      <c r="EL604" s="19"/>
      <c r="EM604" s="19"/>
      <c r="EN604" s="19"/>
      <c r="EO604" s="19"/>
      <c r="EP604" s="17"/>
      <c r="EQ604" s="23"/>
      <c r="ER604" s="23" t="str">
        <f t="shared" si="1"/>
        <v/>
      </c>
      <c r="ES604" s="19"/>
      <c r="ET604" s="19" t="str">
        <f t="shared" si="2"/>
        <v/>
      </c>
      <c r="EU604" s="19"/>
      <c r="EV604" s="19"/>
      <c r="EW604" s="19"/>
      <c r="EX604" s="19"/>
      <c r="EY604" s="19"/>
      <c r="EZ604" s="19"/>
      <c r="FA604" s="19"/>
      <c r="FB604" s="19"/>
    </row>
    <row r="605" ht="15.75" customHeight="1">
      <c r="A605" s="19"/>
      <c r="F605" s="19"/>
      <c r="AH605" s="23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  <c r="BD605" s="19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  <c r="BP605" s="19"/>
      <c r="BQ605" s="19"/>
      <c r="BR605" s="19"/>
      <c r="BS605" s="19"/>
      <c r="BT605" s="19"/>
      <c r="BU605" s="19"/>
      <c r="BV605" s="19"/>
      <c r="BW605" s="19"/>
      <c r="BX605" s="19"/>
      <c r="BY605" s="19"/>
      <c r="BZ605" s="19"/>
      <c r="CA605" s="19"/>
      <c r="CB605" s="19"/>
      <c r="CC605" s="19"/>
      <c r="CD605" s="19"/>
      <c r="CE605" s="19"/>
      <c r="CF605" s="19"/>
      <c r="CG605" s="19"/>
      <c r="CH605" s="19"/>
      <c r="CI605" s="19"/>
      <c r="CJ605" s="19"/>
      <c r="CK605" s="19"/>
      <c r="CL605" s="19"/>
      <c r="CM605" s="19"/>
      <c r="CN605" s="19"/>
      <c r="CO605" s="19"/>
      <c r="CP605" s="19"/>
      <c r="CQ605" s="19"/>
      <c r="CR605" s="19"/>
      <c r="CS605" s="19"/>
      <c r="CT605" s="19"/>
      <c r="CU605" s="19"/>
      <c r="CV605" s="19"/>
      <c r="CW605" s="19"/>
      <c r="CX605" s="19"/>
      <c r="CY605" s="19"/>
      <c r="CZ605" s="19"/>
      <c r="DA605" s="19"/>
      <c r="DB605" s="19"/>
      <c r="DC605" s="19"/>
      <c r="DD605" s="19"/>
      <c r="DE605" s="19"/>
      <c r="DF605" s="19"/>
      <c r="DG605" s="19"/>
      <c r="DH605" s="19"/>
      <c r="DI605" s="19"/>
      <c r="DJ605" s="19"/>
      <c r="DK605" s="19"/>
      <c r="DL605" s="19"/>
      <c r="DM605" s="19"/>
      <c r="DN605" s="19"/>
      <c r="DO605" s="19"/>
      <c r="DP605" s="19"/>
      <c r="DQ605" s="19"/>
      <c r="DR605" s="19"/>
      <c r="DS605" s="19"/>
      <c r="DT605" s="19"/>
      <c r="DU605" s="19"/>
      <c r="DV605" s="19"/>
      <c r="DW605" s="19"/>
      <c r="DX605" s="19"/>
      <c r="DY605" s="19"/>
      <c r="DZ605" s="19"/>
      <c r="EA605" s="19"/>
      <c r="EB605" s="19"/>
      <c r="EC605" s="19"/>
      <c r="ED605" s="19"/>
      <c r="EE605" s="19"/>
      <c r="EF605" s="19"/>
      <c r="EG605" s="19"/>
      <c r="EH605" s="19"/>
      <c r="EI605" s="19"/>
      <c r="EJ605" s="19"/>
      <c r="EK605" s="19"/>
      <c r="EL605" s="19"/>
      <c r="EM605" s="19"/>
      <c r="EN605" s="19"/>
      <c r="EO605" s="19"/>
      <c r="EP605" s="17"/>
      <c r="EQ605" s="23"/>
      <c r="ER605" s="23" t="str">
        <f t="shared" si="1"/>
        <v/>
      </c>
      <c r="ES605" s="19"/>
      <c r="ET605" s="19" t="str">
        <f t="shared" si="2"/>
        <v/>
      </c>
      <c r="EU605" s="19"/>
      <c r="EV605" s="19"/>
      <c r="EW605" s="19"/>
      <c r="EX605" s="19"/>
      <c r="EY605" s="19"/>
      <c r="EZ605" s="19"/>
      <c r="FA605" s="19"/>
      <c r="FB605" s="19"/>
    </row>
    <row r="606" ht="15.75" customHeight="1">
      <c r="A606" s="19"/>
      <c r="F606" s="19"/>
      <c r="AH606" s="23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  <c r="BD606" s="19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  <c r="BP606" s="19"/>
      <c r="BQ606" s="19"/>
      <c r="BR606" s="19"/>
      <c r="BS606" s="19"/>
      <c r="BT606" s="19"/>
      <c r="BU606" s="19"/>
      <c r="BV606" s="19"/>
      <c r="BW606" s="19"/>
      <c r="BX606" s="19"/>
      <c r="BY606" s="19"/>
      <c r="BZ606" s="19"/>
      <c r="CA606" s="19"/>
      <c r="CB606" s="19"/>
      <c r="CC606" s="19"/>
      <c r="CD606" s="19"/>
      <c r="CE606" s="19"/>
      <c r="CF606" s="19"/>
      <c r="CG606" s="19"/>
      <c r="CH606" s="19"/>
      <c r="CI606" s="19"/>
      <c r="CJ606" s="19"/>
      <c r="CK606" s="19"/>
      <c r="CL606" s="19"/>
      <c r="CM606" s="19"/>
      <c r="CN606" s="19"/>
      <c r="CO606" s="19"/>
      <c r="CP606" s="19"/>
      <c r="CQ606" s="19"/>
      <c r="CR606" s="19"/>
      <c r="CS606" s="19"/>
      <c r="CT606" s="19"/>
      <c r="CU606" s="19"/>
      <c r="CV606" s="19"/>
      <c r="CW606" s="19"/>
      <c r="CX606" s="19"/>
      <c r="CY606" s="19"/>
      <c r="CZ606" s="19"/>
      <c r="DA606" s="19"/>
      <c r="DB606" s="19"/>
      <c r="DC606" s="19"/>
      <c r="DD606" s="19"/>
      <c r="DE606" s="19"/>
      <c r="DF606" s="19"/>
      <c r="DG606" s="19"/>
      <c r="DH606" s="19"/>
      <c r="DI606" s="19"/>
      <c r="DJ606" s="19"/>
      <c r="DK606" s="19"/>
      <c r="DL606" s="19"/>
      <c r="DM606" s="19"/>
      <c r="DN606" s="19"/>
      <c r="DO606" s="19"/>
      <c r="DP606" s="19"/>
      <c r="DQ606" s="19"/>
      <c r="DR606" s="19"/>
      <c r="DS606" s="19"/>
      <c r="DT606" s="19"/>
      <c r="DU606" s="19"/>
      <c r="DV606" s="19"/>
      <c r="DW606" s="19"/>
      <c r="DX606" s="19"/>
      <c r="DY606" s="19"/>
      <c r="DZ606" s="19"/>
      <c r="EA606" s="19"/>
      <c r="EB606" s="19"/>
      <c r="EC606" s="19"/>
      <c r="ED606" s="19"/>
      <c r="EE606" s="19"/>
      <c r="EF606" s="19"/>
      <c r="EG606" s="19"/>
      <c r="EH606" s="19"/>
      <c r="EI606" s="19"/>
      <c r="EJ606" s="19"/>
      <c r="EK606" s="19"/>
      <c r="EL606" s="19"/>
      <c r="EM606" s="19"/>
      <c r="EN606" s="19"/>
      <c r="EO606" s="19"/>
      <c r="EP606" s="17"/>
      <c r="EQ606" s="23"/>
      <c r="ER606" s="23" t="str">
        <f t="shared" si="1"/>
        <v/>
      </c>
      <c r="ES606" s="19"/>
      <c r="ET606" s="19" t="str">
        <f t="shared" si="2"/>
        <v/>
      </c>
      <c r="EU606" s="19"/>
      <c r="EV606" s="19"/>
      <c r="EW606" s="19"/>
      <c r="EX606" s="19"/>
      <c r="EY606" s="19"/>
      <c r="EZ606" s="19"/>
      <c r="FA606" s="19"/>
      <c r="FB606" s="19"/>
    </row>
  </sheetData>
  <autoFilter ref="$A$1:$EY$606">
    <sortState ref="A1:EY606">
      <sortCondition ref="AQ1:AQ606"/>
      <sortCondition ref="D1:D606"/>
    </sortState>
  </autoFilter>
  <conditionalFormatting sqref="A2:FB606">
    <cfRule type="expression" dxfId="9" priority="1">
      <formula>AND($EN2="自動消込")</formula>
    </cfRule>
  </conditionalFormatting>
  <conditionalFormatting sqref="A2:FB606">
    <cfRule type="expression" dxfId="10" priority="2">
      <formula>AND($EN2="要確認")</formula>
    </cfRule>
  </conditionalFormatting>
  <conditionalFormatting sqref="ES2:ES606">
    <cfRule type="cellIs" dxfId="11" priority="3" stopIfTrue="1" operator="equal">
      <formula>"入金済"</formula>
    </cfRule>
  </conditionalFormatting>
  <conditionalFormatting sqref="ES2:ES606">
    <cfRule type="cellIs" dxfId="12" priority="4" stopIfTrue="1" operator="equal">
      <formula>"一部入金"</formula>
    </cfRule>
  </conditionalFormatting>
  <conditionalFormatting sqref="ES2:ES606">
    <cfRule type="cellIs" dxfId="13" priority="5" stopIfTrue="1" operator="equal">
      <formula>"要確認"</formula>
    </cfRule>
  </conditionalFormatting>
  <conditionalFormatting sqref="ET2:ET606">
    <cfRule type="cellIs" dxfId="14" priority="6" stopIfTrue="1" operator="equal">
      <formula>"期限間近"</formula>
    </cfRule>
  </conditionalFormatting>
  <conditionalFormatting sqref="ET2:ET606">
    <cfRule type="cellIs" dxfId="15" priority="7" stopIfTrue="1" operator="equal">
      <formula>"期限超過"</formula>
    </cfRule>
  </conditionalFormatting>
  <dataValidations>
    <dataValidation type="list" allowBlank="1" showInputMessage="1" showErrorMessage="1" prompt="入金状況を選択してください" sqref="ES2:ES606">
      <formula1>"未入金,一部入金,入金済,要確認,保留"</formula1>
    </dataValidation>
  </dataValidations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75"/>
    <col customWidth="1" min="2" max="2" width="12.63"/>
    <col customWidth="1" min="3" max="3" width="29.38"/>
    <col customWidth="1" min="4" max="4" width="12.63"/>
    <col customWidth="1" min="5" max="7" width="12.75"/>
    <col customWidth="1" min="8" max="8" width="10.5"/>
    <col customWidth="1" hidden="1" min="9" max="13" width="12.63"/>
  </cols>
  <sheetData>
    <row r="1" ht="15.75" customHeight="1">
      <c r="A1" s="86" t="s">
        <v>61</v>
      </c>
      <c r="B1" s="86" t="s">
        <v>65</v>
      </c>
      <c r="C1" s="86" t="s">
        <v>63</v>
      </c>
      <c r="D1" s="87" t="s">
        <v>66</v>
      </c>
      <c r="E1" s="86" t="s">
        <v>1431</v>
      </c>
      <c r="F1" s="86" t="s">
        <v>1432</v>
      </c>
      <c r="G1" s="86" t="s">
        <v>68</v>
      </c>
      <c r="H1" s="86" t="s">
        <v>71</v>
      </c>
      <c r="I1" s="86" t="s">
        <v>1433</v>
      </c>
      <c r="J1" s="86" t="s">
        <v>1434</v>
      </c>
      <c r="K1" s="86" t="s">
        <v>64</v>
      </c>
      <c r="L1" s="88" t="s">
        <v>72</v>
      </c>
      <c r="M1" s="86" t="s">
        <v>1435</v>
      </c>
      <c r="N1" s="86" t="s">
        <v>129</v>
      </c>
      <c r="O1" s="86" t="s">
        <v>62</v>
      </c>
      <c r="P1" s="86" t="s">
        <v>1436</v>
      </c>
      <c r="Q1" s="86" t="s">
        <v>1437</v>
      </c>
      <c r="R1" s="86" t="s">
        <v>1438</v>
      </c>
      <c r="S1" s="86" t="s">
        <v>1439</v>
      </c>
      <c r="T1" s="86" t="s">
        <v>1440</v>
      </c>
    </row>
    <row r="2" ht="15.75" customHeight="1">
      <c r="A2" s="89">
        <v>46084.0</v>
      </c>
      <c r="B2" s="90" t="s">
        <v>1441</v>
      </c>
      <c r="C2" s="90" t="s">
        <v>1442</v>
      </c>
      <c r="D2" s="91">
        <v>8000000.0</v>
      </c>
      <c r="E2" s="90"/>
      <c r="F2" s="90"/>
      <c r="G2" s="90" t="s">
        <v>156</v>
      </c>
      <c r="H2" s="92">
        <v>46082.0</v>
      </c>
      <c r="I2" s="90"/>
      <c r="J2" s="90"/>
      <c r="K2" s="90" t="s">
        <v>1442</v>
      </c>
      <c r="L2" s="90">
        <v>2419.0</v>
      </c>
      <c r="M2" s="90">
        <v>0.0</v>
      </c>
      <c r="N2" s="4" t="s">
        <v>1442</v>
      </c>
      <c r="O2" s="4" t="s">
        <v>1442</v>
      </c>
      <c r="P2" s="4"/>
      <c r="Q2" s="4"/>
      <c r="R2" s="4"/>
      <c r="S2" s="4"/>
      <c r="T2" s="4"/>
    </row>
    <row r="3" ht="15.75" hidden="1" customHeight="1">
      <c r="A3" s="80">
        <v>46090.0</v>
      </c>
      <c r="B3" s="79" t="s">
        <v>1443</v>
      </c>
      <c r="C3" s="79" t="s">
        <v>1444</v>
      </c>
      <c r="D3" s="83">
        <v>3026.0</v>
      </c>
      <c r="E3" s="79"/>
      <c r="F3" s="79"/>
      <c r="G3" s="79" t="s">
        <v>79</v>
      </c>
      <c r="H3" s="82">
        <v>46082.0</v>
      </c>
      <c r="I3" s="79"/>
      <c r="J3" s="79"/>
      <c r="K3" s="79" t="s">
        <v>1444</v>
      </c>
      <c r="L3" s="79">
        <v>2465.0</v>
      </c>
      <c r="M3" s="79">
        <v>0.0</v>
      </c>
      <c r="N3" s="4" t="s">
        <v>1444</v>
      </c>
      <c r="O3" s="4" t="s">
        <v>1444</v>
      </c>
    </row>
    <row r="4" ht="15.75" hidden="1" customHeight="1">
      <c r="A4" s="80">
        <v>46090.0</v>
      </c>
      <c r="B4" s="79" t="s">
        <v>1443</v>
      </c>
      <c r="C4" s="79" t="s">
        <v>1445</v>
      </c>
      <c r="D4" s="83">
        <v>3754.0</v>
      </c>
      <c r="E4" s="79"/>
      <c r="F4" s="79"/>
      <c r="G4" s="79" t="s">
        <v>79</v>
      </c>
      <c r="H4" s="82">
        <v>46082.0</v>
      </c>
      <c r="I4" s="79"/>
      <c r="J4" s="79"/>
      <c r="K4" s="79" t="s">
        <v>1445</v>
      </c>
      <c r="L4" s="79">
        <v>2467.0</v>
      </c>
      <c r="M4" s="79">
        <v>0.0</v>
      </c>
      <c r="N4" s="4" t="s">
        <v>1445</v>
      </c>
      <c r="O4" s="4" t="s">
        <v>1445</v>
      </c>
    </row>
    <row r="5" ht="15.75" customHeight="1">
      <c r="A5" s="89">
        <v>46090.0</v>
      </c>
      <c r="B5" s="90" t="s">
        <v>1446</v>
      </c>
      <c r="C5" s="90" t="s">
        <v>1447</v>
      </c>
      <c r="D5" s="91">
        <v>3000000.0</v>
      </c>
      <c r="E5" s="90"/>
      <c r="F5" s="90"/>
      <c r="G5" s="90" t="s">
        <v>156</v>
      </c>
      <c r="H5" s="92">
        <v>46082.0</v>
      </c>
      <c r="I5" s="90"/>
      <c r="J5" s="90"/>
      <c r="K5" s="90" t="s">
        <v>1447</v>
      </c>
      <c r="L5" s="90">
        <v>2481.0</v>
      </c>
      <c r="M5" s="90"/>
      <c r="N5" s="93" t="s">
        <v>1447</v>
      </c>
      <c r="O5" s="93" t="s">
        <v>1447</v>
      </c>
      <c r="P5" s="93"/>
      <c r="Q5" s="93"/>
      <c r="R5" s="93"/>
      <c r="S5" s="93"/>
      <c r="T5" s="93"/>
    </row>
    <row r="6" ht="15.75" customHeight="1">
      <c r="A6" s="89">
        <v>46091.0</v>
      </c>
      <c r="B6" s="90" t="s">
        <v>1441</v>
      </c>
      <c r="C6" s="90" t="s">
        <v>1448</v>
      </c>
      <c r="D6" s="91">
        <v>150000.0</v>
      </c>
      <c r="E6" s="90"/>
      <c r="F6" s="90"/>
      <c r="G6" s="90" t="s">
        <v>156</v>
      </c>
      <c r="H6" s="92">
        <v>46082.0</v>
      </c>
      <c r="I6" s="90"/>
      <c r="J6" s="90"/>
      <c r="K6" s="90" t="s">
        <v>1448</v>
      </c>
      <c r="L6" s="90">
        <v>2509.0</v>
      </c>
      <c r="M6" s="90">
        <v>0.0</v>
      </c>
      <c r="N6" s="93" t="s">
        <v>1448</v>
      </c>
      <c r="O6" s="93" t="s">
        <v>1448</v>
      </c>
      <c r="P6" s="93"/>
      <c r="Q6" s="93"/>
      <c r="R6" s="93"/>
      <c r="S6" s="93"/>
      <c r="T6" s="93"/>
    </row>
    <row r="7" ht="15.75" hidden="1" customHeight="1">
      <c r="A7" s="94">
        <v>46092.0</v>
      </c>
      <c r="B7" s="93" t="s">
        <v>1449</v>
      </c>
      <c r="C7" s="93" t="s">
        <v>1450</v>
      </c>
      <c r="D7" s="95">
        <v>3.2676781E7</v>
      </c>
      <c r="E7" s="93"/>
      <c r="F7" s="93"/>
      <c r="G7" s="93" t="s">
        <v>79</v>
      </c>
      <c r="H7" s="96">
        <v>46082.0</v>
      </c>
      <c r="I7" s="93"/>
      <c r="J7" s="93"/>
      <c r="K7" s="93" t="s">
        <v>1450</v>
      </c>
      <c r="L7" s="93">
        <v>2590.0</v>
      </c>
      <c r="M7" s="93">
        <v>0.0</v>
      </c>
      <c r="N7" s="93" t="s">
        <v>1450</v>
      </c>
      <c r="O7" s="93" t="s">
        <v>1450</v>
      </c>
      <c r="P7" s="93"/>
      <c r="Q7" s="93"/>
      <c r="R7" s="93"/>
      <c r="S7" s="93"/>
      <c r="T7" s="93"/>
    </row>
    <row r="8" ht="15.75" customHeight="1">
      <c r="A8" s="89">
        <v>46093.0</v>
      </c>
      <c r="B8" s="90" t="s">
        <v>1441</v>
      </c>
      <c r="C8" s="90" t="s">
        <v>1451</v>
      </c>
      <c r="D8" s="91">
        <v>401860.0</v>
      </c>
      <c r="E8" s="90"/>
      <c r="F8" s="90"/>
      <c r="G8" s="90" t="s">
        <v>156</v>
      </c>
      <c r="H8" s="92">
        <v>46082.0</v>
      </c>
      <c r="I8" s="90"/>
      <c r="J8" s="90"/>
      <c r="K8" s="90" t="s">
        <v>1451</v>
      </c>
      <c r="L8" s="90">
        <v>2530.0</v>
      </c>
      <c r="M8" s="90">
        <v>0.0</v>
      </c>
      <c r="N8" s="93" t="s">
        <v>1451</v>
      </c>
      <c r="O8" s="93" t="s">
        <v>1451</v>
      </c>
      <c r="P8" s="93"/>
      <c r="Q8" s="93"/>
      <c r="R8" s="93"/>
      <c r="S8" s="93"/>
      <c r="T8" s="93"/>
    </row>
    <row r="9" ht="15.75" customHeight="1">
      <c r="A9" s="89">
        <v>46097.0</v>
      </c>
      <c r="B9" s="90" t="s">
        <v>1441</v>
      </c>
      <c r="C9" s="90" t="s">
        <v>1452</v>
      </c>
      <c r="D9" s="91">
        <v>380712.0</v>
      </c>
      <c r="E9" s="90"/>
      <c r="F9" s="90"/>
      <c r="G9" s="90" t="s">
        <v>156</v>
      </c>
      <c r="H9" s="92">
        <v>46082.0</v>
      </c>
      <c r="I9" s="90"/>
      <c r="J9" s="90"/>
      <c r="K9" s="90" t="s">
        <v>1453</v>
      </c>
      <c r="L9" s="90">
        <v>2565.0</v>
      </c>
      <c r="M9" s="90">
        <v>0.0</v>
      </c>
      <c r="N9" s="93" t="s">
        <v>1453</v>
      </c>
      <c r="O9" s="93" t="s">
        <v>1453</v>
      </c>
      <c r="P9" s="93"/>
      <c r="Q9" s="93"/>
      <c r="R9" s="93"/>
      <c r="S9" s="93"/>
      <c r="T9" s="93"/>
    </row>
    <row r="10" ht="15.75" customHeight="1">
      <c r="A10" s="89">
        <v>46097.0</v>
      </c>
      <c r="B10" s="90" t="s">
        <v>1446</v>
      </c>
      <c r="C10" s="90" t="s">
        <v>1454</v>
      </c>
      <c r="D10" s="91">
        <v>117612.0</v>
      </c>
      <c r="E10" s="90"/>
      <c r="F10" s="90"/>
      <c r="G10" s="90" t="s">
        <v>156</v>
      </c>
      <c r="H10" s="92">
        <v>46082.0</v>
      </c>
      <c r="I10" s="90" t="s">
        <v>162</v>
      </c>
      <c r="J10" s="90">
        <v>0.0</v>
      </c>
      <c r="K10" s="90" t="s">
        <v>1454</v>
      </c>
      <c r="L10" s="90">
        <v>2566.0</v>
      </c>
      <c r="M10" s="90">
        <v>0.0</v>
      </c>
      <c r="N10" s="93" t="s">
        <v>1454</v>
      </c>
      <c r="O10" s="93" t="s">
        <v>1454</v>
      </c>
      <c r="P10" s="93"/>
      <c r="Q10" s="93"/>
      <c r="R10" s="93"/>
      <c r="S10" s="93"/>
      <c r="T10" s="93"/>
    </row>
    <row r="11" ht="15.75" customHeight="1">
      <c r="A11" s="80">
        <v>46097.0</v>
      </c>
      <c r="B11" s="79" t="s">
        <v>1455</v>
      </c>
      <c r="C11" s="79" t="s">
        <v>1456</v>
      </c>
      <c r="D11" s="83">
        <v>194799.0</v>
      </c>
      <c r="E11" s="79"/>
      <c r="F11" s="79"/>
      <c r="G11" s="79" t="s">
        <v>79</v>
      </c>
      <c r="H11" s="82">
        <v>46082.0</v>
      </c>
      <c r="I11" s="79"/>
      <c r="J11" s="79"/>
      <c r="K11" s="79" t="s">
        <v>1456</v>
      </c>
      <c r="L11" s="79">
        <v>2567.0</v>
      </c>
      <c r="M11" s="79">
        <v>0.0</v>
      </c>
      <c r="N11" s="4" t="s">
        <v>1456</v>
      </c>
      <c r="O11" s="4" t="s">
        <v>1456</v>
      </c>
    </row>
    <row r="12" ht="15.75" customHeight="1">
      <c r="A12" s="89">
        <v>46099.0</v>
      </c>
      <c r="B12" s="90" t="s">
        <v>1441</v>
      </c>
      <c r="C12" s="90" t="s">
        <v>1457</v>
      </c>
      <c r="D12" s="91">
        <v>9283350.0</v>
      </c>
      <c r="E12" s="90"/>
      <c r="F12" s="90"/>
      <c r="G12" s="90" t="s">
        <v>156</v>
      </c>
      <c r="H12" s="92">
        <v>46082.0</v>
      </c>
      <c r="I12" s="90"/>
      <c r="J12" s="90"/>
      <c r="K12" s="90" t="s">
        <v>1457</v>
      </c>
      <c r="L12" s="90">
        <v>2575.0</v>
      </c>
      <c r="M12" s="90">
        <v>0.0</v>
      </c>
      <c r="N12" s="4" t="s">
        <v>1457</v>
      </c>
      <c r="O12" s="4" t="s">
        <v>1457</v>
      </c>
      <c r="P12" s="4"/>
      <c r="Q12" s="4"/>
      <c r="R12" s="4"/>
      <c r="S12" s="4"/>
      <c r="T12" s="4"/>
    </row>
    <row r="13" ht="15.75" customHeight="1">
      <c r="A13" s="89">
        <v>46105.0</v>
      </c>
      <c r="B13" s="90" t="s">
        <v>1458</v>
      </c>
      <c r="C13" s="90" t="s">
        <v>1459</v>
      </c>
      <c r="D13" s="91">
        <v>9882700.0</v>
      </c>
      <c r="E13" s="90"/>
      <c r="F13" s="90"/>
      <c r="G13" s="90" t="s">
        <v>156</v>
      </c>
      <c r="H13" s="92">
        <v>46082.0</v>
      </c>
      <c r="I13" s="90"/>
      <c r="J13" s="90"/>
      <c r="K13" s="90" t="s">
        <v>1459</v>
      </c>
      <c r="L13" s="90">
        <v>2613.0</v>
      </c>
      <c r="M13" s="90">
        <v>0.0</v>
      </c>
      <c r="N13" s="4" t="s">
        <v>1459</v>
      </c>
      <c r="O13" s="4" t="s">
        <v>1459</v>
      </c>
      <c r="P13" s="4"/>
      <c r="Q13" s="4"/>
      <c r="R13" s="4"/>
      <c r="S13" s="4"/>
      <c r="T13" s="4"/>
    </row>
    <row r="14" ht="15.75" customHeight="1">
      <c r="A14" s="80">
        <v>46112.0</v>
      </c>
      <c r="B14" s="79" t="s">
        <v>1441</v>
      </c>
      <c r="C14" s="79" t="s">
        <v>311</v>
      </c>
      <c r="D14" s="83">
        <v>258698.0</v>
      </c>
      <c r="E14" s="79"/>
      <c r="F14" s="79"/>
      <c r="G14" s="79" t="s">
        <v>79</v>
      </c>
      <c r="H14" s="82">
        <v>46082.0</v>
      </c>
      <c r="I14" s="79"/>
      <c r="J14" s="79"/>
      <c r="K14" s="79" t="s">
        <v>1453</v>
      </c>
      <c r="L14" s="79">
        <v>2701.0</v>
      </c>
      <c r="M14" s="79">
        <v>0.0</v>
      </c>
      <c r="N14" s="4" t="s">
        <v>1453</v>
      </c>
      <c r="O14" s="4" t="s">
        <v>1453</v>
      </c>
    </row>
    <row r="15" ht="15.75" customHeight="1">
      <c r="A15" s="89">
        <v>46112.0</v>
      </c>
      <c r="B15" s="90" t="s">
        <v>1446</v>
      </c>
      <c r="C15" s="90" t="s">
        <v>1454</v>
      </c>
      <c r="D15" s="91">
        <v>508157.0</v>
      </c>
      <c r="E15" s="90"/>
      <c r="F15" s="90"/>
      <c r="G15" s="90" t="s">
        <v>156</v>
      </c>
      <c r="H15" s="92">
        <v>46082.0</v>
      </c>
      <c r="I15" s="90" t="s">
        <v>162</v>
      </c>
      <c r="J15" s="90">
        <v>0.0</v>
      </c>
      <c r="K15" s="90" t="s">
        <v>1454</v>
      </c>
      <c r="L15" s="90">
        <v>2702.0</v>
      </c>
      <c r="M15" s="90">
        <v>0.0</v>
      </c>
      <c r="N15" s="4" t="s">
        <v>1454</v>
      </c>
      <c r="O15" s="4" t="s">
        <v>1454</v>
      </c>
      <c r="P15" s="4"/>
      <c r="Q15" s="4"/>
      <c r="R15" s="4"/>
      <c r="S15" s="4"/>
      <c r="T15" s="4"/>
    </row>
    <row r="16" ht="15.75" customHeight="1">
      <c r="A16" s="89">
        <v>46112.0</v>
      </c>
      <c r="B16" s="90" t="s">
        <v>1446</v>
      </c>
      <c r="C16" s="90" t="s">
        <v>1460</v>
      </c>
      <c r="D16" s="91">
        <v>1457088.0</v>
      </c>
      <c r="E16" s="90"/>
      <c r="F16" s="90"/>
      <c r="G16" s="90" t="s">
        <v>156</v>
      </c>
      <c r="H16" s="92">
        <v>46082.0</v>
      </c>
      <c r="I16" s="90"/>
      <c r="J16" s="90"/>
      <c r="K16" s="90" t="s">
        <v>1460</v>
      </c>
      <c r="L16" s="90">
        <v>2736.0</v>
      </c>
      <c r="M16" s="90">
        <v>0.0</v>
      </c>
      <c r="N16" s="4" t="s">
        <v>1460</v>
      </c>
      <c r="O16" s="4" t="s">
        <v>1460</v>
      </c>
      <c r="P16" s="4"/>
      <c r="Q16" s="4"/>
      <c r="R16" s="4"/>
      <c r="S16" s="4"/>
      <c r="T16" s="4"/>
    </row>
    <row r="17" ht="15.75" customHeight="1">
      <c r="A17" s="89">
        <v>46112.0</v>
      </c>
      <c r="B17" s="90" t="s">
        <v>1446</v>
      </c>
      <c r="C17" s="90" t="s">
        <v>1461</v>
      </c>
      <c r="D17" s="91">
        <v>1457088.0</v>
      </c>
      <c r="E17" s="90"/>
      <c r="F17" s="90"/>
      <c r="G17" s="90" t="s">
        <v>156</v>
      </c>
      <c r="H17" s="92">
        <v>46082.0</v>
      </c>
      <c r="I17" s="90"/>
      <c r="J17" s="90"/>
      <c r="K17" s="90" t="s">
        <v>1462</v>
      </c>
      <c r="L17" s="90">
        <v>2696.0</v>
      </c>
      <c r="M17" s="90"/>
      <c r="N17" s="4" t="s">
        <v>1462</v>
      </c>
      <c r="O17" s="4" t="s">
        <v>1462</v>
      </c>
      <c r="P17" s="4"/>
      <c r="Q17" s="4"/>
      <c r="R17" s="4"/>
      <c r="S17" s="4"/>
      <c r="T17" s="4"/>
    </row>
    <row r="18" ht="15.75" customHeight="1">
      <c r="A18" s="80">
        <v>46113.0</v>
      </c>
      <c r="B18" s="79" t="s">
        <v>1446</v>
      </c>
      <c r="C18" s="79" t="s">
        <v>314</v>
      </c>
      <c r="D18" s="83">
        <v>66850.0</v>
      </c>
      <c r="E18" s="79"/>
      <c r="F18" s="79"/>
      <c r="G18" s="79" t="s">
        <v>79</v>
      </c>
      <c r="H18" s="97">
        <v>46113.0</v>
      </c>
      <c r="I18" s="79"/>
      <c r="J18" s="79"/>
      <c r="K18" s="79" t="s">
        <v>1463</v>
      </c>
      <c r="L18" s="79">
        <v>2700.0</v>
      </c>
      <c r="M18" s="79"/>
      <c r="N18" s="4" t="s">
        <v>1463</v>
      </c>
      <c r="O18" s="4" t="s">
        <v>1463</v>
      </c>
    </row>
    <row r="19" ht="15.75" customHeight="1">
      <c r="A19" s="89">
        <v>46114.0</v>
      </c>
      <c r="B19" s="90" t="s">
        <v>1464</v>
      </c>
      <c r="C19" s="90" t="s">
        <v>1465</v>
      </c>
      <c r="D19" s="91">
        <v>27280.0</v>
      </c>
      <c r="E19" s="90" t="s">
        <v>502</v>
      </c>
      <c r="F19" s="90" t="s">
        <v>509</v>
      </c>
      <c r="G19" s="90" t="s">
        <v>156</v>
      </c>
      <c r="H19" s="98">
        <v>46113.0</v>
      </c>
      <c r="I19" s="90"/>
      <c r="J19" s="90"/>
      <c r="K19" s="90" t="s">
        <v>1466</v>
      </c>
      <c r="L19" s="90">
        <v>2707.0</v>
      </c>
      <c r="M19" s="90"/>
      <c r="N19" s="4" t="s">
        <v>1466</v>
      </c>
      <c r="O19" s="4" t="s">
        <v>1466</v>
      </c>
      <c r="P19" s="4"/>
      <c r="Q19" s="4"/>
      <c r="R19" s="4"/>
      <c r="S19" s="4"/>
      <c r="T19" s="4"/>
    </row>
    <row r="20" ht="15.75" customHeight="1">
      <c r="A20" s="89">
        <v>46115.0</v>
      </c>
      <c r="B20" s="90" t="s">
        <v>1446</v>
      </c>
      <c r="C20" s="90" t="s">
        <v>1467</v>
      </c>
      <c r="D20" s="91">
        <v>70000.0</v>
      </c>
      <c r="E20" s="90" t="s">
        <v>1468</v>
      </c>
      <c r="F20" s="90" t="s">
        <v>1469</v>
      </c>
      <c r="G20" s="90" t="s">
        <v>156</v>
      </c>
      <c r="H20" s="92">
        <v>46113.0</v>
      </c>
      <c r="I20" s="90"/>
      <c r="J20" s="90"/>
      <c r="K20" s="90" t="s">
        <v>1470</v>
      </c>
      <c r="L20" s="90">
        <v>2722.0</v>
      </c>
      <c r="M20" s="90"/>
      <c r="N20" s="4" t="s">
        <v>1470</v>
      </c>
      <c r="O20" s="4" t="s">
        <v>1470</v>
      </c>
      <c r="P20" s="4"/>
      <c r="Q20" s="4"/>
      <c r="R20" s="4"/>
      <c r="S20" s="4"/>
      <c r="T20" s="4"/>
    </row>
    <row r="21" ht="15.75" customHeight="1">
      <c r="A21" s="89">
        <v>46115.0</v>
      </c>
      <c r="B21" s="90" t="s">
        <v>1446</v>
      </c>
      <c r="C21" s="90" t="s">
        <v>1471</v>
      </c>
      <c r="D21" s="91">
        <v>1550000.0</v>
      </c>
      <c r="E21" s="90"/>
      <c r="F21" s="90"/>
      <c r="G21" s="90" t="s">
        <v>156</v>
      </c>
      <c r="H21" s="92">
        <v>46113.0</v>
      </c>
      <c r="I21" s="90"/>
      <c r="J21" s="90"/>
      <c r="K21" s="90" t="s">
        <v>1472</v>
      </c>
      <c r="L21" s="90">
        <v>2728.0</v>
      </c>
      <c r="M21" s="90"/>
      <c r="N21" s="4" t="s">
        <v>1472</v>
      </c>
      <c r="O21" s="4" t="s">
        <v>1472</v>
      </c>
      <c r="P21" s="4"/>
      <c r="Q21" s="4"/>
      <c r="R21" s="4"/>
      <c r="S21" s="4"/>
      <c r="T21" s="4"/>
    </row>
    <row r="22" ht="15.75" customHeight="1">
      <c r="A22" s="89">
        <v>46118.0</v>
      </c>
      <c r="B22" s="90" t="s">
        <v>1441</v>
      </c>
      <c r="C22" s="90" t="s">
        <v>1473</v>
      </c>
      <c r="D22" s="91">
        <v>99000.0</v>
      </c>
      <c r="E22" s="90" t="s">
        <v>1474</v>
      </c>
      <c r="F22" s="90" t="s">
        <v>907</v>
      </c>
      <c r="G22" s="90" t="s">
        <v>156</v>
      </c>
      <c r="H22" s="92">
        <v>46113.0</v>
      </c>
      <c r="I22" s="90"/>
      <c r="J22" s="90"/>
      <c r="K22" s="90" t="s">
        <v>1473</v>
      </c>
      <c r="L22" s="90">
        <v>2741.0</v>
      </c>
      <c r="M22" s="90"/>
      <c r="N22" s="4" t="s">
        <v>1473</v>
      </c>
      <c r="O22" s="4" t="s">
        <v>1473</v>
      </c>
      <c r="P22" s="4"/>
      <c r="Q22" s="4"/>
      <c r="R22" s="4"/>
      <c r="S22" s="4"/>
      <c r="T22" s="4"/>
    </row>
    <row r="23" ht="15.75" customHeight="1">
      <c r="A23" s="80">
        <v>46119.0</v>
      </c>
      <c r="B23" s="79" t="s">
        <v>1446</v>
      </c>
      <c r="C23" s="79" t="s">
        <v>315</v>
      </c>
      <c r="D23" s="83">
        <v>1150000.0</v>
      </c>
      <c r="E23" s="79"/>
      <c r="F23" s="79"/>
      <c r="G23" s="79" t="s">
        <v>79</v>
      </c>
      <c r="H23" s="82">
        <v>46113.0</v>
      </c>
      <c r="I23" s="79"/>
      <c r="J23" s="79"/>
      <c r="K23" s="79" t="s">
        <v>315</v>
      </c>
      <c r="L23" s="79">
        <v>2746.0</v>
      </c>
      <c r="M23" s="79"/>
      <c r="N23" s="4" t="s">
        <v>315</v>
      </c>
      <c r="O23" s="4" t="s">
        <v>315</v>
      </c>
    </row>
    <row r="24" ht="15.75" customHeight="1">
      <c r="A24" s="89">
        <v>46120.0</v>
      </c>
      <c r="B24" s="90" t="s">
        <v>1446</v>
      </c>
      <c r="C24" s="90" t="s">
        <v>1475</v>
      </c>
      <c r="D24" s="91">
        <v>302670.0</v>
      </c>
      <c r="E24" s="90" t="s">
        <v>1476</v>
      </c>
      <c r="F24" s="90" t="s">
        <v>1169</v>
      </c>
      <c r="G24" s="90" t="s">
        <v>156</v>
      </c>
      <c r="H24" s="92">
        <v>46113.0</v>
      </c>
      <c r="I24" s="90"/>
      <c r="J24" s="90"/>
      <c r="K24" s="90" t="s">
        <v>1477</v>
      </c>
      <c r="L24" s="90">
        <v>2747.0</v>
      </c>
      <c r="M24" s="90"/>
      <c r="N24" s="4" t="s">
        <v>1477</v>
      </c>
      <c r="O24" s="4" t="s">
        <v>1477</v>
      </c>
      <c r="P24" s="4"/>
      <c r="Q24" s="4"/>
      <c r="R24" s="4"/>
      <c r="S24" s="4"/>
      <c r="T24" s="4"/>
    </row>
    <row r="25" ht="15.75" customHeight="1">
      <c r="A25" s="80">
        <v>46121.0</v>
      </c>
      <c r="B25" s="79" t="s">
        <v>1441</v>
      </c>
      <c r="C25" s="79" t="s">
        <v>316</v>
      </c>
      <c r="D25" s="83">
        <v>25000.0</v>
      </c>
      <c r="E25" s="79"/>
      <c r="F25" s="79"/>
      <c r="G25" s="79" t="s">
        <v>79</v>
      </c>
      <c r="H25" s="97">
        <v>46113.0</v>
      </c>
      <c r="I25" s="79"/>
      <c r="J25" s="79"/>
      <c r="K25" s="79" t="s">
        <v>316</v>
      </c>
      <c r="L25" s="79">
        <v>2779.0</v>
      </c>
      <c r="M25" s="79"/>
      <c r="N25" s="4" t="s">
        <v>316</v>
      </c>
      <c r="O25" s="4" t="s">
        <v>316</v>
      </c>
    </row>
    <row r="26" ht="15.75" customHeight="1">
      <c r="A26" s="80">
        <v>46121.0</v>
      </c>
      <c r="B26" s="79" t="s">
        <v>1441</v>
      </c>
      <c r="C26" s="79" t="s">
        <v>317</v>
      </c>
      <c r="D26" s="83">
        <v>150000.0</v>
      </c>
      <c r="E26" s="79"/>
      <c r="F26" s="79"/>
      <c r="G26" s="79" t="s">
        <v>79</v>
      </c>
      <c r="H26" s="97">
        <v>46113.0</v>
      </c>
      <c r="I26" s="79"/>
      <c r="J26" s="79"/>
      <c r="K26" s="79" t="s">
        <v>1478</v>
      </c>
      <c r="L26" s="79">
        <v>2754.0</v>
      </c>
      <c r="M26" s="79"/>
      <c r="N26" s="4" t="s">
        <v>1478</v>
      </c>
      <c r="O26" s="4" t="s">
        <v>1478</v>
      </c>
    </row>
    <row r="27" ht="15.75" customHeight="1">
      <c r="A27" s="80">
        <v>46122.0</v>
      </c>
      <c r="B27" s="79" t="s">
        <v>1479</v>
      </c>
      <c r="C27" s="79" t="s">
        <v>1480</v>
      </c>
      <c r="D27" s="83">
        <v>159158.0</v>
      </c>
      <c r="E27" s="79"/>
      <c r="F27" s="79"/>
      <c r="G27" s="79" t="s">
        <v>79</v>
      </c>
      <c r="H27" s="97">
        <v>46113.0</v>
      </c>
      <c r="I27" s="79"/>
      <c r="J27" s="79"/>
      <c r="K27" s="79" t="s">
        <v>1480</v>
      </c>
      <c r="L27" s="79">
        <v>2767.0</v>
      </c>
      <c r="M27" s="79">
        <v>0.0</v>
      </c>
      <c r="N27" s="4" t="s">
        <v>1480</v>
      </c>
      <c r="O27" s="4" t="s">
        <v>1480</v>
      </c>
    </row>
    <row r="28" ht="15.75" customHeight="1">
      <c r="A28" s="80">
        <v>46122.0</v>
      </c>
      <c r="B28" s="79" t="s">
        <v>1479</v>
      </c>
      <c r="C28" s="79" t="s">
        <v>1480</v>
      </c>
      <c r="D28" s="83">
        <v>79577.0</v>
      </c>
      <c r="E28" s="79"/>
      <c r="F28" s="79"/>
      <c r="G28" s="79" t="s">
        <v>79</v>
      </c>
      <c r="H28" s="97">
        <v>46113.0</v>
      </c>
      <c r="I28" s="79"/>
      <c r="J28" s="79"/>
      <c r="K28" s="79" t="s">
        <v>1480</v>
      </c>
      <c r="L28" s="79">
        <v>2768.0</v>
      </c>
      <c r="M28" s="79">
        <v>0.0</v>
      </c>
      <c r="N28" s="4" t="s">
        <v>1480</v>
      </c>
      <c r="O28" s="4" t="s">
        <v>1480</v>
      </c>
    </row>
    <row r="29" ht="15.75" customHeight="1">
      <c r="A29" s="89">
        <v>46122.0</v>
      </c>
      <c r="B29" s="90" t="s">
        <v>1441</v>
      </c>
      <c r="C29" s="90" t="s">
        <v>1481</v>
      </c>
      <c r="D29" s="91">
        <v>104643.0</v>
      </c>
      <c r="E29" s="90" t="s">
        <v>683</v>
      </c>
      <c r="F29" s="90" t="s">
        <v>691</v>
      </c>
      <c r="G29" s="90" t="s">
        <v>156</v>
      </c>
      <c r="H29" s="92">
        <v>46113.0</v>
      </c>
      <c r="I29" s="90"/>
      <c r="J29" s="90"/>
      <c r="K29" s="90" t="s">
        <v>1481</v>
      </c>
      <c r="L29" s="90">
        <v>2771.0</v>
      </c>
      <c r="M29" s="90"/>
      <c r="N29" s="4" t="s">
        <v>1481</v>
      </c>
      <c r="O29" s="4" t="s">
        <v>1481</v>
      </c>
      <c r="P29" s="4"/>
      <c r="Q29" s="4"/>
      <c r="R29" s="4"/>
      <c r="S29" s="4"/>
      <c r="T29" s="4"/>
    </row>
    <row r="30" ht="15.75" customHeight="1">
      <c r="A30" s="80">
        <v>46122.0</v>
      </c>
      <c r="B30" s="79" t="s">
        <v>1446</v>
      </c>
      <c r="C30" s="79" t="s">
        <v>318</v>
      </c>
      <c r="D30" s="83">
        <v>57700.0</v>
      </c>
      <c r="E30" s="79"/>
      <c r="F30" s="79"/>
      <c r="G30" s="79" t="s">
        <v>79</v>
      </c>
      <c r="H30" s="97">
        <v>46113.0</v>
      </c>
      <c r="I30" s="79"/>
      <c r="J30" s="79"/>
      <c r="K30" s="79" t="s">
        <v>318</v>
      </c>
      <c r="L30" s="79">
        <v>2772.0</v>
      </c>
      <c r="M30" s="79"/>
      <c r="N30" s="4" t="s">
        <v>318</v>
      </c>
      <c r="O30" s="4" t="s">
        <v>318</v>
      </c>
    </row>
    <row r="31" ht="15.75" customHeight="1">
      <c r="A31" s="89">
        <v>46122.0</v>
      </c>
      <c r="B31" s="90" t="s">
        <v>1441</v>
      </c>
      <c r="C31" s="90" t="s">
        <v>203</v>
      </c>
      <c r="D31" s="91">
        <v>8439760.0</v>
      </c>
      <c r="E31" s="90"/>
      <c r="F31" s="90"/>
      <c r="G31" s="90" t="s">
        <v>156</v>
      </c>
      <c r="H31" s="92">
        <v>46113.0</v>
      </c>
      <c r="I31" s="90"/>
      <c r="J31" s="90"/>
      <c r="K31" s="90" t="s">
        <v>203</v>
      </c>
      <c r="L31" s="90">
        <v>2815.0</v>
      </c>
      <c r="M31" s="90">
        <v>0.0</v>
      </c>
      <c r="N31" s="4" t="s">
        <v>203</v>
      </c>
      <c r="O31" s="4" t="s">
        <v>203</v>
      </c>
      <c r="P31" s="4"/>
      <c r="Q31" s="4"/>
      <c r="R31" s="4"/>
      <c r="S31" s="4"/>
      <c r="T31" s="4"/>
    </row>
    <row r="32" ht="15.75" customHeight="1">
      <c r="A32" s="80">
        <v>46122.0</v>
      </c>
      <c r="B32" s="79" t="s">
        <v>1446</v>
      </c>
      <c r="C32" s="79" t="s">
        <v>1482</v>
      </c>
      <c r="D32" s="83">
        <v>-177132.0</v>
      </c>
      <c r="E32" s="79"/>
      <c r="F32" s="79"/>
      <c r="G32" s="79" t="s">
        <v>79</v>
      </c>
      <c r="H32" s="82">
        <v>46113.0</v>
      </c>
      <c r="I32" s="79"/>
      <c r="J32" s="79"/>
      <c r="K32" s="79" t="s">
        <v>1482</v>
      </c>
      <c r="L32" s="79"/>
      <c r="M32" s="79"/>
      <c r="N32" s="4" t="s">
        <v>1482</v>
      </c>
      <c r="O32" s="4" t="s">
        <v>1482</v>
      </c>
    </row>
    <row r="33" ht="15.75" customHeight="1">
      <c r="A33" s="80">
        <v>46122.0</v>
      </c>
      <c r="B33" s="79" t="s">
        <v>1483</v>
      </c>
      <c r="C33" s="79" t="s">
        <v>1484</v>
      </c>
      <c r="D33" s="83">
        <v>-1650.0</v>
      </c>
      <c r="E33" s="79"/>
      <c r="F33" s="79"/>
      <c r="G33" s="79" t="s">
        <v>79</v>
      </c>
      <c r="H33" s="82">
        <v>46113.0</v>
      </c>
      <c r="I33" s="79"/>
      <c r="J33" s="79"/>
      <c r="K33" s="79" t="s">
        <v>1484</v>
      </c>
      <c r="L33" s="79"/>
      <c r="M33" s="79"/>
      <c r="N33" s="4" t="s">
        <v>1484</v>
      </c>
      <c r="O33" s="4" t="s">
        <v>1484</v>
      </c>
    </row>
    <row r="34" ht="15.75" customHeight="1">
      <c r="A34" s="80">
        <v>46122.0</v>
      </c>
      <c r="B34" s="79" t="s">
        <v>1483</v>
      </c>
      <c r="C34" s="79" t="s">
        <v>1485</v>
      </c>
      <c r="D34" s="83">
        <v>-2530.0</v>
      </c>
      <c r="E34" s="79"/>
      <c r="F34" s="79"/>
      <c r="G34" s="79" t="s">
        <v>79</v>
      </c>
      <c r="H34" s="82">
        <v>46113.0</v>
      </c>
      <c r="I34" s="79"/>
      <c r="J34" s="79"/>
      <c r="K34" s="79" t="s">
        <v>1485</v>
      </c>
      <c r="L34" s="79"/>
      <c r="M34" s="79"/>
      <c r="N34" s="4" t="s">
        <v>1485</v>
      </c>
      <c r="O34" s="4" t="s">
        <v>1485</v>
      </c>
    </row>
    <row r="35" ht="15.75" customHeight="1">
      <c r="A35" s="80">
        <v>46122.0</v>
      </c>
      <c r="B35" s="79" t="s">
        <v>1483</v>
      </c>
      <c r="C35" s="79" t="s">
        <v>1486</v>
      </c>
      <c r="D35" s="83">
        <v>-11385.0</v>
      </c>
      <c r="E35" s="79"/>
      <c r="F35" s="79"/>
      <c r="G35" s="79" t="s">
        <v>79</v>
      </c>
      <c r="H35" s="82">
        <v>46113.0</v>
      </c>
      <c r="I35" s="79"/>
      <c r="J35" s="79"/>
      <c r="K35" s="79" t="s">
        <v>1486</v>
      </c>
      <c r="L35" s="79"/>
      <c r="M35" s="79"/>
      <c r="N35" s="4" t="s">
        <v>1486</v>
      </c>
      <c r="O35" s="4" t="s">
        <v>1486</v>
      </c>
    </row>
    <row r="36" ht="15.75" customHeight="1">
      <c r="A36" s="80">
        <v>46122.0</v>
      </c>
      <c r="B36" s="79" t="s">
        <v>1483</v>
      </c>
      <c r="C36" s="79" t="s">
        <v>1487</v>
      </c>
      <c r="D36" s="83">
        <v>-440.0</v>
      </c>
      <c r="E36" s="79"/>
      <c r="F36" s="79"/>
      <c r="G36" s="79" t="s">
        <v>79</v>
      </c>
      <c r="H36" s="82">
        <v>46113.0</v>
      </c>
      <c r="I36" s="79"/>
      <c r="J36" s="79"/>
      <c r="K36" s="79" t="s">
        <v>1487</v>
      </c>
      <c r="L36" s="79"/>
      <c r="M36" s="79"/>
      <c r="N36" s="4" t="s">
        <v>1487</v>
      </c>
      <c r="O36" s="4" t="s">
        <v>1487</v>
      </c>
    </row>
    <row r="37" ht="15.75" customHeight="1">
      <c r="A37" s="80">
        <v>46122.0</v>
      </c>
      <c r="B37" s="79" t="s">
        <v>1483</v>
      </c>
      <c r="C37" s="79" t="s">
        <v>1488</v>
      </c>
      <c r="D37" s="83">
        <v>-3850.0</v>
      </c>
      <c r="E37" s="79"/>
      <c r="F37" s="79"/>
      <c r="G37" s="79" t="s">
        <v>79</v>
      </c>
      <c r="H37" s="82">
        <v>46113.0</v>
      </c>
      <c r="I37" s="79"/>
      <c r="J37" s="79"/>
      <c r="K37" s="79" t="s">
        <v>1488</v>
      </c>
      <c r="L37" s="79"/>
      <c r="M37" s="79"/>
      <c r="N37" s="4" t="s">
        <v>1488</v>
      </c>
      <c r="O37" s="4" t="s">
        <v>1488</v>
      </c>
    </row>
    <row r="38" ht="15.75" customHeight="1">
      <c r="A38" s="80">
        <v>46122.0</v>
      </c>
      <c r="B38" s="79" t="s">
        <v>1446</v>
      </c>
      <c r="C38" s="79" t="s">
        <v>1489</v>
      </c>
      <c r="D38" s="83">
        <v>-440.0</v>
      </c>
      <c r="E38" s="79"/>
      <c r="F38" s="79"/>
      <c r="G38" s="79" t="s">
        <v>79</v>
      </c>
      <c r="H38" s="82">
        <v>46113.0</v>
      </c>
      <c r="I38" s="79"/>
      <c r="J38" s="79"/>
      <c r="K38" s="79" t="s">
        <v>1489</v>
      </c>
      <c r="L38" s="79"/>
      <c r="M38" s="79"/>
      <c r="N38" s="4" t="s">
        <v>1489</v>
      </c>
      <c r="O38" s="4" t="s">
        <v>1489</v>
      </c>
    </row>
    <row r="39" ht="15.75" customHeight="1">
      <c r="A39" s="80">
        <v>46122.0</v>
      </c>
      <c r="B39" s="79" t="s">
        <v>1483</v>
      </c>
      <c r="C39" s="79" t="s">
        <v>1490</v>
      </c>
      <c r="D39" s="83">
        <v>-3630.0</v>
      </c>
      <c r="E39" s="79"/>
      <c r="F39" s="79"/>
      <c r="G39" s="79" t="s">
        <v>79</v>
      </c>
      <c r="H39" s="82">
        <v>46113.0</v>
      </c>
      <c r="I39" s="79"/>
      <c r="J39" s="79"/>
      <c r="K39" s="79" t="s">
        <v>1490</v>
      </c>
      <c r="L39" s="79"/>
      <c r="M39" s="79"/>
      <c r="N39" s="4" t="s">
        <v>1490</v>
      </c>
      <c r="O39" s="4" t="s">
        <v>1490</v>
      </c>
    </row>
    <row r="40" ht="15.75" customHeight="1">
      <c r="A40" s="80">
        <v>46122.0</v>
      </c>
      <c r="B40" s="79" t="s">
        <v>1446</v>
      </c>
      <c r="C40" s="79" t="s">
        <v>1491</v>
      </c>
      <c r="D40" s="83">
        <v>-455500.0</v>
      </c>
      <c r="E40" s="79"/>
      <c r="F40" s="79"/>
      <c r="G40" s="79" t="s">
        <v>79</v>
      </c>
      <c r="H40" s="82">
        <v>46113.0</v>
      </c>
      <c r="I40" s="79"/>
      <c r="J40" s="79"/>
      <c r="K40" s="79" t="s">
        <v>1491</v>
      </c>
      <c r="L40" s="79"/>
      <c r="M40" s="79"/>
      <c r="N40" s="4" t="s">
        <v>1491</v>
      </c>
      <c r="O40" s="4" t="s">
        <v>1491</v>
      </c>
    </row>
    <row r="41" ht="15.75" customHeight="1">
      <c r="A41" s="80">
        <v>46122.0</v>
      </c>
      <c r="B41" s="79" t="s">
        <v>1492</v>
      </c>
      <c r="C41" s="79" t="s">
        <v>1493</v>
      </c>
      <c r="D41" s="83">
        <v>1000000.0</v>
      </c>
      <c r="E41" s="79"/>
      <c r="F41" s="79"/>
      <c r="G41" s="79" t="s">
        <v>79</v>
      </c>
      <c r="H41" s="82">
        <v>46113.0</v>
      </c>
      <c r="I41" s="79"/>
      <c r="J41" s="79"/>
      <c r="K41" s="79" t="s">
        <v>1494</v>
      </c>
      <c r="L41" s="79"/>
      <c r="M41" s="79"/>
      <c r="N41" s="4" t="s">
        <v>1494</v>
      </c>
      <c r="O41" s="4" t="s">
        <v>1494</v>
      </c>
    </row>
    <row r="42" ht="15.75" customHeight="1">
      <c r="A42" s="80">
        <v>46122.0</v>
      </c>
      <c r="B42" s="79" t="s">
        <v>1446</v>
      </c>
      <c r="C42" s="79" t="s">
        <v>1491</v>
      </c>
      <c r="D42" s="83">
        <v>-593649.0</v>
      </c>
      <c r="E42" s="79"/>
      <c r="F42" s="79"/>
      <c r="G42" s="79" t="s">
        <v>79</v>
      </c>
      <c r="H42" s="82">
        <v>46113.0</v>
      </c>
      <c r="I42" s="79"/>
      <c r="J42" s="79"/>
      <c r="K42" s="79" t="s">
        <v>1491</v>
      </c>
      <c r="L42" s="79"/>
      <c r="M42" s="79"/>
      <c r="N42" s="4" t="s">
        <v>1491</v>
      </c>
      <c r="O42" s="4" t="s">
        <v>1491</v>
      </c>
    </row>
    <row r="43" ht="15.75" customHeight="1">
      <c r="A43" s="80">
        <v>46122.0</v>
      </c>
      <c r="B43" s="79" t="s">
        <v>1446</v>
      </c>
      <c r="C43" s="79" t="s">
        <v>1495</v>
      </c>
      <c r="D43" s="83">
        <v>-515000.0</v>
      </c>
      <c r="E43" s="79"/>
      <c r="F43" s="79"/>
      <c r="G43" s="79" t="s">
        <v>79</v>
      </c>
      <c r="H43" s="82">
        <v>46113.0</v>
      </c>
      <c r="I43" s="79"/>
      <c r="J43" s="79"/>
      <c r="K43" s="79" t="s">
        <v>1495</v>
      </c>
      <c r="L43" s="79"/>
      <c r="M43" s="79"/>
      <c r="N43" s="4" t="s">
        <v>1495</v>
      </c>
      <c r="O43" s="4" t="s">
        <v>1495</v>
      </c>
    </row>
    <row r="44" ht="15.75" customHeight="1">
      <c r="A44" s="80">
        <v>46122.0</v>
      </c>
      <c r="B44" s="79" t="s">
        <v>1496</v>
      </c>
      <c r="C44" s="79" t="s">
        <v>1497</v>
      </c>
      <c r="D44" s="83">
        <v>-154399.0</v>
      </c>
      <c r="E44" s="79"/>
      <c r="F44" s="79"/>
      <c r="G44" s="79" t="s">
        <v>79</v>
      </c>
      <c r="H44" s="82">
        <v>46113.0</v>
      </c>
      <c r="I44" s="79"/>
      <c r="J44" s="79"/>
      <c r="K44" s="79" t="s">
        <v>1497</v>
      </c>
      <c r="L44" s="79"/>
      <c r="M44" s="79"/>
      <c r="N44" s="4" t="s">
        <v>1497</v>
      </c>
      <c r="O44" s="4" t="s">
        <v>1497</v>
      </c>
    </row>
    <row r="45" ht="15.75" customHeight="1">
      <c r="A45" s="80">
        <v>46122.0</v>
      </c>
      <c r="B45" s="79" t="s">
        <v>1446</v>
      </c>
      <c r="C45" s="79" t="s">
        <v>1498</v>
      </c>
      <c r="D45" s="83">
        <v>-114161.0</v>
      </c>
      <c r="E45" s="79"/>
      <c r="F45" s="79"/>
      <c r="G45" s="79" t="s">
        <v>79</v>
      </c>
      <c r="H45" s="82">
        <v>46113.0</v>
      </c>
      <c r="I45" s="79"/>
      <c r="J45" s="79"/>
      <c r="K45" s="79" t="s">
        <v>1498</v>
      </c>
      <c r="L45" s="79"/>
      <c r="M45" s="79"/>
      <c r="N45" s="4" t="s">
        <v>1498</v>
      </c>
      <c r="O45" s="4" t="s">
        <v>1498</v>
      </c>
    </row>
    <row r="46" ht="15.75" customHeight="1">
      <c r="A46" s="80">
        <v>46122.0</v>
      </c>
      <c r="B46" s="79" t="s">
        <v>1446</v>
      </c>
      <c r="C46" s="79" t="s">
        <v>1499</v>
      </c>
      <c r="D46" s="83">
        <v>-148325.0</v>
      </c>
      <c r="E46" s="79"/>
      <c r="F46" s="79"/>
      <c r="G46" s="79" t="s">
        <v>79</v>
      </c>
      <c r="H46" s="82">
        <v>46113.0</v>
      </c>
      <c r="I46" s="79"/>
      <c r="J46" s="79"/>
      <c r="K46" s="79" t="s">
        <v>1499</v>
      </c>
      <c r="L46" s="79"/>
      <c r="M46" s="79"/>
      <c r="N46" s="4" t="s">
        <v>1499</v>
      </c>
      <c r="O46" s="4" t="s">
        <v>1499</v>
      </c>
    </row>
    <row r="47" ht="15.75" customHeight="1">
      <c r="A47" s="80">
        <v>46122.0</v>
      </c>
      <c r="B47" s="79" t="s">
        <v>1446</v>
      </c>
      <c r="C47" s="79" t="s">
        <v>1500</v>
      </c>
      <c r="D47" s="83">
        <v>-249313.0</v>
      </c>
      <c r="E47" s="79"/>
      <c r="F47" s="79"/>
      <c r="G47" s="79" t="s">
        <v>79</v>
      </c>
      <c r="H47" s="82">
        <v>46113.0</v>
      </c>
      <c r="I47" s="79"/>
      <c r="J47" s="79"/>
      <c r="K47" s="79" t="s">
        <v>1500</v>
      </c>
      <c r="L47" s="79"/>
      <c r="M47" s="79"/>
      <c r="N47" s="4" t="s">
        <v>1500</v>
      </c>
      <c r="O47" s="4" t="s">
        <v>1500</v>
      </c>
    </row>
    <row r="48" ht="15.75" customHeight="1">
      <c r="A48" s="80">
        <v>46122.0</v>
      </c>
      <c r="B48" s="79" t="s">
        <v>1446</v>
      </c>
      <c r="C48" s="79" t="s">
        <v>1501</v>
      </c>
      <c r="D48" s="83">
        <v>-327537.0</v>
      </c>
      <c r="E48" s="79"/>
      <c r="F48" s="79"/>
      <c r="G48" s="79" t="s">
        <v>79</v>
      </c>
      <c r="H48" s="82">
        <v>46113.0</v>
      </c>
      <c r="I48" s="79"/>
      <c r="J48" s="79"/>
      <c r="K48" s="79" t="s">
        <v>1501</v>
      </c>
      <c r="L48" s="79"/>
      <c r="M48" s="79"/>
      <c r="N48" s="4" t="s">
        <v>1501</v>
      </c>
      <c r="O48" s="4" t="s">
        <v>1501</v>
      </c>
    </row>
    <row r="49" ht="15.75" customHeight="1">
      <c r="A49" s="80">
        <v>46122.0</v>
      </c>
      <c r="B49" s="79" t="s">
        <v>1446</v>
      </c>
      <c r="C49" s="79" t="s">
        <v>1501</v>
      </c>
      <c r="D49" s="83">
        <v>-130000.0</v>
      </c>
      <c r="E49" s="79"/>
      <c r="F49" s="79"/>
      <c r="G49" s="79" t="s">
        <v>79</v>
      </c>
      <c r="H49" s="82">
        <v>46113.0</v>
      </c>
      <c r="I49" s="79"/>
      <c r="J49" s="79"/>
      <c r="K49" s="79" t="s">
        <v>1501</v>
      </c>
      <c r="L49" s="79"/>
      <c r="M49" s="79"/>
      <c r="N49" s="4" t="s">
        <v>1501</v>
      </c>
      <c r="O49" s="4" t="s">
        <v>1501</v>
      </c>
    </row>
    <row r="50" ht="15.75" customHeight="1">
      <c r="A50" s="80">
        <v>46122.0</v>
      </c>
      <c r="B50" s="79" t="s">
        <v>1446</v>
      </c>
      <c r="C50" s="79" t="s">
        <v>1501</v>
      </c>
      <c r="D50" s="83">
        <v>-512973.0</v>
      </c>
      <c r="E50" s="79"/>
      <c r="F50" s="79"/>
      <c r="G50" s="79" t="s">
        <v>79</v>
      </c>
      <c r="H50" s="82">
        <v>46113.0</v>
      </c>
      <c r="I50" s="79"/>
      <c r="J50" s="79"/>
      <c r="K50" s="79" t="s">
        <v>1501</v>
      </c>
      <c r="L50" s="79"/>
      <c r="M50" s="79"/>
      <c r="N50" s="4" t="s">
        <v>1501</v>
      </c>
      <c r="O50" s="4" t="s">
        <v>1501</v>
      </c>
    </row>
    <row r="51" ht="15.75" customHeight="1">
      <c r="A51" s="80">
        <v>46122.0</v>
      </c>
      <c r="B51" s="79" t="s">
        <v>1446</v>
      </c>
      <c r="C51" s="79" t="s">
        <v>1501</v>
      </c>
      <c r="D51" s="83">
        <v>-100000.0</v>
      </c>
      <c r="E51" s="79"/>
      <c r="F51" s="79"/>
      <c r="G51" s="79" t="s">
        <v>79</v>
      </c>
      <c r="H51" s="82">
        <v>46113.0</v>
      </c>
      <c r="I51" s="79"/>
      <c r="J51" s="79"/>
      <c r="K51" s="79" t="s">
        <v>1501</v>
      </c>
      <c r="L51" s="79"/>
      <c r="M51" s="79"/>
      <c r="N51" s="4" t="s">
        <v>1501</v>
      </c>
      <c r="O51" s="4" t="s">
        <v>1501</v>
      </c>
    </row>
    <row r="52" ht="15.75" customHeight="1">
      <c r="A52" s="80">
        <v>46122.0</v>
      </c>
      <c r="B52" s="79" t="s">
        <v>1446</v>
      </c>
      <c r="C52" s="79" t="s">
        <v>1501</v>
      </c>
      <c r="D52" s="83">
        <v>-14600.0</v>
      </c>
      <c r="E52" s="79"/>
      <c r="F52" s="79"/>
      <c r="G52" s="79" t="s">
        <v>79</v>
      </c>
      <c r="H52" s="82">
        <v>46113.0</v>
      </c>
      <c r="I52" s="79"/>
      <c r="J52" s="79"/>
      <c r="K52" s="79" t="s">
        <v>1501</v>
      </c>
      <c r="L52" s="79"/>
      <c r="M52" s="79"/>
      <c r="N52" s="4" t="s">
        <v>1501</v>
      </c>
      <c r="O52" s="4" t="s">
        <v>1501</v>
      </c>
    </row>
    <row r="53" ht="15.75" customHeight="1">
      <c r="A53" s="80">
        <v>46122.0</v>
      </c>
      <c r="B53" s="79" t="s">
        <v>1492</v>
      </c>
      <c r="C53" s="79" t="s">
        <v>1502</v>
      </c>
      <c r="D53" s="83">
        <v>2700000.0</v>
      </c>
      <c r="E53" s="79"/>
      <c r="F53" s="79"/>
      <c r="G53" s="79" t="s">
        <v>79</v>
      </c>
      <c r="H53" s="82">
        <v>46113.0</v>
      </c>
      <c r="I53" s="79"/>
      <c r="J53" s="79"/>
      <c r="K53" s="79" t="s">
        <v>1503</v>
      </c>
      <c r="L53" s="79"/>
      <c r="M53" s="79"/>
      <c r="N53" s="4" t="s">
        <v>1503</v>
      </c>
      <c r="O53" s="4" t="s">
        <v>1503</v>
      </c>
    </row>
    <row r="54" ht="15.75" customHeight="1">
      <c r="A54" s="80">
        <v>46125.0</v>
      </c>
      <c r="B54" s="79" t="s">
        <v>1446</v>
      </c>
      <c r="C54" s="79" t="s">
        <v>1501</v>
      </c>
      <c r="D54" s="83">
        <v>-5000.0</v>
      </c>
      <c r="E54" s="79"/>
      <c r="F54" s="79"/>
      <c r="G54" s="79" t="s">
        <v>79</v>
      </c>
      <c r="H54" s="82">
        <v>46113.0</v>
      </c>
      <c r="I54" s="79"/>
      <c r="J54" s="79"/>
      <c r="K54" s="79" t="s">
        <v>1501</v>
      </c>
      <c r="L54" s="79"/>
      <c r="M54" s="79"/>
      <c r="N54" s="4" t="s">
        <v>1501</v>
      </c>
      <c r="O54" s="4" t="s">
        <v>1501</v>
      </c>
    </row>
    <row r="55" ht="15.75" customHeight="1">
      <c r="A55" s="80">
        <v>46125.0</v>
      </c>
      <c r="B55" s="79" t="s">
        <v>1446</v>
      </c>
      <c r="C55" s="79" t="s">
        <v>1501</v>
      </c>
      <c r="D55" s="83">
        <v>-11500.0</v>
      </c>
      <c r="E55" s="79"/>
      <c r="F55" s="79"/>
      <c r="G55" s="79" t="s">
        <v>79</v>
      </c>
      <c r="H55" s="82">
        <v>46113.0</v>
      </c>
      <c r="I55" s="79"/>
      <c r="J55" s="79"/>
      <c r="K55" s="79" t="s">
        <v>1501</v>
      </c>
      <c r="L55" s="79"/>
      <c r="M55" s="79"/>
      <c r="N55" s="4" t="s">
        <v>1501</v>
      </c>
      <c r="O55" s="4" t="s">
        <v>1501</v>
      </c>
    </row>
    <row r="56" ht="15.75" customHeight="1">
      <c r="A56" s="80">
        <v>46125.0</v>
      </c>
      <c r="B56" s="79" t="s">
        <v>1446</v>
      </c>
      <c r="C56" s="79" t="s">
        <v>1501</v>
      </c>
      <c r="D56" s="83">
        <v>-1100.0</v>
      </c>
      <c r="E56" s="79"/>
      <c r="F56" s="79"/>
      <c r="G56" s="79" t="s">
        <v>79</v>
      </c>
      <c r="H56" s="82">
        <v>46113.0</v>
      </c>
      <c r="I56" s="79"/>
      <c r="J56" s="79"/>
      <c r="K56" s="79" t="s">
        <v>1501</v>
      </c>
      <c r="L56" s="79"/>
      <c r="M56" s="79"/>
      <c r="N56" s="4" t="s">
        <v>1501</v>
      </c>
      <c r="O56" s="4" t="s">
        <v>1501</v>
      </c>
    </row>
    <row r="57" ht="15.75" customHeight="1">
      <c r="A57" s="80">
        <v>46125.0</v>
      </c>
      <c r="B57" s="79" t="s">
        <v>1446</v>
      </c>
      <c r="C57" s="79" t="s">
        <v>1501</v>
      </c>
      <c r="D57" s="83">
        <v>-7100.0</v>
      </c>
      <c r="E57" s="79"/>
      <c r="F57" s="79"/>
      <c r="G57" s="79" t="s">
        <v>79</v>
      </c>
      <c r="H57" s="82">
        <v>46113.0</v>
      </c>
      <c r="I57" s="79"/>
      <c r="J57" s="79"/>
      <c r="K57" s="79" t="s">
        <v>1501</v>
      </c>
      <c r="L57" s="79"/>
      <c r="M57" s="79"/>
      <c r="N57" s="4" t="s">
        <v>1501</v>
      </c>
      <c r="O57" s="4" t="s">
        <v>1501</v>
      </c>
    </row>
    <row r="58" ht="15.75" customHeight="1">
      <c r="A58" s="80">
        <v>46125.0</v>
      </c>
      <c r="B58" s="79" t="s">
        <v>1504</v>
      </c>
      <c r="C58" s="99" t="s">
        <v>282</v>
      </c>
      <c r="D58" s="83">
        <v>-1100.0</v>
      </c>
      <c r="E58" s="79"/>
      <c r="F58" s="79"/>
      <c r="G58" s="79" t="s">
        <v>79</v>
      </c>
      <c r="H58" s="82">
        <v>46113.0</v>
      </c>
      <c r="I58" s="79"/>
      <c r="J58" s="79"/>
      <c r="K58" s="99" t="s">
        <v>282</v>
      </c>
      <c r="L58" s="79"/>
      <c r="M58" s="79"/>
      <c r="N58" s="4" t="s">
        <v>282</v>
      </c>
      <c r="O58" s="4" t="s">
        <v>282</v>
      </c>
    </row>
    <row r="59" ht="15.75" customHeight="1">
      <c r="A59" s="80">
        <v>46125.0</v>
      </c>
      <c r="B59" s="79" t="s">
        <v>1496</v>
      </c>
      <c r="C59" s="79" t="s">
        <v>1505</v>
      </c>
      <c r="D59" s="83">
        <v>-7100.0</v>
      </c>
      <c r="E59" s="79"/>
      <c r="F59" s="79"/>
      <c r="G59" s="79" t="s">
        <v>79</v>
      </c>
      <c r="H59" s="82">
        <v>46113.0</v>
      </c>
      <c r="I59" s="79"/>
      <c r="J59" s="79"/>
      <c r="K59" s="79" t="s">
        <v>1505</v>
      </c>
      <c r="L59" s="79"/>
      <c r="M59" s="79"/>
      <c r="N59" s="4" t="s">
        <v>1505</v>
      </c>
      <c r="O59" s="4" t="s">
        <v>1505</v>
      </c>
    </row>
    <row r="60" ht="15.75" customHeight="1">
      <c r="A60" s="80">
        <v>46126.0</v>
      </c>
      <c r="B60" s="79" t="s">
        <v>1446</v>
      </c>
      <c r="C60" s="79" t="s">
        <v>321</v>
      </c>
      <c r="D60" s="83">
        <v>198000.0</v>
      </c>
      <c r="E60" s="79"/>
      <c r="F60" s="79"/>
      <c r="G60" s="79" t="s">
        <v>79</v>
      </c>
      <c r="H60" s="82">
        <v>46113.0</v>
      </c>
      <c r="I60" s="79"/>
      <c r="J60" s="79"/>
      <c r="K60" s="79" t="s">
        <v>321</v>
      </c>
      <c r="L60" s="79">
        <v>2833.0</v>
      </c>
      <c r="M60" s="79">
        <v>0.0</v>
      </c>
      <c r="N60" s="4" t="s">
        <v>321</v>
      </c>
      <c r="O60" s="4" t="s">
        <v>321</v>
      </c>
    </row>
    <row r="61" ht="15.75" customHeight="1">
      <c r="A61" s="89">
        <v>46127.0</v>
      </c>
      <c r="B61" s="90" t="s">
        <v>1441</v>
      </c>
      <c r="C61" s="90" t="s">
        <v>1506</v>
      </c>
      <c r="D61" s="91">
        <v>50270.0</v>
      </c>
      <c r="E61" s="90" t="s">
        <v>1507</v>
      </c>
      <c r="F61" s="90" t="s">
        <v>1508</v>
      </c>
      <c r="G61" s="90" t="s">
        <v>156</v>
      </c>
      <c r="H61" s="92">
        <v>46113.0</v>
      </c>
      <c r="I61" s="90"/>
      <c r="J61" s="90"/>
      <c r="K61" s="90" t="s">
        <v>1506</v>
      </c>
      <c r="L61" s="90">
        <v>2834.0</v>
      </c>
      <c r="M61" s="90">
        <v>0.0</v>
      </c>
      <c r="N61" s="4" t="s">
        <v>1506</v>
      </c>
      <c r="O61" s="4" t="s">
        <v>1506</v>
      </c>
      <c r="P61" s="4"/>
      <c r="Q61" s="4"/>
      <c r="R61" s="4"/>
      <c r="S61" s="4"/>
      <c r="T61" s="4"/>
    </row>
    <row r="62" ht="15.75" customHeight="1">
      <c r="A62" s="100">
        <v>46127.0</v>
      </c>
      <c r="B62" s="101" t="s">
        <v>1446</v>
      </c>
      <c r="C62" s="101" t="s">
        <v>322</v>
      </c>
      <c r="D62" s="102">
        <v>440822.0</v>
      </c>
      <c r="E62" s="101"/>
      <c r="F62" s="101"/>
      <c r="G62" s="101" t="s">
        <v>57</v>
      </c>
      <c r="H62" s="103">
        <v>46113.0</v>
      </c>
      <c r="I62" s="101" t="s">
        <v>162</v>
      </c>
      <c r="J62" s="101">
        <v>0.0</v>
      </c>
      <c r="K62" s="101" t="s">
        <v>322</v>
      </c>
      <c r="L62" s="101">
        <v>2836.0</v>
      </c>
      <c r="M62" s="101">
        <v>0.0</v>
      </c>
      <c r="N62" s="4" t="s">
        <v>322</v>
      </c>
      <c r="O62" s="4" t="s">
        <v>322</v>
      </c>
      <c r="P62" s="4"/>
      <c r="Q62" s="4"/>
      <c r="R62" s="4"/>
      <c r="S62" s="4"/>
      <c r="T62" s="4"/>
    </row>
    <row r="63" ht="15.75" customHeight="1">
      <c r="A63" s="80">
        <v>46127.0</v>
      </c>
      <c r="B63" s="79" t="s">
        <v>1446</v>
      </c>
      <c r="C63" s="79" t="s">
        <v>323</v>
      </c>
      <c r="D63" s="83">
        <v>14520.0</v>
      </c>
      <c r="E63" s="79"/>
      <c r="F63" s="79"/>
      <c r="G63" s="79" t="s">
        <v>79</v>
      </c>
      <c r="H63" s="97">
        <v>46113.0</v>
      </c>
      <c r="I63" s="79"/>
      <c r="J63" s="79"/>
      <c r="K63" s="79" t="s">
        <v>323</v>
      </c>
      <c r="L63" s="79">
        <v>2837.0</v>
      </c>
      <c r="M63" s="79">
        <v>0.0</v>
      </c>
      <c r="N63" s="4" t="s">
        <v>323</v>
      </c>
      <c r="O63" s="4" t="s">
        <v>323</v>
      </c>
    </row>
    <row r="64" ht="15.75" customHeight="1">
      <c r="A64" s="80">
        <v>46127.0</v>
      </c>
      <c r="B64" s="79" t="s">
        <v>1455</v>
      </c>
      <c r="C64" s="79" t="s">
        <v>1456</v>
      </c>
      <c r="D64" s="83">
        <v>187886.0</v>
      </c>
      <c r="E64" s="79"/>
      <c r="F64" s="79"/>
      <c r="G64" s="79" t="s">
        <v>79</v>
      </c>
      <c r="H64" s="97">
        <v>46113.0</v>
      </c>
      <c r="I64" s="79"/>
      <c r="J64" s="79"/>
      <c r="K64" s="79" t="s">
        <v>1456</v>
      </c>
      <c r="L64" s="79">
        <v>2838.0</v>
      </c>
      <c r="M64" s="79">
        <v>0.0</v>
      </c>
      <c r="N64" s="4" t="s">
        <v>1456</v>
      </c>
      <c r="O64" s="4" t="s">
        <v>1456</v>
      </c>
    </row>
    <row r="65" ht="15.75" customHeight="1">
      <c r="A65" s="89">
        <v>46128.0</v>
      </c>
      <c r="B65" s="90" t="s">
        <v>1441</v>
      </c>
      <c r="C65" s="90" t="s">
        <v>1509</v>
      </c>
      <c r="D65" s="91">
        <v>75000.0</v>
      </c>
      <c r="E65" s="90" t="s">
        <v>1161</v>
      </c>
      <c r="F65" s="90" t="s">
        <v>1169</v>
      </c>
      <c r="G65" s="90" t="s">
        <v>156</v>
      </c>
      <c r="H65" s="98">
        <v>46113.0</v>
      </c>
      <c r="I65" s="90"/>
      <c r="J65" s="90"/>
      <c r="K65" s="90" t="s">
        <v>1509</v>
      </c>
      <c r="L65" s="90">
        <v>2835.0</v>
      </c>
      <c r="M65" s="90">
        <v>0.0</v>
      </c>
      <c r="N65" s="4" t="s">
        <v>1509</v>
      </c>
      <c r="O65" s="4" t="s">
        <v>1509</v>
      </c>
      <c r="P65" s="4"/>
      <c r="Q65" s="4"/>
      <c r="R65" s="4"/>
      <c r="S65" s="4"/>
      <c r="T65" s="4"/>
    </row>
    <row r="66" ht="15.75" customHeight="1">
      <c r="A66" s="89">
        <v>46129.0</v>
      </c>
      <c r="B66" s="90" t="s">
        <v>1441</v>
      </c>
      <c r="C66" s="90" t="s">
        <v>1510</v>
      </c>
      <c r="D66" s="91">
        <v>210000.0</v>
      </c>
      <c r="E66" s="90" t="s">
        <v>1135</v>
      </c>
      <c r="F66" s="90" t="s">
        <v>320</v>
      </c>
      <c r="G66" s="90" t="s">
        <v>156</v>
      </c>
      <c r="H66" s="98">
        <v>46113.0</v>
      </c>
      <c r="I66" s="90"/>
      <c r="J66" s="90"/>
      <c r="K66" s="90" t="s">
        <v>1510</v>
      </c>
      <c r="L66" s="90">
        <v>2857.0</v>
      </c>
      <c r="M66" s="90">
        <v>0.0</v>
      </c>
      <c r="N66" s="4" t="s">
        <v>1510</v>
      </c>
      <c r="O66" s="4" t="s">
        <v>1510</v>
      </c>
      <c r="P66" s="4"/>
      <c r="Q66" s="4"/>
      <c r="R66" s="4"/>
      <c r="S66" s="4"/>
      <c r="T66" s="4"/>
    </row>
    <row r="67" ht="15.75" customHeight="1">
      <c r="A67" s="80">
        <v>46129.0</v>
      </c>
      <c r="B67" s="79" t="s">
        <v>1446</v>
      </c>
      <c r="C67" s="79" t="s">
        <v>1511</v>
      </c>
      <c r="D67" s="83">
        <v>-39553.0</v>
      </c>
      <c r="E67" s="79"/>
      <c r="F67" s="79"/>
      <c r="G67" s="79" t="s">
        <v>79</v>
      </c>
      <c r="H67" s="82">
        <v>46113.0</v>
      </c>
      <c r="I67" s="79"/>
      <c r="J67" s="79"/>
      <c r="K67" s="4" t="s">
        <v>1512</v>
      </c>
      <c r="L67" s="79"/>
      <c r="M67" s="79"/>
      <c r="N67" s="4" t="s">
        <v>1512</v>
      </c>
      <c r="O67" s="4" t="s">
        <v>1512</v>
      </c>
    </row>
    <row r="68" ht="15.75" customHeight="1">
      <c r="A68" s="89">
        <v>46132.0</v>
      </c>
      <c r="B68" s="90" t="s">
        <v>1446</v>
      </c>
      <c r="C68" s="90" t="s">
        <v>328</v>
      </c>
      <c r="D68" s="91">
        <v>1132941.0</v>
      </c>
      <c r="E68" s="90" t="s">
        <v>1101</v>
      </c>
      <c r="F68" s="90" t="s">
        <v>185</v>
      </c>
      <c r="G68" s="90" t="s">
        <v>156</v>
      </c>
      <c r="H68" s="92">
        <v>46113.0</v>
      </c>
      <c r="I68" s="90"/>
      <c r="J68" s="90"/>
      <c r="K68" s="90" t="s">
        <v>328</v>
      </c>
      <c r="L68" s="90">
        <v>2874.0</v>
      </c>
      <c r="M68" s="90">
        <v>0.0</v>
      </c>
      <c r="N68" s="4" t="s">
        <v>328</v>
      </c>
      <c r="O68" s="4" t="s">
        <v>328</v>
      </c>
      <c r="P68" s="4"/>
      <c r="Q68" s="4"/>
      <c r="R68" s="4"/>
      <c r="S68" s="4"/>
      <c r="T68" s="4"/>
    </row>
    <row r="69" ht="15.75" customHeight="1">
      <c r="A69" s="80">
        <v>46132.0</v>
      </c>
      <c r="B69" s="79" t="s">
        <v>1446</v>
      </c>
      <c r="C69" s="79" t="s">
        <v>1513</v>
      </c>
      <c r="D69" s="83">
        <v>-1000000.0</v>
      </c>
      <c r="E69" s="79"/>
      <c r="F69" s="79"/>
      <c r="G69" s="79" t="s">
        <v>79</v>
      </c>
      <c r="H69" s="82">
        <v>46113.0</v>
      </c>
      <c r="I69" s="79"/>
      <c r="J69" s="79"/>
      <c r="K69" s="79" t="s">
        <v>1513</v>
      </c>
      <c r="L69" s="79"/>
      <c r="M69" s="79"/>
      <c r="N69" s="4" t="s">
        <v>1513</v>
      </c>
      <c r="O69" s="4" t="s">
        <v>1513</v>
      </c>
    </row>
    <row r="70" ht="15.75" customHeight="1">
      <c r="A70" s="80">
        <v>46132.0</v>
      </c>
      <c r="B70" s="79" t="s">
        <v>1446</v>
      </c>
      <c r="C70" s="79" t="s">
        <v>1513</v>
      </c>
      <c r="D70" s="83">
        <v>-164900.0</v>
      </c>
      <c r="E70" s="79"/>
      <c r="F70" s="79"/>
      <c r="G70" s="79" t="s">
        <v>79</v>
      </c>
      <c r="H70" s="82">
        <v>46113.0</v>
      </c>
      <c r="I70" s="79"/>
      <c r="J70" s="79"/>
      <c r="K70" s="79" t="s">
        <v>1513</v>
      </c>
      <c r="L70" s="79"/>
      <c r="M70" s="79"/>
      <c r="N70" s="4" t="s">
        <v>1513</v>
      </c>
      <c r="O70" s="4" t="s">
        <v>1513</v>
      </c>
    </row>
    <row r="71" ht="15.75" customHeight="1">
      <c r="A71" s="80">
        <v>46132.0</v>
      </c>
      <c r="B71" s="79" t="s">
        <v>1446</v>
      </c>
      <c r="C71" s="79" t="s">
        <v>1513</v>
      </c>
      <c r="D71" s="83">
        <v>-150000.0</v>
      </c>
      <c r="E71" s="79"/>
      <c r="F71" s="79"/>
      <c r="G71" s="79" t="s">
        <v>79</v>
      </c>
      <c r="H71" s="82">
        <v>46113.0</v>
      </c>
      <c r="I71" s="79"/>
      <c r="J71" s="79"/>
      <c r="K71" s="79" t="s">
        <v>1513</v>
      </c>
      <c r="L71" s="79"/>
      <c r="M71" s="79"/>
      <c r="N71" s="4" t="s">
        <v>1513</v>
      </c>
      <c r="O71" s="4" t="s">
        <v>1513</v>
      </c>
    </row>
    <row r="72" ht="15.75" customHeight="1">
      <c r="A72" s="80">
        <v>46132.0</v>
      </c>
      <c r="B72" s="79" t="s">
        <v>1483</v>
      </c>
      <c r="C72" s="79" t="s">
        <v>1487</v>
      </c>
      <c r="D72" s="83">
        <v>-1100.0</v>
      </c>
      <c r="E72" s="79"/>
      <c r="F72" s="79"/>
      <c r="G72" s="79" t="s">
        <v>79</v>
      </c>
      <c r="H72" s="82">
        <v>46113.0</v>
      </c>
      <c r="I72" s="79"/>
      <c r="J72" s="79"/>
      <c r="K72" s="79" t="s">
        <v>1487</v>
      </c>
      <c r="L72" s="79"/>
      <c r="M72" s="79"/>
      <c r="N72" s="4" t="s">
        <v>1487</v>
      </c>
      <c r="O72" s="4" t="s">
        <v>1487</v>
      </c>
    </row>
    <row r="73" ht="15.75" customHeight="1">
      <c r="A73" s="80">
        <v>46132.0</v>
      </c>
      <c r="B73" s="79" t="s">
        <v>1514</v>
      </c>
      <c r="C73" s="79" t="s">
        <v>1515</v>
      </c>
      <c r="D73" s="83">
        <v>-3630.0</v>
      </c>
      <c r="E73" s="79"/>
      <c r="F73" s="79"/>
      <c r="G73" s="79" t="s">
        <v>79</v>
      </c>
      <c r="H73" s="82">
        <v>46113.0</v>
      </c>
      <c r="I73" s="79"/>
      <c r="J73" s="79"/>
      <c r="K73" s="79" t="s">
        <v>1515</v>
      </c>
      <c r="L73" s="79"/>
      <c r="M73" s="79"/>
      <c r="N73" s="4" t="s">
        <v>1515</v>
      </c>
      <c r="O73" s="4" t="s">
        <v>1515</v>
      </c>
    </row>
    <row r="74" ht="15.75" customHeight="1">
      <c r="A74" s="80">
        <v>46132.0</v>
      </c>
      <c r="B74" s="79" t="s">
        <v>1514</v>
      </c>
      <c r="C74" s="79" t="s">
        <v>1516</v>
      </c>
      <c r="D74" s="83">
        <v>-11374.0</v>
      </c>
      <c r="E74" s="79"/>
      <c r="F74" s="79"/>
      <c r="G74" s="79" t="s">
        <v>79</v>
      </c>
      <c r="H74" s="82">
        <v>46113.0</v>
      </c>
      <c r="I74" s="79"/>
      <c r="J74" s="79"/>
      <c r="K74" s="79" t="s">
        <v>1516</v>
      </c>
      <c r="L74" s="79"/>
      <c r="M74" s="79"/>
      <c r="N74" s="4" t="s">
        <v>1516</v>
      </c>
      <c r="O74" s="4" t="s">
        <v>1516</v>
      </c>
    </row>
    <row r="75" ht="15.75" customHeight="1">
      <c r="A75" s="80">
        <v>46132.0</v>
      </c>
      <c r="B75" s="79" t="s">
        <v>1514</v>
      </c>
      <c r="C75" s="79" t="s">
        <v>1517</v>
      </c>
      <c r="D75" s="83">
        <v>-4521.0</v>
      </c>
      <c r="E75" s="79"/>
      <c r="F75" s="79"/>
      <c r="G75" s="79" t="s">
        <v>79</v>
      </c>
      <c r="H75" s="82">
        <v>46113.0</v>
      </c>
      <c r="I75" s="79"/>
      <c r="J75" s="79"/>
      <c r="K75" s="79" t="s">
        <v>1517</v>
      </c>
      <c r="L75" s="79"/>
      <c r="M75" s="79"/>
      <c r="N75" s="4" t="s">
        <v>1517</v>
      </c>
      <c r="O75" s="4" t="s">
        <v>1517</v>
      </c>
    </row>
    <row r="76" ht="15.75" customHeight="1">
      <c r="A76" s="80">
        <v>46132.0</v>
      </c>
      <c r="B76" s="79" t="s">
        <v>1446</v>
      </c>
      <c r="C76" s="79" t="s">
        <v>1501</v>
      </c>
      <c r="D76" s="83">
        <v>-1650.0</v>
      </c>
      <c r="E76" s="79"/>
      <c r="F76" s="79"/>
      <c r="G76" s="79" t="s">
        <v>79</v>
      </c>
      <c r="H76" s="82">
        <v>46113.0</v>
      </c>
      <c r="I76" s="79"/>
      <c r="J76" s="79"/>
      <c r="K76" s="79" t="s">
        <v>1501</v>
      </c>
      <c r="L76" s="79"/>
      <c r="M76" s="79"/>
      <c r="N76" s="4" t="s">
        <v>1501</v>
      </c>
      <c r="O76" s="4" t="s">
        <v>1501</v>
      </c>
    </row>
    <row r="77" ht="15.75" customHeight="1">
      <c r="A77" s="80">
        <v>46132.0</v>
      </c>
      <c r="B77" s="79" t="s">
        <v>1518</v>
      </c>
      <c r="C77" s="79" t="s">
        <v>1519</v>
      </c>
      <c r="D77" s="83">
        <v>-1650.0</v>
      </c>
      <c r="E77" s="79"/>
      <c r="F77" s="79"/>
      <c r="G77" s="79" t="s">
        <v>79</v>
      </c>
      <c r="H77" s="82">
        <v>46113.0</v>
      </c>
      <c r="I77" s="79"/>
      <c r="J77" s="79"/>
      <c r="K77" s="79" t="s">
        <v>1519</v>
      </c>
      <c r="L77" s="79"/>
      <c r="M77" s="79"/>
      <c r="N77" s="4" t="s">
        <v>1519</v>
      </c>
      <c r="O77" s="4" t="s">
        <v>1519</v>
      </c>
    </row>
    <row r="78" ht="15.75" customHeight="1">
      <c r="A78" s="80">
        <v>46132.0</v>
      </c>
      <c r="B78" s="79" t="s">
        <v>46</v>
      </c>
      <c r="C78" s="79" t="s">
        <v>1520</v>
      </c>
      <c r="D78" s="83">
        <v>-150000.0</v>
      </c>
      <c r="E78" s="79"/>
      <c r="F78" s="79"/>
      <c r="G78" s="79" t="s">
        <v>79</v>
      </c>
      <c r="H78" s="82">
        <v>46113.0</v>
      </c>
      <c r="I78" s="79"/>
      <c r="J78" s="79"/>
      <c r="K78" s="79" t="s">
        <v>1521</v>
      </c>
      <c r="L78" s="79"/>
      <c r="M78" s="79"/>
      <c r="N78" s="4" t="s">
        <v>1521</v>
      </c>
      <c r="O78" s="4" t="s">
        <v>1521</v>
      </c>
    </row>
    <row r="79" ht="15.75" customHeight="1">
      <c r="A79" s="80">
        <v>46132.0</v>
      </c>
      <c r="B79" s="79" t="s">
        <v>1522</v>
      </c>
      <c r="C79" s="79" t="s">
        <v>1523</v>
      </c>
      <c r="D79" s="83">
        <v>-1000000.0</v>
      </c>
      <c r="E79" s="79"/>
      <c r="F79" s="79"/>
      <c r="G79" s="79" t="s">
        <v>79</v>
      </c>
      <c r="H79" s="82">
        <v>46113.0</v>
      </c>
      <c r="I79" s="79"/>
      <c r="J79" s="79"/>
      <c r="K79" s="79" t="s">
        <v>1523</v>
      </c>
      <c r="L79" s="79"/>
      <c r="M79" s="79"/>
      <c r="N79" s="4" t="s">
        <v>1523</v>
      </c>
      <c r="O79" s="4" t="s">
        <v>1523</v>
      </c>
    </row>
    <row r="80" ht="15.75" customHeight="1">
      <c r="A80" s="80">
        <v>46132.0</v>
      </c>
      <c r="B80" s="79" t="s">
        <v>1522</v>
      </c>
      <c r="C80" s="79" t="s">
        <v>1523</v>
      </c>
      <c r="D80" s="83">
        <v>-164900.0</v>
      </c>
      <c r="E80" s="79"/>
      <c r="F80" s="79"/>
      <c r="G80" s="79" t="s">
        <v>79</v>
      </c>
      <c r="H80" s="82">
        <v>46113.0</v>
      </c>
      <c r="I80" s="79"/>
      <c r="J80" s="79"/>
      <c r="K80" s="79" t="s">
        <v>1523</v>
      </c>
      <c r="L80" s="79"/>
      <c r="M80" s="79"/>
      <c r="N80" s="4" t="s">
        <v>1523</v>
      </c>
      <c r="O80" s="4" t="s">
        <v>1523</v>
      </c>
    </row>
    <row r="81" ht="15.75" customHeight="1">
      <c r="A81" s="100">
        <v>46133.0</v>
      </c>
      <c r="B81" s="101" t="s">
        <v>1446</v>
      </c>
      <c r="C81" s="101" t="s">
        <v>326</v>
      </c>
      <c r="D81" s="102">
        <v>64350.0</v>
      </c>
      <c r="E81" s="101"/>
      <c r="F81" s="101"/>
      <c r="G81" s="101" t="s">
        <v>57</v>
      </c>
      <c r="H81" s="104">
        <v>46113.0</v>
      </c>
      <c r="I81" s="101"/>
      <c r="J81" s="101"/>
      <c r="K81" s="101" t="s">
        <v>326</v>
      </c>
      <c r="L81" s="101">
        <v>2899.0</v>
      </c>
      <c r="M81" s="101">
        <v>0.0</v>
      </c>
      <c r="N81" s="4" t="s">
        <v>326</v>
      </c>
      <c r="O81" s="4" t="s">
        <v>326</v>
      </c>
      <c r="P81" s="4"/>
      <c r="Q81" s="4"/>
      <c r="R81" s="4"/>
      <c r="S81" s="4"/>
      <c r="T81" s="4"/>
    </row>
    <row r="82" ht="15.75" customHeight="1">
      <c r="A82" s="80">
        <v>46135.0</v>
      </c>
      <c r="B82" s="79" t="s">
        <v>1446</v>
      </c>
      <c r="C82" s="79" t="s">
        <v>328</v>
      </c>
      <c r="D82" s="83">
        <v>57310.0</v>
      </c>
      <c r="E82" s="79"/>
      <c r="F82" s="79"/>
      <c r="G82" s="79" t="s">
        <v>79</v>
      </c>
      <c r="H82" s="97">
        <v>46113.0</v>
      </c>
      <c r="I82" s="79"/>
      <c r="J82" s="79"/>
      <c r="K82" s="79" t="s">
        <v>328</v>
      </c>
      <c r="L82" s="79">
        <v>2900.0</v>
      </c>
      <c r="M82" s="79">
        <v>0.0</v>
      </c>
      <c r="N82" s="4" t="s">
        <v>328</v>
      </c>
      <c r="O82" s="4" t="s">
        <v>328</v>
      </c>
    </row>
    <row r="83" ht="15.75" customHeight="1">
      <c r="A83" s="80">
        <v>46135.0</v>
      </c>
      <c r="B83" s="79" t="s">
        <v>1524</v>
      </c>
      <c r="C83" s="79" t="s">
        <v>1525</v>
      </c>
      <c r="D83" s="83">
        <v>-12160.0</v>
      </c>
      <c r="E83" s="79"/>
      <c r="F83" s="79"/>
      <c r="G83" s="79" t="s">
        <v>79</v>
      </c>
      <c r="H83" s="82">
        <v>46113.0</v>
      </c>
      <c r="I83" s="79"/>
      <c r="J83" s="79"/>
      <c r="K83" s="79" t="s">
        <v>1525</v>
      </c>
      <c r="L83" s="79"/>
      <c r="M83" s="79"/>
      <c r="N83" s="4" t="s">
        <v>1525</v>
      </c>
      <c r="O83" s="4" t="s">
        <v>1525</v>
      </c>
    </row>
    <row r="84" ht="15.75" customHeight="1">
      <c r="A84" s="80">
        <v>46135.0</v>
      </c>
      <c r="B84" s="79" t="s">
        <v>1526</v>
      </c>
      <c r="C84" s="79" t="s">
        <v>1527</v>
      </c>
      <c r="D84" s="83">
        <v>-33000.0</v>
      </c>
      <c r="E84" s="79"/>
      <c r="F84" s="79"/>
      <c r="G84" s="79" t="s">
        <v>79</v>
      </c>
      <c r="H84" s="82">
        <v>46113.0</v>
      </c>
      <c r="I84" s="79"/>
      <c r="J84" s="79"/>
      <c r="K84" s="79" t="s">
        <v>1527</v>
      </c>
      <c r="L84" s="79"/>
      <c r="M84" s="79"/>
      <c r="N84" s="4" t="s">
        <v>1527</v>
      </c>
      <c r="O84" s="4" t="s">
        <v>1527</v>
      </c>
    </row>
    <row r="85" ht="15.75" customHeight="1">
      <c r="A85" s="80">
        <v>46135.0</v>
      </c>
      <c r="B85" s="79" t="s">
        <v>1446</v>
      </c>
      <c r="C85" s="79"/>
      <c r="D85" s="83">
        <v>-47745.0</v>
      </c>
      <c r="E85" s="79"/>
      <c r="F85" s="79"/>
      <c r="G85" s="79" t="s">
        <v>79</v>
      </c>
      <c r="H85" s="82">
        <v>46113.0</v>
      </c>
      <c r="I85" s="79"/>
      <c r="J85" s="79"/>
      <c r="K85" s="4" t="s">
        <v>1528</v>
      </c>
      <c r="L85" s="79"/>
      <c r="M85" s="79"/>
      <c r="N85" s="4" t="s">
        <v>1528</v>
      </c>
      <c r="O85" s="4" t="s">
        <v>1528</v>
      </c>
    </row>
    <row r="86" ht="15.75" customHeight="1">
      <c r="A86" s="80">
        <v>46135.0</v>
      </c>
      <c r="B86" s="79" t="s">
        <v>1446</v>
      </c>
      <c r="C86" s="79" t="s">
        <v>1529</v>
      </c>
      <c r="D86" s="83">
        <v>-33000.0</v>
      </c>
      <c r="E86" s="79"/>
      <c r="F86" s="79"/>
      <c r="G86" s="79" t="s">
        <v>79</v>
      </c>
      <c r="H86" s="82">
        <v>46113.0</v>
      </c>
      <c r="I86" s="79"/>
      <c r="J86" s="79"/>
      <c r="K86" s="79" t="s">
        <v>1529</v>
      </c>
      <c r="L86" s="79"/>
      <c r="M86" s="79"/>
      <c r="N86" s="4" t="s">
        <v>1529</v>
      </c>
      <c r="O86" s="4" t="s">
        <v>1529</v>
      </c>
    </row>
    <row r="87" ht="15.75" customHeight="1">
      <c r="A87" s="89">
        <v>46136.0</v>
      </c>
      <c r="B87" s="90" t="s">
        <v>1441</v>
      </c>
      <c r="C87" s="90" t="s">
        <v>332</v>
      </c>
      <c r="D87" s="91">
        <v>200000.0</v>
      </c>
      <c r="E87" s="90" t="s">
        <v>333</v>
      </c>
      <c r="F87" s="90" t="s">
        <v>334</v>
      </c>
      <c r="G87" s="90" t="s">
        <v>156</v>
      </c>
      <c r="H87" s="92">
        <v>46113.0</v>
      </c>
      <c r="I87" s="90"/>
      <c r="J87" s="90"/>
      <c r="K87" s="90" t="s">
        <v>332</v>
      </c>
      <c r="L87" s="90">
        <v>2919.0</v>
      </c>
      <c r="M87" s="90">
        <v>0.0</v>
      </c>
      <c r="N87" s="4" t="s">
        <v>332</v>
      </c>
      <c r="O87" s="4" t="s">
        <v>332</v>
      </c>
      <c r="P87" s="4"/>
      <c r="Q87" s="4"/>
      <c r="R87" s="4"/>
      <c r="S87" s="4"/>
      <c r="T87" s="4"/>
    </row>
    <row r="88" ht="15.75" customHeight="1">
      <c r="A88" s="89">
        <v>46136.0</v>
      </c>
      <c r="B88" s="90" t="s">
        <v>1441</v>
      </c>
      <c r="C88" s="90" t="s">
        <v>1530</v>
      </c>
      <c r="D88" s="91">
        <v>50000.0</v>
      </c>
      <c r="E88" s="90" t="s">
        <v>1531</v>
      </c>
      <c r="F88" s="90" t="s">
        <v>320</v>
      </c>
      <c r="G88" s="90" t="s">
        <v>156</v>
      </c>
      <c r="H88" s="92">
        <v>46113.0</v>
      </c>
      <c r="I88" s="90"/>
      <c r="J88" s="90"/>
      <c r="K88" s="90" t="s">
        <v>1530</v>
      </c>
      <c r="L88" s="90">
        <v>2920.0</v>
      </c>
      <c r="M88" s="90">
        <v>0.0</v>
      </c>
      <c r="N88" s="4" t="s">
        <v>1530</v>
      </c>
      <c r="O88" s="4" t="s">
        <v>1530</v>
      </c>
      <c r="P88" s="4"/>
      <c r="Q88" s="4"/>
      <c r="R88" s="4"/>
      <c r="S88" s="4"/>
      <c r="T88" s="4"/>
    </row>
    <row r="89" ht="15.75" customHeight="1">
      <c r="A89" s="80">
        <v>46136.0</v>
      </c>
      <c r="B89" s="79" t="s">
        <v>1446</v>
      </c>
      <c r="C89" s="79" t="s">
        <v>329</v>
      </c>
      <c r="D89" s="83">
        <v>110000.0</v>
      </c>
      <c r="E89" s="79"/>
      <c r="F89" s="79"/>
      <c r="G89" s="79" t="s">
        <v>79</v>
      </c>
      <c r="H89" s="82">
        <v>46113.0</v>
      </c>
      <c r="I89" s="79"/>
      <c r="J89" s="79"/>
      <c r="K89" s="79" t="s">
        <v>329</v>
      </c>
      <c r="L89" s="79">
        <v>2925.0</v>
      </c>
      <c r="M89" s="79">
        <v>0.0</v>
      </c>
      <c r="N89" s="4" t="s">
        <v>329</v>
      </c>
      <c r="O89" s="4" t="s">
        <v>329</v>
      </c>
    </row>
    <row r="90" ht="15.75" customHeight="1">
      <c r="A90" s="80">
        <v>46136.0</v>
      </c>
      <c r="B90" s="79" t="s">
        <v>1446</v>
      </c>
      <c r="C90" s="79" t="s">
        <v>330</v>
      </c>
      <c r="D90" s="83">
        <v>7500000.0</v>
      </c>
      <c r="E90" s="79"/>
      <c r="F90" s="79"/>
      <c r="G90" s="79" t="s">
        <v>79</v>
      </c>
      <c r="H90" s="82">
        <v>46113.0</v>
      </c>
      <c r="I90" s="79"/>
      <c r="J90" s="79"/>
      <c r="K90" s="79" t="s">
        <v>330</v>
      </c>
      <c r="L90" s="79">
        <v>2917.0</v>
      </c>
      <c r="M90" s="79">
        <v>0.0</v>
      </c>
      <c r="N90" s="4" t="s">
        <v>330</v>
      </c>
      <c r="O90" s="4" t="s">
        <v>330</v>
      </c>
    </row>
    <row r="91" ht="15.75" customHeight="1">
      <c r="A91" s="80">
        <v>46136.0</v>
      </c>
      <c r="B91" s="79" t="s">
        <v>1446</v>
      </c>
      <c r="C91" s="79" t="s">
        <v>331</v>
      </c>
      <c r="D91" s="83">
        <v>2545300.0</v>
      </c>
      <c r="E91" s="79"/>
      <c r="F91" s="79"/>
      <c r="G91" s="79" t="s">
        <v>79</v>
      </c>
      <c r="H91" s="97">
        <v>46113.0</v>
      </c>
      <c r="I91" s="79"/>
      <c r="J91" s="79"/>
      <c r="K91" s="79" t="s">
        <v>331</v>
      </c>
      <c r="L91" s="79">
        <v>2918.0</v>
      </c>
      <c r="M91" s="79">
        <v>0.0</v>
      </c>
      <c r="N91" s="4" t="s">
        <v>331</v>
      </c>
      <c r="O91" s="4" t="s">
        <v>331</v>
      </c>
    </row>
    <row r="92" ht="15.75" customHeight="1">
      <c r="A92" s="80">
        <v>46136.0</v>
      </c>
      <c r="B92" s="79" t="s">
        <v>1441</v>
      </c>
      <c r="C92" s="99" t="s">
        <v>266</v>
      </c>
      <c r="D92" s="83">
        <v>200000.0</v>
      </c>
      <c r="E92" s="79"/>
      <c r="F92" s="79"/>
      <c r="G92" s="79" t="s">
        <v>79</v>
      </c>
      <c r="H92" s="97">
        <v>46113.0</v>
      </c>
      <c r="I92" s="79"/>
      <c r="J92" s="79"/>
      <c r="K92" s="99" t="s">
        <v>266</v>
      </c>
      <c r="L92" s="79"/>
      <c r="M92" s="79"/>
      <c r="N92" s="4" t="s">
        <v>266</v>
      </c>
      <c r="O92" s="4" t="s">
        <v>266</v>
      </c>
    </row>
    <row r="93" ht="15.75" customHeight="1">
      <c r="A93" s="80">
        <v>46136.0</v>
      </c>
      <c r="B93" s="79" t="s">
        <v>1441</v>
      </c>
      <c r="C93" s="99" t="s">
        <v>267</v>
      </c>
      <c r="D93" s="83">
        <v>110000.0</v>
      </c>
      <c r="E93" s="79"/>
      <c r="F93" s="79"/>
      <c r="G93" s="79" t="s">
        <v>79</v>
      </c>
      <c r="H93" s="97">
        <v>46113.0</v>
      </c>
      <c r="I93" s="79"/>
      <c r="J93" s="79"/>
      <c r="K93" s="99" t="s">
        <v>267</v>
      </c>
      <c r="L93" s="79"/>
      <c r="M93" s="79"/>
      <c r="N93" s="4" t="s">
        <v>267</v>
      </c>
      <c r="O93" s="4" t="s">
        <v>267</v>
      </c>
    </row>
    <row r="94" ht="15.75" customHeight="1">
      <c r="A94" s="80">
        <v>46136.0</v>
      </c>
      <c r="B94" s="79" t="s">
        <v>1446</v>
      </c>
      <c r="C94" s="79" t="s">
        <v>1534</v>
      </c>
      <c r="D94" s="83">
        <v>-55330.0</v>
      </c>
      <c r="E94" s="79"/>
      <c r="F94" s="79"/>
      <c r="G94" s="79" t="s">
        <v>79</v>
      </c>
      <c r="H94" s="82">
        <v>46113.0</v>
      </c>
      <c r="I94" s="79"/>
      <c r="J94" s="79"/>
      <c r="K94" s="99" t="s">
        <v>270</v>
      </c>
      <c r="L94" s="79"/>
      <c r="M94" s="79"/>
      <c r="N94" s="4" t="s">
        <v>270</v>
      </c>
      <c r="O94" s="4" t="s">
        <v>270</v>
      </c>
    </row>
    <row r="95" ht="15.75" customHeight="1">
      <c r="A95" s="80">
        <v>46136.0</v>
      </c>
      <c r="B95" s="79" t="s">
        <v>1446</v>
      </c>
      <c r="C95" s="79" t="s">
        <v>1537</v>
      </c>
      <c r="D95" s="83">
        <v>-550000.0</v>
      </c>
      <c r="E95" s="79"/>
      <c r="F95" s="79"/>
      <c r="G95" s="79" t="s">
        <v>79</v>
      </c>
      <c r="H95" s="82">
        <v>46113.0</v>
      </c>
      <c r="I95" s="79"/>
      <c r="J95" s="79"/>
      <c r="K95" s="79" t="s">
        <v>1537</v>
      </c>
      <c r="L95" s="79"/>
      <c r="M95" s="79"/>
      <c r="N95" s="4" t="s">
        <v>1537</v>
      </c>
      <c r="O95" s="4" t="s">
        <v>1537</v>
      </c>
    </row>
    <row r="96" ht="15.75" customHeight="1">
      <c r="A96" s="80">
        <v>46136.0</v>
      </c>
      <c r="B96" s="79" t="s">
        <v>1538</v>
      </c>
      <c r="C96" s="79" t="s">
        <v>1539</v>
      </c>
      <c r="D96" s="83">
        <v>-220000.0</v>
      </c>
      <c r="E96" s="79"/>
      <c r="F96" s="79"/>
      <c r="G96" s="79" t="s">
        <v>79</v>
      </c>
      <c r="H96" s="82">
        <v>46113.0</v>
      </c>
      <c r="I96" s="79"/>
      <c r="J96" s="79"/>
      <c r="K96" s="79" t="s">
        <v>1539</v>
      </c>
      <c r="L96" s="79"/>
      <c r="M96" s="79"/>
      <c r="N96" s="4" t="s">
        <v>1539</v>
      </c>
      <c r="O96" s="4" t="s">
        <v>1539</v>
      </c>
    </row>
    <row r="97" ht="15.75" customHeight="1">
      <c r="A97" s="80">
        <v>46136.0</v>
      </c>
      <c r="B97" s="79" t="s">
        <v>1446</v>
      </c>
      <c r="C97" s="79" t="s">
        <v>1540</v>
      </c>
      <c r="D97" s="83">
        <v>-220000.0</v>
      </c>
      <c r="E97" s="79"/>
      <c r="F97" s="79"/>
      <c r="G97" s="79" t="s">
        <v>79</v>
      </c>
      <c r="H97" s="82">
        <v>46113.0</v>
      </c>
      <c r="I97" s="79"/>
      <c r="J97" s="79"/>
      <c r="K97" s="79" t="s">
        <v>1540</v>
      </c>
      <c r="L97" s="79"/>
      <c r="M97" s="79"/>
      <c r="N97" s="4" t="s">
        <v>1540</v>
      </c>
      <c r="O97" s="4" t="s">
        <v>1540</v>
      </c>
    </row>
    <row r="98" ht="15.75" customHeight="1">
      <c r="A98" s="80">
        <v>46139.0</v>
      </c>
      <c r="B98" s="79" t="s">
        <v>1446</v>
      </c>
      <c r="C98" s="79" t="s">
        <v>1541</v>
      </c>
      <c r="D98" s="83">
        <v>-880000.0</v>
      </c>
      <c r="E98" s="79"/>
      <c r="F98" s="79"/>
      <c r="G98" s="79" t="s">
        <v>79</v>
      </c>
      <c r="H98" s="82">
        <v>46113.0</v>
      </c>
      <c r="I98" s="79"/>
      <c r="J98" s="79"/>
      <c r="K98" s="79" t="s">
        <v>1541</v>
      </c>
      <c r="L98" s="79"/>
      <c r="M98" s="79"/>
      <c r="N98" s="4" t="s">
        <v>1541</v>
      </c>
      <c r="O98" s="4" t="s">
        <v>1541</v>
      </c>
    </row>
    <row r="99" ht="15.75" customHeight="1">
      <c r="A99" s="80">
        <v>46139.0</v>
      </c>
      <c r="B99" s="79" t="s">
        <v>1542</v>
      </c>
      <c r="C99" s="79" t="s">
        <v>1543</v>
      </c>
      <c r="D99" s="83">
        <v>-18480.0</v>
      </c>
      <c r="E99" s="79"/>
      <c r="F99" s="79"/>
      <c r="G99" s="79" t="s">
        <v>79</v>
      </c>
      <c r="H99" s="82">
        <v>46113.0</v>
      </c>
      <c r="I99" s="79"/>
      <c r="J99" s="79"/>
      <c r="K99" s="79" t="s">
        <v>1543</v>
      </c>
      <c r="L99" s="79"/>
      <c r="M99" s="79"/>
      <c r="N99" s="4" t="s">
        <v>1543</v>
      </c>
      <c r="O99" s="4" t="s">
        <v>1543</v>
      </c>
    </row>
    <row r="100" ht="15.75" customHeight="1">
      <c r="A100" s="80">
        <v>46139.0</v>
      </c>
      <c r="B100" s="79" t="s">
        <v>1524</v>
      </c>
      <c r="C100" s="79" t="s">
        <v>1544</v>
      </c>
      <c r="D100" s="83">
        <v>-2602.0</v>
      </c>
      <c r="E100" s="79"/>
      <c r="F100" s="79"/>
      <c r="G100" s="79" t="s">
        <v>79</v>
      </c>
      <c r="H100" s="82">
        <v>46113.0</v>
      </c>
      <c r="I100" s="79"/>
      <c r="J100" s="79"/>
      <c r="K100" s="79" t="s">
        <v>1544</v>
      </c>
      <c r="L100" s="79"/>
      <c r="M100" s="79"/>
      <c r="N100" s="4" t="s">
        <v>1544</v>
      </c>
      <c r="O100" s="4" t="s">
        <v>1544</v>
      </c>
    </row>
    <row r="101" ht="15.75" customHeight="1">
      <c r="A101" s="80">
        <v>46139.0</v>
      </c>
      <c r="B101" s="79" t="s">
        <v>1545</v>
      </c>
      <c r="C101" s="79" t="s">
        <v>1546</v>
      </c>
      <c r="D101" s="83">
        <v>-3900.0</v>
      </c>
      <c r="E101" s="79"/>
      <c r="F101" s="79"/>
      <c r="G101" s="79" t="s">
        <v>79</v>
      </c>
      <c r="H101" s="82">
        <v>46113.0</v>
      </c>
      <c r="I101" s="79"/>
      <c r="J101" s="79"/>
      <c r="K101" s="79" t="s">
        <v>1546</v>
      </c>
      <c r="L101" s="79"/>
      <c r="M101" s="79"/>
      <c r="N101" s="4" t="s">
        <v>1546</v>
      </c>
      <c r="O101" s="4" t="s">
        <v>1546</v>
      </c>
    </row>
    <row r="102" ht="15.75" customHeight="1">
      <c r="A102" s="80">
        <v>46139.0</v>
      </c>
      <c r="B102" s="79" t="s">
        <v>1547</v>
      </c>
      <c r="C102" s="79" t="s">
        <v>1548</v>
      </c>
      <c r="D102" s="83">
        <v>-4620.0</v>
      </c>
      <c r="E102" s="79"/>
      <c r="F102" s="79"/>
      <c r="G102" s="79" t="s">
        <v>79</v>
      </c>
      <c r="H102" s="82">
        <v>46113.0</v>
      </c>
      <c r="I102" s="79"/>
      <c r="J102" s="79"/>
      <c r="K102" s="79" t="s">
        <v>1548</v>
      </c>
      <c r="L102" s="79"/>
      <c r="M102" s="79"/>
      <c r="N102" s="4" t="s">
        <v>1548</v>
      </c>
      <c r="O102" s="4" t="s">
        <v>1548</v>
      </c>
    </row>
    <row r="103" ht="15.75" customHeight="1">
      <c r="A103" s="80">
        <v>46139.0</v>
      </c>
      <c r="B103" s="79" t="s">
        <v>1549</v>
      </c>
      <c r="C103" s="79" t="s">
        <v>1550</v>
      </c>
      <c r="D103" s="83">
        <v>-6015.0</v>
      </c>
      <c r="E103" s="79"/>
      <c r="F103" s="79"/>
      <c r="G103" s="79" t="s">
        <v>79</v>
      </c>
      <c r="H103" s="82">
        <v>46113.0</v>
      </c>
      <c r="I103" s="79"/>
      <c r="J103" s="79"/>
      <c r="K103" s="79" t="s">
        <v>1550</v>
      </c>
      <c r="L103" s="79"/>
      <c r="M103" s="79"/>
      <c r="N103" s="4" t="s">
        <v>1550</v>
      </c>
      <c r="O103" s="4" t="s">
        <v>1550</v>
      </c>
    </row>
    <row r="104" ht="15.75" customHeight="1">
      <c r="A104" s="80">
        <v>46139.0</v>
      </c>
      <c r="B104" s="79" t="s">
        <v>1538</v>
      </c>
      <c r="C104" s="79" t="s">
        <v>1551</v>
      </c>
      <c r="D104" s="83">
        <v>-27293.0</v>
      </c>
      <c r="E104" s="79"/>
      <c r="F104" s="79"/>
      <c r="G104" s="79" t="s">
        <v>79</v>
      </c>
      <c r="H104" s="82">
        <v>46113.0</v>
      </c>
      <c r="I104" s="79"/>
      <c r="J104" s="79"/>
      <c r="K104" s="79" t="s">
        <v>1551</v>
      </c>
      <c r="L104" s="79"/>
      <c r="M104" s="79"/>
      <c r="N104" s="4" t="s">
        <v>1551</v>
      </c>
      <c r="O104" s="4" t="s">
        <v>1551</v>
      </c>
    </row>
    <row r="105" ht="15.75" customHeight="1">
      <c r="A105" s="80">
        <v>46139.0</v>
      </c>
      <c r="B105" s="79" t="s">
        <v>1552</v>
      </c>
      <c r="C105" s="79" t="s">
        <v>1553</v>
      </c>
      <c r="D105" s="83">
        <v>-99000.0</v>
      </c>
      <c r="E105" s="79"/>
      <c r="F105" s="79"/>
      <c r="G105" s="79" t="s">
        <v>79</v>
      </c>
      <c r="H105" s="82">
        <v>46113.0</v>
      </c>
      <c r="I105" s="79"/>
      <c r="J105" s="79"/>
      <c r="K105" s="79" t="s">
        <v>1553</v>
      </c>
      <c r="L105" s="79"/>
      <c r="M105" s="79"/>
      <c r="N105" s="4" t="s">
        <v>1553</v>
      </c>
      <c r="O105" s="4" t="s">
        <v>1553</v>
      </c>
    </row>
    <row r="106" ht="15.75" customHeight="1">
      <c r="A106" s="80">
        <v>46139.0</v>
      </c>
      <c r="B106" s="79" t="s">
        <v>1446</v>
      </c>
      <c r="C106" s="79" t="s">
        <v>1554</v>
      </c>
      <c r="D106" s="83">
        <v>-67440.0</v>
      </c>
      <c r="E106" s="79"/>
      <c r="F106" s="79"/>
      <c r="G106" s="79" t="s">
        <v>79</v>
      </c>
      <c r="H106" s="82">
        <v>46113.0</v>
      </c>
      <c r="I106" s="79"/>
      <c r="J106" s="79"/>
      <c r="K106" s="79" t="s">
        <v>1555</v>
      </c>
      <c r="L106" s="79"/>
      <c r="M106" s="79"/>
      <c r="N106" s="4" t="s">
        <v>1555</v>
      </c>
      <c r="O106" s="4" t="s">
        <v>1555</v>
      </c>
    </row>
    <row r="107" ht="15.75" customHeight="1">
      <c r="A107" s="80">
        <v>46139.0</v>
      </c>
      <c r="B107" s="79" t="s">
        <v>1549</v>
      </c>
      <c r="C107" s="79" t="s">
        <v>1556</v>
      </c>
      <c r="D107" s="83">
        <v>-58201.0</v>
      </c>
      <c r="E107" s="79"/>
      <c r="F107" s="79"/>
      <c r="G107" s="79" t="s">
        <v>79</v>
      </c>
      <c r="H107" s="82">
        <v>46113.0</v>
      </c>
      <c r="I107" s="79"/>
      <c r="J107" s="79"/>
      <c r="K107" s="79" t="s">
        <v>1556</v>
      </c>
      <c r="L107" s="79"/>
      <c r="M107" s="79"/>
      <c r="N107" s="4" t="s">
        <v>1556</v>
      </c>
      <c r="O107" s="4" t="s">
        <v>1556</v>
      </c>
    </row>
    <row r="108" ht="15.75" customHeight="1">
      <c r="A108" s="80">
        <v>46139.0</v>
      </c>
      <c r="B108" s="79" t="s">
        <v>1549</v>
      </c>
      <c r="C108" s="4" t="s">
        <v>1557</v>
      </c>
      <c r="D108" s="83">
        <v>-140710.0</v>
      </c>
      <c r="E108" s="79"/>
      <c r="F108" s="79"/>
      <c r="G108" s="79" t="s">
        <v>79</v>
      </c>
      <c r="H108" s="82">
        <v>46113.0</v>
      </c>
      <c r="I108" s="79"/>
      <c r="J108" s="79"/>
      <c r="K108" s="4" t="s">
        <v>1557</v>
      </c>
      <c r="L108" s="79"/>
      <c r="M108" s="79"/>
      <c r="N108" s="4" t="s">
        <v>1557</v>
      </c>
      <c r="O108" s="4" t="s">
        <v>1557</v>
      </c>
    </row>
    <row r="109" ht="15.75" customHeight="1">
      <c r="A109" s="80">
        <v>46139.0</v>
      </c>
      <c r="B109" s="79" t="s">
        <v>1526</v>
      </c>
      <c r="C109" s="99" t="s">
        <v>272</v>
      </c>
      <c r="D109" s="83">
        <v>-4400.0</v>
      </c>
      <c r="E109" s="79"/>
      <c r="F109" s="79"/>
      <c r="G109" s="79" t="s">
        <v>79</v>
      </c>
      <c r="H109" s="82">
        <v>46113.0</v>
      </c>
      <c r="I109" s="79"/>
      <c r="J109" s="79"/>
      <c r="K109" s="99" t="s">
        <v>272</v>
      </c>
      <c r="L109" s="79"/>
      <c r="M109" s="79"/>
      <c r="N109" s="4" t="s">
        <v>272</v>
      </c>
      <c r="O109" s="4" t="s">
        <v>272</v>
      </c>
    </row>
    <row r="110" ht="15.75" customHeight="1">
      <c r="A110" s="80">
        <v>46139.0</v>
      </c>
      <c r="B110" s="79" t="s">
        <v>1561</v>
      </c>
      <c r="C110" s="4" t="s">
        <v>1562</v>
      </c>
      <c r="D110" s="83">
        <v>-93408.0</v>
      </c>
      <c r="E110" s="79"/>
      <c r="F110" s="79"/>
      <c r="G110" s="79" t="s">
        <v>79</v>
      </c>
      <c r="H110" s="82">
        <v>46113.0</v>
      </c>
      <c r="I110" s="79"/>
      <c r="J110" s="79"/>
      <c r="K110" s="4" t="s">
        <v>1562</v>
      </c>
      <c r="L110" s="79"/>
      <c r="M110" s="79"/>
      <c r="N110" s="4" t="s">
        <v>1562</v>
      </c>
      <c r="O110" s="4" t="s">
        <v>1562</v>
      </c>
    </row>
    <row r="111" ht="15.75" customHeight="1">
      <c r="A111" s="80">
        <v>46139.0</v>
      </c>
      <c r="B111" s="79" t="s">
        <v>1563</v>
      </c>
      <c r="C111" s="79" t="s">
        <v>1564</v>
      </c>
      <c r="D111" s="83">
        <v>-33000.0</v>
      </c>
      <c r="E111" s="79"/>
      <c r="F111" s="79"/>
      <c r="G111" s="79" t="s">
        <v>79</v>
      </c>
      <c r="H111" s="82">
        <v>46113.0</v>
      </c>
      <c r="I111" s="79"/>
      <c r="J111" s="79"/>
      <c r="K111" s="79" t="s">
        <v>1564</v>
      </c>
      <c r="L111" s="79"/>
      <c r="M111" s="79"/>
      <c r="N111" s="4" t="s">
        <v>1564</v>
      </c>
      <c r="O111" s="4" t="s">
        <v>1564</v>
      </c>
    </row>
    <row r="112" ht="15.75" customHeight="1">
      <c r="A112" s="80">
        <v>46139.0</v>
      </c>
      <c r="B112" s="79" t="s">
        <v>1446</v>
      </c>
      <c r="C112" s="79" t="s">
        <v>1501</v>
      </c>
      <c r="D112" s="83">
        <v>-7130000.0</v>
      </c>
      <c r="E112" s="79"/>
      <c r="F112" s="79"/>
      <c r="G112" s="79" t="s">
        <v>79</v>
      </c>
      <c r="H112" s="82">
        <v>46113.0</v>
      </c>
      <c r="I112" s="79"/>
      <c r="J112" s="79"/>
      <c r="K112" s="79" t="s">
        <v>1501</v>
      </c>
      <c r="L112" s="79"/>
      <c r="M112" s="79"/>
      <c r="N112" s="4" t="s">
        <v>1501</v>
      </c>
      <c r="O112" s="4" t="s">
        <v>1501</v>
      </c>
    </row>
    <row r="113" ht="15.75" customHeight="1">
      <c r="A113" s="80">
        <v>46139.0</v>
      </c>
      <c r="B113" s="79" t="s">
        <v>1446</v>
      </c>
      <c r="C113" s="79" t="s">
        <v>1447</v>
      </c>
      <c r="D113" s="83">
        <v>5000000.0</v>
      </c>
      <c r="E113" s="79"/>
      <c r="F113" s="79"/>
      <c r="G113" s="79" t="s">
        <v>79</v>
      </c>
      <c r="H113" s="82">
        <v>46113.0</v>
      </c>
      <c r="I113" s="79"/>
      <c r="J113" s="79"/>
      <c r="K113" s="79" t="s">
        <v>1447</v>
      </c>
      <c r="L113" s="79"/>
      <c r="M113" s="79"/>
      <c r="N113" s="4" t="s">
        <v>1447</v>
      </c>
      <c r="O113" s="4" t="s">
        <v>1447</v>
      </c>
    </row>
    <row r="114" ht="15.75" customHeight="1">
      <c r="A114" s="80">
        <v>46139.0</v>
      </c>
      <c r="B114" s="79" t="s">
        <v>1446</v>
      </c>
      <c r="C114" s="79" t="s">
        <v>1501</v>
      </c>
      <c r="D114" s="83">
        <v>-5000000.0</v>
      </c>
      <c r="E114" s="79"/>
      <c r="F114" s="79"/>
      <c r="G114" s="79" t="s">
        <v>79</v>
      </c>
      <c r="H114" s="82">
        <v>46113.0</v>
      </c>
      <c r="I114" s="79"/>
      <c r="J114" s="79"/>
      <c r="K114" s="79" t="s">
        <v>1501</v>
      </c>
      <c r="L114" s="79"/>
      <c r="M114" s="79"/>
      <c r="N114" s="4" t="s">
        <v>1501</v>
      </c>
      <c r="O114" s="4" t="s">
        <v>1501</v>
      </c>
    </row>
    <row r="115" ht="15.75" customHeight="1">
      <c r="A115" s="80">
        <v>46139.0</v>
      </c>
      <c r="B115" s="79" t="s">
        <v>1446</v>
      </c>
      <c r="C115" s="79" t="s">
        <v>1565</v>
      </c>
      <c r="D115" s="83">
        <v>880000.0</v>
      </c>
      <c r="E115" s="79"/>
      <c r="F115" s="79"/>
      <c r="G115" s="79" t="s">
        <v>79</v>
      </c>
      <c r="H115" s="82">
        <v>46113.0</v>
      </c>
      <c r="I115" s="79"/>
      <c r="J115" s="79"/>
      <c r="K115" s="79" t="s">
        <v>1565</v>
      </c>
      <c r="L115" s="79"/>
      <c r="M115" s="79"/>
      <c r="N115" s="4" t="s">
        <v>1565</v>
      </c>
      <c r="O115" s="4" t="s">
        <v>1565</v>
      </c>
    </row>
    <row r="116" ht="15.75" customHeight="1">
      <c r="A116" s="80">
        <v>46139.0</v>
      </c>
      <c r="B116" s="79" t="s">
        <v>1446</v>
      </c>
      <c r="C116" s="79" t="s">
        <v>1501</v>
      </c>
      <c r="D116" s="83">
        <v>-200000.0</v>
      </c>
      <c r="E116" s="79"/>
      <c r="F116" s="79"/>
      <c r="G116" s="79" t="s">
        <v>79</v>
      </c>
      <c r="H116" s="82">
        <v>46113.0</v>
      </c>
      <c r="I116" s="79"/>
      <c r="J116" s="79"/>
      <c r="K116" s="79" t="s">
        <v>1501</v>
      </c>
      <c r="L116" s="79"/>
      <c r="M116" s="79"/>
      <c r="N116" s="4" t="s">
        <v>1501</v>
      </c>
      <c r="O116" s="4" t="s">
        <v>1501</v>
      </c>
    </row>
    <row r="117" ht="15.75" customHeight="1">
      <c r="A117" s="17"/>
      <c r="D117" s="23"/>
      <c r="G117" s="4"/>
      <c r="H117" s="19"/>
    </row>
    <row r="118" ht="15.75" customHeight="1">
      <c r="A118" s="17"/>
      <c r="D118" s="23"/>
      <c r="G118" s="4"/>
      <c r="H118" s="19"/>
    </row>
    <row r="119" ht="15.75" customHeight="1">
      <c r="A119" s="17"/>
      <c r="D119" s="23"/>
      <c r="G119" s="4"/>
      <c r="H119" s="19"/>
    </row>
    <row r="120" ht="15.75" customHeight="1">
      <c r="A120" s="17"/>
      <c r="D120" s="23"/>
      <c r="G120" s="4"/>
      <c r="H120" s="19"/>
    </row>
    <row r="121" ht="15.75" customHeight="1">
      <c r="A121" s="17"/>
      <c r="D121" s="23"/>
      <c r="G121" s="4"/>
      <c r="H121" s="19"/>
    </row>
    <row r="122" ht="15.75" customHeight="1">
      <c r="A122" s="17"/>
      <c r="D122" s="23"/>
      <c r="G122" s="4"/>
      <c r="H122" s="19"/>
    </row>
    <row r="123" ht="15.75" customHeight="1">
      <c r="A123" s="17"/>
      <c r="D123" s="23"/>
      <c r="G123" s="4"/>
      <c r="H123" s="19"/>
    </row>
    <row r="124" ht="15.75" customHeight="1">
      <c r="A124" s="17"/>
      <c r="D124" s="23"/>
      <c r="G124" s="4"/>
      <c r="H124" s="19"/>
    </row>
    <row r="125" ht="15.75" customHeight="1">
      <c r="A125" s="17"/>
      <c r="D125" s="23"/>
      <c r="G125" s="4"/>
      <c r="H125" s="19"/>
    </row>
    <row r="126" ht="15.75" customHeight="1">
      <c r="A126" s="17"/>
      <c r="D126" s="23"/>
      <c r="G126" s="4"/>
      <c r="H126" s="19"/>
    </row>
    <row r="127" ht="15.75" customHeight="1">
      <c r="A127" s="17"/>
      <c r="D127" s="23"/>
      <c r="G127" s="4"/>
      <c r="H127" s="19"/>
    </row>
    <row r="128" ht="15.75" customHeight="1">
      <c r="A128" s="17"/>
      <c r="D128" s="23"/>
      <c r="G128" s="4"/>
      <c r="H128" s="19"/>
    </row>
    <row r="129" ht="15.75" customHeight="1">
      <c r="A129" s="17"/>
      <c r="D129" s="23"/>
      <c r="G129" s="4"/>
      <c r="H129" s="19"/>
    </row>
    <row r="130" ht="15.75" customHeight="1">
      <c r="A130" s="17"/>
      <c r="D130" s="23"/>
      <c r="G130" s="4"/>
      <c r="H130" s="19"/>
    </row>
    <row r="131" ht="15.75" customHeight="1">
      <c r="A131" s="17"/>
      <c r="D131" s="23"/>
      <c r="G131" s="4"/>
      <c r="H131" s="19"/>
    </row>
    <row r="132" ht="15.75" customHeight="1">
      <c r="A132" s="17"/>
      <c r="D132" s="23"/>
      <c r="G132" s="4"/>
      <c r="H132" s="19"/>
    </row>
    <row r="133" ht="15.75" customHeight="1">
      <c r="A133" s="17"/>
      <c r="D133" s="23"/>
      <c r="G133" s="4"/>
      <c r="H133" s="19"/>
    </row>
    <row r="134" ht="15.75" customHeight="1">
      <c r="A134" s="17"/>
      <c r="D134" s="23"/>
      <c r="G134" s="4"/>
      <c r="H134" s="19"/>
    </row>
    <row r="135" ht="15.75" customHeight="1">
      <c r="A135" s="17"/>
      <c r="D135" s="23"/>
      <c r="G135" s="4"/>
      <c r="H135" s="19"/>
    </row>
    <row r="136" ht="15.75" customHeight="1">
      <c r="A136" s="17"/>
      <c r="D136" s="23"/>
      <c r="G136" s="4"/>
      <c r="H136" s="19"/>
    </row>
    <row r="137" ht="15.75" customHeight="1">
      <c r="A137" s="17"/>
      <c r="D137" s="23"/>
      <c r="G137" s="4"/>
      <c r="H137" s="19"/>
    </row>
    <row r="138" ht="15.75" customHeight="1">
      <c r="A138" s="17"/>
      <c r="D138" s="23"/>
      <c r="G138" s="4"/>
      <c r="H138" s="19"/>
    </row>
    <row r="139" ht="15.75" customHeight="1">
      <c r="A139" s="17"/>
      <c r="D139" s="23"/>
      <c r="G139" s="4"/>
      <c r="H139" s="19"/>
    </row>
    <row r="140" ht="15.75" customHeight="1">
      <c r="A140" s="17"/>
      <c r="D140" s="23"/>
      <c r="G140" s="4"/>
      <c r="H140" s="19"/>
    </row>
    <row r="141" ht="15.75" customHeight="1">
      <c r="A141" s="17"/>
      <c r="D141" s="23"/>
      <c r="G141" s="4"/>
      <c r="H141" s="19"/>
    </row>
    <row r="142" ht="15.75" customHeight="1">
      <c r="A142" s="17"/>
      <c r="D142" s="23"/>
      <c r="G142" s="4"/>
      <c r="H142" s="19"/>
    </row>
    <row r="143" ht="15.75" customHeight="1">
      <c r="A143" s="17"/>
      <c r="D143" s="23"/>
      <c r="G143" s="4"/>
      <c r="H143" s="19"/>
    </row>
    <row r="144" ht="15.75" customHeight="1">
      <c r="A144" s="17"/>
      <c r="D144" s="23"/>
      <c r="G144" s="4"/>
      <c r="H144" s="19"/>
    </row>
    <row r="145" ht="15.75" customHeight="1">
      <c r="A145" s="17"/>
      <c r="D145" s="23"/>
      <c r="G145" s="4"/>
      <c r="H145" s="19"/>
    </row>
    <row r="146" ht="15.75" customHeight="1">
      <c r="A146" s="17"/>
      <c r="D146" s="23"/>
      <c r="G146" s="4"/>
      <c r="H146" s="19"/>
    </row>
    <row r="147" ht="15.75" customHeight="1">
      <c r="A147" s="17"/>
      <c r="D147" s="23"/>
      <c r="G147" s="4"/>
      <c r="H147" s="19"/>
    </row>
    <row r="148" ht="15.75" customHeight="1">
      <c r="A148" s="17"/>
      <c r="D148" s="23"/>
      <c r="G148" s="4"/>
      <c r="H148" s="19"/>
    </row>
    <row r="149" ht="15.75" customHeight="1">
      <c r="A149" s="17"/>
      <c r="D149" s="23"/>
      <c r="G149" s="4"/>
      <c r="H149" s="19"/>
    </row>
    <row r="150" ht="15.75" customHeight="1">
      <c r="A150" s="17"/>
      <c r="D150" s="23"/>
      <c r="G150" s="4"/>
      <c r="H150" s="19"/>
    </row>
    <row r="151" ht="15.75" customHeight="1">
      <c r="A151" s="17"/>
      <c r="D151" s="23"/>
      <c r="G151" s="4"/>
      <c r="H151" s="19"/>
    </row>
    <row r="152" ht="15.75" customHeight="1">
      <c r="A152" s="17"/>
      <c r="D152" s="23"/>
      <c r="G152" s="4"/>
      <c r="H152" s="19"/>
    </row>
    <row r="153" ht="15.75" customHeight="1">
      <c r="A153" s="17"/>
      <c r="D153" s="23"/>
      <c r="G153" s="4"/>
      <c r="H153" s="19"/>
    </row>
    <row r="154" ht="15.75" customHeight="1">
      <c r="A154" s="17"/>
      <c r="D154" s="23"/>
      <c r="G154" s="4"/>
      <c r="H154" s="19"/>
    </row>
    <row r="155" ht="15.75" customHeight="1">
      <c r="A155" s="17"/>
      <c r="D155" s="23"/>
      <c r="G155" s="4"/>
      <c r="H155" s="19"/>
    </row>
    <row r="156" ht="15.75" customHeight="1">
      <c r="A156" s="17"/>
      <c r="D156" s="23"/>
      <c r="G156" s="4"/>
      <c r="H156" s="19"/>
    </row>
    <row r="157" ht="15.75" customHeight="1">
      <c r="A157" s="17"/>
      <c r="D157" s="23"/>
      <c r="G157" s="4"/>
      <c r="H157" s="19"/>
    </row>
    <row r="158" ht="15.75" customHeight="1">
      <c r="A158" s="17"/>
      <c r="D158" s="23"/>
      <c r="G158" s="4"/>
      <c r="H158" s="19"/>
    </row>
    <row r="159" ht="15.75" customHeight="1">
      <c r="A159" s="17"/>
      <c r="D159" s="23"/>
      <c r="G159" s="4"/>
      <c r="H159" s="19"/>
    </row>
    <row r="160" ht="15.75" customHeight="1">
      <c r="A160" s="17"/>
      <c r="D160" s="23"/>
      <c r="G160" s="4"/>
      <c r="H160" s="19"/>
    </row>
    <row r="161" ht="15.75" customHeight="1">
      <c r="A161" s="17"/>
      <c r="D161" s="23"/>
      <c r="G161" s="4"/>
      <c r="H161" s="19"/>
    </row>
    <row r="162" ht="15.75" customHeight="1">
      <c r="A162" s="17"/>
      <c r="D162" s="23"/>
      <c r="G162" s="4"/>
      <c r="H162" s="19"/>
    </row>
    <row r="163" ht="15.75" customHeight="1">
      <c r="A163" s="17"/>
      <c r="D163" s="23"/>
      <c r="G163" s="4"/>
      <c r="H163" s="19"/>
    </row>
    <row r="164" ht="15.75" customHeight="1">
      <c r="A164" s="17"/>
      <c r="D164" s="23"/>
      <c r="G164" s="4"/>
      <c r="H164" s="19"/>
    </row>
    <row r="165" ht="15.75" customHeight="1">
      <c r="A165" s="17"/>
      <c r="D165" s="23"/>
      <c r="G165" s="4"/>
      <c r="H165" s="19"/>
    </row>
    <row r="166" ht="15.75" customHeight="1">
      <c r="A166" s="17"/>
      <c r="D166" s="23"/>
      <c r="G166" s="4"/>
      <c r="H166" s="19"/>
    </row>
    <row r="167" ht="15.75" customHeight="1">
      <c r="A167" s="17"/>
      <c r="D167" s="23"/>
      <c r="G167" s="4"/>
      <c r="H167" s="19"/>
    </row>
    <row r="168" ht="15.75" customHeight="1">
      <c r="A168" s="17"/>
      <c r="D168" s="23"/>
      <c r="G168" s="4"/>
      <c r="H168" s="19"/>
    </row>
    <row r="169" ht="15.75" customHeight="1">
      <c r="A169" s="17"/>
      <c r="D169" s="23"/>
      <c r="G169" s="4"/>
      <c r="H169" s="19"/>
    </row>
    <row r="170" ht="15.75" customHeight="1">
      <c r="A170" s="17"/>
      <c r="D170" s="23"/>
      <c r="G170" s="4"/>
      <c r="H170" s="19"/>
    </row>
    <row r="171" ht="15.75" customHeight="1">
      <c r="A171" s="17"/>
      <c r="D171" s="23"/>
      <c r="G171" s="4"/>
      <c r="H171" s="19"/>
    </row>
    <row r="172" ht="15.75" customHeight="1">
      <c r="A172" s="17"/>
      <c r="D172" s="23"/>
      <c r="G172" s="4"/>
      <c r="H172" s="19"/>
    </row>
    <row r="173" ht="15.75" customHeight="1">
      <c r="A173" s="17"/>
      <c r="D173" s="23"/>
      <c r="G173" s="4"/>
      <c r="H173" s="19"/>
    </row>
    <row r="174" ht="15.75" customHeight="1">
      <c r="A174" s="17"/>
      <c r="D174" s="23"/>
      <c r="G174" s="4"/>
      <c r="H174" s="19"/>
    </row>
    <row r="175" ht="15.75" customHeight="1">
      <c r="A175" s="17"/>
      <c r="D175" s="23"/>
      <c r="G175" s="4"/>
      <c r="H175" s="19"/>
    </row>
    <row r="176" ht="15.75" customHeight="1">
      <c r="A176" s="17"/>
      <c r="D176" s="23"/>
      <c r="G176" s="4"/>
      <c r="H176" s="19"/>
    </row>
    <row r="177" ht="15.75" customHeight="1">
      <c r="A177" s="17"/>
      <c r="D177" s="23"/>
      <c r="G177" s="4"/>
      <c r="H177" s="19"/>
    </row>
    <row r="178" ht="15.75" customHeight="1">
      <c r="A178" s="17"/>
      <c r="D178" s="23"/>
      <c r="G178" s="4"/>
      <c r="H178" s="19"/>
    </row>
    <row r="179" ht="15.75" customHeight="1">
      <c r="A179" s="17"/>
      <c r="D179" s="23"/>
      <c r="G179" s="4"/>
      <c r="H179" s="19"/>
    </row>
    <row r="180" ht="15.75" customHeight="1">
      <c r="A180" s="17"/>
      <c r="D180" s="23"/>
      <c r="G180" s="4"/>
      <c r="H180" s="19"/>
    </row>
    <row r="181" ht="15.75" customHeight="1">
      <c r="A181" s="17"/>
      <c r="D181" s="23"/>
      <c r="G181" s="4"/>
      <c r="H181" s="19"/>
    </row>
    <row r="182" ht="15.75" customHeight="1">
      <c r="A182" s="17"/>
      <c r="D182" s="23"/>
      <c r="G182" s="4"/>
      <c r="H182" s="19"/>
    </row>
    <row r="183" ht="15.75" customHeight="1">
      <c r="A183" s="17"/>
      <c r="D183" s="23"/>
      <c r="G183" s="4"/>
      <c r="H183" s="19"/>
    </row>
    <row r="184" ht="15.75" customHeight="1">
      <c r="A184" s="17"/>
      <c r="D184" s="23"/>
      <c r="G184" s="4"/>
      <c r="H184" s="19"/>
    </row>
    <row r="185" ht="15.75" customHeight="1">
      <c r="A185" s="17"/>
      <c r="D185" s="23"/>
      <c r="G185" s="4"/>
      <c r="H185" s="19"/>
    </row>
    <row r="186" ht="15.75" customHeight="1">
      <c r="A186" s="17"/>
      <c r="D186" s="23"/>
      <c r="G186" s="4"/>
      <c r="H186" s="19"/>
    </row>
    <row r="187" ht="15.75" customHeight="1">
      <c r="A187" s="17"/>
      <c r="D187" s="23"/>
      <c r="G187" s="4"/>
      <c r="H187" s="19"/>
    </row>
    <row r="188" ht="15.75" customHeight="1">
      <c r="A188" s="17"/>
      <c r="D188" s="23"/>
      <c r="G188" s="4"/>
      <c r="H188" s="19"/>
    </row>
    <row r="189" ht="15.75" customHeight="1">
      <c r="A189" s="17"/>
      <c r="D189" s="23"/>
      <c r="G189" s="4"/>
      <c r="H189" s="19"/>
    </row>
    <row r="190" ht="15.75" customHeight="1">
      <c r="A190" s="17"/>
      <c r="D190" s="23"/>
      <c r="G190" s="4"/>
      <c r="H190" s="19"/>
    </row>
    <row r="191" ht="15.75" customHeight="1">
      <c r="A191" s="17"/>
      <c r="D191" s="23"/>
      <c r="G191" s="4"/>
      <c r="H191" s="19"/>
    </row>
    <row r="192" ht="15.75" customHeight="1">
      <c r="A192" s="17"/>
      <c r="D192" s="23"/>
      <c r="G192" s="4"/>
      <c r="H192" s="19"/>
    </row>
    <row r="193" ht="15.75" customHeight="1">
      <c r="A193" s="17"/>
      <c r="D193" s="23"/>
      <c r="G193" s="4"/>
      <c r="H193" s="19"/>
    </row>
    <row r="194" ht="15.75" customHeight="1">
      <c r="A194" s="17"/>
      <c r="D194" s="23"/>
      <c r="G194" s="4"/>
      <c r="H194" s="19"/>
    </row>
    <row r="195" ht="15.75" customHeight="1">
      <c r="A195" s="17"/>
      <c r="D195" s="23"/>
      <c r="G195" s="4"/>
      <c r="H195" s="19"/>
    </row>
    <row r="196" ht="15.75" customHeight="1">
      <c r="A196" s="17"/>
      <c r="D196" s="23"/>
      <c r="G196" s="4"/>
      <c r="H196" s="19"/>
    </row>
    <row r="197" ht="15.75" customHeight="1">
      <c r="A197" s="17"/>
      <c r="D197" s="23"/>
      <c r="G197" s="4"/>
      <c r="H197" s="19"/>
    </row>
    <row r="198" ht="15.75" customHeight="1">
      <c r="A198" s="17"/>
      <c r="D198" s="23"/>
      <c r="G198" s="4"/>
      <c r="H198" s="19"/>
    </row>
    <row r="199" ht="15.75" customHeight="1">
      <c r="A199" s="17"/>
      <c r="D199" s="23"/>
      <c r="G199" s="4"/>
      <c r="H199" s="19"/>
    </row>
    <row r="200" ht="15.75" customHeight="1">
      <c r="A200" s="17"/>
      <c r="D200" s="23"/>
      <c r="G200" s="4"/>
      <c r="H200" s="19"/>
    </row>
    <row r="201" ht="15.75" customHeight="1">
      <c r="A201" s="17"/>
      <c r="D201" s="23"/>
      <c r="G201" s="4"/>
      <c r="H201" s="19"/>
    </row>
    <row r="202" ht="15.75" customHeight="1">
      <c r="A202" s="17"/>
      <c r="D202" s="23"/>
      <c r="G202" s="4"/>
      <c r="H202" s="19"/>
    </row>
    <row r="203" ht="15.75" customHeight="1">
      <c r="A203" s="17"/>
      <c r="D203" s="23"/>
      <c r="G203" s="4"/>
      <c r="H203" s="19"/>
    </row>
    <row r="204" ht="15.75" customHeight="1">
      <c r="A204" s="17"/>
      <c r="D204" s="23"/>
      <c r="G204" s="4"/>
      <c r="H204" s="19"/>
    </row>
    <row r="205" ht="15.75" customHeight="1">
      <c r="A205" s="17"/>
      <c r="D205" s="23"/>
      <c r="G205" s="4"/>
      <c r="H205" s="19"/>
    </row>
    <row r="206" ht="15.75" customHeight="1">
      <c r="A206" s="17"/>
      <c r="D206" s="23"/>
      <c r="G206" s="4"/>
      <c r="H206" s="19"/>
    </row>
    <row r="207" ht="15.75" customHeight="1">
      <c r="A207" s="17"/>
      <c r="D207" s="23"/>
      <c r="G207" s="4"/>
      <c r="H207" s="19"/>
    </row>
    <row r="208" ht="15.75" customHeight="1">
      <c r="A208" s="17"/>
      <c r="D208" s="23"/>
      <c r="G208" s="4"/>
      <c r="H208" s="19"/>
    </row>
    <row r="209" ht="15.75" customHeight="1">
      <c r="A209" s="17"/>
      <c r="D209" s="23"/>
      <c r="G209" s="4"/>
      <c r="H209" s="19"/>
    </row>
    <row r="210" ht="15.75" customHeight="1">
      <c r="A210" s="17"/>
      <c r="D210" s="23"/>
      <c r="G210" s="4"/>
      <c r="H210" s="19"/>
    </row>
    <row r="211" ht="15.75" customHeight="1">
      <c r="A211" s="17"/>
      <c r="D211" s="23"/>
      <c r="G211" s="4"/>
      <c r="H211" s="19"/>
    </row>
    <row r="212" ht="15.75" customHeight="1">
      <c r="A212" s="17"/>
      <c r="D212" s="23"/>
      <c r="G212" s="4"/>
      <c r="H212" s="19"/>
    </row>
    <row r="213" ht="15.75" customHeight="1">
      <c r="A213" s="17"/>
      <c r="D213" s="23"/>
      <c r="G213" s="4"/>
      <c r="H213" s="19"/>
    </row>
    <row r="214" ht="15.75" customHeight="1">
      <c r="A214" s="17"/>
      <c r="D214" s="23"/>
      <c r="G214" s="4"/>
      <c r="H214" s="19"/>
    </row>
    <row r="215" ht="15.75" customHeight="1">
      <c r="A215" s="17"/>
      <c r="D215" s="23"/>
      <c r="G215" s="4"/>
      <c r="H215" s="19"/>
    </row>
    <row r="216" ht="15.75" customHeight="1">
      <c r="A216" s="17"/>
      <c r="D216" s="23"/>
      <c r="G216" s="4"/>
      <c r="H216" s="19"/>
    </row>
    <row r="217" ht="15.75" customHeight="1">
      <c r="A217" s="17"/>
      <c r="D217" s="23"/>
      <c r="G217" s="4"/>
      <c r="H217" s="19"/>
    </row>
    <row r="218" ht="15.75" customHeight="1">
      <c r="A218" s="17"/>
      <c r="D218" s="23"/>
      <c r="G218" s="4"/>
      <c r="H218" s="19"/>
    </row>
    <row r="219" ht="15.75" customHeight="1">
      <c r="A219" s="17"/>
      <c r="D219" s="23"/>
      <c r="G219" s="4"/>
      <c r="H219" s="19"/>
    </row>
    <row r="220" ht="15.75" customHeight="1">
      <c r="A220" s="17"/>
      <c r="D220" s="23"/>
      <c r="G220" s="4"/>
      <c r="H220" s="19"/>
    </row>
    <row r="221" ht="15.75" customHeight="1">
      <c r="A221" s="17"/>
      <c r="D221" s="23"/>
      <c r="G221" s="4"/>
      <c r="H221" s="19"/>
    </row>
    <row r="222" ht="15.75" customHeight="1">
      <c r="A222" s="17"/>
      <c r="D222" s="23"/>
      <c r="G222" s="4"/>
      <c r="H222" s="19"/>
    </row>
    <row r="223" ht="15.75" customHeight="1">
      <c r="A223" s="17"/>
      <c r="D223" s="23"/>
      <c r="G223" s="4"/>
      <c r="H223" s="19"/>
    </row>
    <row r="224" ht="15.75" customHeight="1">
      <c r="A224" s="17"/>
      <c r="D224" s="23"/>
      <c r="G224" s="4"/>
      <c r="H224" s="19"/>
    </row>
    <row r="225" ht="15.75" customHeight="1">
      <c r="A225" s="17"/>
      <c r="D225" s="23"/>
      <c r="G225" s="4"/>
      <c r="H225" s="19"/>
    </row>
    <row r="226" ht="15.75" customHeight="1">
      <c r="A226" s="17"/>
      <c r="D226" s="23"/>
      <c r="G226" s="4"/>
      <c r="H226" s="19"/>
    </row>
    <row r="227" ht="15.75" customHeight="1">
      <c r="A227" s="17"/>
      <c r="D227" s="23"/>
      <c r="G227" s="4"/>
      <c r="H227" s="19"/>
    </row>
    <row r="228" ht="15.75" customHeight="1">
      <c r="A228" s="17"/>
      <c r="D228" s="23"/>
      <c r="G228" s="4"/>
      <c r="H228" s="19"/>
    </row>
    <row r="229" ht="15.75" customHeight="1">
      <c r="A229" s="17"/>
      <c r="D229" s="23"/>
      <c r="G229" s="4"/>
      <c r="H229" s="19"/>
    </row>
    <row r="230" ht="15.75" customHeight="1">
      <c r="A230" s="17"/>
      <c r="D230" s="23"/>
      <c r="G230" s="4"/>
      <c r="H230" s="19"/>
    </row>
    <row r="231" ht="15.75" customHeight="1">
      <c r="A231" s="17"/>
      <c r="D231" s="23"/>
      <c r="G231" s="4"/>
      <c r="H231" s="19"/>
    </row>
    <row r="232" ht="15.75" customHeight="1">
      <c r="A232" s="17"/>
      <c r="D232" s="23"/>
      <c r="G232" s="4"/>
      <c r="H232" s="19"/>
    </row>
    <row r="233" ht="15.75" customHeight="1">
      <c r="A233" s="17"/>
      <c r="D233" s="23"/>
      <c r="G233" s="4"/>
      <c r="H233" s="19"/>
    </row>
    <row r="234" ht="15.75" customHeight="1">
      <c r="A234" s="17"/>
      <c r="D234" s="23"/>
      <c r="G234" s="4"/>
      <c r="H234" s="19"/>
    </row>
    <row r="235" ht="15.75" customHeight="1">
      <c r="A235" s="17"/>
      <c r="D235" s="23"/>
      <c r="G235" s="4"/>
      <c r="H235" s="19"/>
    </row>
    <row r="236" ht="15.75" customHeight="1">
      <c r="A236" s="17"/>
      <c r="D236" s="23"/>
      <c r="G236" s="4"/>
      <c r="H236" s="19"/>
    </row>
    <row r="237" ht="15.75" customHeight="1">
      <c r="A237" s="17"/>
      <c r="D237" s="23"/>
      <c r="G237" s="4"/>
      <c r="H237" s="19"/>
    </row>
    <row r="238" ht="15.75" customHeight="1">
      <c r="A238" s="17"/>
      <c r="D238" s="23"/>
      <c r="G238" s="4"/>
      <c r="H238" s="19"/>
    </row>
    <row r="239" ht="15.75" customHeight="1">
      <c r="A239" s="17"/>
      <c r="D239" s="23"/>
      <c r="G239" s="4"/>
      <c r="H239" s="19"/>
    </row>
    <row r="240" ht="15.75" customHeight="1">
      <c r="A240" s="17"/>
      <c r="D240" s="23"/>
      <c r="G240" s="4"/>
      <c r="H240" s="19"/>
    </row>
    <row r="241" ht="15.75" customHeight="1">
      <c r="A241" s="17"/>
      <c r="D241" s="23"/>
      <c r="G241" s="4"/>
      <c r="H241" s="19"/>
    </row>
    <row r="242" ht="15.75" customHeight="1">
      <c r="A242" s="17"/>
      <c r="D242" s="23"/>
      <c r="G242" s="4"/>
      <c r="H242" s="19"/>
    </row>
    <row r="243" ht="15.75" customHeight="1">
      <c r="A243" s="17"/>
      <c r="D243" s="23"/>
      <c r="G243" s="4"/>
      <c r="H243" s="19"/>
    </row>
    <row r="244" ht="15.75" customHeight="1">
      <c r="A244" s="17"/>
      <c r="D244" s="23"/>
      <c r="G244" s="4"/>
      <c r="H244" s="19"/>
    </row>
    <row r="245" ht="15.75" customHeight="1">
      <c r="A245" s="17"/>
      <c r="D245" s="23"/>
      <c r="G245" s="4"/>
      <c r="H245" s="19"/>
    </row>
    <row r="246" ht="15.75" customHeight="1">
      <c r="A246" s="17"/>
      <c r="D246" s="23"/>
      <c r="G246" s="4"/>
      <c r="H246" s="19"/>
    </row>
    <row r="247" ht="15.75" customHeight="1">
      <c r="A247" s="17"/>
      <c r="D247" s="23"/>
      <c r="G247" s="4"/>
      <c r="H247" s="19"/>
    </row>
    <row r="248" ht="15.75" customHeight="1">
      <c r="A248" s="17"/>
      <c r="D248" s="23"/>
      <c r="G248" s="4"/>
      <c r="H248" s="19"/>
    </row>
    <row r="249" ht="15.75" customHeight="1">
      <c r="A249" s="17"/>
      <c r="D249" s="23"/>
      <c r="G249" s="4"/>
      <c r="H249" s="19"/>
    </row>
    <row r="250" ht="15.75" customHeight="1">
      <c r="A250" s="17"/>
      <c r="D250" s="23"/>
      <c r="G250" s="4"/>
      <c r="H250" s="19"/>
    </row>
    <row r="251" ht="15.75" customHeight="1">
      <c r="A251" s="17"/>
      <c r="D251" s="23"/>
      <c r="G251" s="4"/>
      <c r="H251" s="19"/>
    </row>
    <row r="252" ht="15.75" customHeight="1">
      <c r="A252" s="17"/>
      <c r="D252" s="23"/>
      <c r="G252" s="4"/>
      <c r="H252" s="19"/>
    </row>
    <row r="253" ht="15.75" customHeight="1">
      <c r="A253" s="17"/>
      <c r="D253" s="23"/>
      <c r="G253" s="4"/>
      <c r="H253" s="19"/>
    </row>
    <row r="254" ht="15.75" customHeight="1">
      <c r="A254" s="17"/>
      <c r="D254" s="23"/>
      <c r="G254" s="4"/>
      <c r="H254" s="19"/>
    </row>
    <row r="255" ht="15.75" customHeight="1">
      <c r="A255" s="17"/>
      <c r="D255" s="23"/>
      <c r="G255" s="4"/>
      <c r="H255" s="19"/>
    </row>
    <row r="256" ht="15.75" customHeight="1">
      <c r="A256" s="17"/>
      <c r="D256" s="23"/>
      <c r="G256" s="4"/>
      <c r="H256" s="19"/>
    </row>
    <row r="257" ht="15.75" customHeight="1">
      <c r="A257" s="17"/>
      <c r="D257" s="23"/>
      <c r="G257" s="4"/>
      <c r="H257" s="19"/>
    </row>
    <row r="258" ht="15.75" customHeight="1">
      <c r="A258" s="17"/>
      <c r="D258" s="23"/>
      <c r="G258" s="4"/>
      <c r="H258" s="19"/>
    </row>
    <row r="259" ht="15.75" customHeight="1">
      <c r="A259" s="17"/>
      <c r="D259" s="23"/>
      <c r="G259" s="4"/>
      <c r="H259" s="19"/>
    </row>
    <row r="260" ht="15.75" customHeight="1">
      <c r="A260" s="17"/>
      <c r="D260" s="23"/>
      <c r="G260" s="4"/>
      <c r="H260" s="19"/>
    </row>
    <row r="261" ht="15.75" customHeight="1">
      <c r="A261" s="17"/>
      <c r="D261" s="23"/>
      <c r="G261" s="4"/>
      <c r="H261" s="19"/>
    </row>
    <row r="262" ht="15.75" customHeight="1">
      <c r="A262" s="17"/>
      <c r="D262" s="23"/>
      <c r="G262" s="4"/>
      <c r="H262" s="19"/>
    </row>
    <row r="263" ht="15.75" customHeight="1">
      <c r="A263" s="17"/>
      <c r="D263" s="23"/>
      <c r="G263" s="4"/>
      <c r="H263" s="19"/>
    </row>
    <row r="264" ht="15.75" customHeight="1">
      <c r="A264" s="17"/>
      <c r="D264" s="23"/>
      <c r="G264" s="4"/>
      <c r="H264" s="19"/>
    </row>
    <row r="265" ht="15.75" customHeight="1">
      <c r="A265" s="17"/>
      <c r="D265" s="23"/>
      <c r="G265" s="4"/>
      <c r="H265" s="19"/>
    </row>
    <row r="266" ht="15.75" customHeight="1">
      <c r="A266" s="17"/>
      <c r="D266" s="23"/>
      <c r="G266" s="4"/>
      <c r="H266" s="19"/>
    </row>
    <row r="267" ht="15.75" customHeight="1">
      <c r="A267" s="17"/>
      <c r="D267" s="23"/>
      <c r="G267" s="4"/>
      <c r="H267" s="19"/>
    </row>
    <row r="268" ht="15.75" customHeight="1">
      <c r="A268" s="17"/>
      <c r="D268" s="23"/>
      <c r="G268" s="4"/>
      <c r="H268" s="19"/>
    </row>
    <row r="269" ht="15.75" customHeight="1">
      <c r="A269" s="17"/>
      <c r="D269" s="23"/>
      <c r="G269" s="4"/>
      <c r="H269" s="19"/>
    </row>
    <row r="270" ht="15.75" customHeight="1">
      <c r="A270" s="17"/>
      <c r="D270" s="23"/>
      <c r="G270" s="4"/>
      <c r="H270" s="19"/>
    </row>
    <row r="271" ht="15.75" customHeight="1">
      <c r="A271" s="17"/>
      <c r="D271" s="23"/>
      <c r="G271" s="4"/>
      <c r="H271" s="19"/>
    </row>
    <row r="272" ht="15.75" customHeight="1">
      <c r="A272" s="17"/>
      <c r="D272" s="23"/>
      <c r="G272" s="4"/>
      <c r="H272" s="19"/>
    </row>
    <row r="273" ht="15.75" customHeight="1">
      <c r="A273" s="17"/>
      <c r="D273" s="23"/>
      <c r="G273" s="4"/>
      <c r="H273" s="19"/>
    </row>
    <row r="274" ht="15.75" customHeight="1">
      <c r="A274" s="17"/>
      <c r="D274" s="23"/>
      <c r="G274" s="4"/>
      <c r="H274" s="19"/>
    </row>
    <row r="275" ht="15.75" customHeight="1">
      <c r="A275" s="17"/>
      <c r="D275" s="23"/>
      <c r="G275" s="4"/>
      <c r="H275" s="19"/>
    </row>
    <row r="276" ht="15.75" customHeight="1">
      <c r="A276" s="17"/>
      <c r="D276" s="23"/>
      <c r="G276" s="4"/>
      <c r="H276" s="19"/>
    </row>
    <row r="277" ht="15.75" customHeight="1">
      <c r="A277" s="17"/>
      <c r="D277" s="23"/>
      <c r="G277" s="4"/>
      <c r="H277" s="19"/>
    </row>
    <row r="278" ht="15.75" customHeight="1">
      <c r="A278" s="17"/>
      <c r="D278" s="23"/>
      <c r="G278" s="4"/>
      <c r="H278" s="19"/>
    </row>
    <row r="279" ht="15.75" customHeight="1">
      <c r="A279" s="17"/>
      <c r="D279" s="23"/>
      <c r="G279" s="4"/>
      <c r="H279" s="19"/>
    </row>
    <row r="280" ht="15.75" customHeight="1">
      <c r="A280" s="17"/>
      <c r="D280" s="23"/>
      <c r="G280" s="4"/>
      <c r="H280" s="19"/>
    </row>
    <row r="281" ht="15.75" customHeight="1">
      <c r="A281" s="17"/>
      <c r="D281" s="23"/>
      <c r="G281" s="4"/>
      <c r="H281" s="19"/>
    </row>
    <row r="282" ht="15.75" customHeight="1">
      <c r="A282" s="17"/>
      <c r="D282" s="23"/>
      <c r="G282" s="4"/>
      <c r="H282" s="19"/>
    </row>
    <row r="283" ht="15.75" customHeight="1">
      <c r="A283" s="17"/>
      <c r="D283" s="23"/>
      <c r="G283" s="4"/>
      <c r="H283" s="19"/>
    </row>
    <row r="284" ht="15.75" customHeight="1">
      <c r="A284" s="17"/>
      <c r="D284" s="23"/>
      <c r="G284" s="4"/>
      <c r="H284" s="19"/>
    </row>
    <row r="285" ht="15.75" customHeight="1">
      <c r="A285" s="17"/>
      <c r="D285" s="23"/>
      <c r="G285" s="4"/>
      <c r="H285" s="19"/>
    </row>
    <row r="286" ht="15.75" customHeight="1">
      <c r="A286" s="17"/>
      <c r="D286" s="23"/>
      <c r="G286" s="4"/>
      <c r="H286" s="19"/>
    </row>
    <row r="287" ht="15.75" customHeight="1">
      <c r="A287" s="17"/>
      <c r="D287" s="23"/>
      <c r="G287" s="4"/>
      <c r="H287" s="19"/>
    </row>
    <row r="288" ht="15.75" customHeight="1">
      <c r="A288" s="17"/>
      <c r="D288" s="23"/>
      <c r="G288" s="4"/>
      <c r="H288" s="19"/>
    </row>
    <row r="289" ht="15.75" customHeight="1">
      <c r="A289" s="17"/>
      <c r="D289" s="23"/>
      <c r="G289" s="4"/>
      <c r="H289" s="19"/>
    </row>
    <row r="290" ht="15.75" customHeight="1">
      <c r="A290" s="17"/>
      <c r="D290" s="23"/>
      <c r="G290" s="4"/>
      <c r="H290" s="19"/>
    </row>
    <row r="291" ht="15.75" customHeight="1">
      <c r="A291" s="17"/>
      <c r="D291" s="23"/>
      <c r="G291" s="4"/>
      <c r="H291" s="19"/>
    </row>
    <row r="292" ht="15.75" customHeight="1">
      <c r="A292" s="17"/>
      <c r="D292" s="23"/>
      <c r="G292" s="4"/>
      <c r="H292" s="19"/>
    </row>
    <row r="293" ht="15.75" customHeight="1">
      <c r="A293" s="17"/>
      <c r="D293" s="23"/>
      <c r="G293" s="4"/>
      <c r="H293" s="19"/>
    </row>
    <row r="294" ht="15.75" customHeight="1">
      <c r="A294" s="17"/>
      <c r="D294" s="23"/>
      <c r="G294" s="4"/>
      <c r="H294" s="19"/>
    </row>
    <row r="295" ht="15.75" customHeight="1">
      <c r="A295" s="17"/>
      <c r="D295" s="23"/>
      <c r="G295" s="4"/>
      <c r="H295" s="19"/>
    </row>
    <row r="296" ht="15.75" customHeight="1">
      <c r="A296" s="17"/>
      <c r="D296" s="23"/>
      <c r="G296" s="4"/>
      <c r="H296" s="19"/>
    </row>
    <row r="297" ht="15.75" customHeight="1">
      <c r="A297" s="17"/>
      <c r="D297" s="23"/>
      <c r="G297" s="4"/>
      <c r="H297" s="19"/>
    </row>
    <row r="298" ht="15.75" customHeight="1">
      <c r="A298" s="17"/>
      <c r="D298" s="23"/>
      <c r="G298" s="4"/>
      <c r="H298" s="19"/>
    </row>
    <row r="299" ht="15.75" customHeight="1">
      <c r="A299" s="17"/>
      <c r="D299" s="23"/>
      <c r="G299" s="4"/>
      <c r="H299" s="19"/>
    </row>
    <row r="300" ht="15.75" customHeight="1">
      <c r="A300" s="17"/>
      <c r="D300" s="23"/>
      <c r="G300" s="4"/>
      <c r="H300" s="19"/>
    </row>
    <row r="301" ht="15.75" customHeight="1">
      <c r="A301" s="17"/>
      <c r="D301" s="23"/>
      <c r="G301" s="4"/>
      <c r="H301" s="19"/>
    </row>
    <row r="302" ht="15.75" customHeight="1">
      <c r="A302" s="17"/>
      <c r="D302" s="23"/>
      <c r="G302" s="4"/>
      <c r="H302" s="19"/>
    </row>
    <row r="303" ht="15.75" customHeight="1">
      <c r="A303" s="17"/>
      <c r="D303" s="23"/>
      <c r="G303" s="4"/>
      <c r="H303" s="19"/>
    </row>
    <row r="304" ht="15.75" customHeight="1">
      <c r="A304" s="17"/>
      <c r="D304" s="23"/>
      <c r="G304" s="4"/>
      <c r="H304" s="19"/>
    </row>
    <row r="305" ht="15.75" customHeight="1">
      <c r="A305" s="17"/>
      <c r="D305" s="23"/>
      <c r="G305" s="4"/>
      <c r="H305" s="19"/>
    </row>
    <row r="306" ht="15.75" customHeight="1">
      <c r="A306" s="17"/>
      <c r="D306" s="23"/>
      <c r="G306" s="4"/>
      <c r="H306" s="19"/>
    </row>
    <row r="307" ht="15.75" customHeight="1">
      <c r="A307" s="17"/>
      <c r="D307" s="23"/>
      <c r="G307" s="4"/>
      <c r="H307" s="19"/>
    </row>
    <row r="308" ht="15.75" customHeight="1">
      <c r="A308" s="17"/>
      <c r="D308" s="23"/>
      <c r="G308" s="4"/>
      <c r="H308" s="19"/>
    </row>
    <row r="309" ht="15.75" customHeight="1">
      <c r="A309" s="17"/>
      <c r="D309" s="23"/>
      <c r="G309" s="4"/>
      <c r="H309" s="19"/>
    </row>
    <row r="310" ht="15.75" customHeight="1">
      <c r="A310" s="17"/>
      <c r="D310" s="23"/>
      <c r="G310" s="4"/>
      <c r="H310" s="19"/>
    </row>
    <row r="311" ht="15.75" customHeight="1">
      <c r="A311" s="17"/>
      <c r="D311" s="23"/>
      <c r="G311" s="4"/>
      <c r="H311" s="19"/>
    </row>
    <row r="312" ht="15.75" customHeight="1">
      <c r="A312" s="17"/>
      <c r="D312" s="23"/>
      <c r="G312" s="4"/>
      <c r="H312" s="19"/>
    </row>
    <row r="313" ht="15.75" customHeight="1">
      <c r="A313" s="17"/>
      <c r="D313" s="23"/>
      <c r="G313" s="4"/>
      <c r="H313" s="19"/>
    </row>
    <row r="314" ht="15.75" customHeight="1">
      <c r="A314" s="17"/>
      <c r="D314" s="23"/>
      <c r="G314" s="4"/>
      <c r="H314" s="19"/>
    </row>
    <row r="315" ht="15.75" customHeight="1">
      <c r="A315" s="17"/>
      <c r="D315" s="23"/>
      <c r="G315" s="4"/>
      <c r="H315" s="19"/>
    </row>
    <row r="316" ht="15.75" customHeight="1">
      <c r="A316" s="17"/>
      <c r="D316" s="23"/>
      <c r="G316" s="4"/>
      <c r="H316" s="19"/>
    </row>
    <row r="317" ht="15.75" customHeight="1">
      <c r="G317" s="61"/>
    </row>
    <row r="318" ht="15.75" customHeight="1">
      <c r="G318" s="61"/>
    </row>
    <row r="319" ht="15.75" customHeight="1">
      <c r="G319" s="61"/>
    </row>
    <row r="320" ht="15.75" customHeight="1">
      <c r="G320" s="61"/>
    </row>
    <row r="321" ht="15.75" customHeight="1">
      <c r="G321" s="61"/>
    </row>
    <row r="322" ht="15.75" customHeight="1">
      <c r="G322" s="61"/>
    </row>
    <row r="323" ht="15.75" customHeight="1">
      <c r="G323" s="61"/>
    </row>
    <row r="324" ht="15.75" customHeight="1">
      <c r="G324" s="61"/>
    </row>
    <row r="325" ht="15.75" customHeight="1">
      <c r="G325" s="61"/>
    </row>
    <row r="326" ht="15.75" customHeight="1">
      <c r="G326" s="61"/>
    </row>
    <row r="327" ht="15.75" customHeight="1">
      <c r="G327" s="61"/>
    </row>
    <row r="328" ht="15.75" customHeight="1">
      <c r="G328" s="61"/>
    </row>
    <row r="329" ht="15.75" customHeight="1">
      <c r="G329" s="61"/>
    </row>
    <row r="330" ht="15.75" customHeight="1">
      <c r="G330" s="61"/>
    </row>
    <row r="331" ht="15.75" customHeight="1">
      <c r="G331" s="61"/>
    </row>
    <row r="332" ht="15.75" customHeight="1">
      <c r="G332" s="61"/>
    </row>
    <row r="333" ht="15.75" customHeight="1">
      <c r="G333" s="61"/>
    </row>
    <row r="334" ht="15.75" customHeight="1">
      <c r="G334" s="61"/>
    </row>
    <row r="335" ht="15.75" customHeight="1">
      <c r="G335" s="61"/>
    </row>
    <row r="336" ht="15.75" customHeight="1">
      <c r="G336" s="61"/>
    </row>
    <row r="337" ht="15.75" customHeight="1">
      <c r="G337" s="61"/>
    </row>
    <row r="338" ht="15.75" customHeight="1">
      <c r="G338" s="61"/>
    </row>
    <row r="339" ht="15.75" customHeight="1">
      <c r="G339" s="61"/>
    </row>
    <row r="340" ht="15.75" customHeight="1">
      <c r="G340" s="61"/>
    </row>
    <row r="341" ht="15.75" customHeight="1">
      <c r="G341" s="61"/>
    </row>
    <row r="342" ht="15.75" customHeight="1">
      <c r="G342" s="61"/>
    </row>
    <row r="343" ht="15.75" customHeight="1">
      <c r="G343" s="61"/>
    </row>
    <row r="344" ht="15.75" customHeight="1">
      <c r="G344" s="61"/>
    </row>
    <row r="345" ht="15.75" customHeight="1">
      <c r="G345" s="61"/>
    </row>
    <row r="346" ht="15.75" customHeight="1">
      <c r="G346" s="61"/>
    </row>
    <row r="347" ht="15.75" customHeight="1">
      <c r="G347" s="61"/>
    </row>
    <row r="348" ht="15.75" customHeight="1">
      <c r="G348" s="61"/>
    </row>
    <row r="349" ht="15.75" customHeight="1">
      <c r="G349" s="61"/>
    </row>
    <row r="350" ht="15.75" customHeight="1">
      <c r="G350" s="61"/>
    </row>
    <row r="351" ht="15.75" customHeight="1">
      <c r="G351" s="61"/>
    </row>
    <row r="352" ht="15.75" customHeight="1">
      <c r="G352" s="61"/>
    </row>
    <row r="353" ht="15.75" customHeight="1">
      <c r="G353" s="61"/>
    </row>
    <row r="354" ht="15.75" customHeight="1">
      <c r="G354" s="61"/>
    </row>
    <row r="355" ht="15.75" customHeight="1">
      <c r="G355" s="61"/>
    </row>
    <row r="356" ht="15.75" customHeight="1">
      <c r="G356" s="61"/>
    </row>
    <row r="357" ht="15.75" customHeight="1">
      <c r="G357" s="61"/>
    </row>
    <row r="358" ht="15.75" customHeight="1">
      <c r="G358" s="61"/>
    </row>
    <row r="359" ht="15.75" customHeight="1">
      <c r="G359" s="61"/>
    </row>
    <row r="360" ht="15.75" customHeight="1">
      <c r="G360" s="61"/>
    </row>
    <row r="361" ht="15.75" customHeight="1">
      <c r="G361" s="61"/>
    </row>
    <row r="362" ht="15.75" customHeight="1">
      <c r="G362" s="61"/>
    </row>
    <row r="363" ht="15.75" customHeight="1">
      <c r="G363" s="61"/>
    </row>
    <row r="364" ht="15.75" customHeight="1">
      <c r="G364" s="61"/>
    </row>
    <row r="365" ht="15.75" customHeight="1">
      <c r="G365" s="61"/>
    </row>
    <row r="366" ht="15.75" customHeight="1">
      <c r="G366" s="61"/>
    </row>
    <row r="367" ht="15.75" customHeight="1">
      <c r="G367" s="61"/>
    </row>
    <row r="368" ht="15.75" customHeight="1">
      <c r="G368" s="61"/>
    </row>
    <row r="369" ht="15.75" customHeight="1">
      <c r="G369" s="61"/>
    </row>
    <row r="370" ht="15.75" customHeight="1">
      <c r="G370" s="61"/>
    </row>
    <row r="371" ht="15.75" customHeight="1">
      <c r="G371" s="61"/>
    </row>
    <row r="372" ht="15.75" customHeight="1">
      <c r="G372" s="61"/>
    </row>
    <row r="373" ht="15.75" customHeight="1">
      <c r="G373" s="61"/>
    </row>
    <row r="374" ht="15.75" customHeight="1">
      <c r="G374" s="61"/>
    </row>
    <row r="375" ht="15.75" customHeight="1">
      <c r="G375" s="61"/>
    </row>
    <row r="376" ht="15.75" customHeight="1">
      <c r="G376" s="61"/>
    </row>
    <row r="377" ht="15.75" customHeight="1">
      <c r="G377" s="61"/>
    </row>
    <row r="378" ht="15.75" customHeight="1">
      <c r="G378" s="61"/>
    </row>
    <row r="379" ht="15.75" customHeight="1">
      <c r="G379" s="61"/>
    </row>
    <row r="380" ht="15.75" customHeight="1">
      <c r="G380" s="61"/>
    </row>
    <row r="381" ht="15.75" customHeight="1">
      <c r="G381" s="61"/>
    </row>
    <row r="382" ht="15.75" customHeight="1">
      <c r="G382" s="61"/>
    </row>
    <row r="383" ht="15.75" customHeight="1">
      <c r="G383" s="61"/>
    </row>
    <row r="384" ht="15.75" customHeight="1">
      <c r="G384" s="61"/>
    </row>
    <row r="385" ht="15.75" customHeight="1">
      <c r="G385" s="61"/>
    </row>
    <row r="386" ht="15.75" customHeight="1">
      <c r="G386" s="61"/>
    </row>
    <row r="387" ht="15.75" customHeight="1">
      <c r="G387" s="61"/>
    </row>
    <row r="388" ht="15.75" customHeight="1">
      <c r="G388" s="61"/>
    </row>
    <row r="389" ht="15.75" customHeight="1">
      <c r="G389" s="61"/>
    </row>
    <row r="390" ht="15.75" customHeight="1">
      <c r="G390" s="61"/>
    </row>
    <row r="391" ht="15.75" customHeight="1">
      <c r="G391" s="61"/>
    </row>
    <row r="392" ht="15.75" customHeight="1">
      <c r="G392" s="61"/>
    </row>
    <row r="393" ht="15.75" customHeight="1">
      <c r="G393" s="61"/>
    </row>
    <row r="394" ht="15.75" customHeight="1">
      <c r="G394" s="61"/>
    </row>
    <row r="395" ht="15.75" customHeight="1">
      <c r="G395" s="61"/>
    </row>
    <row r="396" ht="15.75" customHeight="1">
      <c r="G396" s="61"/>
    </row>
    <row r="397" ht="15.75" customHeight="1">
      <c r="G397" s="61"/>
    </row>
    <row r="398" ht="15.75" customHeight="1">
      <c r="G398" s="61"/>
    </row>
    <row r="399" ht="15.75" customHeight="1">
      <c r="G399" s="61"/>
    </row>
    <row r="400" ht="15.75" customHeight="1">
      <c r="G400" s="61"/>
    </row>
    <row r="401" ht="15.75" customHeight="1">
      <c r="G401" s="61"/>
    </row>
    <row r="402" ht="15.75" customHeight="1">
      <c r="G402" s="61"/>
    </row>
    <row r="403" ht="15.75" customHeight="1">
      <c r="G403" s="61"/>
    </row>
    <row r="404" ht="15.75" customHeight="1">
      <c r="G404" s="61"/>
    </row>
    <row r="405" ht="15.75" customHeight="1">
      <c r="G405" s="61"/>
    </row>
    <row r="406" ht="15.75" customHeight="1">
      <c r="G406" s="61"/>
    </row>
    <row r="407" ht="15.75" customHeight="1">
      <c r="G407" s="61"/>
    </row>
    <row r="408" ht="15.75" customHeight="1">
      <c r="G408" s="61"/>
    </row>
    <row r="409" ht="15.75" customHeight="1">
      <c r="G409" s="61"/>
    </row>
    <row r="410" ht="15.75" customHeight="1">
      <c r="G410" s="61"/>
    </row>
    <row r="411" ht="15.75" customHeight="1">
      <c r="G411" s="61"/>
    </row>
    <row r="412" ht="15.75" customHeight="1">
      <c r="G412" s="61"/>
    </row>
    <row r="413" ht="15.75" customHeight="1">
      <c r="G413" s="61"/>
    </row>
    <row r="414" ht="15.75" customHeight="1">
      <c r="G414" s="61"/>
    </row>
    <row r="415" ht="15.75" customHeight="1">
      <c r="G415" s="61"/>
    </row>
    <row r="416" ht="15.75" customHeight="1">
      <c r="G416" s="61"/>
    </row>
    <row r="417" ht="15.75" customHeight="1">
      <c r="G417" s="61"/>
    </row>
    <row r="418" ht="15.75" customHeight="1">
      <c r="G418" s="61"/>
    </row>
    <row r="419" ht="15.75" customHeight="1">
      <c r="G419" s="61"/>
    </row>
    <row r="420" ht="15.75" customHeight="1">
      <c r="G420" s="61"/>
    </row>
    <row r="421" ht="15.75" customHeight="1">
      <c r="G421" s="61"/>
    </row>
    <row r="422" ht="15.75" customHeight="1">
      <c r="G422" s="61"/>
    </row>
    <row r="423" ht="15.75" customHeight="1">
      <c r="G423" s="61"/>
    </row>
    <row r="424" ht="15.75" customHeight="1">
      <c r="G424" s="61"/>
    </row>
    <row r="425" ht="15.75" customHeight="1">
      <c r="G425" s="61"/>
    </row>
    <row r="426" ht="15.75" customHeight="1">
      <c r="G426" s="61"/>
    </row>
    <row r="427" ht="15.75" customHeight="1">
      <c r="G427" s="61"/>
    </row>
    <row r="428" ht="15.75" customHeight="1">
      <c r="G428" s="61"/>
    </row>
    <row r="429" ht="15.75" customHeight="1">
      <c r="G429" s="61"/>
    </row>
    <row r="430" ht="15.75" customHeight="1">
      <c r="G430" s="61"/>
    </row>
    <row r="431" ht="15.75" customHeight="1">
      <c r="G431" s="61"/>
    </row>
    <row r="432" ht="15.75" customHeight="1">
      <c r="G432" s="61"/>
    </row>
    <row r="433" ht="15.75" customHeight="1">
      <c r="G433" s="61"/>
    </row>
    <row r="434" ht="15.75" customHeight="1">
      <c r="G434" s="61"/>
    </row>
    <row r="435" ht="15.75" customHeight="1">
      <c r="G435" s="61"/>
    </row>
    <row r="436" ht="15.75" customHeight="1">
      <c r="G436" s="61"/>
    </row>
    <row r="437" ht="15.75" customHeight="1">
      <c r="G437" s="61"/>
    </row>
    <row r="438" ht="15.75" customHeight="1">
      <c r="G438" s="61"/>
    </row>
    <row r="439" ht="15.75" customHeight="1">
      <c r="G439" s="61"/>
    </row>
    <row r="440" ht="15.75" customHeight="1">
      <c r="G440" s="61"/>
    </row>
    <row r="441" ht="15.75" customHeight="1">
      <c r="G441" s="61"/>
    </row>
    <row r="442" ht="15.75" customHeight="1">
      <c r="G442" s="61"/>
    </row>
    <row r="443" ht="15.75" customHeight="1">
      <c r="G443" s="61"/>
    </row>
    <row r="444" ht="15.75" customHeight="1">
      <c r="G444" s="61"/>
    </row>
    <row r="445" ht="15.75" customHeight="1">
      <c r="G445" s="61"/>
    </row>
    <row r="446" ht="15.75" customHeight="1">
      <c r="G446" s="61"/>
    </row>
    <row r="447" ht="15.75" customHeight="1">
      <c r="G447" s="61"/>
    </row>
    <row r="448" ht="15.75" customHeight="1">
      <c r="G448" s="61"/>
    </row>
    <row r="449" ht="15.75" customHeight="1">
      <c r="G449" s="61"/>
    </row>
    <row r="450" ht="15.75" customHeight="1">
      <c r="G450" s="61"/>
    </row>
    <row r="451" ht="15.75" customHeight="1">
      <c r="G451" s="61"/>
    </row>
    <row r="452" ht="15.75" customHeight="1">
      <c r="G452" s="61"/>
    </row>
    <row r="453" ht="15.75" customHeight="1">
      <c r="G453" s="61"/>
    </row>
    <row r="454" ht="15.75" customHeight="1">
      <c r="G454" s="61"/>
    </row>
    <row r="455" ht="15.75" customHeight="1">
      <c r="G455" s="61"/>
    </row>
    <row r="456" ht="15.75" customHeight="1">
      <c r="G456" s="61"/>
    </row>
    <row r="457" ht="15.75" customHeight="1">
      <c r="G457" s="61"/>
    </row>
    <row r="458" ht="15.75" customHeight="1">
      <c r="G458" s="61"/>
    </row>
    <row r="459" ht="15.75" customHeight="1">
      <c r="G459" s="61"/>
    </row>
    <row r="460" ht="15.75" customHeight="1">
      <c r="G460" s="61"/>
    </row>
    <row r="461" ht="15.75" customHeight="1">
      <c r="G461" s="61"/>
    </row>
    <row r="462" ht="15.75" customHeight="1">
      <c r="G462" s="61"/>
    </row>
    <row r="463" ht="15.75" customHeight="1">
      <c r="G463" s="61"/>
    </row>
    <row r="464" ht="15.75" customHeight="1">
      <c r="G464" s="61"/>
    </row>
    <row r="465" ht="15.75" customHeight="1">
      <c r="G465" s="61"/>
    </row>
    <row r="466" ht="15.75" customHeight="1">
      <c r="G466" s="61"/>
    </row>
    <row r="467" ht="15.75" customHeight="1">
      <c r="G467" s="61"/>
    </row>
    <row r="468" ht="15.75" customHeight="1">
      <c r="G468" s="61"/>
    </row>
    <row r="469" ht="15.75" customHeight="1">
      <c r="G469" s="61"/>
    </row>
    <row r="470" ht="15.75" customHeight="1">
      <c r="G470" s="61"/>
    </row>
    <row r="471" ht="15.75" customHeight="1">
      <c r="G471" s="61"/>
    </row>
    <row r="472" ht="15.75" customHeight="1">
      <c r="G472" s="61"/>
    </row>
    <row r="473" ht="15.75" customHeight="1">
      <c r="G473" s="61"/>
    </row>
    <row r="474" ht="15.75" customHeight="1">
      <c r="G474" s="61"/>
    </row>
    <row r="475" ht="15.75" customHeight="1">
      <c r="G475" s="61"/>
    </row>
    <row r="476" ht="15.75" customHeight="1">
      <c r="G476" s="61"/>
    </row>
    <row r="477" ht="15.75" customHeight="1">
      <c r="G477" s="61"/>
    </row>
    <row r="478" ht="15.75" customHeight="1">
      <c r="G478" s="61"/>
    </row>
    <row r="479" ht="15.75" customHeight="1">
      <c r="G479" s="61"/>
    </row>
    <row r="480" ht="15.75" customHeight="1">
      <c r="G480" s="61"/>
    </row>
    <row r="481" ht="15.75" customHeight="1">
      <c r="G481" s="61"/>
    </row>
    <row r="482" ht="15.75" customHeight="1">
      <c r="G482" s="61"/>
    </row>
    <row r="483" ht="15.75" customHeight="1">
      <c r="G483" s="61"/>
    </row>
    <row r="484" ht="15.75" customHeight="1">
      <c r="G484" s="61"/>
    </row>
    <row r="485" ht="15.75" customHeight="1">
      <c r="G485" s="61"/>
    </row>
    <row r="486" ht="15.75" customHeight="1">
      <c r="G486" s="61"/>
    </row>
    <row r="487" ht="15.75" customHeight="1">
      <c r="G487" s="61"/>
    </row>
    <row r="488" ht="15.75" customHeight="1">
      <c r="G488" s="61"/>
    </row>
    <row r="489" ht="15.75" customHeight="1">
      <c r="G489" s="61"/>
    </row>
    <row r="490" ht="15.75" customHeight="1">
      <c r="G490" s="61"/>
    </row>
    <row r="491" ht="15.75" customHeight="1">
      <c r="G491" s="61"/>
    </row>
    <row r="492" ht="15.75" customHeight="1">
      <c r="G492" s="61"/>
    </row>
    <row r="493" ht="15.75" customHeight="1">
      <c r="G493" s="61"/>
    </row>
    <row r="494" ht="15.75" customHeight="1">
      <c r="G494" s="61"/>
    </row>
    <row r="495" ht="15.75" customHeight="1">
      <c r="G495" s="61"/>
    </row>
    <row r="496" ht="15.75" customHeight="1">
      <c r="G496" s="61"/>
    </row>
    <row r="497" ht="15.75" customHeight="1">
      <c r="G497" s="61"/>
    </row>
    <row r="498" ht="15.75" customHeight="1">
      <c r="G498" s="61"/>
    </row>
    <row r="499" ht="15.75" customHeight="1">
      <c r="G499" s="61"/>
    </row>
    <row r="500" ht="15.75" customHeight="1">
      <c r="G500" s="61"/>
    </row>
    <row r="501" ht="15.75" customHeight="1">
      <c r="G501" s="61"/>
    </row>
    <row r="502" ht="15.75" customHeight="1">
      <c r="G502" s="61"/>
    </row>
    <row r="503" ht="15.75" customHeight="1">
      <c r="G503" s="61"/>
    </row>
    <row r="504" ht="15.75" customHeight="1">
      <c r="G504" s="61"/>
    </row>
    <row r="505" ht="15.75" customHeight="1">
      <c r="G505" s="61"/>
    </row>
    <row r="506" ht="15.75" customHeight="1">
      <c r="G506" s="61"/>
    </row>
    <row r="507" ht="15.75" customHeight="1">
      <c r="G507" s="61"/>
    </row>
    <row r="508" ht="15.75" customHeight="1">
      <c r="G508" s="61"/>
    </row>
    <row r="509" ht="15.75" customHeight="1">
      <c r="G509" s="61"/>
    </row>
    <row r="510" ht="15.75" customHeight="1">
      <c r="G510" s="61"/>
    </row>
    <row r="511" ht="15.75" customHeight="1">
      <c r="G511" s="61"/>
    </row>
    <row r="512" ht="15.75" customHeight="1">
      <c r="G512" s="61"/>
    </row>
    <row r="513" ht="15.75" customHeight="1">
      <c r="G513" s="61"/>
    </row>
    <row r="514" ht="15.75" customHeight="1">
      <c r="G514" s="61"/>
    </row>
    <row r="515" ht="15.75" customHeight="1">
      <c r="G515" s="61"/>
    </row>
    <row r="516" ht="15.75" customHeight="1">
      <c r="G516" s="61"/>
    </row>
    <row r="517" ht="15.75" customHeight="1">
      <c r="G517" s="61"/>
    </row>
    <row r="518" ht="15.75" customHeight="1">
      <c r="G518" s="61"/>
    </row>
    <row r="519" ht="15.75" customHeight="1">
      <c r="G519" s="61"/>
    </row>
    <row r="520" ht="15.75" customHeight="1">
      <c r="G520" s="61"/>
    </row>
    <row r="521" ht="15.75" customHeight="1">
      <c r="G521" s="61"/>
    </row>
    <row r="522" ht="15.75" customHeight="1">
      <c r="G522" s="61"/>
    </row>
    <row r="523" ht="15.75" customHeight="1">
      <c r="G523" s="61"/>
    </row>
    <row r="524" ht="15.75" customHeight="1">
      <c r="G524" s="61"/>
    </row>
    <row r="525" ht="15.75" customHeight="1">
      <c r="G525" s="61"/>
    </row>
    <row r="526" ht="15.75" customHeight="1">
      <c r="G526" s="61"/>
    </row>
    <row r="527" ht="15.75" customHeight="1">
      <c r="G527" s="61"/>
    </row>
    <row r="528" ht="15.75" customHeight="1">
      <c r="G528" s="61"/>
    </row>
    <row r="529" ht="15.75" customHeight="1">
      <c r="G529" s="61"/>
    </row>
    <row r="530" ht="15.75" customHeight="1">
      <c r="G530" s="61"/>
    </row>
    <row r="531" ht="15.75" customHeight="1">
      <c r="G531" s="61"/>
    </row>
    <row r="532" ht="15.75" customHeight="1">
      <c r="G532" s="61"/>
    </row>
    <row r="533" ht="15.75" customHeight="1">
      <c r="G533" s="61"/>
    </row>
    <row r="534" ht="15.75" customHeight="1">
      <c r="G534" s="61"/>
    </row>
    <row r="535" ht="15.75" customHeight="1">
      <c r="G535" s="61"/>
    </row>
    <row r="536" ht="15.75" customHeight="1">
      <c r="G536" s="61"/>
    </row>
    <row r="537" ht="15.75" customHeight="1">
      <c r="G537" s="61"/>
    </row>
    <row r="538" ht="15.75" customHeight="1">
      <c r="G538" s="61"/>
    </row>
    <row r="539" ht="15.75" customHeight="1">
      <c r="G539" s="61"/>
    </row>
    <row r="540" ht="15.75" customHeight="1">
      <c r="G540" s="61"/>
    </row>
    <row r="541" ht="15.75" customHeight="1">
      <c r="G541" s="61"/>
    </row>
    <row r="542" ht="15.75" customHeight="1">
      <c r="G542" s="61"/>
    </row>
    <row r="543" ht="15.75" customHeight="1">
      <c r="G543" s="61"/>
    </row>
    <row r="544" ht="15.75" customHeight="1">
      <c r="G544" s="61"/>
    </row>
    <row r="545" ht="15.75" customHeight="1">
      <c r="G545" s="61"/>
    </row>
    <row r="546" ht="15.75" customHeight="1">
      <c r="G546" s="61"/>
    </row>
    <row r="547" ht="15.75" customHeight="1">
      <c r="G547" s="61"/>
    </row>
    <row r="548" ht="15.75" customHeight="1">
      <c r="G548" s="61"/>
    </row>
    <row r="549" ht="15.75" customHeight="1">
      <c r="G549" s="61"/>
    </row>
    <row r="550" ht="15.75" customHeight="1">
      <c r="G550" s="61"/>
    </row>
    <row r="551" ht="15.75" customHeight="1">
      <c r="G551" s="61"/>
    </row>
    <row r="552" ht="15.75" customHeight="1">
      <c r="G552" s="61"/>
    </row>
    <row r="553" ht="15.75" customHeight="1">
      <c r="G553" s="61"/>
    </row>
    <row r="554" ht="15.75" customHeight="1">
      <c r="G554" s="61"/>
    </row>
    <row r="555" ht="15.75" customHeight="1">
      <c r="G555" s="61"/>
    </row>
    <row r="556" ht="15.75" customHeight="1">
      <c r="G556" s="61"/>
    </row>
    <row r="557" ht="15.75" customHeight="1">
      <c r="G557" s="61"/>
    </row>
    <row r="558" ht="15.75" customHeight="1">
      <c r="G558" s="61"/>
    </row>
    <row r="559" ht="15.75" customHeight="1">
      <c r="G559" s="61"/>
    </row>
    <row r="560" ht="15.75" customHeight="1">
      <c r="G560" s="61"/>
    </row>
    <row r="561" ht="15.75" customHeight="1">
      <c r="G561" s="61"/>
    </row>
    <row r="562" ht="15.75" customHeight="1">
      <c r="G562" s="61"/>
    </row>
    <row r="563" ht="15.75" customHeight="1">
      <c r="G563" s="61"/>
    </row>
    <row r="564" ht="15.75" customHeight="1">
      <c r="G564" s="61"/>
    </row>
    <row r="565" ht="15.75" customHeight="1">
      <c r="G565" s="61"/>
    </row>
    <row r="566" ht="15.75" customHeight="1">
      <c r="G566" s="61"/>
    </row>
    <row r="567" ht="15.75" customHeight="1">
      <c r="G567" s="61"/>
    </row>
    <row r="568" ht="15.75" customHeight="1">
      <c r="G568" s="61"/>
    </row>
    <row r="569" ht="15.75" customHeight="1">
      <c r="G569" s="61"/>
    </row>
    <row r="570" ht="15.75" customHeight="1">
      <c r="G570" s="61"/>
    </row>
    <row r="571" ht="15.75" customHeight="1">
      <c r="G571" s="61"/>
    </row>
    <row r="572" ht="15.75" customHeight="1">
      <c r="G572" s="61"/>
    </row>
    <row r="573" ht="15.75" customHeight="1">
      <c r="G573" s="61"/>
    </row>
    <row r="574" ht="15.75" customHeight="1">
      <c r="G574" s="61"/>
    </row>
    <row r="575" ht="15.75" customHeight="1">
      <c r="G575" s="61"/>
    </row>
    <row r="576" ht="15.75" customHeight="1">
      <c r="G576" s="61"/>
    </row>
    <row r="577" ht="15.75" customHeight="1">
      <c r="G577" s="61"/>
    </row>
    <row r="578" ht="15.75" customHeight="1">
      <c r="G578" s="61"/>
    </row>
    <row r="579" ht="15.75" customHeight="1">
      <c r="G579" s="61"/>
    </row>
    <row r="580" ht="15.75" customHeight="1">
      <c r="G580" s="61"/>
    </row>
    <row r="581" ht="15.75" customHeight="1">
      <c r="G581" s="61"/>
    </row>
    <row r="582" ht="15.75" customHeight="1">
      <c r="G582" s="61"/>
    </row>
    <row r="583" ht="15.75" customHeight="1">
      <c r="G583" s="61"/>
    </row>
    <row r="584" ht="15.75" customHeight="1">
      <c r="G584" s="61"/>
    </row>
    <row r="585" ht="15.75" customHeight="1">
      <c r="G585" s="61"/>
    </row>
    <row r="586" ht="15.75" customHeight="1">
      <c r="G586" s="61"/>
    </row>
    <row r="587" ht="15.75" customHeight="1">
      <c r="G587" s="61"/>
    </row>
    <row r="588" ht="15.75" customHeight="1">
      <c r="G588" s="61"/>
    </row>
    <row r="589" ht="15.75" customHeight="1">
      <c r="G589" s="61"/>
    </row>
    <row r="590" ht="15.75" customHeight="1">
      <c r="G590" s="61"/>
    </row>
    <row r="591" ht="15.75" customHeight="1">
      <c r="G591" s="61"/>
    </row>
    <row r="592" ht="15.75" customHeight="1">
      <c r="G592" s="61"/>
    </row>
    <row r="593" ht="15.75" customHeight="1">
      <c r="G593" s="61"/>
    </row>
    <row r="594" ht="15.75" customHeight="1">
      <c r="G594" s="61"/>
    </row>
    <row r="595" ht="15.75" customHeight="1">
      <c r="G595" s="61"/>
    </row>
    <row r="596" ht="15.75" customHeight="1">
      <c r="G596" s="61"/>
    </row>
    <row r="597" ht="15.75" customHeight="1">
      <c r="G597" s="61"/>
    </row>
    <row r="598" ht="15.75" customHeight="1">
      <c r="G598" s="61"/>
    </row>
    <row r="599" ht="15.75" customHeight="1">
      <c r="G599" s="61"/>
    </row>
    <row r="600" ht="15.75" customHeight="1">
      <c r="G600" s="61"/>
    </row>
    <row r="601" ht="15.75" customHeight="1">
      <c r="G601" s="61"/>
    </row>
    <row r="602" ht="15.75" customHeight="1">
      <c r="G602" s="61"/>
    </row>
    <row r="603" ht="15.75" customHeight="1">
      <c r="G603" s="61"/>
    </row>
    <row r="604" ht="15.75" customHeight="1">
      <c r="G604" s="61"/>
    </row>
    <row r="605" ht="15.75" customHeight="1">
      <c r="G605" s="61"/>
    </row>
    <row r="606" ht="15.75" customHeight="1">
      <c r="G606" s="61"/>
    </row>
    <row r="607" ht="15.75" customHeight="1">
      <c r="G607" s="61"/>
    </row>
    <row r="608" ht="15.75" customHeight="1">
      <c r="G608" s="61"/>
    </row>
    <row r="609" ht="15.75" customHeight="1">
      <c r="G609" s="61"/>
    </row>
    <row r="610" ht="15.75" customHeight="1">
      <c r="G610" s="61"/>
    </row>
    <row r="611" ht="15.75" customHeight="1">
      <c r="G611" s="61"/>
    </row>
    <row r="612" ht="15.75" customHeight="1">
      <c r="G612" s="61"/>
    </row>
    <row r="613" ht="15.75" customHeight="1">
      <c r="G613" s="61"/>
    </row>
    <row r="614" ht="15.75" customHeight="1">
      <c r="G614" s="61"/>
    </row>
    <row r="615" ht="15.75" customHeight="1">
      <c r="G615" s="61"/>
    </row>
    <row r="616" ht="15.75" customHeight="1">
      <c r="G616" s="61"/>
    </row>
    <row r="617" ht="15.75" customHeight="1">
      <c r="G617" s="61"/>
    </row>
    <row r="618" ht="15.75" customHeight="1">
      <c r="G618" s="61"/>
    </row>
    <row r="619" ht="15.75" customHeight="1">
      <c r="G619" s="61"/>
    </row>
    <row r="620" ht="15.75" customHeight="1">
      <c r="G620" s="61"/>
    </row>
    <row r="621" ht="15.75" customHeight="1">
      <c r="G621" s="61"/>
    </row>
    <row r="622" ht="15.75" customHeight="1">
      <c r="G622" s="61"/>
    </row>
    <row r="623" ht="15.75" customHeight="1">
      <c r="G623" s="61"/>
    </row>
    <row r="624" ht="15.75" customHeight="1">
      <c r="G624" s="61"/>
    </row>
    <row r="625" ht="15.75" customHeight="1">
      <c r="G625" s="61"/>
    </row>
    <row r="626" ht="15.75" customHeight="1">
      <c r="G626" s="61"/>
    </row>
    <row r="627" ht="15.75" customHeight="1">
      <c r="G627" s="61"/>
    </row>
    <row r="628" ht="15.75" customHeight="1">
      <c r="G628" s="61"/>
    </row>
    <row r="629" ht="15.75" customHeight="1">
      <c r="G629" s="61"/>
    </row>
    <row r="630" ht="15.75" customHeight="1">
      <c r="G630" s="61"/>
    </row>
    <row r="631" ht="15.75" customHeight="1">
      <c r="G631" s="61"/>
    </row>
    <row r="632" ht="15.75" customHeight="1">
      <c r="G632" s="61"/>
    </row>
    <row r="633" ht="15.75" customHeight="1">
      <c r="G633" s="61"/>
    </row>
    <row r="634" ht="15.75" customHeight="1">
      <c r="G634" s="61"/>
    </row>
    <row r="635" ht="15.75" customHeight="1">
      <c r="G635" s="61"/>
    </row>
    <row r="636" ht="15.75" customHeight="1">
      <c r="G636" s="61"/>
    </row>
    <row r="637" ht="15.75" customHeight="1">
      <c r="G637" s="61"/>
    </row>
    <row r="638" ht="15.75" customHeight="1">
      <c r="G638" s="61"/>
    </row>
    <row r="639" ht="15.75" customHeight="1">
      <c r="G639" s="61"/>
    </row>
    <row r="640" ht="15.75" customHeight="1">
      <c r="G640" s="61"/>
    </row>
    <row r="641" ht="15.75" customHeight="1">
      <c r="G641" s="61"/>
    </row>
    <row r="642" ht="15.75" customHeight="1">
      <c r="G642" s="61"/>
    </row>
    <row r="643" ht="15.75" customHeight="1">
      <c r="G643" s="61"/>
    </row>
    <row r="644" ht="15.75" customHeight="1">
      <c r="G644" s="61"/>
    </row>
    <row r="645" ht="15.75" customHeight="1">
      <c r="G645" s="61"/>
    </row>
    <row r="646" ht="15.75" customHeight="1">
      <c r="G646" s="61"/>
    </row>
    <row r="647" ht="15.75" customHeight="1">
      <c r="G647" s="61"/>
    </row>
    <row r="648" ht="15.75" customHeight="1">
      <c r="G648" s="61"/>
    </row>
    <row r="649" ht="15.75" customHeight="1">
      <c r="G649" s="61"/>
    </row>
    <row r="650" ht="15.75" customHeight="1">
      <c r="G650" s="61"/>
    </row>
    <row r="651" ht="15.75" customHeight="1">
      <c r="G651" s="61"/>
    </row>
    <row r="652" ht="15.75" customHeight="1">
      <c r="G652" s="61"/>
    </row>
    <row r="653" ht="15.75" customHeight="1">
      <c r="G653" s="61"/>
    </row>
    <row r="654" ht="15.75" customHeight="1">
      <c r="G654" s="61"/>
    </row>
    <row r="655" ht="15.75" customHeight="1">
      <c r="G655" s="61"/>
    </row>
    <row r="656" ht="15.75" customHeight="1">
      <c r="G656" s="61"/>
    </row>
    <row r="657" ht="15.75" customHeight="1">
      <c r="G657" s="61"/>
    </row>
    <row r="658" ht="15.75" customHeight="1">
      <c r="G658" s="61"/>
    </row>
    <row r="659" ht="15.75" customHeight="1">
      <c r="G659" s="61"/>
    </row>
    <row r="660" ht="15.75" customHeight="1">
      <c r="G660" s="61"/>
    </row>
    <row r="661" ht="15.75" customHeight="1">
      <c r="G661" s="61"/>
    </row>
    <row r="662" ht="15.75" customHeight="1">
      <c r="G662" s="61"/>
    </row>
    <row r="663" ht="15.75" customHeight="1">
      <c r="G663" s="61"/>
    </row>
    <row r="664" ht="15.75" customHeight="1">
      <c r="G664" s="61"/>
    </row>
    <row r="665" ht="15.75" customHeight="1">
      <c r="G665" s="61"/>
    </row>
    <row r="666" ht="15.75" customHeight="1">
      <c r="G666" s="61"/>
    </row>
    <row r="667" ht="15.75" customHeight="1">
      <c r="G667" s="61"/>
    </row>
    <row r="668" ht="15.75" customHeight="1">
      <c r="G668" s="61"/>
    </row>
    <row r="669" ht="15.75" customHeight="1">
      <c r="G669" s="61"/>
    </row>
    <row r="670" ht="15.75" customHeight="1">
      <c r="G670" s="61"/>
    </row>
    <row r="671" ht="15.75" customHeight="1">
      <c r="G671" s="61"/>
    </row>
    <row r="672" ht="15.75" customHeight="1">
      <c r="G672" s="61"/>
    </row>
    <row r="673" ht="15.75" customHeight="1">
      <c r="G673" s="61"/>
    </row>
    <row r="674" ht="15.75" customHeight="1">
      <c r="G674" s="61"/>
    </row>
    <row r="675" ht="15.75" customHeight="1">
      <c r="G675" s="61"/>
    </row>
    <row r="676" ht="15.75" customHeight="1">
      <c r="G676" s="61"/>
    </row>
    <row r="677" ht="15.75" customHeight="1">
      <c r="G677" s="61"/>
    </row>
    <row r="678" ht="15.75" customHeight="1">
      <c r="G678" s="61"/>
    </row>
    <row r="679" ht="15.75" customHeight="1">
      <c r="G679" s="61"/>
    </row>
    <row r="680" ht="15.75" customHeight="1">
      <c r="G680" s="61"/>
    </row>
    <row r="681" ht="15.75" customHeight="1">
      <c r="G681" s="61"/>
    </row>
    <row r="682" ht="15.75" customHeight="1">
      <c r="G682" s="61"/>
    </row>
    <row r="683" ht="15.75" customHeight="1">
      <c r="G683" s="61"/>
    </row>
    <row r="684" ht="15.75" customHeight="1">
      <c r="G684" s="61"/>
    </row>
    <row r="685" ht="15.75" customHeight="1">
      <c r="G685" s="61"/>
    </row>
    <row r="686" ht="15.75" customHeight="1">
      <c r="G686" s="61"/>
    </row>
    <row r="687" ht="15.75" customHeight="1">
      <c r="G687" s="61"/>
    </row>
    <row r="688" ht="15.75" customHeight="1">
      <c r="G688" s="61"/>
    </row>
    <row r="689" ht="15.75" customHeight="1">
      <c r="G689" s="61"/>
    </row>
    <row r="690" ht="15.75" customHeight="1">
      <c r="G690" s="61"/>
    </row>
    <row r="691" ht="15.75" customHeight="1">
      <c r="G691" s="61"/>
    </row>
    <row r="692" ht="15.75" customHeight="1">
      <c r="G692" s="61"/>
    </row>
    <row r="693" ht="15.75" customHeight="1">
      <c r="G693" s="61"/>
    </row>
    <row r="694" ht="15.75" customHeight="1">
      <c r="G694" s="61"/>
    </row>
    <row r="695" ht="15.75" customHeight="1">
      <c r="G695" s="61"/>
    </row>
    <row r="696" ht="15.75" customHeight="1">
      <c r="G696" s="61"/>
    </row>
    <row r="697" ht="15.75" customHeight="1">
      <c r="G697" s="61"/>
    </row>
    <row r="698" ht="15.75" customHeight="1">
      <c r="G698" s="61"/>
    </row>
    <row r="699" ht="15.75" customHeight="1">
      <c r="G699" s="61"/>
    </row>
    <row r="700" ht="15.75" customHeight="1">
      <c r="G700" s="61"/>
    </row>
    <row r="701" ht="15.75" customHeight="1">
      <c r="G701" s="61"/>
    </row>
    <row r="702" ht="15.75" customHeight="1">
      <c r="G702" s="61"/>
    </row>
    <row r="703" ht="15.75" customHeight="1">
      <c r="G703" s="61"/>
    </row>
    <row r="704" ht="15.75" customHeight="1">
      <c r="G704" s="61"/>
    </row>
    <row r="705" ht="15.75" customHeight="1">
      <c r="G705" s="61"/>
    </row>
    <row r="706" ht="15.75" customHeight="1">
      <c r="G706" s="61"/>
    </row>
    <row r="707" ht="15.75" customHeight="1">
      <c r="G707" s="61"/>
    </row>
    <row r="708" ht="15.75" customHeight="1">
      <c r="G708" s="61"/>
    </row>
    <row r="709" ht="15.75" customHeight="1">
      <c r="G709" s="61"/>
    </row>
    <row r="710" ht="15.75" customHeight="1">
      <c r="G710" s="61"/>
    </row>
    <row r="711" ht="15.75" customHeight="1">
      <c r="G711" s="61"/>
    </row>
    <row r="712" ht="15.75" customHeight="1">
      <c r="G712" s="61"/>
    </row>
    <row r="713" ht="15.75" customHeight="1">
      <c r="G713" s="61"/>
    </row>
    <row r="714" ht="15.75" customHeight="1">
      <c r="G714" s="61"/>
    </row>
    <row r="715" ht="15.75" customHeight="1">
      <c r="G715" s="61"/>
    </row>
    <row r="716" ht="15.75" customHeight="1">
      <c r="G716" s="61"/>
    </row>
    <row r="717" ht="15.75" customHeight="1">
      <c r="G717" s="61"/>
    </row>
    <row r="718" ht="15.75" customHeight="1">
      <c r="G718" s="61"/>
    </row>
    <row r="719" ht="15.75" customHeight="1">
      <c r="G719" s="61"/>
    </row>
    <row r="720" ht="15.75" customHeight="1">
      <c r="G720" s="61"/>
    </row>
    <row r="721" ht="15.75" customHeight="1">
      <c r="G721" s="61"/>
    </row>
    <row r="722" ht="15.75" customHeight="1">
      <c r="G722" s="61"/>
    </row>
    <row r="723" ht="15.75" customHeight="1">
      <c r="G723" s="61"/>
    </row>
    <row r="724" ht="15.75" customHeight="1">
      <c r="G724" s="61"/>
    </row>
    <row r="725" ht="15.75" customHeight="1">
      <c r="G725" s="61"/>
    </row>
    <row r="726" ht="15.75" customHeight="1">
      <c r="G726" s="61"/>
    </row>
    <row r="727" ht="15.75" customHeight="1">
      <c r="G727" s="61"/>
    </row>
    <row r="728" ht="15.75" customHeight="1">
      <c r="G728" s="61"/>
    </row>
    <row r="729" ht="15.75" customHeight="1">
      <c r="G729" s="61"/>
    </row>
    <row r="730" ht="15.75" customHeight="1">
      <c r="G730" s="61"/>
    </row>
    <row r="731" ht="15.75" customHeight="1">
      <c r="G731" s="61"/>
    </row>
    <row r="732" ht="15.75" customHeight="1">
      <c r="G732" s="61"/>
    </row>
    <row r="733" ht="15.75" customHeight="1">
      <c r="G733" s="61"/>
    </row>
    <row r="734" ht="15.75" customHeight="1">
      <c r="G734" s="61"/>
    </row>
    <row r="735" ht="15.75" customHeight="1">
      <c r="G735" s="61"/>
    </row>
    <row r="736" ht="15.75" customHeight="1">
      <c r="G736" s="61"/>
    </row>
    <row r="737" ht="15.75" customHeight="1">
      <c r="G737" s="61"/>
    </row>
    <row r="738" ht="15.75" customHeight="1">
      <c r="G738" s="61"/>
    </row>
    <row r="739" ht="15.75" customHeight="1">
      <c r="G739" s="61"/>
    </row>
    <row r="740" ht="15.75" customHeight="1">
      <c r="G740" s="61"/>
    </row>
    <row r="741" ht="15.75" customHeight="1">
      <c r="G741" s="61"/>
    </row>
    <row r="742" ht="15.75" customHeight="1">
      <c r="G742" s="61"/>
    </row>
    <row r="743" ht="15.75" customHeight="1">
      <c r="G743" s="61"/>
    </row>
    <row r="744" ht="15.75" customHeight="1">
      <c r="G744" s="61"/>
    </row>
    <row r="745" ht="15.75" customHeight="1">
      <c r="G745" s="61"/>
    </row>
    <row r="746" ht="15.75" customHeight="1">
      <c r="G746" s="61"/>
    </row>
    <row r="747" ht="15.75" customHeight="1">
      <c r="G747" s="61"/>
    </row>
    <row r="748" ht="15.75" customHeight="1">
      <c r="G748" s="61"/>
    </row>
    <row r="749" ht="15.75" customHeight="1">
      <c r="G749" s="61"/>
    </row>
    <row r="750" ht="15.75" customHeight="1">
      <c r="G750" s="61"/>
    </row>
    <row r="751" ht="15.75" customHeight="1">
      <c r="G751" s="61"/>
    </row>
    <row r="752" ht="15.75" customHeight="1">
      <c r="G752" s="61"/>
    </row>
    <row r="753" ht="15.75" customHeight="1">
      <c r="G753" s="61"/>
    </row>
    <row r="754" ht="15.75" customHeight="1">
      <c r="G754" s="61"/>
    </row>
    <row r="755" ht="15.75" customHeight="1">
      <c r="G755" s="61"/>
    </row>
    <row r="756" ht="15.75" customHeight="1">
      <c r="G756" s="61"/>
    </row>
    <row r="757" ht="15.75" customHeight="1">
      <c r="G757" s="61"/>
    </row>
    <row r="758" ht="15.75" customHeight="1">
      <c r="G758" s="61"/>
    </row>
    <row r="759" ht="15.75" customHeight="1">
      <c r="G759" s="61"/>
    </row>
    <row r="760" ht="15.75" customHeight="1">
      <c r="G760" s="61"/>
    </row>
    <row r="761" ht="15.75" customHeight="1">
      <c r="G761" s="61"/>
    </row>
    <row r="762" ht="15.75" customHeight="1">
      <c r="G762" s="61"/>
    </row>
    <row r="763" ht="15.75" customHeight="1">
      <c r="G763" s="61"/>
    </row>
    <row r="764" ht="15.75" customHeight="1">
      <c r="G764" s="61"/>
    </row>
    <row r="765" ht="15.75" customHeight="1">
      <c r="G765" s="61"/>
    </row>
    <row r="766" ht="15.75" customHeight="1">
      <c r="G766" s="61"/>
    </row>
    <row r="767" ht="15.75" customHeight="1">
      <c r="G767" s="61"/>
    </row>
    <row r="768" ht="15.75" customHeight="1">
      <c r="G768" s="61"/>
    </row>
    <row r="769" ht="15.75" customHeight="1">
      <c r="G769" s="61"/>
    </row>
    <row r="770" ht="15.75" customHeight="1">
      <c r="G770" s="61"/>
    </row>
    <row r="771" ht="15.75" customHeight="1">
      <c r="G771" s="61"/>
    </row>
    <row r="772" ht="15.75" customHeight="1">
      <c r="G772" s="61"/>
    </row>
    <row r="773" ht="15.75" customHeight="1">
      <c r="G773" s="61"/>
    </row>
    <row r="774" ht="15.75" customHeight="1">
      <c r="G774" s="61"/>
    </row>
    <row r="775" ht="15.75" customHeight="1">
      <c r="G775" s="61"/>
    </row>
    <row r="776" ht="15.75" customHeight="1">
      <c r="G776" s="61"/>
    </row>
    <row r="777" ht="15.75" customHeight="1">
      <c r="G777" s="61"/>
    </row>
    <row r="778" ht="15.75" customHeight="1">
      <c r="G778" s="61"/>
    </row>
    <row r="779" ht="15.75" customHeight="1">
      <c r="G779" s="61"/>
    </row>
    <row r="780" ht="15.75" customHeight="1">
      <c r="G780" s="61"/>
    </row>
    <row r="781" ht="15.75" customHeight="1">
      <c r="G781" s="61"/>
    </row>
    <row r="782" ht="15.75" customHeight="1">
      <c r="G782" s="61"/>
    </row>
    <row r="783" ht="15.75" customHeight="1">
      <c r="G783" s="61"/>
    </row>
    <row r="784" ht="15.75" customHeight="1">
      <c r="G784" s="61"/>
    </row>
    <row r="785" ht="15.75" customHeight="1">
      <c r="G785" s="61"/>
    </row>
    <row r="786" ht="15.75" customHeight="1">
      <c r="G786" s="61"/>
    </row>
    <row r="787" ht="15.75" customHeight="1">
      <c r="G787" s="61"/>
    </row>
    <row r="788" ht="15.75" customHeight="1">
      <c r="G788" s="61"/>
    </row>
    <row r="789" ht="15.75" customHeight="1">
      <c r="G789" s="61"/>
    </row>
    <row r="790" ht="15.75" customHeight="1">
      <c r="G790" s="61"/>
    </row>
    <row r="791" ht="15.75" customHeight="1">
      <c r="G791" s="61"/>
    </row>
    <row r="792" ht="15.75" customHeight="1">
      <c r="G792" s="61"/>
    </row>
    <row r="793" ht="15.75" customHeight="1">
      <c r="G793" s="61"/>
    </row>
    <row r="794" ht="15.75" customHeight="1">
      <c r="G794" s="61"/>
    </row>
    <row r="795" ht="15.75" customHeight="1">
      <c r="G795" s="61"/>
    </row>
    <row r="796" ht="15.75" customHeight="1">
      <c r="G796" s="61"/>
    </row>
    <row r="797" ht="15.75" customHeight="1">
      <c r="G797" s="61"/>
    </row>
    <row r="798" ht="15.75" customHeight="1">
      <c r="G798" s="61"/>
    </row>
    <row r="799" ht="15.75" customHeight="1">
      <c r="G799" s="61"/>
    </row>
    <row r="800" ht="15.75" customHeight="1">
      <c r="G800" s="61"/>
    </row>
    <row r="801" ht="15.75" customHeight="1">
      <c r="G801" s="61"/>
    </row>
    <row r="802" ht="15.75" customHeight="1">
      <c r="G802" s="61"/>
    </row>
    <row r="803" ht="15.75" customHeight="1">
      <c r="G803" s="61"/>
    </row>
    <row r="804" ht="15.75" customHeight="1">
      <c r="G804" s="61"/>
    </row>
    <row r="805" ht="15.75" customHeight="1">
      <c r="G805" s="61"/>
    </row>
    <row r="806" ht="15.75" customHeight="1">
      <c r="G806" s="61"/>
    </row>
    <row r="807" ht="15.75" customHeight="1">
      <c r="G807" s="61"/>
    </row>
    <row r="808" ht="15.75" customHeight="1">
      <c r="G808" s="61"/>
    </row>
    <row r="809" ht="15.75" customHeight="1">
      <c r="G809" s="61"/>
    </row>
    <row r="810" ht="15.75" customHeight="1">
      <c r="G810" s="61"/>
    </row>
    <row r="811" ht="15.75" customHeight="1">
      <c r="G811" s="61"/>
    </row>
    <row r="812" ht="15.75" customHeight="1">
      <c r="G812" s="61"/>
    </row>
    <row r="813" ht="15.75" customHeight="1">
      <c r="G813" s="61"/>
    </row>
    <row r="814" ht="15.75" customHeight="1">
      <c r="G814" s="61"/>
    </row>
    <row r="815" ht="15.75" customHeight="1">
      <c r="G815" s="61"/>
    </row>
    <row r="816" ht="15.75" customHeight="1">
      <c r="G816" s="61"/>
    </row>
    <row r="817" ht="15.75" customHeight="1">
      <c r="G817" s="61"/>
    </row>
    <row r="818" ht="15.75" customHeight="1">
      <c r="G818" s="61"/>
    </row>
    <row r="819" ht="15.75" customHeight="1">
      <c r="G819" s="61"/>
    </row>
    <row r="820" ht="15.75" customHeight="1">
      <c r="G820" s="61"/>
    </row>
    <row r="821" ht="15.75" customHeight="1">
      <c r="G821" s="61"/>
    </row>
    <row r="822" ht="15.75" customHeight="1">
      <c r="G822" s="61"/>
    </row>
    <row r="823" ht="15.75" customHeight="1">
      <c r="G823" s="61"/>
    </row>
    <row r="824" ht="15.75" customHeight="1">
      <c r="G824" s="61"/>
    </row>
    <row r="825" ht="15.75" customHeight="1">
      <c r="G825" s="61"/>
    </row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T1000">
    <cfRule type="expression" dxfId="9" priority="1">
      <formula>AND($G2&lt;&gt;"", $G2="自動消込")</formula>
    </cfRule>
  </conditionalFormatting>
  <conditionalFormatting sqref="A2:T1000">
    <cfRule type="expression" dxfId="10" priority="2">
      <formula>AND($G2&lt;&gt;"", $G2="要確認")</formula>
    </cfRule>
  </conditionalFormatting>
  <dataValidations>
    <dataValidation type="custom" allowBlank="1" showDropDown="1" sqref="G2:G825">
      <formula1>OR($G2="未照合",$G2="自動消込",$G2="要確認",)</formula1>
    </dataValidation>
  </dataValidations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38"/>
    <col customWidth="1" min="2" max="2" width="25.13"/>
    <col customWidth="1" min="3" max="3" width="16.38"/>
    <col customWidth="1" min="4" max="4" width="11.38"/>
    <col customWidth="1" min="5" max="5" width="8.88"/>
    <col customWidth="1" min="6" max="6" width="11.38"/>
    <col customWidth="1" min="7" max="7" width="12.63"/>
    <col customWidth="1" min="8" max="8" width="22.63"/>
    <col customWidth="1" min="9" max="9" width="37.63"/>
    <col customWidth="1" min="10" max="10" width="25.13"/>
    <col customWidth="1" min="11" max="11" width="12.63"/>
    <col customWidth="1" min="12" max="12" width="17.63"/>
    <col customWidth="1" min="13" max="13" width="25.13"/>
    <col customWidth="1" min="14" max="14" width="10.13"/>
    <col customWidth="1" min="15" max="15" width="37.63"/>
  </cols>
  <sheetData>
    <row r="1" ht="15.75" customHeight="1">
      <c r="A1" s="25" t="s">
        <v>128</v>
      </c>
      <c r="B1" s="25" t="s">
        <v>129</v>
      </c>
      <c r="C1" s="25" t="s">
        <v>130</v>
      </c>
      <c r="D1" s="25" t="s">
        <v>131</v>
      </c>
      <c r="E1" s="25" t="s">
        <v>132</v>
      </c>
      <c r="F1" s="25" t="s">
        <v>133</v>
      </c>
      <c r="G1" s="25" t="s">
        <v>123</v>
      </c>
      <c r="H1" s="25" t="s">
        <v>134</v>
      </c>
      <c r="I1" s="25" t="s">
        <v>135</v>
      </c>
      <c r="J1" s="25" t="s">
        <v>136</v>
      </c>
      <c r="K1" s="25" t="s">
        <v>137</v>
      </c>
      <c r="L1" s="25" t="s">
        <v>138</v>
      </c>
      <c r="M1" s="25" t="s">
        <v>139</v>
      </c>
      <c r="N1" s="25" t="s">
        <v>68</v>
      </c>
      <c r="O1" s="25" t="s">
        <v>140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15.75" customHeight="1">
      <c r="A2" s="17">
        <v>46112.0</v>
      </c>
      <c r="B2" s="4" t="s">
        <v>141</v>
      </c>
      <c r="D2" s="23">
        <v>1764543.0</v>
      </c>
      <c r="E2" s="23">
        <v>176454.0</v>
      </c>
      <c r="F2" s="23">
        <v>1940997.0</v>
      </c>
      <c r="G2" s="17"/>
      <c r="H2" s="4" t="s">
        <v>142</v>
      </c>
      <c r="I2" s="27" t="s">
        <v>143</v>
      </c>
      <c r="J2" s="4" t="s">
        <v>144</v>
      </c>
      <c r="L2" s="28">
        <v>46138.35466125</v>
      </c>
      <c r="N2" s="4" t="s">
        <v>79</v>
      </c>
      <c r="O2" s="4" t="s">
        <v>145</v>
      </c>
    </row>
    <row r="3" ht="15.75" customHeight="1">
      <c r="A3" s="17">
        <v>46128.0</v>
      </c>
      <c r="B3" s="4" t="s">
        <v>141</v>
      </c>
      <c r="C3" s="4">
        <v>33.0</v>
      </c>
      <c r="D3" s="23">
        <v>-83000.0</v>
      </c>
      <c r="E3" s="23">
        <v>0.0</v>
      </c>
      <c r="F3" s="23">
        <v>-83000.0</v>
      </c>
      <c r="G3" s="17"/>
      <c r="H3" s="4" t="s">
        <v>146</v>
      </c>
      <c r="I3" s="27" t="s">
        <v>147</v>
      </c>
      <c r="J3" s="4" t="s">
        <v>148</v>
      </c>
      <c r="L3" s="28">
        <v>46138.36592891204</v>
      </c>
      <c r="N3" s="4" t="s">
        <v>79</v>
      </c>
      <c r="O3" s="4" t="s">
        <v>149</v>
      </c>
    </row>
    <row r="4" ht="15.75" customHeight="1">
      <c r="N4" s="4"/>
    </row>
    <row r="5" ht="15.75" customHeight="1">
      <c r="N5" s="4"/>
    </row>
    <row r="6" ht="15.75" customHeight="1">
      <c r="N6" s="4"/>
    </row>
    <row r="7" ht="15.75" customHeight="1">
      <c r="N7" s="4"/>
    </row>
    <row r="8" ht="15.75" customHeight="1">
      <c r="N8" s="4"/>
    </row>
    <row r="9" ht="15.75" customHeight="1">
      <c r="N9" s="4"/>
    </row>
    <row r="10" ht="15.75" customHeight="1">
      <c r="N10" s="4"/>
    </row>
    <row r="11" ht="15.75" customHeight="1">
      <c r="N11" s="4"/>
    </row>
    <row r="12" ht="15.75" customHeight="1">
      <c r="N12" s="4"/>
    </row>
    <row r="13" ht="15.75" customHeight="1">
      <c r="N13" s="4"/>
    </row>
    <row r="14" ht="15.75" customHeight="1">
      <c r="N14" s="4"/>
    </row>
    <row r="15" ht="15.75" customHeight="1">
      <c r="N15" s="4"/>
    </row>
    <row r="16" ht="15.75" customHeight="1">
      <c r="N16" s="4"/>
    </row>
    <row r="17" ht="15.75" customHeight="1">
      <c r="N17" s="4"/>
    </row>
    <row r="18" ht="15.75" customHeight="1">
      <c r="N18" s="4"/>
    </row>
    <row r="19" ht="15.75" customHeight="1">
      <c r="N19" s="4"/>
    </row>
    <row r="20" ht="15.75" customHeight="1">
      <c r="N20" s="4"/>
    </row>
    <row r="21" ht="15.75" customHeight="1">
      <c r="N21" s="4"/>
    </row>
    <row r="22" ht="15.75" customHeight="1">
      <c r="N22" s="4"/>
    </row>
    <row r="23" ht="15.75" customHeight="1">
      <c r="N23" s="4"/>
    </row>
    <row r="24" ht="15.75" customHeight="1">
      <c r="N24" s="4"/>
    </row>
    <row r="25" ht="15.75" customHeight="1">
      <c r="N25" s="4"/>
    </row>
    <row r="26" ht="15.75" customHeight="1">
      <c r="N26" s="4"/>
    </row>
    <row r="27" ht="15.75" customHeight="1">
      <c r="N27" s="4"/>
    </row>
    <row r="28" ht="15.75" customHeight="1">
      <c r="N28" s="4"/>
    </row>
    <row r="29" ht="15.75" customHeight="1">
      <c r="N29" s="4"/>
    </row>
    <row r="30" ht="15.75" customHeight="1">
      <c r="N30" s="4"/>
    </row>
    <row r="31" ht="15.75" customHeight="1">
      <c r="N31" s="4"/>
    </row>
    <row r="32" ht="15.75" customHeight="1">
      <c r="N32" s="4"/>
    </row>
    <row r="33" ht="15.75" customHeight="1">
      <c r="N33" s="4"/>
    </row>
    <row r="34" ht="15.75" customHeight="1">
      <c r="N34" s="4"/>
    </row>
    <row r="35" ht="15.75" customHeight="1">
      <c r="N35" s="4"/>
    </row>
    <row r="36" ht="15.75" customHeight="1">
      <c r="N36" s="4"/>
    </row>
    <row r="37" ht="15.75" customHeight="1">
      <c r="N37" s="4"/>
    </row>
    <row r="38" ht="15.75" customHeight="1">
      <c r="N38" s="4"/>
    </row>
    <row r="39" ht="15.75" customHeight="1">
      <c r="N39" s="4"/>
    </row>
    <row r="40" ht="15.75" customHeight="1">
      <c r="N40" s="4"/>
    </row>
    <row r="41" ht="15.75" customHeight="1">
      <c r="N41" s="4"/>
    </row>
    <row r="42" ht="15.75" customHeight="1">
      <c r="N42" s="4"/>
    </row>
    <row r="43" ht="15.75" customHeight="1">
      <c r="N43" s="4"/>
    </row>
    <row r="44" ht="15.75" customHeight="1">
      <c r="N44" s="4"/>
    </row>
    <row r="45" ht="15.75" customHeight="1">
      <c r="N45" s="4"/>
    </row>
    <row r="46" ht="15.75" customHeight="1">
      <c r="N46" s="4"/>
    </row>
    <row r="47" ht="15.75" customHeight="1">
      <c r="N47" s="4"/>
    </row>
    <row r="48" ht="15.75" customHeight="1">
      <c r="N48" s="4"/>
    </row>
    <row r="49" ht="15.75" customHeight="1">
      <c r="N49" s="4"/>
    </row>
    <row r="50" ht="15.75" customHeight="1">
      <c r="N50" s="4"/>
    </row>
    <row r="51" ht="15.75" customHeight="1">
      <c r="N51" s="4"/>
    </row>
    <row r="52" ht="15.75" customHeight="1">
      <c r="N52" s="4"/>
    </row>
    <row r="53" ht="15.75" customHeight="1">
      <c r="N53" s="4"/>
    </row>
    <row r="54" ht="15.75" customHeight="1">
      <c r="N54" s="4"/>
    </row>
    <row r="55" ht="15.75" customHeight="1">
      <c r="N55" s="4"/>
    </row>
    <row r="56" ht="15.75" customHeight="1">
      <c r="N56" s="4"/>
    </row>
    <row r="57" ht="15.75" customHeight="1">
      <c r="N57" s="4"/>
    </row>
    <row r="58" ht="15.75" customHeight="1">
      <c r="N58" s="4"/>
    </row>
    <row r="59" ht="15.75" customHeight="1">
      <c r="N59" s="4"/>
    </row>
    <row r="60" ht="15.75" customHeight="1">
      <c r="N60" s="4"/>
    </row>
    <row r="61" ht="15.75" customHeight="1">
      <c r="N61" s="4"/>
    </row>
    <row r="62" ht="15.75" customHeight="1">
      <c r="N62" s="4"/>
    </row>
    <row r="63" ht="15.75" customHeight="1">
      <c r="N63" s="4"/>
    </row>
    <row r="64" ht="15.75" customHeight="1">
      <c r="N64" s="4"/>
    </row>
    <row r="65" ht="15.75" customHeight="1">
      <c r="N65" s="4"/>
    </row>
    <row r="66" ht="15.75" customHeight="1">
      <c r="N66" s="4"/>
    </row>
    <row r="67" ht="15.75" customHeight="1">
      <c r="N67" s="4"/>
    </row>
    <row r="68" ht="15.75" customHeight="1">
      <c r="N68" s="4"/>
    </row>
    <row r="69" ht="15.75" customHeight="1">
      <c r="N69" s="4"/>
    </row>
    <row r="70" ht="15.75" customHeight="1">
      <c r="N70" s="4"/>
    </row>
    <row r="71" ht="15.75" customHeight="1">
      <c r="N71" s="4"/>
    </row>
    <row r="72" ht="15.75" customHeight="1">
      <c r="N72" s="4"/>
    </row>
    <row r="73" ht="15.75" customHeight="1">
      <c r="N73" s="4"/>
    </row>
    <row r="74" ht="15.75" customHeight="1">
      <c r="N74" s="4"/>
    </row>
    <row r="75" ht="15.75" customHeight="1">
      <c r="N75" s="4"/>
    </row>
    <row r="76" ht="15.75" customHeight="1">
      <c r="N76" s="4"/>
    </row>
    <row r="77" ht="15.75" customHeight="1">
      <c r="N77" s="4"/>
    </row>
    <row r="78" ht="15.75" customHeight="1">
      <c r="N78" s="4"/>
    </row>
    <row r="79" ht="15.75" customHeight="1">
      <c r="N79" s="4"/>
    </row>
    <row r="80" ht="15.75" customHeight="1">
      <c r="N80" s="4"/>
    </row>
    <row r="81" ht="15.75" customHeight="1">
      <c r="N81" s="4"/>
    </row>
    <row r="82" ht="15.75" customHeight="1">
      <c r="N82" s="4"/>
    </row>
    <row r="83" ht="15.75" customHeight="1">
      <c r="N83" s="4"/>
    </row>
    <row r="84" ht="15.75" customHeight="1">
      <c r="N84" s="4"/>
    </row>
    <row r="85" ht="15.75" customHeight="1">
      <c r="N85" s="4"/>
    </row>
    <row r="86" ht="15.75" customHeight="1">
      <c r="N86" s="4"/>
    </row>
    <row r="87" ht="15.75" customHeight="1">
      <c r="N87" s="4"/>
    </row>
    <row r="88" ht="15.75" customHeight="1">
      <c r="N88" s="4"/>
    </row>
    <row r="89" ht="15.75" customHeight="1">
      <c r="N89" s="4"/>
    </row>
    <row r="90" ht="15.75" customHeight="1">
      <c r="N90" s="4"/>
    </row>
    <row r="91" ht="15.75" customHeight="1">
      <c r="N91" s="4"/>
    </row>
    <row r="92" ht="15.75" customHeight="1">
      <c r="N92" s="4"/>
    </row>
    <row r="93" ht="15.75" customHeight="1">
      <c r="N93" s="4"/>
    </row>
    <row r="94" ht="15.75" customHeight="1">
      <c r="N94" s="4"/>
    </row>
    <row r="95" ht="15.75" customHeight="1">
      <c r="N95" s="4"/>
    </row>
    <row r="96" ht="15.75" customHeight="1">
      <c r="N96" s="4"/>
    </row>
    <row r="97" ht="15.75" customHeight="1">
      <c r="N97" s="4"/>
    </row>
    <row r="98" ht="15.75" customHeight="1">
      <c r="N98" s="4"/>
    </row>
    <row r="99" ht="15.75" customHeight="1">
      <c r="N99" s="4"/>
    </row>
    <row r="100" ht="15.75" customHeight="1">
      <c r="N100" s="4"/>
    </row>
    <row r="101" ht="15.75" customHeight="1">
      <c r="N101" s="4"/>
    </row>
    <row r="102" ht="15.75" customHeight="1">
      <c r="N102" s="4"/>
    </row>
    <row r="103" ht="15.75" customHeight="1">
      <c r="N103" s="4"/>
    </row>
    <row r="104" ht="15.75" customHeight="1">
      <c r="N104" s="4"/>
    </row>
    <row r="105" ht="15.75" customHeight="1">
      <c r="N105" s="4"/>
    </row>
    <row r="106" ht="15.75" customHeight="1">
      <c r="N106" s="4"/>
    </row>
    <row r="107" ht="15.75" customHeight="1">
      <c r="N107" s="4"/>
    </row>
    <row r="108" ht="15.75" customHeight="1">
      <c r="N108" s="4"/>
    </row>
    <row r="109" ht="15.75" customHeight="1">
      <c r="N109" s="4"/>
    </row>
    <row r="110" ht="15.75" customHeight="1">
      <c r="N110" s="4"/>
    </row>
    <row r="111" ht="15.75" customHeight="1">
      <c r="N111" s="4"/>
    </row>
    <row r="112" ht="15.75" customHeight="1">
      <c r="N112" s="4"/>
    </row>
    <row r="113" ht="15.75" customHeight="1">
      <c r="N113" s="4"/>
    </row>
    <row r="114" ht="15.75" customHeight="1">
      <c r="N114" s="4"/>
    </row>
    <row r="115" ht="15.75" customHeight="1">
      <c r="N115" s="4"/>
    </row>
    <row r="116" ht="15.75" customHeight="1">
      <c r="N116" s="4"/>
    </row>
    <row r="117" ht="15.75" customHeight="1">
      <c r="N117" s="4"/>
    </row>
    <row r="118" ht="15.75" customHeight="1">
      <c r="N118" s="4"/>
    </row>
    <row r="119" ht="15.75" customHeight="1">
      <c r="N119" s="4"/>
    </row>
    <row r="120" ht="15.75" customHeight="1">
      <c r="N120" s="4"/>
    </row>
    <row r="121" ht="15.75" customHeight="1">
      <c r="N121" s="4"/>
    </row>
    <row r="122" ht="15.75" customHeight="1">
      <c r="N122" s="4"/>
    </row>
    <row r="123" ht="15.75" customHeight="1">
      <c r="N123" s="4"/>
    </row>
    <row r="124" ht="15.75" customHeight="1">
      <c r="N124" s="4"/>
    </row>
    <row r="125" ht="15.75" customHeight="1">
      <c r="N125" s="4"/>
    </row>
    <row r="126" ht="15.75" customHeight="1">
      <c r="N126" s="4"/>
    </row>
    <row r="127" ht="15.75" customHeight="1">
      <c r="N127" s="4"/>
    </row>
    <row r="128" ht="15.75" customHeight="1">
      <c r="N128" s="4"/>
    </row>
    <row r="129" ht="15.75" customHeight="1">
      <c r="N129" s="4"/>
    </row>
    <row r="130" ht="15.75" customHeight="1">
      <c r="N130" s="4"/>
    </row>
    <row r="131" ht="15.75" customHeight="1">
      <c r="N131" s="4"/>
    </row>
    <row r="132" ht="15.75" customHeight="1">
      <c r="N132" s="4"/>
    </row>
    <row r="133" ht="15.75" customHeight="1">
      <c r="N133" s="4"/>
    </row>
    <row r="134" ht="15.75" customHeight="1">
      <c r="N134" s="4"/>
    </row>
    <row r="135" ht="15.75" customHeight="1">
      <c r="N135" s="4"/>
    </row>
    <row r="136" ht="15.75" customHeight="1">
      <c r="N136" s="4"/>
    </row>
    <row r="137" ht="15.75" customHeight="1">
      <c r="N137" s="4"/>
    </row>
    <row r="138" ht="15.75" customHeight="1">
      <c r="N138" s="4"/>
    </row>
    <row r="139" ht="15.75" customHeight="1">
      <c r="N139" s="4"/>
    </row>
    <row r="140" ht="15.75" customHeight="1">
      <c r="N140" s="4"/>
    </row>
    <row r="141" ht="15.75" customHeight="1">
      <c r="N141" s="4"/>
    </row>
    <row r="142" ht="15.75" customHeight="1">
      <c r="N142" s="4"/>
    </row>
    <row r="143" ht="15.75" customHeight="1">
      <c r="N143" s="4"/>
    </row>
    <row r="144" ht="15.75" customHeight="1">
      <c r="N144" s="4"/>
    </row>
    <row r="145" ht="15.75" customHeight="1">
      <c r="N145" s="4"/>
    </row>
    <row r="146" ht="15.75" customHeight="1">
      <c r="N146" s="4"/>
    </row>
    <row r="147" ht="15.75" customHeight="1">
      <c r="N147" s="4"/>
    </row>
    <row r="148" ht="15.75" customHeight="1">
      <c r="N148" s="4"/>
    </row>
    <row r="149" ht="15.75" customHeight="1">
      <c r="N149" s="4"/>
    </row>
    <row r="150" ht="15.75" customHeight="1">
      <c r="N150" s="4"/>
    </row>
    <row r="151" ht="15.75" customHeight="1">
      <c r="N151" s="4"/>
    </row>
    <row r="152" ht="15.75" customHeight="1">
      <c r="N152" s="4"/>
    </row>
    <row r="153" ht="15.75" customHeight="1">
      <c r="N153" s="4"/>
    </row>
    <row r="154" ht="15.75" customHeight="1">
      <c r="N154" s="4"/>
    </row>
    <row r="155" ht="15.75" customHeight="1">
      <c r="N155" s="4"/>
    </row>
    <row r="156" ht="15.75" customHeight="1">
      <c r="N156" s="4"/>
    </row>
    <row r="157" ht="15.75" customHeight="1">
      <c r="N157" s="4"/>
    </row>
    <row r="158" ht="15.75" customHeight="1">
      <c r="N158" s="4"/>
    </row>
    <row r="159" ht="15.75" customHeight="1">
      <c r="N159" s="4"/>
    </row>
    <row r="160" ht="15.75" customHeight="1">
      <c r="N160" s="4"/>
    </row>
    <row r="161" ht="15.75" customHeight="1">
      <c r="N161" s="4"/>
    </row>
    <row r="162" ht="15.75" customHeight="1">
      <c r="N162" s="4"/>
    </row>
    <row r="163" ht="15.75" customHeight="1">
      <c r="N163" s="4"/>
    </row>
    <row r="164" ht="15.75" customHeight="1">
      <c r="N164" s="4"/>
    </row>
    <row r="165" ht="15.75" customHeight="1">
      <c r="N165" s="4"/>
    </row>
    <row r="166" ht="15.75" customHeight="1">
      <c r="N166" s="4"/>
    </row>
    <row r="167" ht="15.75" customHeight="1">
      <c r="N167" s="4"/>
    </row>
    <row r="168" ht="15.75" customHeight="1">
      <c r="N168" s="4"/>
    </row>
    <row r="169" ht="15.75" customHeight="1">
      <c r="N169" s="4"/>
    </row>
    <row r="170" ht="15.75" customHeight="1">
      <c r="N170" s="4"/>
    </row>
    <row r="171" ht="15.75" customHeight="1">
      <c r="N171" s="4"/>
    </row>
    <row r="172" ht="15.75" customHeight="1">
      <c r="N172" s="4"/>
    </row>
    <row r="173" ht="15.75" customHeight="1">
      <c r="N173" s="4"/>
    </row>
    <row r="174" ht="15.75" customHeight="1">
      <c r="N174" s="4"/>
    </row>
    <row r="175" ht="15.75" customHeight="1">
      <c r="N175" s="4"/>
    </row>
    <row r="176" ht="15.75" customHeight="1">
      <c r="N176" s="4"/>
    </row>
    <row r="177" ht="15.75" customHeight="1">
      <c r="N177" s="4"/>
    </row>
    <row r="178" ht="15.75" customHeight="1">
      <c r="N178" s="4"/>
    </row>
    <row r="179" ht="15.75" customHeight="1">
      <c r="N179" s="4"/>
    </row>
    <row r="180" ht="15.75" customHeight="1">
      <c r="N180" s="4"/>
    </row>
    <row r="181" ht="15.75" customHeight="1">
      <c r="N181" s="4"/>
    </row>
    <row r="182" ht="15.75" customHeight="1">
      <c r="N182" s="4"/>
    </row>
    <row r="183" ht="15.75" customHeight="1">
      <c r="N183" s="4"/>
    </row>
    <row r="184" ht="15.75" customHeight="1">
      <c r="N184" s="4"/>
    </row>
    <row r="185" ht="15.75" customHeight="1">
      <c r="N185" s="4"/>
    </row>
    <row r="186" ht="15.75" customHeight="1">
      <c r="N186" s="4"/>
    </row>
    <row r="187" ht="15.75" customHeight="1">
      <c r="N187" s="4"/>
    </row>
    <row r="188" ht="15.75" customHeight="1">
      <c r="N188" s="4"/>
    </row>
    <row r="189" ht="15.75" customHeight="1">
      <c r="N189" s="4"/>
    </row>
    <row r="190" ht="15.75" customHeight="1">
      <c r="N190" s="4"/>
    </row>
    <row r="191" ht="15.75" customHeight="1">
      <c r="N191" s="4"/>
    </row>
    <row r="192" ht="15.75" customHeight="1">
      <c r="N192" s="4"/>
    </row>
    <row r="193" ht="15.75" customHeight="1">
      <c r="N193" s="4"/>
    </row>
    <row r="194" ht="15.75" customHeight="1">
      <c r="N194" s="4"/>
    </row>
    <row r="195" ht="15.75" customHeight="1">
      <c r="N195" s="4"/>
    </row>
    <row r="196" ht="15.75" customHeight="1">
      <c r="N196" s="4"/>
    </row>
    <row r="197" ht="15.75" customHeight="1">
      <c r="N197" s="4"/>
    </row>
    <row r="198" ht="15.75" customHeight="1">
      <c r="N198" s="4"/>
    </row>
    <row r="199" ht="15.75" customHeight="1">
      <c r="N199" s="4"/>
    </row>
    <row r="200" ht="15.75" customHeight="1">
      <c r="N200" s="4"/>
    </row>
    <row r="201" ht="15.75" customHeight="1">
      <c r="N201" s="4"/>
    </row>
    <row r="202" ht="15.75" customHeight="1">
      <c r="N202" s="4"/>
    </row>
    <row r="203" ht="15.75" customHeight="1">
      <c r="N203" s="4"/>
    </row>
    <row r="204" ht="15.75" customHeight="1">
      <c r="N204" s="4"/>
    </row>
    <row r="205" ht="15.75" customHeight="1">
      <c r="N205" s="4"/>
    </row>
    <row r="206" ht="15.75" customHeight="1">
      <c r="N206" s="4"/>
    </row>
    <row r="207" ht="15.75" customHeight="1">
      <c r="N207" s="4"/>
    </row>
    <row r="208" ht="15.75" customHeight="1">
      <c r="N208" s="4"/>
    </row>
    <row r="209" ht="15.75" customHeight="1">
      <c r="N209" s="4"/>
    </row>
    <row r="210" ht="15.75" customHeight="1">
      <c r="N210" s="4"/>
    </row>
    <row r="211" ht="15.75" customHeight="1">
      <c r="N211" s="4"/>
    </row>
    <row r="212" ht="15.75" customHeight="1">
      <c r="N212" s="4"/>
    </row>
    <row r="213" ht="15.75" customHeight="1">
      <c r="N213" s="4"/>
    </row>
    <row r="214" ht="15.75" customHeight="1">
      <c r="N214" s="4"/>
    </row>
    <row r="215" ht="15.75" customHeight="1">
      <c r="N215" s="4"/>
    </row>
    <row r="216" ht="15.75" customHeight="1">
      <c r="N216" s="4"/>
    </row>
    <row r="217" ht="15.75" customHeight="1">
      <c r="N217" s="4"/>
    </row>
    <row r="218" ht="15.75" customHeight="1">
      <c r="N218" s="4"/>
    </row>
    <row r="219" ht="15.75" customHeight="1">
      <c r="N219" s="4"/>
    </row>
    <row r="220" ht="15.75" customHeight="1">
      <c r="N220" s="4"/>
    </row>
    <row r="221" ht="15.75" customHeight="1">
      <c r="N221" s="61"/>
    </row>
    <row r="222" ht="15.75" customHeight="1">
      <c r="N222" s="61"/>
    </row>
    <row r="223" ht="15.75" customHeight="1">
      <c r="N223" s="61"/>
    </row>
    <row r="224" ht="15.75" customHeight="1">
      <c r="N224" s="61"/>
    </row>
    <row r="225" ht="15.75" customHeight="1">
      <c r="N225" s="61"/>
    </row>
    <row r="226" ht="15.75" customHeight="1">
      <c r="N226" s="61"/>
    </row>
    <row r="227" ht="15.75" customHeight="1">
      <c r="N227" s="61"/>
    </row>
    <row r="228" ht="15.75" customHeight="1">
      <c r="N228" s="61"/>
    </row>
    <row r="229" ht="15.75" customHeight="1">
      <c r="N229" s="61"/>
    </row>
    <row r="230" ht="15.75" customHeight="1">
      <c r="N230" s="61"/>
    </row>
    <row r="231" ht="15.75" customHeight="1">
      <c r="N231" s="61"/>
    </row>
    <row r="232" ht="15.75" customHeight="1">
      <c r="N232" s="61"/>
    </row>
    <row r="233" ht="15.75" customHeight="1">
      <c r="N233" s="61"/>
    </row>
    <row r="234" ht="15.75" customHeight="1">
      <c r="N234" s="61"/>
    </row>
    <row r="235" ht="15.75" customHeight="1">
      <c r="N235" s="61"/>
    </row>
    <row r="236" ht="15.75" customHeight="1">
      <c r="N236" s="61"/>
    </row>
    <row r="237" ht="15.75" customHeight="1">
      <c r="N237" s="61"/>
    </row>
    <row r="238" ht="15.75" customHeight="1">
      <c r="N238" s="61"/>
    </row>
    <row r="239" ht="15.75" customHeight="1">
      <c r="N239" s="61"/>
    </row>
    <row r="240" ht="15.75" customHeight="1">
      <c r="N240" s="61"/>
    </row>
    <row r="241" ht="15.75" customHeight="1">
      <c r="N241" s="61"/>
    </row>
    <row r="242" ht="15.75" customHeight="1">
      <c r="N242" s="61"/>
    </row>
    <row r="243" ht="15.75" customHeight="1">
      <c r="N243" s="61"/>
    </row>
    <row r="244" ht="15.75" customHeight="1">
      <c r="N244" s="61"/>
    </row>
    <row r="245" ht="15.75" customHeight="1">
      <c r="N245" s="61"/>
    </row>
    <row r="246" ht="15.75" customHeight="1">
      <c r="N246" s="61"/>
    </row>
    <row r="247" ht="15.75" customHeight="1">
      <c r="N247" s="61"/>
    </row>
    <row r="248" ht="15.75" customHeight="1">
      <c r="N248" s="61"/>
    </row>
    <row r="249" ht="15.75" customHeight="1">
      <c r="N249" s="61"/>
    </row>
    <row r="250" ht="15.75" customHeight="1">
      <c r="N250" s="61"/>
    </row>
    <row r="251" ht="15.75" customHeight="1">
      <c r="N251" s="61"/>
    </row>
    <row r="252" ht="15.75" customHeight="1">
      <c r="N252" s="61"/>
    </row>
    <row r="253" ht="15.75" customHeight="1">
      <c r="N253" s="61"/>
    </row>
    <row r="254" ht="15.75" customHeight="1">
      <c r="N254" s="61"/>
    </row>
    <row r="255" ht="15.75" customHeight="1">
      <c r="N255" s="61"/>
    </row>
    <row r="256" ht="15.75" customHeight="1">
      <c r="N256" s="61"/>
    </row>
    <row r="257" ht="15.75" customHeight="1">
      <c r="N257" s="61"/>
    </row>
    <row r="258" ht="15.75" customHeight="1">
      <c r="N258" s="61"/>
    </row>
    <row r="259" ht="15.75" customHeight="1">
      <c r="N259" s="61"/>
    </row>
    <row r="260" ht="15.75" customHeight="1">
      <c r="N260" s="61"/>
    </row>
    <row r="261" ht="15.75" customHeight="1">
      <c r="N261" s="61"/>
    </row>
    <row r="262" ht="15.75" customHeight="1">
      <c r="N262" s="61"/>
    </row>
    <row r="263" ht="15.75" customHeight="1">
      <c r="N263" s="61"/>
    </row>
    <row r="264" ht="15.75" customHeight="1">
      <c r="N264" s="61"/>
    </row>
    <row r="265" ht="15.75" customHeight="1">
      <c r="N265" s="61"/>
    </row>
    <row r="266" ht="15.75" customHeight="1">
      <c r="N266" s="61"/>
    </row>
    <row r="267" ht="15.75" customHeight="1">
      <c r="N267" s="61"/>
    </row>
    <row r="268" ht="15.75" customHeight="1">
      <c r="N268" s="61"/>
    </row>
    <row r="269" ht="15.75" customHeight="1">
      <c r="N269" s="61"/>
    </row>
    <row r="270" ht="15.75" customHeight="1">
      <c r="N270" s="61"/>
    </row>
    <row r="271" ht="15.75" customHeight="1">
      <c r="N271" s="61"/>
    </row>
    <row r="272" ht="15.75" customHeight="1">
      <c r="N272" s="61"/>
    </row>
    <row r="273" ht="15.75" customHeight="1">
      <c r="N273" s="61"/>
    </row>
    <row r="274" ht="15.75" customHeight="1">
      <c r="N274" s="61"/>
    </row>
    <row r="275" ht="15.75" customHeight="1">
      <c r="N275" s="61"/>
    </row>
    <row r="276" ht="15.75" customHeight="1">
      <c r="N276" s="61"/>
    </row>
    <row r="277" ht="15.75" customHeight="1">
      <c r="N277" s="61"/>
    </row>
    <row r="278" ht="15.75" customHeight="1">
      <c r="N278" s="61"/>
    </row>
    <row r="279" ht="15.75" customHeight="1">
      <c r="N279" s="61"/>
    </row>
    <row r="280" ht="15.75" customHeight="1">
      <c r="N280" s="61"/>
    </row>
    <row r="281" ht="15.75" customHeight="1">
      <c r="N281" s="61"/>
    </row>
    <row r="282" ht="15.75" customHeight="1">
      <c r="N282" s="61"/>
    </row>
    <row r="283" ht="15.75" customHeight="1">
      <c r="N283" s="61"/>
    </row>
    <row r="284" ht="15.75" customHeight="1">
      <c r="N284" s="61"/>
    </row>
    <row r="285" ht="15.75" customHeight="1">
      <c r="N285" s="61"/>
    </row>
    <row r="286" ht="15.75" customHeight="1">
      <c r="N286" s="61"/>
    </row>
    <row r="287" ht="15.75" customHeight="1">
      <c r="N287" s="61"/>
    </row>
    <row r="288" ht="15.75" customHeight="1">
      <c r="N288" s="61"/>
    </row>
    <row r="289" ht="15.75" customHeight="1">
      <c r="N289" s="61"/>
    </row>
    <row r="290" ht="15.75" customHeight="1">
      <c r="N290" s="61"/>
    </row>
    <row r="291" ht="15.75" customHeight="1">
      <c r="N291" s="61"/>
    </row>
    <row r="292" ht="15.75" customHeight="1">
      <c r="N292" s="61"/>
    </row>
    <row r="293" ht="15.75" customHeight="1">
      <c r="N293" s="61"/>
    </row>
    <row r="294" ht="15.75" customHeight="1">
      <c r="N294" s="61"/>
    </row>
    <row r="295" ht="15.75" customHeight="1">
      <c r="N295" s="61"/>
    </row>
    <row r="296" ht="15.75" customHeight="1">
      <c r="N296" s="61"/>
    </row>
    <row r="297" ht="15.75" customHeight="1">
      <c r="N297" s="61"/>
    </row>
    <row r="298" ht="15.75" customHeight="1">
      <c r="N298" s="61"/>
    </row>
    <row r="299" ht="15.75" customHeight="1">
      <c r="N299" s="61"/>
    </row>
    <row r="300" ht="15.75" customHeight="1">
      <c r="N300" s="61"/>
    </row>
    <row r="301" ht="15.75" customHeight="1">
      <c r="N301" s="61"/>
    </row>
    <row r="302" ht="15.75" customHeight="1">
      <c r="N302" s="61"/>
    </row>
    <row r="303" ht="15.75" customHeight="1">
      <c r="N303" s="61"/>
    </row>
    <row r="304" ht="15.75" customHeight="1">
      <c r="N304" s="61"/>
    </row>
    <row r="305" ht="15.75" customHeight="1">
      <c r="N305" s="61"/>
    </row>
    <row r="306" ht="15.75" customHeight="1">
      <c r="N306" s="61"/>
    </row>
    <row r="307" ht="15.75" customHeight="1">
      <c r="N307" s="61"/>
    </row>
    <row r="308" ht="15.75" customHeight="1">
      <c r="N308" s="61"/>
    </row>
    <row r="309" ht="15.75" customHeight="1">
      <c r="N309" s="61"/>
    </row>
    <row r="310" ht="15.75" customHeight="1">
      <c r="N310" s="61"/>
    </row>
    <row r="311" ht="15.75" customHeight="1">
      <c r="N311" s="61"/>
    </row>
    <row r="312" ht="15.75" customHeight="1">
      <c r="N312" s="61"/>
    </row>
    <row r="313" ht="15.75" customHeight="1">
      <c r="N313" s="61"/>
    </row>
    <row r="314" ht="15.75" customHeight="1">
      <c r="N314" s="61"/>
    </row>
    <row r="315" ht="15.75" customHeight="1">
      <c r="N315" s="61"/>
    </row>
    <row r="316" ht="15.75" customHeight="1">
      <c r="N316" s="61"/>
    </row>
    <row r="317" ht="15.75" customHeight="1">
      <c r="N317" s="61"/>
    </row>
    <row r="318" ht="15.75" customHeight="1">
      <c r="N318" s="61"/>
    </row>
    <row r="319" ht="15.75" customHeight="1">
      <c r="N319" s="61"/>
    </row>
    <row r="320" ht="15.75" customHeight="1">
      <c r="N320" s="61"/>
    </row>
    <row r="321" ht="15.75" customHeight="1">
      <c r="N321" s="61"/>
    </row>
    <row r="322" ht="15.75" customHeight="1">
      <c r="N322" s="61"/>
    </row>
    <row r="323" ht="15.75" customHeight="1">
      <c r="N323" s="61"/>
    </row>
    <row r="324" ht="15.75" customHeight="1">
      <c r="N324" s="61"/>
    </row>
    <row r="325" ht="15.75" customHeight="1">
      <c r="N325" s="61"/>
    </row>
    <row r="326" ht="15.75" customHeight="1">
      <c r="N326" s="61"/>
    </row>
    <row r="327" ht="15.75" customHeight="1">
      <c r="N327" s="61"/>
    </row>
    <row r="328" ht="15.75" customHeight="1">
      <c r="N328" s="61"/>
    </row>
    <row r="329" ht="15.75" customHeight="1">
      <c r="N329" s="61"/>
    </row>
    <row r="330" ht="15.75" customHeight="1">
      <c r="N330" s="61"/>
    </row>
    <row r="331" ht="15.75" customHeight="1">
      <c r="N331" s="61"/>
    </row>
    <row r="332" ht="15.75" customHeight="1">
      <c r="N332" s="61"/>
    </row>
    <row r="333" ht="15.75" customHeight="1">
      <c r="N333" s="61"/>
    </row>
    <row r="334" ht="15.75" customHeight="1">
      <c r="N334" s="61"/>
    </row>
    <row r="335" ht="15.75" customHeight="1">
      <c r="N335" s="61"/>
    </row>
    <row r="336" ht="15.75" customHeight="1">
      <c r="N336" s="61"/>
    </row>
    <row r="337" ht="15.75" customHeight="1">
      <c r="N337" s="61"/>
    </row>
    <row r="338" ht="15.75" customHeight="1">
      <c r="N338" s="61"/>
    </row>
    <row r="339" ht="15.75" customHeight="1">
      <c r="N339" s="61"/>
    </row>
    <row r="340" ht="15.75" customHeight="1">
      <c r="N340" s="61"/>
    </row>
    <row r="341" ht="15.75" customHeight="1">
      <c r="N341" s="61"/>
    </row>
    <row r="342" ht="15.75" customHeight="1">
      <c r="N342" s="61"/>
    </row>
    <row r="343" ht="15.75" customHeight="1">
      <c r="N343" s="61"/>
    </row>
    <row r="344" ht="15.75" customHeight="1">
      <c r="N344" s="61"/>
    </row>
    <row r="345" ht="15.75" customHeight="1">
      <c r="N345" s="61"/>
    </row>
    <row r="346" ht="15.75" customHeight="1">
      <c r="N346" s="61"/>
    </row>
    <row r="347" ht="15.75" customHeight="1">
      <c r="N347" s="61"/>
    </row>
    <row r="348" ht="15.75" customHeight="1">
      <c r="N348" s="61"/>
    </row>
    <row r="349" ht="15.75" customHeight="1">
      <c r="N349" s="61"/>
    </row>
    <row r="350" ht="15.75" customHeight="1">
      <c r="N350" s="61"/>
    </row>
    <row r="351" ht="15.75" customHeight="1">
      <c r="N351" s="61"/>
    </row>
    <row r="352" ht="15.75" customHeight="1">
      <c r="N352" s="61"/>
    </row>
    <row r="353" ht="15.75" customHeight="1">
      <c r="N353" s="61"/>
    </row>
    <row r="354" ht="15.75" customHeight="1">
      <c r="N354" s="61"/>
    </row>
    <row r="355" ht="15.75" customHeight="1">
      <c r="N355" s="61"/>
    </row>
    <row r="356" ht="15.75" customHeight="1">
      <c r="N356" s="61"/>
    </row>
    <row r="357" ht="15.75" customHeight="1">
      <c r="N357" s="61"/>
    </row>
    <row r="358" ht="15.75" customHeight="1">
      <c r="N358" s="61"/>
    </row>
    <row r="359" ht="15.75" customHeight="1">
      <c r="N359" s="61"/>
    </row>
    <row r="360" ht="15.75" customHeight="1">
      <c r="N360" s="61"/>
    </row>
    <row r="361" ht="15.75" customHeight="1">
      <c r="N361" s="61"/>
    </row>
    <row r="362" ht="15.75" customHeight="1">
      <c r="N362" s="61"/>
    </row>
    <row r="363" ht="15.75" customHeight="1">
      <c r="N363" s="61"/>
    </row>
    <row r="364" ht="15.75" customHeight="1">
      <c r="N364" s="61"/>
    </row>
    <row r="365" ht="15.75" customHeight="1">
      <c r="N365" s="61"/>
    </row>
    <row r="366" ht="15.75" customHeight="1">
      <c r="N366" s="61"/>
    </row>
    <row r="367" ht="15.75" customHeight="1">
      <c r="N367" s="61"/>
    </row>
    <row r="368" ht="15.75" customHeight="1">
      <c r="N368" s="61"/>
    </row>
    <row r="369" ht="15.75" customHeight="1">
      <c r="N369" s="61"/>
    </row>
    <row r="370" ht="15.75" customHeight="1">
      <c r="N370" s="61"/>
    </row>
    <row r="371" ht="15.75" customHeight="1">
      <c r="N371" s="61"/>
    </row>
    <row r="372" ht="15.75" customHeight="1">
      <c r="N372" s="61"/>
    </row>
    <row r="373" ht="15.75" customHeight="1">
      <c r="N373" s="61"/>
    </row>
    <row r="374" ht="15.75" customHeight="1">
      <c r="N374" s="61"/>
    </row>
    <row r="375" ht="15.75" customHeight="1">
      <c r="N375" s="61"/>
    </row>
    <row r="376" ht="15.75" customHeight="1">
      <c r="N376" s="61"/>
    </row>
    <row r="377" ht="15.75" customHeight="1">
      <c r="N377" s="61"/>
    </row>
    <row r="378" ht="15.75" customHeight="1">
      <c r="N378" s="61"/>
    </row>
    <row r="379" ht="15.75" customHeight="1">
      <c r="N379" s="61"/>
    </row>
    <row r="380" ht="15.75" customHeight="1">
      <c r="N380" s="61"/>
    </row>
    <row r="381" ht="15.75" customHeight="1">
      <c r="N381" s="61"/>
    </row>
    <row r="382" ht="15.75" customHeight="1">
      <c r="N382" s="61"/>
    </row>
    <row r="383" ht="15.75" customHeight="1">
      <c r="N383" s="61"/>
    </row>
    <row r="384" ht="15.75" customHeight="1">
      <c r="N384" s="61"/>
    </row>
    <row r="385" ht="15.75" customHeight="1">
      <c r="N385" s="61"/>
    </row>
    <row r="386" ht="15.75" customHeight="1">
      <c r="N386" s="61"/>
    </row>
    <row r="387" ht="15.75" customHeight="1">
      <c r="N387" s="61"/>
    </row>
    <row r="388" ht="15.75" customHeight="1">
      <c r="N388" s="61"/>
    </row>
    <row r="389" ht="15.75" customHeight="1">
      <c r="N389" s="61"/>
    </row>
    <row r="390" ht="15.75" customHeight="1">
      <c r="N390" s="61"/>
    </row>
    <row r="391" ht="15.75" customHeight="1">
      <c r="N391" s="61"/>
    </row>
    <row r="392" ht="15.75" customHeight="1">
      <c r="N392" s="61"/>
    </row>
    <row r="393" ht="15.75" customHeight="1">
      <c r="N393" s="61"/>
    </row>
    <row r="394" ht="15.75" customHeight="1">
      <c r="N394" s="61"/>
    </row>
    <row r="395" ht="15.75" customHeight="1">
      <c r="N395" s="61"/>
    </row>
    <row r="396" ht="15.75" customHeight="1">
      <c r="N396" s="61"/>
    </row>
    <row r="397" ht="15.75" customHeight="1">
      <c r="N397" s="61"/>
    </row>
    <row r="398" ht="15.75" customHeight="1">
      <c r="N398" s="61"/>
    </row>
    <row r="399" ht="15.75" customHeight="1">
      <c r="N399" s="61"/>
    </row>
    <row r="400" ht="15.75" customHeight="1">
      <c r="N400" s="61"/>
    </row>
    <row r="401" ht="15.75" customHeight="1">
      <c r="N401" s="61"/>
    </row>
    <row r="402" ht="15.75" customHeight="1">
      <c r="N402" s="61"/>
    </row>
    <row r="403" ht="15.75" customHeight="1">
      <c r="N403" s="61"/>
    </row>
    <row r="404" ht="15.75" customHeight="1">
      <c r="N404" s="61"/>
    </row>
    <row r="405" ht="15.75" customHeight="1">
      <c r="N405" s="61"/>
    </row>
    <row r="406" ht="15.75" customHeight="1">
      <c r="N406" s="61"/>
    </row>
    <row r="407" ht="15.75" customHeight="1">
      <c r="N407" s="61"/>
    </row>
    <row r="408" ht="15.75" customHeight="1">
      <c r="N408" s="61"/>
    </row>
    <row r="409" ht="15.75" customHeight="1">
      <c r="N409" s="61"/>
    </row>
    <row r="410" ht="15.75" customHeight="1">
      <c r="N410" s="61"/>
    </row>
    <row r="411" ht="15.75" customHeight="1">
      <c r="N411" s="61"/>
    </row>
    <row r="412" ht="15.75" customHeight="1">
      <c r="N412" s="61"/>
    </row>
    <row r="413" ht="15.75" customHeight="1">
      <c r="N413" s="61"/>
    </row>
    <row r="414" ht="15.75" customHeight="1">
      <c r="N414" s="61"/>
    </row>
    <row r="415" ht="15.75" customHeight="1">
      <c r="N415" s="61"/>
    </row>
    <row r="416" ht="15.75" customHeight="1">
      <c r="N416" s="61"/>
    </row>
    <row r="417" ht="15.75" customHeight="1">
      <c r="N417" s="61"/>
    </row>
    <row r="418" ht="15.75" customHeight="1">
      <c r="N418" s="61"/>
    </row>
    <row r="419" ht="15.75" customHeight="1">
      <c r="N419" s="61"/>
    </row>
    <row r="420" ht="15.75" customHeight="1">
      <c r="N420" s="61"/>
    </row>
    <row r="421" ht="15.75" customHeight="1">
      <c r="N421" s="61"/>
    </row>
    <row r="422" ht="15.75" customHeight="1">
      <c r="N422" s="61"/>
    </row>
    <row r="423" ht="15.75" customHeight="1">
      <c r="N423" s="61"/>
    </row>
    <row r="424" ht="15.75" customHeight="1">
      <c r="N424" s="61"/>
    </row>
    <row r="425" ht="15.75" customHeight="1">
      <c r="N425" s="61"/>
    </row>
    <row r="426" ht="15.75" customHeight="1">
      <c r="N426" s="61"/>
    </row>
    <row r="427" ht="15.75" customHeight="1">
      <c r="N427" s="61"/>
    </row>
    <row r="428" ht="15.75" customHeight="1">
      <c r="N428" s="61"/>
    </row>
    <row r="429" ht="15.75" customHeight="1">
      <c r="N429" s="61"/>
    </row>
    <row r="430" ht="15.75" customHeight="1">
      <c r="N430" s="61"/>
    </row>
    <row r="431" ht="15.75" customHeight="1">
      <c r="N431" s="61"/>
    </row>
    <row r="432" ht="15.75" customHeight="1">
      <c r="N432" s="61"/>
    </row>
    <row r="433" ht="15.75" customHeight="1">
      <c r="N433" s="61"/>
    </row>
    <row r="434" ht="15.75" customHeight="1">
      <c r="N434" s="61"/>
    </row>
    <row r="435" ht="15.75" customHeight="1">
      <c r="N435" s="61"/>
    </row>
    <row r="436" ht="15.75" customHeight="1">
      <c r="N436" s="61"/>
    </row>
    <row r="437" ht="15.75" customHeight="1">
      <c r="N437" s="61"/>
    </row>
    <row r="438" ht="15.75" customHeight="1">
      <c r="N438" s="61"/>
    </row>
    <row r="439" ht="15.75" customHeight="1">
      <c r="N439" s="61"/>
    </row>
    <row r="440" ht="15.75" customHeight="1">
      <c r="N440" s="61"/>
    </row>
    <row r="441" ht="15.75" customHeight="1">
      <c r="N441" s="61"/>
    </row>
    <row r="442" ht="15.75" customHeight="1">
      <c r="N442" s="61"/>
    </row>
    <row r="443" ht="15.75" customHeight="1">
      <c r="N443" s="61"/>
    </row>
    <row r="444" ht="15.75" customHeight="1">
      <c r="N444" s="61"/>
    </row>
    <row r="445" ht="15.75" customHeight="1">
      <c r="N445" s="61"/>
    </row>
    <row r="446" ht="15.75" customHeight="1">
      <c r="N446" s="61"/>
    </row>
    <row r="447" ht="15.75" customHeight="1">
      <c r="N447" s="61"/>
    </row>
    <row r="448" ht="15.75" customHeight="1">
      <c r="N448" s="61"/>
    </row>
    <row r="449" ht="15.75" customHeight="1">
      <c r="N449" s="61"/>
    </row>
    <row r="450" ht="15.75" customHeight="1">
      <c r="N450" s="61"/>
    </row>
    <row r="451" ht="15.75" customHeight="1">
      <c r="N451" s="61"/>
    </row>
    <row r="452" ht="15.75" customHeight="1">
      <c r="N452" s="61"/>
    </row>
    <row r="453" ht="15.75" customHeight="1">
      <c r="N453" s="61"/>
    </row>
    <row r="454" ht="15.75" customHeight="1">
      <c r="N454" s="61"/>
    </row>
    <row r="455" ht="15.75" customHeight="1">
      <c r="N455" s="61"/>
    </row>
    <row r="456" ht="15.75" customHeight="1">
      <c r="N456" s="61"/>
    </row>
    <row r="457" ht="15.75" customHeight="1">
      <c r="N457" s="61"/>
    </row>
    <row r="458" ht="15.75" customHeight="1">
      <c r="N458" s="61"/>
    </row>
    <row r="459" ht="15.75" customHeight="1">
      <c r="N459" s="61"/>
    </row>
    <row r="460" ht="15.75" customHeight="1">
      <c r="N460" s="61"/>
    </row>
    <row r="461" ht="15.75" customHeight="1">
      <c r="N461" s="61"/>
    </row>
    <row r="462" ht="15.75" customHeight="1">
      <c r="N462" s="61"/>
    </row>
    <row r="463" ht="15.75" customHeight="1">
      <c r="N463" s="61"/>
    </row>
    <row r="464" ht="15.75" customHeight="1">
      <c r="N464" s="61"/>
    </row>
    <row r="465" ht="15.75" customHeight="1">
      <c r="N465" s="61"/>
    </row>
    <row r="466" ht="15.75" customHeight="1">
      <c r="N466" s="61"/>
    </row>
    <row r="467" ht="15.75" customHeight="1">
      <c r="N467" s="61"/>
    </row>
    <row r="468" ht="15.75" customHeight="1">
      <c r="N468" s="61"/>
    </row>
    <row r="469" ht="15.75" customHeight="1">
      <c r="N469" s="61"/>
    </row>
    <row r="470" ht="15.75" customHeight="1">
      <c r="N470" s="61"/>
    </row>
    <row r="471" ht="15.75" customHeight="1">
      <c r="N471" s="61"/>
    </row>
    <row r="472" ht="15.75" customHeight="1">
      <c r="N472" s="61"/>
    </row>
    <row r="473" ht="15.75" customHeight="1">
      <c r="N473" s="61"/>
    </row>
    <row r="474" ht="15.75" customHeight="1">
      <c r="N474" s="61"/>
    </row>
    <row r="475" ht="15.75" customHeight="1">
      <c r="N475" s="61"/>
    </row>
    <row r="476" ht="15.75" customHeight="1">
      <c r="N476" s="61"/>
    </row>
    <row r="477" ht="15.75" customHeight="1">
      <c r="N477" s="61"/>
    </row>
    <row r="478" ht="15.75" customHeight="1">
      <c r="N478" s="61"/>
    </row>
    <row r="479" ht="15.75" customHeight="1">
      <c r="N479" s="61"/>
    </row>
    <row r="480" ht="15.75" customHeight="1">
      <c r="N480" s="61"/>
    </row>
    <row r="481" ht="15.75" customHeight="1">
      <c r="N481" s="61"/>
    </row>
    <row r="482" ht="15.75" customHeight="1">
      <c r="N482" s="61"/>
    </row>
    <row r="483" ht="15.75" customHeight="1">
      <c r="N483" s="61"/>
    </row>
    <row r="484" ht="15.75" customHeight="1">
      <c r="N484" s="61"/>
    </row>
    <row r="485" ht="15.75" customHeight="1">
      <c r="N485" s="61"/>
    </row>
    <row r="486" ht="15.75" customHeight="1">
      <c r="N486" s="61"/>
    </row>
    <row r="487" ht="15.75" customHeight="1">
      <c r="N487" s="61"/>
    </row>
    <row r="488" ht="15.75" customHeight="1">
      <c r="N488" s="61"/>
    </row>
    <row r="489" ht="15.75" customHeight="1">
      <c r="N489" s="61"/>
    </row>
    <row r="490" ht="15.75" customHeight="1">
      <c r="N490" s="61"/>
    </row>
    <row r="491" ht="15.75" customHeight="1">
      <c r="N491" s="61"/>
    </row>
    <row r="492" ht="15.75" customHeight="1">
      <c r="N492" s="61"/>
    </row>
    <row r="493" ht="15.75" customHeight="1">
      <c r="N493" s="61"/>
    </row>
    <row r="494" ht="15.75" customHeight="1">
      <c r="N494" s="61"/>
    </row>
    <row r="495" ht="15.75" customHeight="1">
      <c r="N495" s="61"/>
    </row>
    <row r="496" ht="15.75" customHeight="1">
      <c r="N496" s="61"/>
    </row>
    <row r="497" ht="15.75" customHeight="1">
      <c r="N497" s="61"/>
    </row>
    <row r="498" ht="15.75" customHeight="1">
      <c r="N498" s="61"/>
    </row>
    <row r="499" ht="15.75" customHeight="1">
      <c r="N499" s="61"/>
    </row>
    <row r="500" ht="15.75" customHeight="1">
      <c r="N500" s="61"/>
    </row>
    <row r="501" ht="15.75" customHeight="1">
      <c r="N501" s="61"/>
    </row>
    <row r="502" ht="15.75" customHeight="1">
      <c r="N502" s="61"/>
    </row>
    <row r="503" ht="15.75" customHeight="1">
      <c r="N503" s="61"/>
    </row>
    <row r="504" ht="15.75" customHeight="1">
      <c r="N504" s="61"/>
    </row>
    <row r="505" ht="15.75" customHeight="1">
      <c r="N505" s="61"/>
    </row>
    <row r="506" ht="15.75" customHeight="1">
      <c r="N506" s="61"/>
    </row>
    <row r="507" ht="15.75" customHeight="1">
      <c r="N507" s="61"/>
    </row>
    <row r="508" ht="15.75" customHeight="1">
      <c r="N508" s="61"/>
    </row>
    <row r="509" ht="15.75" customHeight="1">
      <c r="N509" s="61"/>
    </row>
    <row r="510" ht="15.75" customHeight="1">
      <c r="N510" s="61"/>
    </row>
    <row r="511" ht="15.75" customHeight="1">
      <c r="N511" s="61"/>
    </row>
    <row r="512" ht="15.75" customHeight="1">
      <c r="N512" s="61"/>
    </row>
    <row r="513" ht="15.75" customHeight="1">
      <c r="N513" s="61"/>
    </row>
    <row r="514" ht="15.75" customHeight="1">
      <c r="N514" s="61"/>
    </row>
    <row r="515" ht="15.75" customHeight="1">
      <c r="N515" s="61"/>
    </row>
    <row r="516" ht="15.75" customHeight="1">
      <c r="N516" s="61"/>
    </row>
    <row r="517" ht="15.75" customHeight="1">
      <c r="N517" s="61"/>
    </row>
    <row r="518" ht="15.75" customHeight="1">
      <c r="N518" s="61"/>
    </row>
    <row r="519" ht="15.75" customHeight="1">
      <c r="N519" s="61"/>
    </row>
    <row r="520" ht="15.75" customHeight="1">
      <c r="N520" s="61"/>
    </row>
    <row r="521" ht="15.75" customHeight="1">
      <c r="N521" s="61"/>
    </row>
    <row r="522" ht="15.75" customHeight="1">
      <c r="N522" s="61"/>
    </row>
    <row r="523" ht="15.75" customHeight="1">
      <c r="N523" s="61"/>
    </row>
    <row r="524" ht="15.75" customHeight="1">
      <c r="N524" s="61"/>
    </row>
    <row r="525" ht="15.75" customHeight="1">
      <c r="N525" s="61"/>
    </row>
    <row r="526" ht="15.75" customHeight="1">
      <c r="N526" s="61"/>
    </row>
    <row r="527" ht="15.75" customHeight="1">
      <c r="N527" s="61"/>
    </row>
    <row r="528" ht="15.75" customHeight="1">
      <c r="N528" s="61"/>
    </row>
    <row r="529" ht="15.75" customHeight="1">
      <c r="N529" s="61"/>
    </row>
    <row r="530" ht="15.75" customHeight="1">
      <c r="N530" s="61"/>
    </row>
    <row r="531" ht="15.75" customHeight="1">
      <c r="N531" s="61"/>
    </row>
    <row r="532" ht="15.75" customHeight="1">
      <c r="N532" s="61"/>
    </row>
    <row r="533" ht="15.75" customHeight="1">
      <c r="N533" s="61"/>
    </row>
    <row r="534" ht="15.75" customHeight="1">
      <c r="N534" s="61"/>
    </row>
    <row r="535" ht="15.75" customHeight="1">
      <c r="N535" s="61"/>
    </row>
    <row r="536" ht="15.75" customHeight="1">
      <c r="N536" s="61"/>
    </row>
    <row r="537" ht="15.75" customHeight="1">
      <c r="N537" s="61"/>
    </row>
    <row r="538" ht="15.75" customHeight="1">
      <c r="N538" s="61"/>
    </row>
    <row r="539" ht="15.75" customHeight="1">
      <c r="N539" s="61"/>
    </row>
    <row r="540" ht="15.75" customHeight="1">
      <c r="N540" s="61"/>
    </row>
    <row r="541" ht="15.75" customHeight="1">
      <c r="N541" s="61"/>
    </row>
    <row r="542" ht="15.75" customHeight="1">
      <c r="N542" s="61"/>
    </row>
    <row r="543" ht="15.75" customHeight="1">
      <c r="N543" s="61"/>
    </row>
    <row r="544" ht="15.75" customHeight="1">
      <c r="N544" s="61"/>
    </row>
    <row r="545" ht="15.75" customHeight="1">
      <c r="N545" s="61"/>
    </row>
    <row r="546" ht="15.75" customHeight="1">
      <c r="N546" s="61"/>
    </row>
    <row r="547" ht="15.75" customHeight="1">
      <c r="N547" s="61"/>
    </row>
    <row r="548" ht="15.75" customHeight="1">
      <c r="N548" s="61"/>
    </row>
    <row r="549" ht="15.75" customHeight="1">
      <c r="N549" s="61"/>
    </row>
    <row r="550" ht="15.75" customHeight="1">
      <c r="N550" s="61"/>
    </row>
    <row r="551" ht="15.75" customHeight="1">
      <c r="N551" s="61"/>
    </row>
    <row r="552" ht="15.75" customHeight="1">
      <c r="N552" s="61"/>
    </row>
    <row r="553" ht="15.75" customHeight="1">
      <c r="N553" s="61"/>
    </row>
    <row r="554" ht="15.75" customHeight="1">
      <c r="N554" s="61"/>
    </row>
    <row r="555" ht="15.75" customHeight="1">
      <c r="N555" s="61"/>
    </row>
    <row r="556" ht="15.75" customHeight="1">
      <c r="N556" s="61"/>
    </row>
    <row r="557" ht="15.75" customHeight="1">
      <c r="N557" s="61"/>
    </row>
    <row r="558" ht="15.75" customHeight="1">
      <c r="N558" s="61"/>
    </row>
    <row r="559" ht="15.75" customHeight="1">
      <c r="N559" s="61"/>
    </row>
    <row r="560" ht="15.75" customHeight="1">
      <c r="N560" s="61"/>
    </row>
    <row r="561" ht="15.75" customHeight="1">
      <c r="N561" s="61"/>
    </row>
    <row r="562" ht="15.75" customHeight="1">
      <c r="N562" s="61"/>
    </row>
    <row r="563" ht="15.75" customHeight="1">
      <c r="N563" s="61"/>
    </row>
    <row r="564" ht="15.75" customHeight="1">
      <c r="N564" s="61"/>
    </row>
    <row r="565" ht="15.75" customHeight="1">
      <c r="N565" s="61"/>
    </row>
    <row r="566" ht="15.75" customHeight="1">
      <c r="N566" s="61"/>
    </row>
    <row r="567" ht="15.75" customHeight="1">
      <c r="N567" s="61"/>
    </row>
    <row r="568" ht="15.75" customHeight="1">
      <c r="N568" s="61"/>
    </row>
    <row r="569" ht="15.75" customHeight="1">
      <c r="N569" s="61"/>
    </row>
    <row r="570" ht="15.75" customHeight="1">
      <c r="N570" s="61"/>
    </row>
    <row r="571" ht="15.75" customHeight="1">
      <c r="N571" s="61"/>
    </row>
    <row r="572" ht="15.75" customHeight="1">
      <c r="N572" s="61"/>
    </row>
    <row r="573" ht="15.75" customHeight="1">
      <c r="N573" s="61"/>
    </row>
    <row r="574" ht="15.75" customHeight="1">
      <c r="N574" s="61"/>
    </row>
    <row r="575" ht="15.75" customHeight="1">
      <c r="N575" s="61"/>
    </row>
    <row r="576" ht="15.75" customHeight="1">
      <c r="N576" s="61"/>
    </row>
    <row r="577" ht="15.75" customHeight="1">
      <c r="N577" s="61"/>
    </row>
    <row r="578" ht="15.75" customHeight="1">
      <c r="N578" s="61"/>
    </row>
    <row r="579" ht="15.75" customHeight="1">
      <c r="N579" s="61"/>
    </row>
    <row r="580" ht="15.75" customHeight="1">
      <c r="N580" s="61"/>
    </row>
    <row r="581" ht="15.75" customHeight="1">
      <c r="N581" s="61"/>
    </row>
    <row r="582" ht="15.75" customHeight="1">
      <c r="N582" s="61"/>
    </row>
    <row r="583" ht="15.75" customHeight="1">
      <c r="N583" s="61"/>
    </row>
    <row r="584" ht="15.75" customHeight="1">
      <c r="N584" s="61"/>
    </row>
    <row r="585" ht="15.75" customHeight="1">
      <c r="N585" s="61"/>
    </row>
    <row r="586" ht="15.75" customHeight="1">
      <c r="N586" s="61"/>
    </row>
    <row r="587" ht="15.75" customHeight="1">
      <c r="N587" s="61"/>
    </row>
    <row r="588" ht="15.75" customHeight="1">
      <c r="N588" s="61"/>
    </row>
    <row r="589" ht="15.75" customHeight="1">
      <c r="N589" s="61"/>
    </row>
    <row r="590" ht="15.75" customHeight="1">
      <c r="N590" s="61"/>
    </row>
    <row r="591" ht="15.75" customHeight="1">
      <c r="N591" s="61"/>
    </row>
    <row r="592" ht="15.75" customHeight="1">
      <c r="N592" s="61"/>
    </row>
    <row r="593" ht="15.75" customHeight="1">
      <c r="N593" s="61"/>
    </row>
    <row r="594" ht="15.75" customHeight="1">
      <c r="N594" s="61"/>
    </row>
    <row r="595" ht="15.75" customHeight="1">
      <c r="N595" s="61"/>
    </row>
    <row r="596" ht="15.75" customHeight="1">
      <c r="N596" s="61"/>
    </row>
    <row r="597" ht="15.75" customHeight="1">
      <c r="N597" s="61"/>
    </row>
    <row r="598" ht="15.75" customHeight="1">
      <c r="N598" s="61"/>
    </row>
    <row r="599" ht="15.75" customHeight="1">
      <c r="N599" s="61"/>
    </row>
    <row r="600" ht="15.75" customHeight="1">
      <c r="N600" s="61"/>
    </row>
    <row r="601" ht="15.75" customHeight="1">
      <c r="N601" s="61"/>
    </row>
    <row r="602" ht="15.75" customHeight="1">
      <c r="N602" s="61"/>
    </row>
    <row r="603" ht="15.75" customHeight="1">
      <c r="N603" s="61"/>
    </row>
    <row r="604" ht="15.75" customHeight="1">
      <c r="N604" s="61"/>
    </row>
    <row r="605" ht="15.75" customHeight="1">
      <c r="N605" s="61"/>
    </row>
    <row r="606" ht="15.75" customHeight="1">
      <c r="N606" s="61"/>
    </row>
    <row r="607" ht="15.75" customHeight="1">
      <c r="N607" s="61"/>
    </row>
    <row r="608" ht="15.75" customHeight="1">
      <c r="N608" s="61"/>
    </row>
    <row r="609" ht="15.75" customHeight="1">
      <c r="N609" s="61"/>
    </row>
    <row r="610" ht="15.75" customHeight="1">
      <c r="N610" s="61"/>
    </row>
    <row r="611" ht="15.75" customHeight="1">
      <c r="N611" s="61"/>
    </row>
    <row r="612" ht="15.75" customHeight="1">
      <c r="N612" s="61"/>
    </row>
    <row r="613" ht="15.75" customHeight="1">
      <c r="N613" s="61"/>
    </row>
    <row r="614" ht="15.75" customHeight="1">
      <c r="N614" s="61"/>
    </row>
    <row r="615" ht="15.75" customHeight="1">
      <c r="N615" s="61"/>
    </row>
    <row r="616" ht="15.75" customHeight="1">
      <c r="N616" s="61"/>
    </row>
    <row r="617" ht="15.75" customHeight="1">
      <c r="N617" s="61"/>
    </row>
    <row r="618" ht="15.75" customHeight="1">
      <c r="N618" s="61"/>
    </row>
    <row r="619" ht="15.75" customHeight="1">
      <c r="N619" s="61"/>
    </row>
    <row r="620" ht="15.75" customHeight="1">
      <c r="N620" s="61"/>
    </row>
    <row r="621" ht="15.75" customHeight="1">
      <c r="N621" s="61"/>
    </row>
    <row r="622" ht="15.75" customHeight="1">
      <c r="N622" s="61"/>
    </row>
    <row r="623" ht="15.75" customHeight="1">
      <c r="N623" s="61"/>
    </row>
    <row r="624" ht="15.75" customHeight="1">
      <c r="N624" s="61"/>
    </row>
    <row r="625" ht="15.75" customHeight="1">
      <c r="N625" s="61"/>
    </row>
    <row r="626" ht="15.75" customHeight="1">
      <c r="N626" s="61"/>
    </row>
    <row r="627" ht="15.75" customHeight="1">
      <c r="N627" s="61"/>
    </row>
    <row r="628" ht="15.75" customHeight="1">
      <c r="N628" s="61"/>
    </row>
    <row r="629" ht="15.75" customHeight="1">
      <c r="N629" s="61"/>
    </row>
    <row r="630" ht="15.75" customHeight="1">
      <c r="N630" s="61"/>
    </row>
    <row r="631" ht="15.75" customHeight="1">
      <c r="N631" s="61"/>
    </row>
    <row r="632" ht="15.75" customHeight="1">
      <c r="N632" s="61"/>
    </row>
    <row r="633" ht="15.75" customHeight="1">
      <c r="N633" s="61"/>
    </row>
    <row r="634" ht="15.75" customHeight="1">
      <c r="N634" s="61"/>
    </row>
    <row r="635" ht="15.75" customHeight="1">
      <c r="N635" s="61"/>
    </row>
    <row r="636" ht="15.75" customHeight="1">
      <c r="N636" s="61"/>
    </row>
    <row r="637" ht="15.75" customHeight="1">
      <c r="N637" s="61"/>
    </row>
    <row r="638" ht="15.75" customHeight="1">
      <c r="N638" s="61"/>
    </row>
    <row r="639" ht="15.75" customHeight="1">
      <c r="N639" s="61"/>
    </row>
    <row r="640" ht="15.75" customHeight="1">
      <c r="N640" s="61"/>
    </row>
    <row r="641" ht="15.75" customHeight="1">
      <c r="N641" s="61"/>
    </row>
    <row r="642" ht="15.75" customHeight="1">
      <c r="N642" s="61"/>
    </row>
    <row r="643" ht="15.75" customHeight="1">
      <c r="N643" s="61"/>
    </row>
    <row r="644" ht="15.75" customHeight="1">
      <c r="N644" s="61"/>
    </row>
    <row r="645" ht="15.75" customHeight="1">
      <c r="N645" s="61"/>
    </row>
    <row r="646" ht="15.75" customHeight="1">
      <c r="N646" s="61"/>
    </row>
    <row r="647" ht="15.75" customHeight="1">
      <c r="N647" s="61"/>
    </row>
    <row r="648" ht="15.75" customHeight="1">
      <c r="N648" s="61"/>
    </row>
    <row r="649" ht="15.75" customHeight="1">
      <c r="N649" s="61"/>
    </row>
    <row r="650" ht="15.75" customHeight="1">
      <c r="N650" s="61"/>
    </row>
    <row r="651" ht="15.75" customHeight="1">
      <c r="N651" s="61"/>
    </row>
    <row r="652" ht="15.75" customHeight="1">
      <c r="N652" s="61"/>
    </row>
    <row r="653" ht="15.75" customHeight="1">
      <c r="N653" s="61"/>
    </row>
    <row r="654" ht="15.75" customHeight="1">
      <c r="N654" s="61"/>
    </row>
    <row r="655" ht="15.75" customHeight="1">
      <c r="N655" s="61"/>
    </row>
    <row r="656" ht="15.75" customHeight="1">
      <c r="N656" s="61"/>
    </row>
    <row r="657" ht="15.75" customHeight="1">
      <c r="N657" s="61"/>
    </row>
    <row r="658" ht="15.75" customHeight="1">
      <c r="N658" s="61"/>
    </row>
    <row r="659" ht="15.75" customHeight="1">
      <c r="N659" s="61"/>
    </row>
    <row r="660" ht="15.75" customHeight="1">
      <c r="N660" s="61"/>
    </row>
    <row r="661" ht="15.75" customHeight="1">
      <c r="N661" s="61"/>
    </row>
    <row r="662" ht="15.75" customHeight="1">
      <c r="N662" s="61"/>
    </row>
    <row r="663" ht="15.75" customHeight="1">
      <c r="N663" s="61"/>
    </row>
    <row r="664" ht="15.75" customHeight="1">
      <c r="N664" s="61"/>
    </row>
    <row r="665" ht="15.75" customHeight="1">
      <c r="N665" s="61"/>
    </row>
    <row r="666" ht="15.75" customHeight="1">
      <c r="N666" s="61"/>
    </row>
    <row r="667" ht="15.75" customHeight="1">
      <c r="N667" s="61"/>
    </row>
    <row r="668" ht="15.75" customHeight="1">
      <c r="N668" s="61"/>
    </row>
    <row r="669" ht="15.75" customHeight="1">
      <c r="N669" s="61"/>
    </row>
    <row r="670" ht="15.75" customHeight="1">
      <c r="N670" s="61"/>
    </row>
    <row r="671" ht="15.75" customHeight="1">
      <c r="N671" s="61"/>
    </row>
    <row r="672" ht="15.75" customHeight="1">
      <c r="N672" s="61"/>
    </row>
    <row r="673" ht="15.75" customHeight="1">
      <c r="N673" s="61"/>
    </row>
    <row r="674" ht="15.75" customHeight="1">
      <c r="N674" s="61"/>
    </row>
    <row r="675" ht="15.75" customHeight="1">
      <c r="N675" s="61"/>
    </row>
    <row r="676" ht="15.75" customHeight="1">
      <c r="N676" s="61"/>
    </row>
    <row r="677" ht="15.75" customHeight="1">
      <c r="N677" s="61"/>
    </row>
    <row r="678" ht="15.75" customHeight="1">
      <c r="N678" s="61"/>
    </row>
    <row r="679" ht="15.75" customHeight="1">
      <c r="N679" s="61"/>
    </row>
    <row r="680" ht="15.75" customHeight="1">
      <c r="N680" s="61"/>
    </row>
    <row r="681" ht="15.75" customHeight="1">
      <c r="N681" s="61"/>
    </row>
    <row r="682" ht="15.75" customHeight="1">
      <c r="N682" s="61"/>
    </row>
    <row r="683" ht="15.75" customHeight="1">
      <c r="N683" s="61"/>
    </row>
    <row r="684" ht="15.75" customHeight="1">
      <c r="N684" s="61"/>
    </row>
    <row r="685" ht="15.75" customHeight="1">
      <c r="N685" s="61"/>
    </row>
    <row r="686" ht="15.75" customHeight="1">
      <c r="N686" s="61"/>
    </row>
    <row r="687" ht="15.75" customHeight="1">
      <c r="N687" s="61"/>
    </row>
    <row r="688" ht="15.75" customHeight="1">
      <c r="N688" s="61"/>
    </row>
    <row r="689" ht="15.75" customHeight="1">
      <c r="N689" s="61"/>
    </row>
    <row r="690" ht="15.75" customHeight="1">
      <c r="N690" s="61"/>
    </row>
    <row r="691" ht="15.75" customHeight="1">
      <c r="N691" s="61"/>
    </row>
    <row r="692" ht="15.75" customHeight="1">
      <c r="N692" s="61"/>
    </row>
    <row r="693" ht="15.75" customHeight="1">
      <c r="N693" s="61"/>
    </row>
    <row r="694" ht="15.75" customHeight="1">
      <c r="N694" s="61"/>
    </row>
    <row r="695" ht="15.75" customHeight="1">
      <c r="N695" s="61"/>
    </row>
    <row r="696" ht="15.75" customHeight="1">
      <c r="N696" s="61"/>
    </row>
    <row r="697" ht="15.75" customHeight="1">
      <c r="N697" s="61"/>
    </row>
    <row r="698" ht="15.75" customHeight="1">
      <c r="N698" s="61"/>
    </row>
    <row r="699" ht="15.75" customHeight="1">
      <c r="N699" s="61"/>
    </row>
    <row r="700" ht="15.75" customHeight="1">
      <c r="N700" s="61"/>
    </row>
    <row r="701" ht="15.75" customHeight="1">
      <c r="N701" s="61"/>
    </row>
    <row r="702" ht="15.75" customHeight="1">
      <c r="N702" s="61"/>
    </row>
    <row r="703" ht="15.75" customHeight="1">
      <c r="N703" s="61"/>
    </row>
    <row r="704" ht="15.75" customHeight="1">
      <c r="N704" s="61"/>
    </row>
    <row r="705" ht="15.75" customHeight="1">
      <c r="N705" s="61"/>
    </row>
    <row r="706" ht="15.75" customHeight="1">
      <c r="N706" s="61"/>
    </row>
    <row r="707" ht="15.75" customHeight="1">
      <c r="N707" s="61"/>
    </row>
    <row r="708" ht="15.75" customHeight="1">
      <c r="N708" s="61"/>
    </row>
    <row r="709" ht="15.75" customHeight="1">
      <c r="N709" s="61"/>
    </row>
    <row r="710" ht="15.75" customHeight="1">
      <c r="N710" s="61"/>
    </row>
    <row r="711" ht="15.75" customHeight="1">
      <c r="N711" s="61"/>
    </row>
    <row r="712" ht="15.75" customHeight="1">
      <c r="N712" s="61"/>
    </row>
    <row r="713" ht="15.75" customHeight="1">
      <c r="N713" s="61"/>
    </row>
    <row r="714" ht="15.75" customHeight="1">
      <c r="N714" s="61"/>
    </row>
    <row r="715" ht="15.75" customHeight="1">
      <c r="N715" s="61"/>
    </row>
    <row r="716" ht="15.75" customHeight="1">
      <c r="N716" s="61"/>
    </row>
    <row r="717" ht="15.75" customHeight="1">
      <c r="N717" s="61"/>
    </row>
    <row r="718" ht="15.75" customHeight="1">
      <c r="N718" s="61"/>
    </row>
    <row r="719" ht="15.75" customHeight="1">
      <c r="N719" s="61"/>
    </row>
    <row r="720" ht="15.75" customHeight="1">
      <c r="N720" s="61"/>
    </row>
    <row r="721" ht="15.75" customHeight="1">
      <c r="N721" s="61"/>
    </row>
    <row r="722" ht="15.75" customHeight="1">
      <c r="N722" s="61"/>
    </row>
    <row r="723" ht="15.75" customHeight="1">
      <c r="N723" s="61"/>
    </row>
    <row r="724" ht="15.75" customHeight="1">
      <c r="N724" s="61"/>
    </row>
    <row r="725" ht="15.75" customHeight="1">
      <c r="N725" s="61"/>
    </row>
    <row r="726" ht="15.75" customHeight="1">
      <c r="N726" s="61"/>
    </row>
    <row r="727" ht="15.75" customHeight="1">
      <c r="N727" s="61"/>
    </row>
    <row r="728" ht="15.75" customHeight="1">
      <c r="N728" s="61"/>
    </row>
    <row r="729" ht="15.75" customHeight="1">
      <c r="N729" s="61"/>
    </row>
    <row r="730" ht="15.75" customHeight="1">
      <c r="N730" s="61"/>
    </row>
    <row r="731" ht="15.75" customHeight="1">
      <c r="N731" s="61"/>
    </row>
    <row r="732" ht="15.75" customHeight="1">
      <c r="N732" s="61"/>
    </row>
    <row r="733" ht="15.75" customHeight="1">
      <c r="N733" s="61"/>
    </row>
    <row r="734" ht="15.75" customHeight="1">
      <c r="N734" s="61"/>
    </row>
    <row r="735" ht="15.75" customHeight="1">
      <c r="N735" s="61"/>
    </row>
    <row r="736" ht="15.75" customHeight="1">
      <c r="N736" s="61"/>
    </row>
    <row r="737" ht="15.75" customHeight="1">
      <c r="N737" s="61"/>
    </row>
    <row r="738" ht="15.75" customHeight="1">
      <c r="N738" s="61"/>
    </row>
    <row r="739" ht="15.75" customHeight="1">
      <c r="N739" s="61"/>
    </row>
    <row r="740" ht="15.75" customHeight="1">
      <c r="N740" s="61"/>
    </row>
    <row r="741" ht="15.75" customHeight="1">
      <c r="N741" s="61"/>
    </row>
    <row r="742" ht="15.75" customHeight="1">
      <c r="N742" s="61"/>
    </row>
    <row r="743" ht="15.75" customHeight="1">
      <c r="N743" s="61"/>
    </row>
    <row r="744" ht="15.75" customHeight="1">
      <c r="N744" s="61"/>
    </row>
    <row r="745" ht="15.75" customHeight="1">
      <c r="N745" s="61"/>
    </row>
    <row r="746" ht="15.75" customHeight="1">
      <c r="N746" s="61"/>
    </row>
    <row r="747" ht="15.75" customHeight="1">
      <c r="N747" s="61"/>
    </row>
    <row r="748" ht="15.75" customHeight="1">
      <c r="N748" s="61"/>
    </row>
    <row r="749" ht="15.75" customHeight="1">
      <c r="N749" s="61"/>
    </row>
    <row r="750" ht="15.75" customHeight="1">
      <c r="N750" s="61"/>
    </row>
    <row r="751" ht="15.75" customHeight="1">
      <c r="N751" s="61"/>
    </row>
    <row r="752" ht="15.75" customHeight="1">
      <c r="N752" s="61"/>
    </row>
    <row r="753" ht="15.75" customHeight="1">
      <c r="N753" s="61"/>
    </row>
    <row r="754" ht="15.75" customHeight="1">
      <c r="N754" s="61"/>
    </row>
    <row r="755" ht="15.75" customHeight="1">
      <c r="N755" s="61"/>
    </row>
    <row r="756" ht="15.75" customHeight="1">
      <c r="N756" s="61"/>
    </row>
    <row r="757" ht="15.75" customHeight="1">
      <c r="N757" s="61"/>
    </row>
    <row r="758" ht="15.75" customHeight="1">
      <c r="N758" s="61"/>
    </row>
    <row r="759" ht="15.75" customHeight="1">
      <c r="N759" s="61"/>
    </row>
    <row r="760" ht="15.75" customHeight="1">
      <c r="N760" s="61"/>
    </row>
    <row r="761" ht="15.75" customHeight="1">
      <c r="N761" s="61"/>
    </row>
    <row r="762" ht="15.75" customHeight="1">
      <c r="N762" s="61"/>
    </row>
    <row r="763" ht="15.75" customHeight="1">
      <c r="N763" s="61"/>
    </row>
    <row r="764" ht="15.75" customHeight="1">
      <c r="N764" s="61"/>
    </row>
    <row r="765" ht="15.75" customHeight="1">
      <c r="N765" s="61"/>
    </row>
    <row r="766" ht="15.75" customHeight="1">
      <c r="N766" s="61"/>
    </row>
    <row r="767" ht="15.75" customHeight="1">
      <c r="N767" s="61"/>
    </row>
    <row r="768" ht="15.75" customHeight="1">
      <c r="N768" s="61"/>
    </row>
    <row r="769" ht="15.75" customHeight="1">
      <c r="N769" s="61"/>
    </row>
    <row r="770" ht="15.75" customHeight="1">
      <c r="N770" s="61"/>
    </row>
    <row r="771" ht="15.75" customHeight="1">
      <c r="N771" s="61"/>
    </row>
    <row r="772" ht="15.75" customHeight="1">
      <c r="N772" s="61"/>
    </row>
    <row r="773" ht="15.75" customHeight="1">
      <c r="N773" s="61"/>
    </row>
    <row r="774" ht="15.75" customHeight="1">
      <c r="N774" s="61"/>
    </row>
    <row r="775" ht="15.75" customHeight="1">
      <c r="N775" s="61"/>
    </row>
    <row r="776" ht="15.75" customHeight="1">
      <c r="N776" s="61"/>
    </row>
    <row r="777" ht="15.75" customHeight="1">
      <c r="N777" s="61"/>
    </row>
    <row r="778" ht="15.75" customHeight="1">
      <c r="N778" s="61"/>
    </row>
    <row r="779" ht="15.75" customHeight="1">
      <c r="N779" s="61"/>
    </row>
    <row r="780" ht="15.75" customHeight="1">
      <c r="N780" s="61"/>
    </row>
    <row r="781" ht="15.75" customHeight="1">
      <c r="N781" s="61"/>
    </row>
    <row r="782" ht="15.75" customHeight="1">
      <c r="N782" s="61"/>
    </row>
    <row r="783" ht="15.75" customHeight="1">
      <c r="N783" s="61"/>
    </row>
    <row r="784" ht="15.75" customHeight="1">
      <c r="N784" s="61"/>
    </row>
    <row r="785" ht="15.75" customHeight="1">
      <c r="N785" s="61"/>
    </row>
    <row r="786" ht="15.75" customHeight="1">
      <c r="N786" s="61"/>
    </row>
    <row r="787" ht="15.75" customHeight="1">
      <c r="N787" s="61"/>
    </row>
    <row r="788" ht="15.75" customHeight="1">
      <c r="N788" s="61"/>
    </row>
    <row r="789" ht="15.75" customHeight="1">
      <c r="N789" s="61"/>
    </row>
    <row r="790" ht="15.75" customHeight="1">
      <c r="N790" s="61"/>
    </row>
    <row r="791" ht="15.75" customHeight="1">
      <c r="N791" s="61"/>
    </row>
    <row r="792" ht="15.75" customHeight="1">
      <c r="N792" s="61"/>
    </row>
    <row r="793" ht="15.75" customHeight="1">
      <c r="N793" s="61"/>
    </row>
    <row r="794" ht="15.75" customHeight="1">
      <c r="N794" s="61"/>
    </row>
    <row r="795" ht="15.75" customHeight="1">
      <c r="N795" s="61"/>
    </row>
    <row r="796" ht="15.75" customHeight="1">
      <c r="N796" s="61"/>
    </row>
    <row r="797" ht="15.75" customHeight="1">
      <c r="N797" s="61"/>
    </row>
    <row r="798" ht="15.75" customHeight="1">
      <c r="N798" s="61"/>
    </row>
    <row r="799" ht="15.75" customHeight="1">
      <c r="N799" s="61"/>
    </row>
    <row r="800" ht="15.75" customHeight="1">
      <c r="N800" s="61"/>
    </row>
    <row r="801" ht="15.75" customHeight="1">
      <c r="N801" s="61"/>
    </row>
    <row r="802" ht="15.75" customHeight="1">
      <c r="N802" s="61"/>
    </row>
    <row r="803" ht="15.75" customHeight="1">
      <c r="N803" s="61"/>
    </row>
    <row r="804" ht="15.75" customHeight="1">
      <c r="N804" s="61"/>
    </row>
    <row r="805" ht="15.75" customHeight="1">
      <c r="N805" s="61"/>
    </row>
    <row r="806" ht="15.75" customHeight="1">
      <c r="N806" s="61"/>
    </row>
    <row r="807" ht="15.75" customHeight="1">
      <c r="N807" s="61"/>
    </row>
    <row r="808" ht="15.75" customHeight="1">
      <c r="N808" s="61"/>
    </row>
    <row r="809" ht="15.75" customHeight="1">
      <c r="N809" s="61"/>
    </row>
    <row r="810" ht="15.75" customHeight="1">
      <c r="N810" s="61"/>
    </row>
    <row r="811" ht="15.75" customHeight="1">
      <c r="N811" s="61"/>
    </row>
    <row r="812" ht="15.75" customHeight="1">
      <c r="N812" s="61"/>
    </row>
    <row r="813" ht="15.75" customHeight="1">
      <c r="N813" s="61"/>
    </row>
    <row r="814" ht="15.75" customHeight="1">
      <c r="N814" s="61"/>
    </row>
    <row r="815" ht="15.75" customHeight="1">
      <c r="N815" s="61"/>
    </row>
    <row r="816" ht="15.75" customHeight="1">
      <c r="N816" s="61"/>
    </row>
    <row r="817" ht="15.75" customHeight="1">
      <c r="N817" s="61"/>
    </row>
    <row r="818" ht="15.75" customHeight="1">
      <c r="N818" s="61"/>
    </row>
    <row r="819" ht="15.75" customHeight="1">
      <c r="N819" s="61"/>
    </row>
    <row r="820" ht="15.75" customHeight="1">
      <c r="N820" s="61"/>
    </row>
    <row r="821" ht="15.75" customHeight="1">
      <c r="N821" s="61"/>
    </row>
    <row r="822" ht="15.75" customHeight="1">
      <c r="N822" s="61"/>
    </row>
    <row r="823" ht="15.75" customHeight="1">
      <c r="N823" s="61"/>
    </row>
    <row r="824" ht="15.75" customHeight="1">
      <c r="N824" s="61"/>
    </row>
    <row r="825" ht="15.75" customHeight="1">
      <c r="N825" s="61"/>
    </row>
    <row r="826" ht="15.75" customHeight="1">
      <c r="N826" s="61"/>
    </row>
    <row r="827" ht="15.75" customHeight="1">
      <c r="N827" s="61"/>
    </row>
    <row r="828" ht="15.75" customHeight="1">
      <c r="N828" s="61"/>
    </row>
    <row r="829" ht="15.75" customHeight="1">
      <c r="N829" s="61"/>
    </row>
    <row r="830" ht="15.75" customHeight="1">
      <c r="N830" s="61"/>
    </row>
    <row r="831" ht="15.75" customHeight="1">
      <c r="N831" s="61"/>
    </row>
    <row r="832" ht="15.75" customHeight="1">
      <c r="N832" s="61"/>
    </row>
    <row r="833" ht="15.75" customHeight="1">
      <c r="N833" s="61"/>
    </row>
    <row r="834" ht="15.75" customHeight="1">
      <c r="N834" s="61"/>
    </row>
    <row r="835" ht="15.75" customHeight="1">
      <c r="N835" s="61"/>
    </row>
    <row r="836" ht="15.75" customHeight="1">
      <c r="N836" s="61"/>
    </row>
    <row r="837" ht="15.75" customHeight="1">
      <c r="N837" s="61"/>
    </row>
    <row r="838" ht="15.75" customHeight="1">
      <c r="N838" s="61"/>
    </row>
    <row r="839" ht="15.75" customHeight="1">
      <c r="N839" s="61"/>
    </row>
    <row r="840" ht="15.75" customHeight="1">
      <c r="N840" s="61"/>
    </row>
    <row r="841" ht="15.75" customHeight="1">
      <c r="N841" s="61"/>
    </row>
    <row r="842" ht="15.75" customHeight="1">
      <c r="N842" s="61"/>
    </row>
    <row r="843" ht="15.75" customHeight="1">
      <c r="N843" s="61"/>
    </row>
    <row r="844" ht="15.75" customHeight="1">
      <c r="N844" s="61"/>
    </row>
    <row r="845" ht="15.75" customHeight="1">
      <c r="N845" s="61"/>
    </row>
    <row r="846" ht="15.75" customHeight="1">
      <c r="N846" s="61"/>
    </row>
    <row r="847" ht="15.75" customHeight="1">
      <c r="N847" s="61"/>
    </row>
    <row r="848" ht="15.75" customHeight="1">
      <c r="N848" s="61"/>
    </row>
    <row r="849" ht="15.75" customHeight="1">
      <c r="N849" s="61"/>
    </row>
    <row r="850" ht="15.75" customHeight="1">
      <c r="N850" s="61"/>
    </row>
    <row r="851" ht="15.75" customHeight="1">
      <c r="N851" s="61"/>
    </row>
    <row r="852" ht="15.75" customHeight="1">
      <c r="N852" s="61"/>
    </row>
    <row r="853" ht="15.75" customHeight="1">
      <c r="N853" s="61"/>
    </row>
    <row r="854" ht="15.75" customHeight="1">
      <c r="N854" s="61"/>
    </row>
    <row r="855" ht="15.75" customHeight="1">
      <c r="N855" s="61"/>
    </row>
    <row r="856" ht="15.75" customHeight="1">
      <c r="N856" s="61"/>
    </row>
    <row r="857" ht="15.75" customHeight="1">
      <c r="N857" s="61"/>
    </row>
    <row r="858" ht="15.75" customHeight="1">
      <c r="N858" s="61"/>
    </row>
    <row r="859" ht="15.75" customHeight="1">
      <c r="N859" s="61"/>
    </row>
    <row r="860" ht="15.75" customHeight="1">
      <c r="N860" s="61"/>
    </row>
    <row r="861" ht="15.75" customHeight="1">
      <c r="N861" s="61"/>
    </row>
    <row r="862" ht="15.75" customHeight="1">
      <c r="N862" s="61"/>
    </row>
    <row r="863" ht="15.75" customHeight="1">
      <c r="N863" s="61"/>
    </row>
    <row r="864" ht="15.75" customHeight="1">
      <c r="N864" s="61"/>
    </row>
    <row r="865" ht="15.75" customHeight="1">
      <c r="N865" s="61"/>
    </row>
    <row r="866" ht="15.75" customHeight="1">
      <c r="N866" s="61"/>
    </row>
    <row r="867" ht="15.75" customHeight="1">
      <c r="N867" s="61"/>
    </row>
    <row r="868" ht="15.75" customHeight="1">
      <c r="N868" s="61"/>
    </row>
    <row r="869" ht="15.75" customHeight="1">
      <c r="N869" s="61"/>
    </row>
    <row r="870" ht="15.75" customHeight="1">
      <c r="N870" s="61"/>
    </row>
    <row r="871" ht="15.75" customHeight="1">
      <c r="N871" s="61"/>
    </row>
    <row r="872" ht="15.75" customHeight="1">
      <c r="N872" s="61"/>
    </row>
    <row r="873" ht="15.75" customHeight="1">
      <c r="N873" s="61"/>
    </row>
    <row r="874" ht="15.75" customHeight="1">
      <c r="N874" s="61"/>
    </row>
    <row r="875" ht="15.75" customHeight="1">
      <c r="N875" s="61"/>
    </row>
    <row r="876" ht="15.75" customHeight="1">
      <c r="N876" s="61"/>
    </row>
    <row r="877" ht="15.75" customHeight="1">
      <c r="N877" s="61"/>
    </row>
    <row r="878" ht="15.75" customHeight="1">
      <c r="N878" s="61"/>
    </row>
    <row r="879" ht="15.75" customHeight="1">
      <c r="N879" s="61"/>
    </row>
    <row r="880" ht="15.75" customHeight="1">
      <c r="N880" s="61"/>
    </row>
    <row r="881" ht="15.75" customHeight="1">
      <c r="N881" s="61"/>
    </row>
    <row r="882" ht="15.75" customHeight="1">
      <c r="N882" s="61"/>
    </row>
    <row r="883" ht="15.75" customHeight="1">
      <c r="N883" s="61"/>
    </row>
    <row r="884" ht="15.75" customHeight="1">
      <c r="N884" s="61"/>
    </row>
    <row r="885" ht="15.75" customHeight="1">
      <c r="N885" s="61"/>
    </row>
    <row r="886" ht="15.75" customHeight="1">
      <c r="N886" s="61"/>
    </row>
    <row r="887" ht="15.75" customHeight="1">
      <c r="N887" s="61"/>
    </row>
    <row r="888" ht="15.75" customHeight="1">
      <c r="N888" s="61"/>
    </row>
    <row r="889" ht="15.75" customHeight="1">
      <c r="N889" s="61"/>
    </row>
    <row r="890" ht="15.75" customHeight="1">
      <c r="N890" s="61"/>
    </row>
    <row r="891" ht="15.75" customHeight="1">
      <c r="N891" s="61"/>
    </row>
    <row r="892" ht="15.75" customHeight="1">
      <c r="N892" s="61"/>
    </row>
    <row r="893" ht="15.75" customHeight="1">
      <c r="N893" s="61"/>
    </row>
    <row r="894" ht="15.75" customHeight="1">
      <c r="N894" s="61"/>
    </row>
    <row r="895" ht="15.75" customHeight="1">
      <c r="N895" s="61"/>
    </row>
    <row r="896" ht="15.75" customHeight="1">
      <c r="N896" s="61"/>
    </row>
    <row r="897" ht="15.75" customHeight="1">
      <c r="N897" s="61"/>
    </row>
    <row r="898" ht="15.75" customHeight="1">
      <c r="N898" s="61"/>
    </row>
    <row r="899" ht="15.75" customHeight="1">
      <c r="N899" s="61"/>
    </row>
    <row r="900" ht="15.75" customHeight="1">
      <c r="N900" s="61"/>
    </row>
    <row r="901" ht="15.75" customHeight="1">
      <c r="N901" s="61"/>
    </row>
    <row r="902" ht="15.75" customHeight="1">
      <c r="N902" s="61"/>
    </row>
    <row r="903" ht="15.75" customHeight="1">
      <c r="N903" s="61"/>
    </row>
    <row r="904" ht="15.75" customHeight="1">
      <c r="N904" s="61"/>
    </row>
    <row r="905" ht="15.75" customHeight="1">
      <c r="N905" s="61"/>
    </row>
    <row r="906" ht="15.75" customHeight="1">
      <c r="N906" s="61"/>
    </row>
    <row r="907" ht="15.75" customHeight="1">
      <c r="N907" s="61"/>
    </row>
    <row r="908" ht="15.75" customHeight="1">
      <c r="N908" s="61"/>
    </row>
    <row r="909" ht="15.75" customHeight="1">
      <c r="N909" s="61"/>
    </row>
    <row r="910" ht="15.75" customHeight="1">
      <c r="N910" s="61"/>
    </row>
    <row r="911" ht="15.75" customHeight="1">
      <c r="N911" s="61"/>
    </row>
    <row r="912" ht="15.75" customHeight="1">
      <c r="N912" s="61"/>
    </row>
    <row r="913" ht="15.75" customHeight="1">
      <c r="N913" s="61"/>
    </row>
    <row r="914" ht="15.75" customHeight="1">
      <c r="N914" s="61"/>
    </row>
    <row r="915" ht="15.75" customHeight="1">
      <c r="N915" s="61"/>
    </row>
    <row r="916" ht="15.75" customHeight="1">
      <c r="N916" s="61"/>
    </row>
    <row r="917" ht="15.75" customHeight="1">
      <c r="N917" s="61"/>
    </row>
    <row r="918" ht="15.75" customHeight="1">
      <c r="N918" s="61"/>
    </row>
    <row r="919" ht="15.75" customHeight="1">
      <c r="N919" s="61"/>
    </row>
    <row r="920" ht="15.75" customHeight="1">
      <c r="N920" s="61"/>
    </row>
    <row r="921" ht="15.75" customHeight="1">
      <c r="N921" s="61"/>
    </row>
    <row r="922" ht="15.75" customHeight="1">
      <c r="N922" s="61"/>
    </row>
    <row r="923" ht="15.75" customHeight="1">
      <c r="N923" s="61"/>
    </row>
    <row r="924" ht="15.75" customHeight="1">
      <c r="N924" s="61"/>
    </row>
    <row r="925" ht="15.75" customHeight="1">
      <c r="N925" s="61"/>
    </row>
    <row r="926" ht="15.75" customHeight="1">
      <c r="N926" s="61"/>
    </row>
    <row r="927" ht="15.75" customHeight="1">
      <c r="N927" s="61"/>
    </row>
    <row r="928" ht="15.75" customHeight="1">
      <c r="N928" s="61"/>
    </row>
    <row r="929" ht="15.75" customHeight="1">
      <c r="N929" s="61"/>
    </row>
    <row r="930" ht="15.75" customHeight="1">
      <c r="N930" s="61"/>
    </row>
    <row r="931" ht="15.75" customHeight="1">
      <c r="N931" s="61"/>
    </row>
    <row r="932" ht="15.75" customHeight="1">
      <c r="N932" s="61"/>
    </row>
    <row r="933" ht="15.75" customHeight="1">
      <c r="N933" s="61"/>
    </row>
    <row r="934" ht="15.75" customHeight="1">
      <c r="N934" s="61"/>
    </row>
    <row r="935" ht="15.75" customHeight="1">
      <c r="N935" s="61"/>
    </row>
    <row r="936" ht="15.75" customHeight="1">
      <c r="N936" s="61"/>
    </row>
    <row r="937" ht="15.75" customHeight="1">
      <c r="N937" s="61"/>
    </row>
    <row r="938" ht="15.75" customHeight="1">
      <c r="N938" s="61"/>
    </row>
    <row r="939" ht="15.75" customHeight="1">
      <c r="N939" s="61"/>
    </row>
    <row r="940" ht="15.75" customHeight="1">
      <c r="N940" s="61"/>
    </row>
    <row r="941" ht="15.75" customHeight="1">
      <c r="N941" s="61"/>
    </row>
    <row r="942" ht="15.75" customHeight="1">
      <c r="N942" s="61"/>
    </row>
    <row r="943" ht="15.75" customHeight="1">
      <c r="N943" s="61"/>
    </row>
    <row r="944" ht="15.75" customHeight="1">
      <c r="N944" s="61"/>
    </row>
    <row r="945" ht="15.75" customHeight="1">
      <c r="N945" s="61"/>
    </row>
    <row r="946" ht="15.75" customHeight="1">
      <c r="N946" s="61"/>
    </row>
    <row r="947" ht="15.75" customHeight="1">
      <c r="N947" s="61"/>
    </row>
    <row r="948" ht="15.75" customHeight="1">
      <c r="N948" s="61"/>
    </row>
    <row r="949" ht="15.75" customHeight="1">
      <c r="N949" s="61"/>
    </row>
    <row r="950" ht="15.75" customHeight="1">
      <c r="N950" s="61"/>
    </row>
    <row r="951" ht="15.75" customHeight="1">
      <c r="N951" s="61"/>
    </row>
    <row r="952" ht="15.75" customHeight="1">
      <c r="N952" s="61"/>
    </row>
    <row r="953" ht="15.75" customHeight="1">
      <c r="N953" s="61"/>
    </row>
    <row r="954" ht="15.75" customHeight="1">
      <c r="N954" s="61"/>
    </row>
    <row r="955" ht="15.75" customHeight="1">
      <c r="N955" s="61"/>
    </row>
    <row r="956" ht="15.75" customHeight="1">
      <c r="N956" s="61"/>
    </row>
    <row r="957" ht="15.75" customHeight="1">
      <c r="N957" s="61"/>
    </row>
    <row r="958" ht="15.75" customHeight="1">
      <c r="N958" s="61"/>
    </row>
    <row r="959" ht="15.75" customHeight="1">
      <c r="N959" s="61"/>
    </row>
    <row r="960" ht="15.75" customHeight="1">
      <c r="N960" s="61"/>
    </row>
    <row r="961" ht="15.75" customHeight="1">
      <c r="N961" s="61"/>
    </row>
    <row r="962" ht="15.75" customHeight="1">
      <c r="N962" s="61"/>
    </row>
    <row r="963" ht="15.75" customHeight="1">
      <c r="N963" s="61"/>
    </row>
    <row r="964" ht="15.75" customHeight="1">
      <c r="N964" s="61"/>
    </row>
    <row r="965" ht="15.75" customHeight="1">
      <c r="N965" s="61"/>
    </row>
    <row r="966" ht="15.75" customHeight="1">
      <c r="N966" s="61"/>
    </row>
    <row r="967" ht="15.75" customHeight="1">
      <c r="N967" s="61"/>
    </row>
    <row r="968" ht="15.75" customHeight="1">
      <c r="N968" s="61"/>
    </row>
    <row r="969" ht="15.75" customHeight="1">
      <c r="N969" s="61"/>
    </row>
    <row r="970" ht="15.75" customHeight="1">
      <c r="N970" s="61"/>
    </row>
    <row r="971" ht="15.75" customHeight="1">
      <c r="N971" s="61"/>
    </row>
    <row r="972" ht="15.75" customHeight="1">
      <c r="N972" s="61"/>
    </row>
    <row r="973" ht="15.75" customHeight="1">
      <c r="N973" s="61"/>
    </row>
    <row r="974" ht="15.75" customHeight="1">
      <c r="N974" s="61"/>
    </row>
    <row r="975" ht="15.75" customHeight="1">
      <c r="N975" s="61"/>
    </row>
    <row r="976" ht="15.75" customHeight="1">
      <c r="N976" s="61"/>
    </row>
    <row r="977" ht="15.75" customHeight="1">
      <c r="N977" s="61"/>
    </row>
    <row r="978" ht="15.75" customHeight="1">
      <c r="N978" s="61"/>
    </row>
    <row r="979" ht="15.75" customHeight="1">
      <c r="N979" s="61"/>
    </row>
    <row r="980" ht="15.75" customHeight="1">
      <c r="N980" s="61"/>
    </row>
    <row r="981" ht="15.75" customHeight="1">
      <c r="N981" s="61"/>
    </row>
    <row r="982" ht="15.75" customHeight="1">
      <c r="N982" s="61"/>
    </row>
    <row r="983" ht="15.75" customHeight="1">
      <c r="N983" s="61"/>
    </row>
    <row r="984" ht="15.75" customHeight="1">
      <c r="N984" s="61"/>
    </row>
    <row r="985" ht="15.75" customHeight="1">
      <c r="N985" s="61"/>
    </row>
    <row r="986" ht="15.75" customHeight="1">
      <c r="N986" s="61"/>
    </row>
    <row r="987" ht="15.75" customHeight="1">
      <c r="N987" s="61"/>
    </row>
    <row r="988" ht="15.75" customHeight="1">
      <c r="N988" s="61"/>
    </row>
    <row r="989" ht="15.75" customHeight="1">
      <c r="N989" s="61"/>
    </row>
    <row r="990" ht="15.75" customHeight="1">
      <c r="N990" s="61"/>
    </row>
    <row r="991" ht="15.75" customHeight="1">
      <c r="N991" s="61"/>
    </row>
    <row r="992" ht="15.75" customHeight="1">
      <c r="N992" s="61"/>
    </row>
    <row r="993" ht="15.75" customHeight="1">
      <c r="N993" s="61"/>
    </row>
    <row r="994" ht="15.75" customHeight="1">
      <c r="N994" s="61"/>
    </row>
    <row r="995" ht="15.75" customHeight="1">
      <c r="N995" s="61"/>
    </row>
    <row r="996" ht="15.75" customHeight="1">
      <c r="N996" s="61"/>
    </row>
    <row r="997" ht="15.75" customHeight="1">
      <c r="N997" s="61"/>
    </row>
    <row r="998" ht="15.75" customHeight="1">
      <c r="N998" s="61"/>
    </row>
    <row r="999" ht="15.75" customHeight="1">
      <c r="N999" s="61"/>
    </row>
    <row r="1000" ht="15.75" customHeight="1">
      <c r="N1000" s="61"/>
    </row>
  </sheetData>
  <conditionalFormatting sqref="F2:F1000">
    <cfRule type="cellIs" dxfId="8" priority="1" stopIfTrue="1" operator="lessThan">
      <formula>0</formula>
    </cfRule>
  </conditionalFormatting>
  <conditionalFormatting sqref="A2:Z1000">
    <cfRule type="expression" dxfId="9" priority="2">
      <formula>$N2="照合済"</formula>
    </cfRule>
  </conditionalFormatting>
  <conditionalFormatting sqref="A2:Z1000">
    <cfRule type="expression" dxfId="10" priority="3">
      <formula>$N2="要確認"</formula>
    </cfRule>
  </conditionalFormatting>
  <dataValidations>
    <dataValidation type="list" allowBlank="1" sqref="N2:N1000">
      <formula1>"未照合,照合済,要確認"</formula1>
    </dataValidation>
  </dataValidations>
  <hyperlinks>
    <hyperlink r:id="rId1" ref="I2"/>
    <hyperlink r:id="rId2" ref="I3"/>
  </hyperlinks>
  <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3.25"/>
    <col customWidth="1" min="2" max="2" width="23.75"/>
    <col customWidth="1" hidden="1" min="3" max="4" width="13.25"/>
    <col customWidth="1" min="5" max="8" width="13.25"/>
    <col customWidth="1" min="12" max="13" width="13.25"/>
  </cols>
  <sheetData>
    <row r="1" ht="15.75" customHeight="1">
      <c r="A1" s="29" t="s">
        <v>128</v>
      </c>
      <c r="B1" s="29" t="s">
        <v>129</v>
      </c>
      <c r="C1" s="29" t="s">
        <v>131</v>
      </c>
      <c r="D1" s="29" t="s">
        <v>132</v>
      </c>
      <c r="E1" s="29" t="s">
        <v>133</v>
      </c>
      <c r="F1" s="29" t="s">
        <v>122</v>
      </c>
      <c r="G1" s="30" t="s">
        <v>150</v>
      </c>
      <c r="H1" s="29" t="s">
        <v>71</v>
      </c>
      <c r="I1" s="29" t="s">
        <v>68</v>
      </c>
      <c r="J1" s="29" t="s">
        <v>70</v>
      </c>
      <c r="K1" s="29" t="s">
        <v>69</v>
      </c>
      <c r="L1" s="29" t="s">
        <v>134</v>
      </c>
      <c r="M1" s="29" t="s">
        <v>135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 ht="15.75" customHeight="1">
      <c r="A2" s="31">
        <v>46116.0</v>
      </c>
      <c r="B2" s="32" t="s">
        <v>151</v>
      </c>
      <c r="C2" s="33">
        <v>0.0</v>
      </c>
      <c r="D2" s="34">
        <v>0.0</v>
      </c>
      <c r="E2" s="33">
        <v>10000.0</v>
      </c>
      <c r="F2" s="32" t="s">
        <v>47</v>
      </c>
      <c r="G2" s="35" t="s">
        <v>152</v>
      </c>
      <c r="H2" s="36">
        <f>IFERROR(__xludf.DUMMYFUNCTION("IF(ISDATE(A2), IF(DAY(A2)&lt;15, DATE(YEAR(A2), MONTH(A2), 1), DATE(YEAR(A2), MONTH(A2)+1, 1)), """")"),46113.0)</f>
        <v>46113</v>
      </c>
      <c r="I2" s="37" t="s">
        <v>79</v>
      </c>
      <c r="J2" s="38"/>
      <c r="K2" s="38"/>
      <c r="L2" s="38" t="s">
        <v>153</v>
      </c>
      <c r="M2" s="39" t="s">
        <v>154</v>
      </c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ht="15.75" customHeight="1">
      <c r="A3" s="31">
        <v>46118.0</v>
      </c>
      <c r="B3" s="32" t="s">
        <v>155</v>
      </c>
      <c r="C3" s="33">
        <v>0.0</v>
      </c>
      <c r="D3" s="34">
        <v>0.0</v>
      </c>
      <c r="E3" s="33">
        <v>273226.0</v>
      </c>
      <c r="F3" s="32" t="s">
        <v>47</v>
      </c>
      <c r="G3" s="35" t="s">
        <v>152</v>
      </c>
      <c r="H3" s="36">
        <f>IFERROR(__xludf.DUMMYFUNCTION("IF(ISDATE(A3), IF(DAY(A3)&lt;15, DATE(YEAR(A3), MONTH(A3), 1), DATE(YEAR(A3), MONTH(A3)+1, 1)), """")"),46113.0)</f>
        <v>46113</v>
      </c>
      <c r="I3" s="38" t="s">
        <v>156</v>
      </c>
      <c r="J3" s="40" t="s">
        <v>157</v>
      </c>
      <c r="K3" s="38" t="s">
        <v>158</v>
      </c>
      <c r="L3" s="38" t="s">
        <v>159</v>
      </c>
      <c r="M3" s="39" t="s">
        <v>160</v>
      </c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ht="15.75" customHeight="1">
      <c r="A4" s="31">
        <v>46118.0</v>
      </c>
      <c r="B4" s="38" t="s">
        <v>161</v>
      </c>
      <c r="C4" s="33">
        <v>0.0</v>
      </c>
      <c r="D4" s="33">
        <v>0.0</v>
      </c>
      <c r="E4" s="33">
        <v>268985.0</v>
      </c>
      <c r="F4" s="32" t="s">
        <v>47</v>
      </c>
      <c r="G4" s="35" t="s">
        <v>162</v>
      </c>
      <c r="H4" s="36">
        <f>IFERROR(__xludf.DUMMYFUNCTION("IF(ISDATE(A4), IF(DAY(A4)&lt;15, DATE(YEAR(A4), MONTH(A4), 1), DATE(YEAR(A4), MONTH(A4)+1, 1)), """")"),46113.0)</f>
        <v>46113</v>
      </c>
      <c r="I4" s="38" t="s">
        <v>156</v>
      </c>
      <c r="J4" s="40" t="s">
        <v>163</v>
      </c>
      <c r="K4" s="38" t="s">
        <v>164</v>
      </c>
      <c r="L4" s="38" t="s">
        <v>165</v>
      </c>
      <c r="M4" s="39" t="s">
        <v>166</v>
      </c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ht="15.75" customHeight="1">
      <c r="A5" s="31">
        <v>46124.0</v>
      </c>
      <c r="B5" s="32" t="s">
        <v>167</v>
      </c>
      <c r="C5" s="33">
        <v>0.0</v>
      </c>
      <c r="D5" s="34">
        <v>0.0</v>
      </c>
      <c r="E5" s="33">
        <v>32780.0</v>
      </c>
      <c r="F5" s="32" t="s">
        <v>47</v>
      </c>
      <c r="G5" s="35" t="s">
        <v>162</v>
      </c>
      <c r="H5" s="36">
        <f>IFERROR(__xludf.DUMMYFUNCTION("IF(ISDATE(A5), IF(DAY(A5)&lt;15, DATE(YEAR(A5), MONTH(A5), 1), DATE(YEAR(A5), MONTH(A5)+1, 1)), """")"),46113.0)</f>
        <v>46113</v>
      </c>
      <c r="I5" s="38" t="s">
        <v>156</v>
      </c>
      <c r="J5" s="38" t="s">
        <v>168</v>
      </c>
      <c r="K5" s="38" t="s">
        <v>169</v>
      </c>
      <c r="L5" s="38" t="s">
        <v>170</v>
      </c>
      <c r="M5" s="39" t="s">
        <v>171</v>
      </c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ht="15.75" customHeight="1">
      <c r="A6" s="41">
        <v>46128.0</v>
      </c>
      <c r="B6" s="42" t="s">
        <v>172</v>
      </c>
      <c r="C6" s="43">
        <v>0.0</v>
      </c>
      <c r="D6" s="44">
        <v>0.0</v>
      </c>
      <c r="E6" s="45">
        <v>78210.0</v>
      </c>
      <c r="F6" s="42" t="s">
        <v>47</v>
      </c>
      <c r="G6" s="46" t="s">
        <v>173</v>
      </c>
      <c r="H6" s="47">
        <f>IFERROR(__xludf.DUMMYFUNCTION("IF(ISDATE(A6), IF(DAY(A6)&lt;15, DATE(YEAR(A6), MONTH(A6), 1), DATE(YEAR(A6), MONTH(A6)+1, 1)), """")"),46143.0)</f>
        <v>46143</v>
      </c>
      <c r="I6" s="48" t="s">
        <v>156</v>
      </c>
      <c r="J6" s="48" t="s">
        <v>174</v>
      </c>
      <c r="K6" s="48" t="s">
        <v>175</v>
      </c>
      <c r="L6" s="48" t="s">
        <v>176</v>
      </c>
      <c r="M6" s="49" t="s">
        <v>177</v>
      </c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</row>
    <row r="7" ht="15.75" customHeight="1">
      <c r="A7" s="41">
        <v>46131.0</v>
      </c>
      <c r="B7" s="42" t="s">
        <v>178</v>
      </c>
      <c r="C7" s="43">
        <v>0.0</v>
      </c>
      <c r="D7" s="44">
        <v>0.0</v>
      </c>
      <c r="E7" s="45">
        <v>55000.0</v>
      </c>
      <c r="F7" s="42" t="s">
        <v>47</v>
      </c>
      <c r="G7" s="46" t="s">
        <v>173</v>
      </c>
      <c r="H7" s="47">
        <f>IFERROR(__xludf.DUMMYFUNCTION("IF(ISDATE(A7), IF(DAY(A7)&lt;15, DATE(YEAR(A7), MONTH(A7), 1), DATE(YEAR(A7), MONTH(A7)+1, 1)), """")"),46143.0)</f>
        <v>46143</v>
      </c>
      <c r="I7" s="48" t="s">
        <v>156</v>
      </c>
      <c r="J7" s="48" t="s">
        <v>179</v>
      </c>
      <c r="K7" s="48" t="s">
        <v>180</v>
      </c>
      <c r="L7" s="48" t="s">
        <v>181</v>
      </c>
      <c r="M7" s="49" t="s">
        <v>182</v>
      </c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</row>
    <row r="8" ht="15.75" customHeight="1">
      <c r="A8" s="41">
        <v>46135.0</v>
      </c>
      <c r="B8" s="42" t="s">
        <v>183</v>
      </c>
      <c r="C8" s="45">
        <v>0.0</v>
      </c>
      <c r="D8" s="42">
        <v>0.0</v>
      </c>
      <c r="E8" s="45">
        <v>29040.0</v>
      </c>
      <c r="F8" s="42" t="s">
        <v>47</v>
      </c>
      <c r="G8" s="46" t="s">
        <v>152</v>
      </c>
      <c r="H8" s="47">
        <f>IFERROR(__xludf.DUMMYFUNCTION("IF(ISDATE(A8), IF(DAY(A8)&lt;15, DATE(YEAR(A8), MONTH(A8), 1), DATE(YEAR(A8), MONTH(A8)+1, 1)), """")"),46143.0)</f>
        <v>46143</v>
      </c>
      <c r="I8" s="48" t="s">
        <v>156</v>
      </c>
      <c r="J8" s="50" t="s">
        <v>184</v>
      </c>
      <c r="K8" s="48" t="s">
        <v>185</v>
      </c>
      <c r="L8" s="48" t="s">
        <v>186</v>
      </c>
      <c r="M8" s="49" t="s">
        <v>187</v>
      </c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</row>
    <row r="9" ht="15.75" customHeight="1">
      <c r="A9" s="51"/>
      <c r="B9" s="42"/>
      <c r="C9" s="45"/>
      <c r="D9" s="52"/>
      <c r="E9" s="45"/>
      <c r="F9" s="42"/>
      <c r="G9" s="53"/>
      <c r="H9" s="47"/>
      <c r="I9" s="48"/>
      <c r="J9" s="50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</row>
    <row r="10" ht="15.75" customHeight="1">
      <c r="A10" s="51"/>
      <c r="B10" s="52"/>
      <c r="C10" s="45"/>
      <c r="D10" s="52"/>
      <c r="E10" s="45"/>
      <c r="F10" s="42"/>
      <c r="G10" s="53"/>
      <c r="H10" s="47"/>
      <c r="I10" s="48"/>
      <c r="J10" s="50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</row>
    <row r="11" ht="15.75" customHeight="1">
      <c r="A11" s="51"/>
      <c r="B11" s="52"/>
      <c r="C11" s="45"/>
      <c r="D11" s="52"/>
      <c r="E11" s="45"/>
      <c r="F11" s="42"/>
      <c r="G11" s="53"/>
      <c r="H11" s="47"/>
      <c r="I11" s="48"/>
      <c r="J11" s="50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</row>
    <row r="12" ht="15.75" customHeight="1">
      <c r="A12" s="51"/>
      <c r="B12" s="52"/>
      <c r="C12" s="45"/>
      <c r="D12" s="52"/>
      <c r="E12" s="45"/>
      <c r="F12" s="42"/>
      <c r="G12" s="53"/>
      <c r="H12" s="47"/>
      <c r="I12" s="48"/>
      <c r="J12" s="50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</row>
    <row r="13" ht="15.75" customHeight="1">
      <c r="A13" s="51"/>
      <c r="B13" s="52"/>
      <c r="C13" s="45"/>
      <c r="D13" s="52"/>
      <c r="E13" s="45"/>
      <c r="F13" s="42"/>
      <c r="G13" s="53"/>
      <c r="H13" s="47"/>
      <c r="I13" s="48"/>
      <c r="J13" s="50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</row>
    <row r="14" ht="15.75" customHeight="1">
      <c r="A14" s="51"/>
      <c r="B14" s="52"/>
      <c r="C14" s="45"/>
      <c r="D14" s="52"/>
      <c r="E14" s="45"/>
      <c r="F14" s="42"/>
      <c r="G14" s="53"/>
      <c r="H14" s="47"/>
      <c r="I14" s="48"/>
      <c r="J14" s="50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</row>
    <row r="15" ht="15.75" customHeight="1">
      <c r="A15" s="51"/>
      <c r="B15" s="52"/>
      <c r="C15" s="45"/>
      <c r="D15" s="52"/>
      <c r="E15" s="45"/>
      <c r="F15" s="42"/>
      <c r="G15" s="53"/>
      <c r="H15" s="47"/>
      <c r="I15" s="48"/>
      <c r="J15" s="50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</row>
    <row r="16" ht="15.75" customHeight="1">
      <c r="A16" s="51"/>
      <c r="B16" s="42"/>
      <c r="C16" s="45"/>
      <c r="D16" s="52"/>
      <c r="E16" s="45"/>
      <c r="F16" s="42"/>
      <c r="G16" s="53"/>
      <c r="H16" s="47"/>
      <c r="I16" s="48"/>
      <c r="J16" s="50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</row>
    <row r="17" ht="15.75" customHeight="1">
      <c r="A17" s="51"/>
      <c r="B17" s="42"/>
      <c r="C17" s="45"/>
      <c r="D17" s="52"/>
      <c r="E17" s="45"/>
      <c r="F17" s="42"/>
      <c r="G17" s="53"/>
      <c r="H17" s="47"/>
      <c r="I17" s="48"/>
      <c r="J17" s="50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</row>
    <row r="18" ht="15.75" customHeight="1">
      <c r="A18" s="51"/>
      <c r="B18" s="52"/>
      <c r="C18" s="45"/>
      <c r="D18" s="52"/>
      <c r="E18" s="45"/>
      <c r="F18" s="42"/>
      <c r="G18" s="53"/>
      <c r="H18" s="47"/>
      <c r="I18" s="48"/>
      <c r="J18" s="50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</row>
    <row r="19" ht="15.75" customHeight="1">
      <c r="A19" s="51"/>
      <c r="B19" s="52"/>
      <c r="C19" s="45"/>
      <c r="D19" s="52"/>
      <c r="E19" s="45"/>
      <c r="F19" s="42"/>
      <c r="G19" s="53"/>
      <c r="H19" s="47"/>
      <c r="I19" s="48"/>
      <c r="J19" s="50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</row>
    <row r="20" ht="15.75" customHeight="1">
      <c r="A20" s="51"/>
      <c r="B20" s="52"/>
      <c r="C20" s="45"/>
      <c r="D20" s="52"/>
      <c r="E20" s="45"/>
      <c r="F20" s="42"/>
      <c r="G20" s="53"/>
      <c r="H20" s="47"/>
      <c r="I20" s="48"/>
      <c r="J20" s="50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</row>
    <row r="21" ht="15.75" customHeight="1">
      <c r="A21" s="51"/>
      <c r="B21" s="52"/>
      <c r="C21" s="45"/>
      <c r="D21" s="52"/>
      <c r="E21" s="45"/>
      <c r="F21" s="42"/>
      <c r="G21" s="53"/>
      <c r="H21" s="47"/>
      <c r="I21" s="48"/>
      <c r="J21" s="50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</row>
    <row r="22" ht="15.75" customHeight="1">
      <c r="A22" s="51"/>
      <c r="B22" s="52"/>
      <c r="C22" s="45"/>
      <c r="D22" s="52"/>
      <c r="E22" s="45"/>
      <c r="F22" s="42"/>
      <c r="G22" s="53"/>
      <c r="H22" s="47"/>
      <c r="I22" s="48"/>
      <c r="J22" s="50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</row>
    <row r="23" ht="15.75" customHeight="1">
      <c r="A23" s="51"/>
      <c r="B23" s="52"/>
      <c r="C23" s="45"/>
      <c r="D23" s="52"/>
      <c r="E23" s="45"/>
      <c r="F23" s="42"/>
      <c r="G23" s="53"/>
      <c r="H23" s="47"/>
      <c r="I23" s="48"/>
      <c r="J23" s="50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</row>
    <row r="24" ht="15.75" customHeight="1">
      <c r="A24" s="51"/>
      <c r="B24" s="52"/>
      <c r="C24" s="45"/>
      <c r="D24" s="52"/>
      <c r="E24" s="45"/>
      <c r="F24" s="42"/>
      <c r="G24" s="53"/>
      <c r="H24" s="47"/>
      <c r="I24" s="48"/>
      <c r="J24" s="50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</row>
    <row r="25" ht="15.75" customHeight="1">
      <c r="A25" s="51"/>
      <c r="B25" s="52"/>
      <c r="C25" s="45"/>
      <c r="D25" s="52"/>
      <c r="E25" s="45"/>
      <c r="F25" s="42"/>
      <c r="G25" s="53"/>
      <c r="H25" s="47"/>
      <c r="I25" s="48"/>
      <c r="J25" s="50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ht="15.75" customHeight="1">
      <c r="A26" s="51"/>
      <c r="B26" s="52"/>
      <c r="C26" s="45"/>
      <c r="D26" s="52"/>
      <c r="E26" s="45"/>
      <c r="F26" s="42"/>
      <c r="G26" s="53"/>
      <c r="H26" s="47"/>
      <c r="I26" s="48"/>
      <c r="J26" s="50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ht="15.75" customHeight="1">
      <c r="A27" s="51"/>
      <c r="B27" s="52"/>
      <c r="C27" s="45"/>
      <c r="D27" s="52"/>
      <c r="E27" s="45"/>
      <c r="F27" s="42"/>
      <c r="G27" s="53"/>
      <c r="H27" s="47"/>
      <c r="I27" s="48"/>
      <c r="J27" s="50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ht="15.75" customHeight="1">
      <c r="A28" s="51"/>
      <c r="B28" s="42"/>
      <c r="C28" s="45"/>
      <c r="D28" s="52"/>
      <c r="E28" s="45"/>
      <c r="F28" s="42"/>
      <c r="G28" s="53"/>
      <c r="H28" s="47"/>
      <c r="I28" s="48"/>
      <c r="J28" s="50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ht="15.75" customHeight="1">
      <c r="A29" s="51"/>
      <c r="B29" s="42"/>
      <c r="C29" s="45"/>
      <c r="D29" s="52"/>
      <c r="E29" s="45"/>
      <c r="F29" s="42"/>
      <c r="G29" s="53"/>
      <c r="H29" s="47"/>
      <c r="I29" s="48"/>
      <c r="J29" s="50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ht="15.75" customHeight="1">
      <c r="A30" s="51"/>
      <c r="B30" s="42"/>
      <c r="C30" s="45"/>
      <c r="D30" s="52"/>
      <c r="E30" s="45"/>
      <c r="F30" s="42"/>
      <c r="G30" s="53"/>
      <c r="H30" s="47"/>
      <c r="I30" s="48"/>
      <c r="J30" s="50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ht="15.75" customHeight="1">
      <c r="A31" s="51"/>
      <c r="B31" s="42"/>
      <c r="C31" s="45"/>
      <c r="D31" s="52"/>
      <c r="E31" s="45"/>
      <c r="F31" s="42"/>
      <c r="G31" s="53"/>
      <c r="H31" s="47"/>
      <c r="I31" s="48"/>
      <c r="J31" s="50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ht="15.75" customHeight="1">
      <c r="A32" s="51"/>
      <c r="B32" s="42"/>
      <c r="C32" s="45"/>
      <c r="D32" s="52"/>
      <c r="E32" s="45"/>
      <c r="F32" s="42"/>
      <c r="G32" s="53"/>
      <c r="H32" s="47"/>
      <c r="I32" s="48"/>
      <c r="J32" s="50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ht="15.75" customHeight="1">
      <c r="A33" s="51"/>
      <c r="B33" s="42"/>
      <c r="C33" s="45"/>
      <c r="D33" s="52"/>
      <c r="E33" s="45"/>
      <c r="F33" s="42"/>
      <c r="G33" s="53"/>
      <c r="H33" s="47"/>
      <c r="I33" s="48"/>
      <c r="J33" s="50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ht="15.75" customHeight="1">
      <c r="A34" s="51"/>
      <c r="B34" s="42"/>
      <c r="C34" s="45"/>
      <c r="D34" s="52"/>
      <c r="E34" s="45"/>
      <c r="F34" s="42"/>
      <c r="G34" s="53"/>
      <c r="H34" s="47"/>
      <c r="I34" s="48"/>
      <c r="J34" s="50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ht="15.75" customHeight="1">
      <c r="A35" s="51"/>
      <c r="B35" s="42"/>
      <c r="C35" s="45"/>
      <c r="D35" s="52"/>
      <c r="E35" s="45"/>
      <c r="F35" s="42"/>
      <c r="G35" s="53"/>
      <c r="H35" s="47"/>
      <c r="I35" s="48"/>
      <c r="J35" s="50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ht="15.75" customHeight="1">
      <c r="A36" s="51"/>
      <c r="B36" s="42"/>
      <c r="C36" s="45"/>
      <c r="D36" s="52"/>
      <c r="E36" s="45"/>
      <c r="F36" s="42"/>
      <c r="G36" s="53"/>
      <c r="H36" s="47"/>
      <c r="I36" s="48"/>
      <c r="J36" s="50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ht="15.75" customHeight="1">
      <c r="A37" s="51"/>
      <c r="B37" s="42"/>
      <c r="C37" s="45"/>
      <c r="D37" s="52"/>
      <c r="E37" s="45"/>
      <c r="F37" s="42"/>
      <c r="G37" s="53"/>
      <c r="H37" s="47"/>
      <c r="I37" s="48"/>
      <c r="J37" s="50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ht="15.75" customHeight="1">
      <c r="A38" s="51"/>
      <c r="B38" s="42"/>
      <c r="C38" s="45"/>
      <c r="D38" s="52"/>
      <c r="E38" s="45"/>
      <c r="F38" s="42"/>
      <c r="G38" s="53"/>
      <c r="H38" s="47"/>
      <c r="I38" s="48"/>
      <c r="J38" s="50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ht="15.75" customHeight="1">
      <c r="A39" s="51"/>
      <c r="B39" s="42"/>
      <c r="C39" s="45"/>
      <c r="D39" s="42"/>
      <c r="E39" s="45"/>
      <c r="F39" s="42"/>
      <c r="G39" s="53"/>
      <c r="H39" s="47"/>
      <c r="I39" s="48"/>
      <c r="J39" s="50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ht="15.75" customHeight="1">
      <c r="A40" s="51"/>
      <c r="B40" s="42"/>
      <c r="C40" s="45"/>
      <c r="D40" s="42"/>
      <c r="E40" s="45"/>
      <c r="F40" s="42"/>
      <c r="G40" s="53"/>
      <c r="H40" s="47"/>
      <c r="I40" s="48"/>
      <c r="J40" s="50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</row>
    <row r="41" ht="15.75" customHeight="1">
      <c r="A41" s="51"/>
      <c r="B41" s="42"/>
      <c r="C41" s="45"/>
      <c r="D41" s="42"/>
      <c r="E41" s="45"/>
      <c r="F41" s="42"/>
      <c r="G41" s="53"/>
      <c r="H41" s="47"/>
      <c r="I41" s="48"/>
      <c r="J41" s="50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</row>
    <row r="42" ht="15.75" customHeight="1">
      <c r="A42" s="51"/>
      <c r="B42" s="42"/>
      <c r="C42" s="45"/>
      <c r="D42" s="42"/>
      <c r="E42" s="45"/>
      <c r="F42" s="42"/>
      <c r="G42" s="53"/>
      <c r="H42" s="47"/>
      <c r="I42" s="48"/>
      <c r="J42" s="50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</row>
    <row r="43" ht="15.75" customHeight="1">
      <c r="A43" s="51"/>
      <c r="B43" s="52"/>
      <c r="C43" s="45"/>
      <c r="D43" s="52"/>
      <c r="E43" s="45"/>
      <c r="F43" s="42"/>
      <c r="G43" s="53"/>
      <c r="H43" s="47"/>
      <c r="I43" s="48"/>
      <c r="J43" s="50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</row>
    <row r="44" ht="15.75" customHeight="1">
      <c r="A44" s="51"/>
      <c r="B44" s="52"/>
      <c r="C44" s="45"/>
      <c r="D44" s="52"/>
      <c r="E44" s="45"/>
      <c r="F44" s="42"/>
      <c r="G44" s="53"/>
      <c r="H44" s="47"/>
      <c r="I44" s="48"/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</row>
    <row r="45" ht="15.75" customHeight="1">
      <c r="A45" s="54"/>
      <c r="B45" s="48"/>
      <c r="C45" s="55"/>
      <c r="D45" s="48"/>
      <c r="E45" s="56"/>
      <c r="F45" s="48"/>
      <c r="G45" s="57"/>
      <c r="H45" s="5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</row>
    <row r="46" ht="15.75" customHeight="1">
      <c r="A46" s="54"/>
      <c r="B46" s="48"/>
      <c r="C46" s="55"/>
      <c r="D46" s="48"/>
      <c r="E46" s="56"/>
      <c r="F46" s="48"/>
      <c r="G46" s="57"/>
      <c r="H46" s="5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</row>
    <row r="47" ht="15.75" customHeight="1">
      <c r="A47" s="54"/>
      <c r="B47" s="48"/>
      <c r="C47" s="55"/>
      <c r="D47" s="48"/>
      <c r="E47" s="56"/>
      <c r="F47" s="48"/>
      <c r="G47" s="57"/>
      <c r="H47" s="5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</row>
    <row r="48" ht="15.75" customHeight="1">
      <c r="A48" s="54"/>
      <c r="B48" s="48"/>
      <c r="C48" s="55"/>
      <c r="D48" s="48"/>
      <c r="E48" s="56"/>
      <c r="F48" s="48"/>
      <c r="G48" s="57"/>
      <c r="H48" s="5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</row>
    <row r="49" ht="15.75" customHeight="1">
      <c r="A49" s="54"/>
      <c r="B49" s="48"/>
      <c r="C49" s="55"/>
      <c r="D49" s="48"/>
      <c r="E49" s="56"/>
      <c r="F49" s="48"/>
      <c r="G49" s="57"/>
      <c r="H49" s="5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</row>
    <row r="50" ht="15.75" customHeight="1">
      <c r="A50" s="54"/>
      <c r="B50" s="48"/>
      <c r="C50" s="55"/>
      <c r="D50" s="48"/>
      <c r="E50" s="56"/>
      <c r="F50" s="48"/>
      <c r="G50" s="57"/>
      <c r="H50" s="5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</row>
    <row r="51" ht="15.75" customHeight="1">
      <c r="A51" s="54"/>
      <c r="B51" s="48"/>
      <c r="C51" s="55"/>
      <c r="D51" s="48"/>
      <c r="E51" s="56"/>
      <c r="F51" s="48"/>
      <c r="G51" s="57"/>
      <c r="H51" s="5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</row>
    <row r="52" ht="15.75" customHeight="1">
      <c r="A52" s="54"/>
      <c r="B52" s="48"/>
      <c r="C52" s="55"/>
      <c r="D52" s="48"/>
      <c r="E52" s="56"/>
      <c r="F52" s="48"/>
      <c r="G52" s="57"/>
      <c r="H52" s="5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</row>
    <row r="53" ht="15.75" customHeight="1">
      <c r="A53" s="54"/>
      <c r="B53" s="48"/>
      <c r="C53" s="55"/>
      <c r="D53" s="48"/>
      <c r="E53" s="56"/>
      <c r="F53" s="48"/>
      <c r="G53" s="57"/>
      <c r="H53" s="5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</row>
    <row r="54" ht="15.75" customHeight="1">
      <c r="A54" s="54"/>
      <c r="B54" s="48"/>
      <c r="C54" s="55"/>
      <c r="D54" s="48"/>
      <c r="E54" s="56"/>
      <c r="F54" s="48"/>
      <c r="G54" s="57"/>
      <c r="H54" s="5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</row>
    <row r="55" ht="15.75" customHeight="1">
      <c r="A55" s="54"/>
      <c r="B55" s="48"/>
      <c r="C55" s="55"/>
      <c r="D55" s="48"/>
      <c r="E55" s="56"/>
      <c r="F55" s="48"/>
      <c r="G55" s="57"/>
      <c r="H55" s="5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</row>
    <row r="56" ht="15.75" customHeight="1">
      <c r="A56" s="54"/>
      <c r="B56" s="48"/>
      <c r="C56" s="55"/>
      <c r="D56" s="48"/>
      <c r="E56" s="56"/>
      <c r="F56" s="48"/>
      <c r="G56" s="57"/>
      <c r="H56" s="5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</row>
    <row r="57" ht="15.75" customHeight="1">
      <c r="A57" s="54"/>
      <c r="B57" s="48"/>
      <c r="C57" s="55"/>
      <c r="D57" s="48"/>
      <c r="E57" s="56"/>
      <c r="F57" s="48"/>
      <c r="G57" s="57"/>
      <c r="H57" s="5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</row>
    <row r="58" ht="15.75" customHeight="1">
      <c r="A58" s="54"/>
      <c r="B58" s="48"/>
      <c r="C58" s="55"/>
      <c r="D58" s="48"/>
      <c r="E58" s="56"/>
      <c r="F58" s="48"/>
      <c r="G58" s="57"/>
      <c r="H58" s="5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</row>
    <row r="59" ht="15.75" customHeight="1">
      <c r="A59" s="54"/>
      <c r="B59" s="48"/>
      <c r="C59" s="55"/>
      <c r="D59" s="48"/>
      <c r="E59" s="56"/>
      <c r="F59" s="48"/>
      <c r="G59" s="57"/>
      <c r="H59" s="5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</row>
    <row r="60" ht="15.75" customHeight="1">
      <c r="A60" s="54"/>
      <c r="B60" s="48"/>
      <c r="C60" s="55"/>
      <c r="D60" s="48"/>
      <c r="E60" s="56"/>
      <c r="F60" s="48"/>
      <c r="G60" s="57"/>
      <c r="H60" s="5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</row>
    <row r="61" ht="15.75" customHeight="1">
      <c r="A61" s="54"/>
      <c r="B61" s="48"/>
      <c r="C61" s="55"/>
      <c r="D61" s="48"/>
      <c r="E61" s="56"/>
      <c r="F61" s="48"/>
      <c r="G61" s="57"/>
      <c r="H61" s="5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</row>
    <row r="62" ht="15.75" customHeight="1">
      <c r="A62" s="54"/>
      <c r="B62" s="48"/>
      <c r="C62" s="55"/>
      <c r="D62" s="48"/>
      <c r="E62" s="56"/>
      <c r="F62" s="48"/>
      <c r="G62" s="57"/>
      <c r="H62" s="5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</row>
    <row r="63" ht="15.75" customHeight="1">
      <c r="A63" s="54"/>
      <c r="B63" s="48"/>
      <c r="C63" s="55"/>
      <c r="D63" s="48"/>
      <c r="E63" s="56"/>
      <c r="F63" s="48"/>
      <c r="G63" s="57"/>
      <c r="H63" s="5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</row>
    <row r="64" ht="15.75" customHeight="1">
      <c r="A64" s="54"/>
      <c r="B64" s="48"/>
      <c r="C64" s="55"/>
      <c r="D64" s="48"/>
      <c r="E64" s="56"/>
      <c r="F64" s="48"/>
      <c r="G64" s="57"/>
      <c r="H64" s="5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</row>
    <row r="65" ht="15.75" customHeight="1">
      <c r="A65" s="54"/>
      <c r="B65" s="48"/>
      <c r="C65" s="55"/>
      <c r="D65" s="48"/>
      <c r="E65" s="56"/>
      <c r="F65" s="48"/>
      <c r="G65" s="57"/>
      <c r="H65" s="5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</row>
    <row r="66" ht="15.75" customHeight="1">
      <c r="A66" s="54"/>
      <c r="B66" s="48"/>
      <c r="C66" s="55"/>
      <c r="D66" s="48"/>
      <c r="E66" s="56"/>
      <c r="F66" s="48"/>
      <c r="G66" s="57"/>
      <c r="H66" s="5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ht="15.75" customHeight="1">
      <c r="A67" s="54"/>
      <c r="B67" s="48"/>
      <c r="C67" s="55"/>
      <c r="D67" s="48"/>
      <c r="E67" s="56"/>
      <c r="F67" s="48"/>
      <c r="G67" s="57"/>
      <c r="H67" s="5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ht="15.75" customHeight="1">
      <c r="A68" s="54"/>
      <c r="B68" s="48"/>
      <c r="C68" s="55"/>
      <c r="D68" s="48"/>
      <c r="E68" s="56"/>
      <c r="F68" s="48"/>
      <c r="G68" s="57"/>
      <c r="H68" s="5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</row>
    <row r="69" ht="15.75" customHeight="1">
      <c r="A69" s="54"/>
      <c r="B69" s="48"/>
      <c r="C69" s="55"/>
      <c r="D69" s="48"/>
      <c r="E69" s="56"/>
      <c r="F69" s="48"/>
      <c r="G69" s="57"/>
      <c r="H69" s="5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</row>
    <row r="70" ht="15.75" customHeight="1">
      <c r="A70" s="54"/>
      <c r="B70" s="48"/>
      <c r="C70" s="55"/>
      <c r="D70" s="48"/>
      <c r="E70" s="56"/>
      <c r="F70" s="48"/>
      <c r="G70" s="57"/>
      <c r="H70" s="5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</row>
    <row r="71" ht="15.75" customHeight="1">
      <c r="A71" s="54"/>
      <c r="B71" s="48"/>
      <c r="C71" s="55"/>
      <c r="D71" s="48"/>
      <c r="E71" s="56"/>
      <c r="F71" s="48"/>
      <c r="G71" s="57"/>
      <c r="H71" s="5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</row>
    <row r="72" ht="15.75" customHeight="1">
      <c r="A72" s="54"/>
      <c r="B72" s="48"/>
      <c r="C72" s="55"/>
      <c r="D72" s="48"/>
      <c r="E72" s="56"/>
      <c r="F72" s="48"/>
      <c r="G72" s="57"/>
      <c r="H72" s="5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</row>
    <row r="73" ht="15.75" customHeight="1">
      <c r="A73" s="54"/>
      <c r="B73" s="48"/>
      <c r="C73" s="55"/>
      <c r="D73" s="48"/>
      <c r="E73" s="56"/>
      <c r="F73" s="48"/>
      <c r="G73" s="57"/>
      <c r="H73" s="5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</row>
    <row r="74" ht="15.75" customHeight="1">
      <c r="A74" s="54"/>
      <c r="B74" s="48"/>
      <c r="C74" s="55"/>
      <c r="D74" s="48"/>
      <c r="E74" s="56"/>
      <c r="F74" s="48"/>
      <c r="G74" s="57"/>
      <c r="H74" s="5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</row>
    <row r="75" ht="15.75" customHeight="1">
      <c r="A75" s="54"/>
      <c r="B75" s="48"/>
      <c r="C75" s="55"/>
      <c r="D75" s="48"/>
      <c r="E75" s="56"/>
      <c r="F75" s="48"/>
      <c r="G75" s="57"/>
      <c r="H75" s="5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</row>
    <row r="76" ht="15.75" customHeight="1">
      <c r="A76" s="54"/>
      <c r="B76" s="48"/>
      <c r="C76" s="55"/>
      <c r="D76" s="48"/>
      <c r="E76" s="56"/>
      <c r="F76" s="48"/>
      <c r="G76" s="57"/>
      <c r="H76" s="5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</row>
    <row r="77" ht="15.75" customHeight="1">
      <c r="A77" s="54"/>
      <c r="B77" s="48"/>
      <c r="C77" s="55"/>
      <c r="D77" s="48"/>
      <c r="E77" s="56"/>
      <c r="F77" s="48"/>
      <c r="G77" s="57"/>
      <c r="H77" s="5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</row>
    <row r="78" ht="15.75" customHeight="1">
      <c r="A78" s="54"/>
      <c r="B78" s="48"/>
      <c r="C78" s="55"/>
      <c r="D78" s="48"/>
      <c r="E78" s="56"/>
      <c r="F78" s="48"/>
      <c r="G78" s="57"/>
      <c r="H78" s="5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</row>
    <row r="79" ht="15.75" customHeight="1">
      <c r="A79" s="54"/>
      <c r="B79" s="48"/>
      <c r="C79" s="55"/>
      <c r="D79" s="48"/>
      <c r="E79" s="56"/>
      <c r="F79" s="48"/>
      <c r="G79" s="57"/>
      <c r="H79" s="5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</row>
    <row r="80" ht="15.75" customHeight="1">
      <c r="A80" s="54"/>
      <c r="B80" s="48"/>
      <c r="C80" s="55"/>
      <c r="D80" s="48"/>
      <c r="E80" s="56"/>
      <c r="F80" s="48"/>
      <c r="G80" s="57"/>
      <c r="H80" s="5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</row>
    <row r="81" ht="15.75" customHeight="1">
      <c r="A81" s="54"/>
      <c r="B81" s="48"/>
      <c r="C81" s="55"/>
      <c r="D81" s="48"/>
      <c r="E81" s="56"/>
      <c r="F81" s="48"/>
      <c r="G81" s="57"/>
      <c r="H81" s="5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</row>
    <row r="82" ht="15.75" customHeight="1">
      <c r="A82" s="54"/>
      <c r="B82" s="48"/>
      <c r="C82" s="55"/>
      <c r="D82" s="48"/>
      <c r="E82" s="56"/>
      <c r="F82" s="48"/>
      <c r="G82" s="57"/>
      <c r="H82" s="5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</row>
    <row r="83" ht="15.75" customHeight="1">
      <c r="A83" s="54"/>
      <c r="B83" s="48"/>
      <c r="C83" s="48"/>
      <c r="D83" s="48"/>
      <c r="E83" s="56"/>
      <c r="F83" s="48"/>
      <c r="G83" s="57"/>
      <c r="H83" s="5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</row>
    <row r="84" ht="15.75" customHeight="1">
      <c r="A84" s="54"/>
      <c r="B84" s="48"/>
      <c r="C84" s="55"/>
      <c r="D84" s="48"/>
      <c r="E84" s="56"/>
      <c r="F84" s="48"/>
      <c r="G84" s="57"/>
      <c r="H84" s="5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</row>
    <row r="85" ht="15.75" customHeight="1">
      <c r="A85" s="54"/>
      <c r="B85" s="48"/>
      <c r="C85" s="55"/>
      <c r="D85" s="48"/>
      <c r="E85" s="56"/>
      <c r="F85" s="48"/>
      <c r="G85" s="57"/>
      <c r="H85" s="5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</row>
    <row r="86" ht="15.75" customHeight="1">
      <c r="A86" s="59"/>
      <c r="B86" s="48"/>
      <c r="C86" s="55"/>
      <c r="D86" s="48"/>
      <c r="E86" s="48"/>
      <c r="F86" s="48"/>
      <c r="G86" s="57"/>
      <c r="H86" s="5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</row>
    <row r="87" ht="15.75" customHeight="1">
      <c r="A87" s="59"/>
      <c r="B87" s="48"/>
      <c r="C87" s="55"/>
      <c r="D87" s="48"/>
      <c r="E87" s="48"/>
      <c r="F87" s="48"/>
      <c r="G87" s="57"/>
      <c r="H87" s="5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</row>
    <row r="88" ht="15.75" customHeight="1">
      <c r="A88" s="59"/>
      <c r="B88" s="48"/>
      <c r="C88" s="55"/>
      <c r="D88" s="48"/>
      <c r="E88" s="48"/>
      <c r="F88" s="48"/>
      <c r="G88" s="57"/>
      <c r="H88" s="5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r="89" ht="15.75" customHeight="1">
      <c r="A89" s="59"/>
      <c r="B89" s="48"/>
      <c r="C89" s="55"/>
      <c r="D89" s="48"/>
      <c r="E89" s="48"/>
      <c r="F89" s="48"/>
      <c r="G89" s="57"/>
      <c r="H89" s="5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</row>
    <row r="90" ht="15.75" customHeight="1">
      <c r="A90" s="59"/>
      <c r="B90" s="48"/>
      <c r="C90" s="55"/>
      <c r="D90" s="48"/>
      <c r="E90" s="48"/>
      <c r="F90" s="48"/>
      <c r="G90" s="57"/>
      <c r="H90" s="5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</row>
    <row r="91" ht="15.75" customHeight="1">
      <c r="A91" s="59"/>
      <c r="B91" s="48"/>
      <c r="C91" s="55"/>
      <c r="D91" s="48"/>
      <c r="E91" s="48"/>
      <c r="F91" s="48"/>
      <c r="G91" s="57"/>
      <c r="H91" s="5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</row>
    <row r="92" ht="15.75" customHeight="1">
      <c r="A92" s="59"/>
      <c r="B92" s="48"/>
      <c r="C92" s="55"/>
      <c r="D92" s="48"/>
      <c r="E92" s="48"/>
      <c r="F92" s="48"/>
      <c r="G92" s="57"/>
      <c r="H92" s="5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</row>
    <row r="93" ht="15.75" customHeight="1">
      <c r="A93" s="59"/>
      <c r="B93" s="48"/>
      <c r="C93" s="55"/>
      <c r="D93" s="48"/>
      <c r="E93" s="48"/>
      <c r="F93" s="48"/>
      <c r="G93" s="57"/>
      <c r="H93" s="5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</row>
    <row r="94" ht="15.75" customHeight="1">
      <c r="A94" s="59"/>
      <c r="B94" s="48"/>
      <c r="C94" s="55"/>
      <c r="D94" s="48"/>
      <c r="E94" s="48"/>
      <c r="F94" s="48"/>
      <c r="G94" s="57"/>
      <c r="H94" s="5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</row>
    <row r="95" ht="15.75" customHeight="1">
      <c r="A95" s="59"/>
      <c r="B95" s="48"/>
      <c r="C95" s="55"/>
      <c r="D95" s="48"/>
      <c r="E95" s="48"/>
      <c r="F95" s="48"/>
      <c r="G95" s="57"/>
      <c r="H95" s="5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</row>
    <row r="96" ht="15.75" customHeight="1">
      <c r="A96" s="59"/>
      <c r="B96" s="48"/>
      <c r="C96" s="55"/>
      <c r="D96" s="48"/>
      <c r="E96" s="48"/>
      <c r="F96" s="48"/>
      <c r="G96" s="57"/>
      <c r="H96" s="5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</row>
    <row r="97" ht="15.75" customHeight="1">
      <c r="A97" s="59"/>
      <c r="B97" s="48"/>
      <c r="C97" s="55"/>
      <c r="D97" s="48"/>
      <c r="E97" s="48"/>
      <c r="F97" s="48"/>
      <c r="G97" s="57"/>
      <c r="H97" s="5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</row>
    <row r="98" ht="15.75" customHeight="1">
      <c r="A98" s="59"/>
      <c r="B98" s="48"/>
      <c r="C98" s="55"/>
      <c r="D98" s="48"/>
      <c r="E98" s="48"/>
      <c r="F98" s="48"/>
      <c r="G98" s="57"/>
      <c r="H98" s="5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</row>
    <row r="99" ht="15.75" customHeight="1">
      <c r="A99" s="59"/>
      <c r="B99" s="48"/>
      <c r="C99" s="55"/>
      <c r="D99" s="48"/>
      <c r="E99" s="48"/>
      <c r="F99" s="48"/>
      <c r="G99" s="57"/>
      <c r="H99" s="5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</row>
    <row r="100" ht="15.75" customHeight="1">
      <c r="A100" s="59"/>
      <c r="B100" s="48"/>
      <c r="C100" s="55"/>
      <c r="D100" s="48"/>
      <c r="E100" s="48"/>
      <c r="F100" s="48"/>
      <c r="G100" s="57"/>
      <c r="H100" s="5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</row>
    <row r="101" ht="15.75" customHeight="1">
      <c r="A101" s="59"/>
      <c r="B101" s="48"/>
      <c r="C101" s="55"/>
      <c r="D101" s="48"/>
      <c r="E101" s="48"/>
      <c r="F101" s="48"/>
      <c r="G101" s="57"/>
      <c r="H101" s="5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</row>
    <row r="102" ht="15.75" customHeight="1">
      <c r="A102" s="59"/>
      <c r="B102" s="48"/>
      <c r="C102" s="55"/>
      <c r="D102" s="48"/>
      <c r="E102" s="48"/>
      <c r="F102" s="48"/>
      <c r="G102" s="57"/>
      <c r="H102" s="5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</row>
    <row r="103" ht="15.75" customHeight="1">
      <c r="A103" s="59"/>
      <c r="B103" s="48"/>
      <c r="C103" s="55"/>
      <c r="D103" s="48"/>
      <c r="E103" s="48"/>
      <c r="F103" s="48"/>
      <c r="G103" s="57"/>
      <c r="H103" s="5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</row>
    <row r="104" ht="15.75" customHeight="1">
      <c r="A104" s="59"/>
      <c r="B104" s="48"/>
      <c r="C104" s="55"/>
      <c r="D104" s="48"/>
      <c r="E104" s="48"/>
      <c r="F104" s="48"/>
      <c r="G104" s="57"/>
      <c r="H104" s="5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</row>
    <row r="105" ht="15.75" customHeight="1">
      <c r="A105" s="59"/>
      <c r="B105" s="48"/>
      <c r="C105" s="55"/>
      <c r="D105" s="48"/>
      <c r="E105" s="48"/>
      <c r="F105" s="48"/>
      <c r="G105" s="57"/>
      <c r="H105" s="5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</row>
    <row r="106" ht="15.75" customHeight="1">
      <c r="A106" s="59"/>
      <c r="B106" s="48"/>
      <c r="C106" s="55"/>
      <c r="D106" s="48"/>
      <c r="E106" s="48"/>
      <c r="F106" s="48"/>
      <c r="G106" s="57"/>
      <c r="H106" s="5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</row>
    <row r="107" ht="15.75" customHeight="1">
      <c r="A107" s="59"/>
      <c r="B107" s="48"/>
      <c r="C107" s="55"/>
      <c r="D107" s="48"/>
      <c r="E107" s="48"/>
      <c r="F107" s="48"/>
      <c r="G107" s="57"/>
      <c r="H107" s="5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</row>
    <row r="108" ht="15.75" customHeight="1">
      <c r="A108" s="59"/>
      <c r="B108" s="48"/>
      <c r="C108" s="55"/>
      <c r="D108" s="48"/>
      <c r="E108" s="48"/>
      <c r="F108" s="48"/>
      <c r="G108" s="57"/>
      <c r="H108" s="5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</row>
    <row r="109" ht="15.75" customHeight="1">
      <c r="A109" s="59"/>
      <c r="B109" s="48"/>
      <c r="C109" s="55"/>
      <c r="D109" s="48"/>
      <c r="E109" s="48"/>
      <c r="F109" s="48"/>
      <c r="G109" s="57"/>
      <c r="H109" s="5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</row>
    <row r="110" ht="15.75" customHeight="1">
      <c r="A110" s="59"/>
      <c r="B110" s="48"/>
      <c r="C110" s="55"/>
      <c r="D110" s="48"/>
      <c r="E110" s="48"/>
      <c r="F110" s="48"/>
      <c r="G110" s="57"/>
      <c r="H110" s="5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</row>
    <row r="111" ht="15.75" customHeight="1">
      <c r="A111" s="59"/>
      <c r="B111" s="48"/>
      <c r="C111" s="55"/>
      <c r="D111" s="48"/>
      <c r="E111" s="48"/>
      <c r="F111" s="48"/>
      <c r="G111" s="57"/>
      <c r="H111" s="5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</row>
    <row r="112" ht="15.75" customHeight="1">
      <c r="A112" s="59"/>
      <c r="B112" s="48"/>
      <c r="C112" s="55"/>
      <c r="D112" s="48"/>
      <c r="E112" s="48"/>
      <c r="F112" s="48"/>
      <c r="G112" s="57"/>
      <c r="H112" s="5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</row>
    <row r="113" ht="15.75" customHeight="1">
      <c r="A113" s="59"/>
      <c r="B113" s="48"/>
      <c r="C113" s="55"/>
      <c r="D113" s="48"/>
      <c r="E113" s="48"/>
      <c r="F113" s="48"/>
      <c r="G113" s="57"/>
      <c r="H113" s="5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</row>
    <row r="114" ht="15.75" customHeight="1">
      <c r="A114" s="59"/>
      <c r="B114" s="48"/>
      <c r="C114" s="55"/>
      <c r="D114" s="48"/>
      <c r="E114" s="48"/>
      <c r="F114" s="48"/>
      <c r="G114" s="57"/>
      <c r="H114" s="5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</row>
    <row r="115" ht="15.75" customHeight="1">
      <c r="A115" s="59"/>
      <c r="B115" s="48"/>
      <c r="C115" s="55"/>
      <c r="D115" s="48"/>
      <c r="E115" s="48"/>
      <c r="F115" s="48"/>
      <c r="G115" s="57"/>
      <c r="H115" s="5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</row>
    <row r="116" ht="15.75" customHeight="1">
      <c r="A116" s="59"/>
      <c r="B116" s="48"/>
      <c r="C116" s="55"/>
      <c r="D116" s="48"/>
      <c r="E116" s="48"/>
      <c r="F116" s="48"/>
      <c r="G116" s="57"/>
      <c r="H116" s="5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</row>
    <row r="117" ht="15.75" customHeight="1">
      <c r="A117" s="59"/>
      <c r="B117" s="48"/>
      <c r="C117" s="55"/>
      <c r="D117" s="48"/>
      <c r="E117" s="48"/>
      <c r="F117" s="48"/>
      <c r="G117" s="57"/>
      <c r="H117" s="5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</row>
    <row r="118" ht="15.75" customHeight="1">
      <c r="A118" s="59"/>
      <c r="B118" s="48"/>
      <c r="C118" s="55"/>
      <c r="D118" s="48"/>
      <c r="E118" s="48"/>
      <c r="F118" s="48"/>
      <c r="G118" s="57"/>
      <c r="H118" s="5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</row>
    <row r="119" ht="15.75" customHeight="1">
      <c r="A119" s="59"/>
      <c r="B119" s="48"/>
      <c r="C119" s="55"/>
      <c r="D119" s="48"/>
      <c r="E119" s="48"/>
      <c r="F119" s="48"/>
      <c r="G119" s="57"/>
      <c r="H119" s="5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</row>
    <row r="120" ht="15.75" customHeight="1">
      <c r="A120" s="59"/>
      <c r="B120" s="48"/>
      <c r="C120" s="55"/>
      <c r="D120" s="48"/>
      <c r="E120" s="48"/>
      <c r="F120" s="48"/>
      <c r="G120" s="57"/>
      <c r="H120" s="5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</row>
    <row r="121" ht="15.75" customHeight="1">
      <c r="A121" s="59"/>
      <c r="B121" s="48"/>
      <c r="C121" s="55"/>
      <c r="D121" s="48"/>
      <c r="E121" s="48"/>
      <c r="F121" s="48"/>
      <c r="G121" s="57"/>
      <c r="H121" s="5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</row>
    <row r="122" ht="15.75" customHeight="1">
      <c r="A122" s="59"/>
      <c r="B122" s="48"/>
      <c r="C122" s="55"/>
      <c r="D122" s="48"/>
      <c r="E122" s="48"/>
      <c r="F122" s="48"/>
      <c r="G122" s="57"/>
      <c r="H122" s="5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</row>
    <row r="123" ht="15.75" customHeight="1">
      <c r="A123" s="59"/>
      <c r="B123" s="48"/>
      <c r="C123" s="55"/>
      <c r="D123" s="48"/>
      <c r="E123" s="48"/>
      <c r="F123" s="48"/>
      <c r="G123" s="57"/>
      <c r="H123" s="5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</row>
    <row r="124" ht="15.75" customHeight="1">
      <c r="A124" s="59"/>
      <c r="B124" s="48"/>
      <c r="C124" s="55"/>
      <c r="D124" s="48"/>
      <c r="E124" s="48"/>
      <c r="F124" s="48"/>
      <c r="G124" s="57"/>
      <c r="H124" s="5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</row>
    <row r="125" ht="15.75" customHeight="1">
      <c r="A125" s="59"/>
      <c r="B125" s="48"/>
      <c r="C125" s="55"/>
      <c r="D125" s="48"/>
      <c r="E125" s="48"/>
      <c r="F125" s="48"/>
      <c r="G125" s="57"/>
      <c r="H125" s="5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</row>
    <row r="126" ht="15.75" customHeight="1">
      <c r="A126" s="59"/>
      <c r="B126" s="48"/>
      <c r="C126" s="55"/>
      <c r="D126" s="48"/>
      <c r="E126" s="48"/>
      <c r="F126" s="48"/>
      <c r="G126" s="57"/>
      <c r="H126" s="5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</row>
    <row r="127" ht="15.75" customHeight="1">
      <c r="A127" s="59"/>
      <c r="B127" s="48"/>
      <c r="C127" s="55"/>
      <c r="D127" s="48"/>
      <c r="E127" s="48"/>
      <c r="F127" s="48"/>
      <c r="G127" s="57"/>
      <c r="H127" s="5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</row>
    <row r="128" ht="15.75" customHeight="1">
      <c r="A128" s="59"/>
      <c r="B128" s="48"/>
      <c r="C128" s="55"/>
      <c r="D128" s="48"/>
      <c r="E128" s="48"/>
      <c r="F128" s="48"/>
      <c r="G128" s="57"/>
      <c r="H128" s="5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</row>
    <row r="129" ht="15.75" customHeight="1">
      <c r="A129" s="59"/>
      <c r="B129" s="48"/>
      <c r="C129" s="55"/>
      <c r="D129" s="48"/>
      <c r="E129" s="48"/>
      <c r="F129" s="48"/>
      <c r="G129" s="57"/>
      <c r="H129" s="5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</row>
    <row r="130" ht="15.75" customHeight="1">
      <c r="A130" s="59"/>
      <c r="B130" s="48"/>
      <c r="C130" s="55"/>
      <c r="D130" s="48"/>
      <c r="E130" s="48"/>
      <c r="F130" s="48"/>
      <c r="G130" s="57"/>
      <c r="H130" s="5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</row>
    <row r="131" ht="15.75" customHeight="1">
      <c r="A131" s="59"/>
      <c r="B131" s="48"/>
      <c r="C131" s="55"/>
      <c r="D131" s="48"/>
      <c r="E131" s="48"/>
      <c r="F131" s="48"/>
      <c r="G131" s="57"/>
      <c r="H131" s="5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</row>
    <row r="132" ht="15.75" customHeight="1">
      <c r="A132" s="59"/>
      <c r="B132" s="48"/>
      <c r="C132" s="55"/>
      <c r="D132" s="48"/>
      <c r="E132" s="48"/>
      <c r="F132" s="48"/>
      <c r="G132" s="57"/>
      <c r="H132" s="5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</row>
    <row r="133" ht="15.75" customHeight="1">
      <c r="A133" s="59"/>
      <c r="B133" s="48"/>
      <c r="C133" s="55"/>
      <c r="D133" s="48"/>
      <c r="E133" s="48"/>
      <c r="F133" s="48"/>
      <c r="G133" s="57"/>
      <c r="H133" s="5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</row>
    <row r="134" ht="15.75" customHeight="1">
      <c r="A134" s="59"/>
      <c r="B134" s="48"/>
      <c r="C134" s="55"/>
      <c r="D134" s="48"/>
      <c r="E134" s="48"/>
      <c r="F134" s="48"/>
      <c r="G134" s="57"/>
      <c r="H134" s="5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</row>
    <row r="135" ht="15.75" customHeight="1">
      <c r="A135" s="59"/>
      <c r="B135" s="48"/>
      <c r="C135" s="55"/>
      <c r="D135" s="48"/>
      <c r="E135" s="48"/>
      <c r="F135" s="48"/>
      <c r="G135" s="57"/>
      <c r="H135" s="5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</row>
    <row r="136" ht="15.75" customHeight="1">
      <c r="A136" s="59"/>
      <c r="B136" s="48"/>
      <c r="C136" s="55"/>
      <c r="D136" s="48"/>
      <c r="E136" s="48"/>
      <c r="F136" s="48"/>
      <c r="G136" s="57"/>
      <c r="H136" s="5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</row>
    <row r="137" ht="15.75" customHeight="1">
      <c r="A137" s="59"/>
      <c r="B137" s="48"/>
      <c r="C137" s="55"/>
      <c r="D137" s="48"/>
      <c r="E137" s="48"/>
      <c r="F137" s="48"/>
      <c r="G137" s="57"/>
      <c r="H137" s="5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</row>
    <row r="138" ht="15.75" customHeight="1">
      <c r="A138" s="59"/>
      <c r="B138" s="48"/>
      <c r="C138" s="55"/>
      <c r="D138" s="48"/>
      <c r="E138" s="48"/>
      <c r="F138" s="48"/>
      <c r="G138" s="57"/>
      <c r="H138" s="5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</row>
    <row r="139" ht="15.75" customHeight="1">
      <c r="A139" s="59"/>
      <c r="B139" s="48"/>
      <c r="C139" s="55"/>
      <c r="D139" s="48"/>
      <c r="E139" s="48"/>
      <c r="F139" s="48"/>
      <c r="G139" s="57"/>
      <c r="H139" s="5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</row>
    <row r="140" ht="15.75" customHeight="1">
      <c r="A140" s="59"/>
      <c r="B140" s="48"/>
      <c r="C140" s="55"/>
      <c r="D140" s="48"/>
      <c r="E140" s="48"/>
      <c r="F140" s="48"/>
      <c r="G140" s="57"/>
      <c r="H140" s="5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</row>
    <row r="141" ht="15.75" customHeight="1">
      <c r="A141" s="59"/>
      <c r="B141" s="48"/>
      <c r="C141" s="55"/>
      <c r="D141" s="48"/>
      <c r="E141" s="48"/>
      <c r="F141" s="48"/>
      <c r="G141" s="57"/>
      <c r="H141" s="5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</row>
    <row r="142" ht="15.75" customHeight="1">
      <c r="A142" s="59"/>
      <c r="B142" s="48"/>
      <c r="C142" s="55"/>
      <c r="D142" s="48"/>
      <c r="E142" s="48"/>
      <c r="F142" s="48"/>
      <c r="G142" s="57"/>
      <c r="H142" s="5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</row>
    <row r="143" ht="15.75" customHeight="1">
      <c r="A143" s="59"/>
      <c r="B143" s="48"/>
      <c r="C143" s="55"/>
      <c r="D143" s="48"/>
      <c r="E143" s="48"/>
      <c r="F143" s="48"/>
      <c r="G143" s="57"/>
      <c r="H143" s="5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</row>
    <row r="144" ht="15.75" customHeight="1">
      <c r="A144" s="59"/>
      <c r="B144" s="48"/>
      <c r="C144" s="55"/>
      <c r="D144" s="48"/>
      <c r="E144" s="48"/>
      <c r="F144" s="48"/>
      <c r="G144" s="57"/>
      <c r="H144" s="5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</row>
    <row r="145" ht="15.75" customHeight="1">
      <c r="A145" s="59"/>
      <c r="B145" s="48"/>
      <c r="C145" s="55"/>
      <c r="D145" s="48"/>
      <c r="E145" s="48"/>
      <c r="F145" s="48"/>
      <c r="G145" s="57"/>
      <c r="H145" s="5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</row>
    <row r="146" ht="15.75" customHeight="1">
      <c r="A146" s="59"/>
      <c r="B146" s="48"/>
      <c r="C146" s="55"/>
      <c r="D146" s="48"/>
      <c r="E146" s="48"/>
      <c r="F146" s="48"/>
      <c r="G146" s="57"/>
      <c r="H146" s="5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</row>
    <row r="147" ht="15.75" customHeight="1">
      <c r="A147" s="48"/>
      <c r="B147" s="48"/>
      <c r="C147" s="48"/>
      <c r="D147" s="48"/>
      <c r="E147" s="48"/>
      <c r="F147" s="48"/>
      <c r="G147" s="60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</row>
    <row r="148" ht="15.75" customHeight="1">
      <c r="A148" s="48"/>
      <c r="B148" s="48"/>
      <c r="C148" s="48"/>
      <c r="D148" s="48"/>
      <c r="E148" s="48"/>
      <c r="F148" s="48"/>
      <c r="G148" s="60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</row>
    <row r="149" ht="15.75" customHeight="1">
      <c r="A149" s="48"/>
      <c r="B149" s="48"/>
      <c r="C149" s="48"/>
      <c r="D149" s="48"/>
      <c r="E149" s="48"/>
      <c r="F149" s="48"/>
      <c r="G149" s="60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</row>
    <row r="150" ht="15.75" customHeight="1">
      <c r="A150" s="48"/>
      <c r="B150" s="48"/>
      <c r="C150" s="48"/>
      <c r="D150" s="48"/>
      <c r="E150" s="48"/>
      <c r="F150" s="48"/>
      <c r="G150" s="60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</row>
    <row r="151" ht="15.75" customHeight="1">
      <c r="A151" s="48"/>
      <c r="B151" s="48"/>
      <c r="C151" s="48"/>
      <c r="D151" s="48"/>
      <c r="E151" s="48"/>
      <c r="F151" s="48"/>
      <c r="G151" s="60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</row>
    <row r="152" ht="15.75" customHeight="1">
      <c r="A152" s="48"/>
      <c r="B152" s="48"/>
      <c r="C152" s="48"/>
      <c r="D152" s="48"/>
      <c r="E152" s="48"/>
      <c r="F152" s="48"/>
      <c r="G152" s="60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</row>
    <row r="153" ht="15.75" customHeight="1">
      <c r="A153" s="48"/>
      <c r="B153" s="48"/>
      <c r="C153" s="48"/>
      <c r="D153" s="48"/>
      <c r="E153" s="48"/>
      <c r="F153" s="48"/>
      <c r="G153" s="60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</row>
    <row r="154" ht="15.75" customHeight="1">
      <c r="A154" s="48"/>
      <c r="B154" s="48"/>
      <c r="C154" s="48"/>
      <c r="D154" s="48"/>
      <c r="E154" s="48"/>
      <c r="F154" s="48"/>
      <c r="G154" s="60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</row>
    <row r="155" ht="15.75" customHeight="1">
      <c r="A155" s="48"/>
      <c r="B155" s="48"/>
      <c r="C155" s="48"/>
      <c r="D155" s="48"/>
      <c r="E155" s="48"/>
      <c r="F155" s="48"/>
      <c r="G155" s="60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</row>
    <row r="156" ht="15.75" customHeight="1">
      <c r="A156" s="48"/>
      <c r="B156" s="48"/>
      <c r="C156" s="48"/>
      <c r="D156" s="48"/>
      <c r="E156" s="48"/>
      <c r="F156" s="48"/>
      <c r="G156" s="60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</row>
    <row r="157" ht="15.75" customHeight="1">
      <c r="A157" s="48"/>
      <c r="B157" s="48"/>
      <c r="C157" s="48"/>
      <c r="D157" s="48"/>
      <c r="E157" s="48"/>
      <c r="F157" s="48"/>
      <c r="G157" s="60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</row>
    <row r="158" ht="15.75" customHeight="1">
      <c r="A158" s="48"/>
      <c r="B158" s="48"/>
      <c r="C158" s="48"/>
      <c r="D158" s="48"/>
      <c r="E158" s="48"/>
      <c r="F158" s="48"/>
      <c r="G158" s="60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</row>
    <row r="159" ht="15.75" customHeight="1">
      <c r="A159" s="48"/>
      <c r="B159" s="48"/>
      <c r="C159" s="48"/>
      <c r="D159" s="48"/>
      <c r="E159" s="48"/>
      <c r="F159" s="48"/>
      <c r="G159" s="60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</row>
    <row r="160" ht="15.75" customHeight="1">
      <c r="A160" s="48"/>
      <c r="B160" s="48"/>
      <c r="C160" s="48"/>
      <c r="D160" s="48"/>
      <c r="E160" s="48"/>
      <c r="F160" s="48"/>
      <c r="G160" s="60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</row>
    <row r="161" ht="15.75" customHeight="1">
      <c r="A161" s="48"/>
      <c r="B161" s="48"/>
      <c r="C161" s="48"/>
      <c r="D161" s="48"/>
      <c r="E161" s="48"/>
      <c r="F161" s="48"/>
      <c r="G161" s="60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</row>
    <row r="162" ht="15.75" customHeight="1">
      <c r="A162" s="48"/>
      <c r="B162" s="48"/>
      <c r="C162" s="48"/>
      <c r="D162" s="48"/>
      <c r="E162" s="48"/>
      <c r="F162" s="48"/>
      <c r="G162" s="60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</row>
    <row r="163" ht="15.75" customHeight="1">
      <c r="A163" s="48"/>
      <c r="B163" s="48"/>
      <c r="C163" s="48"/>
      <c r="D163" s="48"/>
      <c r="E163" s="48"/>
      <c r="F163" s="48"/>
      <c r="G163" s="60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</row>
    <row r="164" ht="15.75" customHeight="1">
      <c r="A164" s="48"/>
      <c r="B164" s="48"/>
      <c r="C164" s="48"/>
      <c r="D164" s="48"/>
      <c r="E164" s="48"/>
      <c r="F164" s="48"/>
      <c r="G164" s="60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</row>
    <row r="165" ht="15.75" customHeight="1">
      <c r="A165" s="48"/>
      <c r="B165" s="48"/>
      <c r="C165" s="48"/>
      <c r="D165" s="48"/>
      <c r="E165" s="48"/>
      <c r="F165" s="48"/>
      <c r="G165" s="60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</row>
    <row r="166" ht="15.75" customHeight="1">
      <c r="A166" s="48"/>
      <c r="B166" s="48"/>
      <c r="C166" s="48"/>
      <c r="D166" s="48"/>
      <c r="E166" s="48"/>
      <c r="F166" s="48"/>
      <c r="G166" s="60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</row>
    <row r="167" ht="15.75" customHeight="1">
      <c r="A167" s="48"/>
      <c r="B167" s="48"/>
      <c r="C167" s="48"/>
      <c r="D167" s="48"/>
      <c r="E167" s="48"/>
      <c r="F167" s="48"/>
      <c r="G167" s="60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</row>
    <row r="168" ht="15.75" customHeight="1">
      <c r="A168" s="48"/>
      <c r="B168" s="48"/>
      <c r="C168" s="48"/>
      <c r="D168" s="48"/>
      <c r="E168" s="48"/>
      <c r="F168" s="48"/>
      <c r="G168" s="60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</row>
    <row r="169" ht="15.75" customHeight="1">
      <c r="A169" s="48"/>
      <c r="B169" s="48"/>
      <c r="C169" s="48"/>
      <c r="D169" s="48"/>
      <c r="E169" s="48"/>
      <c r="F169" s="48"/>
      <c r="G169" s="60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</row>
    <row r="170" ht="15.75" customHeight="1">
      <c r="A170" s="48"/>
      <c r="B170" s="48"/>
      <c r="C170" s="48"/>
      <c r="D170" s="48"/>
      <c r="E170" s="48"/>
      <c r="F170" s="48"/>
      <c r="G170" s="60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</row>
    <row r="171" ht="15.75" customHeight="1">
      <c r="A171" s="48"/>
      <c r="B171" s="48"/>
      <c r="C171" s="48"/>
      <c r="D171" s="48"/>
      <c r="E171" s="48"/>
      <c r="F171" s="48"/>
      <c r="G171" s="60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</row>
    <row r="172" ht="15.75" customHeight="1">
      <c r="A172" s="48"/>
      <c r="B172" s="48"/>
      <c r="C172" s="48"/>
      <c r="D172" s="48"/>
      <c r="E172" s="48"/>
      <c r="F172" s="48"/>
      <c r="G172" s="60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</row>
    <row r="173" ht="15.75" customHeight="1">
      <c r="A173" s="48"/>
      <c r="B173" s="48"/>
      <c r="C173" s="48"/>
      <c r="D173" s="48"/>
      <c r="E173" s="48"/>
      <c r="F173" s="48"/>
      <c r="G173" s="60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</row>
    <row r="174" ht="15.75" customHeight="1">
      <c r="A174" s="48"/>
      <c r="B174" s="48"/>
      <c r="C174" s="48"/>
      <c r="D174" s="48"/>
      <c r="E174" s="48"/>
      <c r="F174" s="48"/>
      <c r="G174" s="60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</row>
    <row r="175" ht="15.75" customHeight="1">
      <c r="A175" s="48"/>
      <c r="B175" s="48"/>
      <c r="C175" s="48"/>
      <c r="D175" s="48"/>
      <c r="E175" s="48"/>
      <c r="F175" s="48"/>
      <c r="G175" s="60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</row>
    <row r="176" ht="15.75" customHeight="1">
      <c r="A176" s="48"/>
      <c r="B176" s="48"/>
      <c r="C176" s="48"/>
      <c r="D176" s="48"/>
      <c r="E176" s="48"/>
      <c r="F176" s="48"/>
      <c r="G176" s="60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</row>
    <row r="177" ht="15.75" customHeight="1">
      <c r="A177" s="48"/>
      <c r="B177" s="48"/>
      <c r="C177" s="48"/>
      <c r="D177" s="48"/>
      <c r="E177" s="48"/>
      <c r="F177" s="48"/>
      <c r="G177" s="60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</row>
    <row r="178" ht="15.75" customHeight="1">
      <c r="A178" s="48"/>
      <c r="B178" s="48"/>
      <c r="C178" s="48"/>
      <c r="D178" s="48"/>
      <c r="E178" s="48"/>
      <c r="F178" s="48"/>
      <c r="G178" s="60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</row>
    <row r="179" ht="15.75" customHeight="1">
      <c r="A179" s="48"/>
      <c r="B179" s="48"/>
      <c r="C179" s="48"/>
      <c r="D179" s="48"/>
      <c r="E179" s="48"/>
      <c r="F179" s="48"/>
      <c r="G179" s="60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</row>
    <row r="180" ht="15.75" customHeight="1">
      <c r="A180" s="48"/>
      <c r="B180" s="48"/>
      <c r="C180" s="48"/>
      <c r="D180" s="48"/>
      <c r="E180" s="48"/>
      <c r="F180" s="48"/>
      <c r="G180" s="60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</row>
    <row r="181" ht="15.75" customHeight="1">
      <c r="A181" s="48"/>
      <c r="B181" s="48"/>
      <c r="C181" s="48"/>
      <c r="D181" s="48"/>
      <c r="E181" s="48"/>
      <c r="F181" s="48"/>
      <c r="G181" s="60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</row>
    <row r="182" ht="15.75" customHeight="1">
      <c r="A182" s="48"/>
      <c r="B182" s="48"/>
      <c r="C182" s="48"/>
      <c r="D182" s="48"/>
      <c r="E182" s="48"/>
      <c r="F182" s="48"/>
      <c r="G182" s="60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</row>
    <row r="183" ht="15.75" customHeight="1">
      <c r="A183" s="48"/>
      <c r="B183" s="48"/>
      <c r="C183" s="48"/>
      <c r="D183" s="48"/>
      <c r="E183" s="48"/>
      <c r="F183" s="48"/>
      <c r="G183" s="60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</row>
    <row r="184" ht="15.75" customHeight="1">
      <c r="A184" s="48"/>
      <c r="B184" s="48"/>
      <c r="C184" s="48"/>
      <c r="D184" s="48"/>
      <c r="E184" s="48"/>
      <c r="F184" s="48"/>
      <c r="G184" s="60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</row>
    <row r="185" ht="15.75" customHeight="1">
      <c r="A185" s="48"/>
      <c r="B185" s="48"/>
      <c r="C185" s="48"/>
      <c r="D185" s="48"/>
      <c r="E185" s="48"/>
      <c r="F185" s="48"/>
      <c r="G185" s="60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</row>
    <row r="186" ht="15.75" customHeight="1">
      <c r="A186" s="48"/>
      <c r="B186" s="48"/>
      <c r="C186" s="48"/>
      <c r="D186" s="48"/>
      <c r="E186" s="48"/>
      <c r="F186" s="48"/>
      <c r="G186" s="60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</row>
    <row r="187" ht="15.75" customHeight="1">
      <c r="A187" s="48"/>
      <c r="B187" s="48"/>
      <c r="C187" s="48"/>
      <c r="D187" s="48"/>
      <c r="E187" s="48"/>
      <c r="F187" s="48"/>
      <c r="G187" s="60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</row>
    <row r="188" ht="15.75" customHeight="1">
      <c r="A188" s="48"/>
      <c r="B188" s="48"/>
      <c r="C188" s="48"/>
      <c r="D188" s="48"/>
      <c r="E188" s="48"/>
      <c r="F188" s="48"/>
      <c r="G188" s="60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r="189" ht="15.75" customHeight="1">
      <c r="A189" s="48"/>
      <c r="B189" s="48"/>
      <c r="C189" s="48"/>
      <c r="D189" s="48"/>
      <c r="E189" s="48"/>
      <c r="F189" s="48"/>
      <c r="G189" s="60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</row>
    <row r="190" ht="15.75" customHeight="1">
      <c r="A190" s="48"/>
      <c r="B190" s="48"/>
      <c r="C190" s="48"/>
      <c r="D190" s="48"/>
      <c r="E190" s="48"/>
      <c r="F190" s="48"/>
      <c r="G190" s="60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</row>
    <row r="191" ht="15.75" customHeight="1">
      <c r="A191" s="48"/>
      <c r="B191" s="48"/>
      <c r="C191" s="48"/>
      <c r="D191" s="48"/>
      <c r="E191" s="48"/>
      <c r="F191" s="48"/>
      <c r="G191" s="60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</row>
    <row r="192" ht="15.75" customHeight="1">
      <c r="A192" s="48"/>
      <c r="B192" s="48"/>
      <c r="C192" s="48"/>
      <c r="D192" s="48"/>
      <c r="E192" s="48"/>
      <c r="F192" s="48"/>
      <c r="G192" s="60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</row>
    <row r="193" ht="15.75" customHeight="1">
      <c r="A193" s="48"/>
      <c r="B193" s="48"/>
      <c r="C193" s="48"/>
      <c r="D193" s="48"/>
      <c r="E193" s="48"/>
      <c r="F193" s="48"/>
      <c r="G193" s="60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</row>
    <row r="194" ht="15.75" customHeight="1">
      <c r="A194" s="48"/>
      <c r="B194" s="48"/>
      <c r="C194" s="48"/>
      <c r="D194" s="48"/>
      <c r="E194" s="48"/>
      <c r="F194" s="48"/>
      <c r="G194" s="60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</row>
    <row r="195" ht="15.75" customHeight="1">
      <c r="A195" s="48"/>
      <c r="B195" s="48"/>
      <c r="C195" s="48"/>
      <c r="D195" s="48"/>
      <c r="E195" s="48"/>
      <c r="F195" s="48"/>
      <c r="G195" s="60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</row>
    <row r="196" ht="15.75" customHeight="1">
      <c r="A196" s="48"/>
      <c r="B196" s="48"/>
      <c r="C196" s="48"/>
      <c r="D196" s="48"/>
      <c r="E196" s="48"/>
      <c r="F196" s="48"/>
      <c r="G196" s="60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</row>
    <row r="197" ht="15.75" customHeight="1">
      <c r="A197" s="48"/>
      <c r="B197" s="48"/>
      <c r="C197" s="48"/>
      <c r="D197" s="48"/>
      <c r="E197" s="48"/>
      <c r="F197" s="48"/>
      <c r="G197" s="60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</row>
    <row r="198" ht="15.75" customHeight="1">
      <c r="A198" s="48"/>
      <c r="B198" s="48"/>
      <c r="C198" s="48"/>
      <c r="D198" s="48"/>
      <c r="E198" s="48"/>
      <c r="F198" s="48"/>
      <c r="G198" s="60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</row>
    <row r="199" ht="15.75" customHeight="1">
      <c r="A199" s="48"/>
      <c r="B199" s="48"/>
      <c r="C199" s="48"/>
      <c r="D199" s="48"/>
      <c r="E199" s="48"/>
      <c r="F199" s="48"/>
      <c r="G199" s="60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</row>
    <row r="200" ht="15.75" customHeight="1">
      <c r="A200" s="48"/>
      <c r="B200" s="48"/>
      <c r="C200" s="48"/>
      <c r="D200" s="48"/>
      <c r="E200" s="48"/>
      <c r="F200" s="48"/>
      <c r="G200" s="60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</row>
    <row r="201" ht="15.75" customHeight="1">
      <c r="A201" s="48"/>
      <c r="B201" s="48"/>
      <c r="C201" s="48"/>
      <c r="D201" s="48"/>
      <c r="E201" s="48"/>
      <c r="F201" s="48"/>
      <c r="G201" s="60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</row>
    <row r="202" ht="15.75" customHeight="1">
      <c r="A202" s="48"/>
      <c r="B202" s="48"/>
      <c r="C202" s="48"/>
      <c r="D202" s="48"/>
      <c r="E202" s="48"/>
      <c r="F202" s="48"/>
      <c r="G202" s="60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</row>
    <row r="203" ht="15.75" customHeight="1">
      <c r="A203" s="48"/>
      <c r="B203" s="48"/>
      <c r="C203" s="48"/>
      <c r="D203" s="48"/>
      <c r="E203" s="48"/>
      <c r="F203" s="48"/>
      <c r="G203" s="60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</row>
    <row r="204" ht="15.75" customHeight="1">
      <c r="A204" s="48"/>
      <c r="B204" s="48"/>
      <c r="C204" s="48"/>
      <c r="D204" s="48"/>
      <c r="E204" s="48"/>
      <c r="F204" s="48"/>
      <c r="G204" s="60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</row>
    <row r="205" ht="15.75" customHeight="1">
      <c r="A205" s="48"/>
      <c r="B205" s="48"/>
      <c r="C205" s="48"/>
      <c r="D205" s="48"/>
      <c r="E205" s="48"/>
      <c r="F205" s="48"/>
      <c r="G205" s="60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</row>
    <row r="206" ht="15.75" customHeight="1">
      <c r="A206" s="48"/>
      <c r="B206" s="48"/>
      <c r="C206" s="48"/>
      <c r="D206" s="48"/>
      <c r="E206" s="48"/>
      <c r="F206" s="48"/>
      <c r="G206" s="60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</row>
    <row r="207" ht="15.75" customHeight="1">
      <c r="A207" s="48"/>
      <c r="B207" s="48"/>
      <c r="C207" s="48"/>
      <c r="D207" s="48"/>
      <c r="E207" s="48"/>
      <c r="F207" s="48"/>
      <c r="G207" s="60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</row>
    <row r="208" ht="15.75" customHeight="1">
      <c r="A208" s="48"/>
      <c r="B208" s="48"/>
      <c r="C208" s="48"/>
      <c r="D208" s="48"/>
      <c r="E208" s="48"/>
      <c r="F208" s="48"/>
      <c r="G208" s="60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</row>
    <row r="209" ht="15.75" customHeight="1">
      <c r="A209" s="48"/>
      <c r="B209" s="48"/>
      <c r="C209" s="48"/>
      <c r="D209" s="48"/>
      <c r="E209" s="48"/>
      <c r="F209" s="48"/>
      <c r="G209" s="60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</row>
    <row r="210" ht="15.75" customHeight="1">
      <c r="A210" s="48"/>
      <c r="B210" s="48"/>
      <c r="C210" s="48"/>
      <c r="D210" s="48"/>
      <c r="E210" s="48"/>
      <c r="F210" s="48"/>
      <c r="G210" s="60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</row>
    <row r="211" ht="15.75" customHeight="1">
      <c r="A211" s="48"/>
      <c r="B211" s="48"/>
      <c r="C211" s="48"/>
      <c r="D211" s="48"/>
      <c r="E211" s="48"/>
      <c r="F211" s="48"/>
      <c r="G211" s="60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</row>
    <row r="212" ht="15.75" customHeight="1">
      <c r="A212" s="48"/>
      <c r="B212" s="48"/>
      <c r="C212" s="48"/>
      <c r="D212" s="48"/>
      <c r="E212" s="48"/>
      <c r="F212" s="48"/>
      <c r="G212" s="60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</row>
    <row r="213" ht="15.75" customHeight="1">
      <c r="A213" s="48"/>
      <c r="B213" s="48"/>
      <c r="C213" s="48"/>
      <c r="D213" s="48"/>
      <c r="E213" s="48"/>
      <c r="F213" s="48"/>
      <c r="G213" s="60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</row>
    <row r="214" ht="15.75" customHeight="1">
      <c r="A214" s="48"/>
      <c r="B214" s="48"/>
      <c r="C214" s="48"/>
      <c r="D214" s="48"/>
      <c r="E214" s="48"/>
      <c r="F214" s="48"/>
      <c r="G214" s="60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</row>
    <row r="215" ht="15.75" customHeight="1">
      <c r="A215" s="48"/>
      <c r="B215" s="48"/>
      <c r="C215" s="48"/>
      <c r="D215" s="48"/>
      <c r="E215" s="48"/>
      <c r="F215" s="48"/>
      <c r="G215" s="60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</row>
    <row r="216" ht="15.75" customHeight="1">
      <c r="A216" s="48"/>
      <c r="B216" s="48"/>
      <c r="C216" s="48"/>
      <c r="D216" s="48"/>
      <c r="E216" s="48"/>
      <c r="F216" s="48"/>
      <c r="G216" s="60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</row>
    <row r="217" ht="15.75" customHeight="1">
      <c r="A217" s="48"/>
      <c r="B217" s="48"/>
      <c r="C217" s="48"/>
      <c r="D217" s="48"/>
      <c r="E217" s="48"/>
      <c r="F217" s="48"/>
      <c r="G217" s="60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</row>
    <row r="218" ht="15.75" customHeight="1">
      <c r="A218" s="48"/>
      <c r="B218" s="48"/>
      <c r="C218" s="48"/>
      <c r="D218" s="48"/>
      <c r="E218" s="48"/>
      <c r="F218" s="48"/>
      <c r="G218" s="60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</row>
    <row r="219" ht="15.75" customHeight="1">
      <c r="A219" s="48"/>
      <c r="B219" s="48"/>
      <c r="C219" s="48"/>
      <c r="D219" s="48"/>
      <c r="E219" s="48"/>
      <c r="F219" s="48"/>
      <c r="G219" s="60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</row>
    <row r="220" ht="15.75" customHeight="1">
      <c r="A220" s="48"/>
      <c r="B220" s="48"/>
      <c r="C220" s="48"/>
      <c r="D220" s="48"/>
      <c r="E220" s="48"/>
      <c r="F220" s="48"/>
      <c r="G220" s="60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</row>
    <row r="221" ht="15.75" customHeight="1">
      <c r="I221" s="61"/>
    </row>
    <row r="222" ht="15.75" customHeight="1">
      <c r="I222" s="61"/>
    </row>
    <row r="223" ht="15.75" customHeight="1">
      <c r="I223" s="61"/>
    </row>
    <row r="224" ht="15.75" customHeight="1">
      <c r="I224" s="61"/>
    </row>
    <row r="225" ht="15.75" customHeight="1">
      <c r="I225" s="61"/>
    </row>
    <row r="226" ht="15.75" customHeight="1">
      <c r="I226" s="61"/>
    </row>
    <row r="227" ht="15.75" customHeight="1">
      <c r="I227" s="61"/>
    </row>
    <row r="228" ht="15.75" customHeight="1">
      <c r="I228" s="61"/>
    </row>
    <row r="229" ht="15.75" customHeight="1">
      <c r="I229" s="61"/>
    </row>
    <row r="230" ht="15.75" customHeight="1">
      <c r="I230" s="61"/>
    </row>
    <row r="231" ht="15.75" customHeight="1">
      <c r="I231" s="61"/>
    </row>
    <row r="232" ht="15.75" customHeight="1">
      <c r="I232" s="61"/>
    </row>
    <row r="233" ht="15.75" customHeight="1">
      <c r="I233" s="61"/>
    </row>
    <row r="234" ht="15.75" customHeight="1">
      <c r="I234" s="61"/>
    </row>
    <row r="235" ht="15.75" customHeight="1">
      <c r="I235" s="61"/>
    </row>
    <row r="236" ht="15.75" customHeight="1">
      <c r="I236" s="61"/>
    </row>
    <row r="237" ht="15.75" customHeight="1">
      <c r="I237" s="61"/>
    </row>
    <row r="238" ht="15.75" customHeight="1">
      <c r="I238" s="61"/>
    </row>
    <row r="239" ht="15.75" customHeight="1">
      <c r="I239" s="61"/>
    </row>
    <row r="240" ht="15.75" customHeight="1">
      <c r="I240" s="61"/>
    </row>
    <row r="241" ht="15.75" customHeight="1">
      <c r="I241" s="61"/>
    </row>
    <row r="242" ht="15.75" customHeight="1">
      <c r="I242" s="61"/>
    </row>
    <row r="243" ht="15.75" customHeight="1">
      <c r="I243" s="61"/>
    </row>
    <row r="244" ht="15.75" customHeight="1">
      <c r="I244" s="61"/>
    </row>
    <row r="245" ht="15.75" customHeight="1">
      <c r="I245" s="61"/>
    </row>
    <row r="246" ht="15.75" customHeight="1">
      <c r="I246" s="61"/>
    </row>
    <row r="247" ht="15.75" customHeight="1">
      <c r="I247" s="61"/>
    </row>
    <row r="248" ht="15.75" customHeight="1">
      <c r="I248" s="61"/>
    </row>
    <row r="249" ht="15.75" customHeight="1">
      <c r="I249" s="61"/>
    </row>
    <row r="250" ht="15.75" customHeight="1">
      <c r="I250" s="61"/>
    </row>
    <row r="251" ht="15.75" customHeight="1">
      <c r="I251" s="61"/>
    </row>
    <row r="252" ht="15.75" customHeight="1">
      <c r="I252" s="61"/>
    </row>
    <row r="253" ht="15.75" customHeight="1">
      <c r="I253" s="61"/>
    </row>
    <row r="254" ht="15.75" customHeight="1">
      <c r="I254" s="61"/>
    </row>
    <row r="255" ht="15.75" customHeight="1">
      <c r="I255" s="61"/>
    </row>
    <row r="256" ht="15.75" customHeight="1">
      <c r="I256" s="61"/>
    </row>
    <row r="257" ht="15.75" customHeight="1">
      <c r="I257" s="61"/>
    </row>
    <row r="258" ht="15.75" customHeight="1">
      <c r="I258" s="61"/>
    </row>
    <row r="259" ht="15.75" customHeight="1">
      <c r="I259" s="61"/>
    </row>
    <row r="260" ht="15.75" customHeight="1">
      <c r="I260" s="61"/>
    </row>
    <row r="261" ht="15.75" customHeight="1">
      <c r="I261" s="61"/>
    </row>
    <row r="262" ht="15.75" customHeight="1">
      <c r="I262" s="61"/>
    </row>
    <row r="263" ht="15.75" customHeight="1">
      <c r="I263" s="61"/>
    </row>
    <row r="264" ht="15.75" customHeight="1">
      <c r="I264" s="61"/>
    </row>
    <row r="265" ht="15.75" customHeight="1">
      <c r="I265" s="61"/>
    </row>
    <row r="266" ht="15.75" customHeight="1">
      <c r="I266" s="61"/>
    </row>
    <row r="267" ht="15.75" customHeight="1">
      <c r="I267" s="61"/>
    </row>
    <row r="268" ht="15.75" customHeight="1">
      <c r="I268" s="61"/>
    </row>
    <row r="269" ht="15.75" customHeight="1">
      <c r="I269" s="61"/>
    </row>
    <row r="270" ht="15.75" customHeight="1">
      <c r="I270" s="61"/>
    </row>
    <row r="271" ht="15.75" customHeight="1">
      <c r="I271" s="61"/>
    </row>
    <row r="272" ht="15.75" customHeight="1">
      <c r="I272" s="61"/>
    </row>
    <row r="273" ht="15.75" customHeight="1">
      <c r="I273" s="61"/>
    </row>
    <row r="274" ht="15.75" customHeight="1">
      <c r="I274" s="61"/>
    </row>
    <row r="275" ht="15.75" customHeight="1">
      <c r="I275" s="61"/>
    </row>
    <row r="276" ht="15.75" customHeight="1">
      <c r="I276" s="61"/>
    </row>
    <row r="277" ht="15.75" customHeight="1">
      <c r="I277" s="61"/>
    </row>
    <row r="278" ht="15.75" customHeight="1">
      <c r="I278" s="61"/>
    </row>
    <row r="279" ht="15.75" customHeight="1">
      <c r="I279" s="61"/>
    </row>
    <row r="280" ht="15.75" customHeight="1">
      <c r="I280" s="61"/>
    </row>
    <row r="281" ht="15.75" customHeight="1">
      <c r="I281" s="61"/>
    </row>
    <row r="282" ht="15.75" customHeight="1">
      <c r="I282" s="61"/>
    </row>
    <row r="283" ht="15.75" customHeight="1">
      <c r="I283" s="61"/>
    </row>
    <row r="284" ht="15.75" customHeight="1">
      <c r="I284" s="61"/>
    </row>
    <row r="285" ht="15.75" customHeight="1">
      <c r="I285" s="61"/>
    </row>
    <row r="286" ht="15.75" customHeight="1">
      <c r="I286" s="61"/>
    </row>
    <row r="287" ht="15.75" customHeight="1">
      <c r="I287" s="61"/>
    </row>
    <row r="288" ht="15.75" customHeight="1">
      <c r="I288" s="61"/>
    </row>
    <row r="289" ht="15.75" customHeight="1">
      <c r="I289" s="61"/>
    </row>
    <row r="290" ht="15.75" customHeight="1">
      <c r="I290" s="61"/>
    </row>
    <row r="291" ht="15.75" customHeight="1">
      <c r="I291" s="61"/>
    </row>
    <row r="292" ht="15.75" customHeight="1">
      <c r="I292" s="61"/>
    </row>
    <row r="293" ht="15.75" customHeight="1">
      <c r="I293" s="61"/>
    </row>
    <row r="294" ht="15.75" customHeight="1">
      <c r="I294" s="61"/>
    </row>
    <row r="295" ht="15.75" customHeight="1">
      <c r="I295" s="61"/>
    </row>
    <row r="296" ht="15.75" customHeight="1">
      <c r="I296" s="61"/>
    </row>
    <row r="297" ht="15.75" customHeight="1">
      <c r="I297" s="61"/>
    </row>
    <row r="298" ht="15.75" customHeight="1">
      <c r="I298" s="61"/>
    </row>
    <row r="299" ht="15.75" customHeight="1">
      <c r="I299" s="61"/>
    </row>
    <row r="300" ht="15.75" customHeight="1">
      <c r="I300" s="61"/>
    </row>
    <row r="301" ht="15.75" customHeight="1">
      <c r="I301" s="61"/>
    </row>
    <row r="302" ht="15.75" customHeight="1">
      <c r="I302" s="61"/>
    </row>
    <row r="303" ht="15.75" customHeight="1">
      <c r="I303" s="61"/>
    </row>
    <row r="304" ht="15.75" customHeight="1">
      <c r="I304" s="61"/>
    </row>
    <row r="305" ht="15.75" customHeight="1">
      <c r="I305" s="61"/>
    </row>
    <row r="306" ht="15.75" customHeight="1">
      <c r="I306" s="61"/>
    </row>
    <row r="307" ht="15.75" customHeight="1">
      <c r="I307" s="61"/>
    </row>
    <row r="308" ht="15.75" customHeight="1">
      <c r="I308" s="61"/>
    </row>
    <row r="309" ht="15.75" customHeight="1">
      <c r="I309" s="61"/>
    </row>
    <row r="310" ht="15.75" customHeight="1">
      <c r="I310" s="61"/>
    </row>
    <row r="311" ht="15.75" customHeight="1">
      <c r="I311" s="61"/>
    </row>
    <row r="312" ht="15.75" customHeight="1">
      <c r="I312" s="61"/>
    </row>
    <row r="313" ht="15.75" customHeight="1">
      <c r="I313" s="61"/>
    </row>
    <row r="314" ht="15.75" customHeight="1">
      <c r="I314" s="61"/>
    </row>
    <row r="315" ht="15.75" customHeight="1">
      <c r="I315" s="61"/>
    </row>
    <row r="316" ht="15.75" customHeight="1">
      <c r="I316" s="61"/>
    </row>
    <row r="317" ht="15.75" customHeight="1">
      <c r="I317" s="61"/>
    </row>
    <row r="318" ht="15.75" customHeight="1">
      <c r="I318" s="61"/>
    </row>
    <row r="319" ht="15.75" customHeight="1">
      <c r="I319" s="61"/>
    </row>
    <row r="320" ht="15.75" customHeight="1">
      <c r="I320" s="61"/>
    </row>
    <row r="321" ht="15.75" customHeight="1">
      <c r="I321" s="61"/>
    </row>
    <row r="322" ht="15.75" customHeight="1">
      <c r="I322" s="61"/>
    </row>
    <row r="323" ht="15.75" customHeight="1">
      <c r="I323" s="61"/>
    </row>
    <row r="324" ht="15.75" customHeight="1">
      <c r="I324" s="61"/>
    </row>
    <row r="325" ht="15.75" customHeight="1">
      <c r="I325" s="61"/>
    </row>
    <row r="326" ht="15.75" customHeight="1">
      <c r="I326" s="61"/>
    </row>
    <row r="327" ht="15.75" customHeight="1">
      <c r="I327" s="61"/>
    </row>
    <row r="328" ht="15.75" customHeight="1">
      <c r="I328" s="61"/>
    </row>
    <row r="329" ht="15.75" customHeight="1">
      <c r="I329" s="61"/>
    </row>
    <row r="330" ht="15.75" customHeight="1">
      <c r="I330" s="61"/>
    </row>
    <row r="331" ht="15.75" customHeight="1">
      <c r="I331" s="61"/>
    </row>
    <row r="332" ht="15.75" customHeight="1">
      <c r="I332" s="61"/>
    </row>
    <row r="333" ht="15.75" customHeight="1">
      <c r="I333" s="61"/>
    </row>
    <row r="334" ht="15.75" customHeight="1">
      <c r="I334" s="61"/>
    </row>
    <row r="335" ht="15.75" customHeight="1">
      <c r="I335" s="61"/>
    </row>
    <row r="336" ht="15.75" customHeight="1">
      <c r="I336" s="61"/>
    </row>
    <row r="337" ht="15.75" customHeight="1">
      <c r="I337" s="61"/>
    </row>
    <row r="338" ht="15.75" customHeight="1">
      <c r="I338" s="61"/>
    </row>
    <row r="339" ht="15.75" customHeight="1">
      <c r="I339" s="61"/>
    </row>
    <row r="340" ht="15.75" customHeight="1">
      <c r="I340" s="61"/>
    </row>
    <row r="341" ht="15.75" customHeight="1">
      <c r="I341" s="61"/>
    </row>
    <row r="342" ht="15.75" customHeight="1">
      <c r="I342" s="61"/>
    </row>
    <row r="343" ht="15.75" customHeight="1">
      <c r="I343" s="61"/>
    </row>
    <row r="344" ht="15.75" customHeight="1">
      <c r="I344" s="61"/>
    </row>
    <row r="345" ht="15.75" customHeight="1">
      <c r="I345" s="61"/>
    </row>
    <row r="346" ht="15.75" customHeight="1">
      <c r="I346" s="61"/>
    </row>
    <row r="347" ht="15.75" customHeight="1">
      <c r="I347" s="61"/>
    </row>
    <row r="348" ht="15.75" customHeight="1">
      <c r="I348" s="61"/>
    </row>
    <row r="349" ht="15.75" customHeight="1">
      <c r="I349" s="61"/>
    </row>
    <row r="350" ht="15.75" customHeight="1">
      <c r="I350" s="61"/>
    </row>
    <row r="351" ht="15.75" customHeight="1">
      <c r="I351" s="61"/>
    </row>
    <row r="352" ht="15.75" customHeight="1">
      <c r="I352" s="61"/>
    </row>
    <row r="353" ht="15.75" customHeight="1">
      <c r="I353" s="61"/>
    </row>
    <row r="354" ht="15.75" customHeight="1">
      <c r="I354" s="61"/>
    </row>
    <row r="355" ht="15.75" customHeight="1">
      <c r="I355" s="61"/>
    </row>
    <row r="356" ht="15.75" customHeight="1">
      <c r="I356" s="61"/>
    </row>
    <row r="357" ht="15.75" customHeight="1">
      <c r="I357" s="61"/>
    </row>
    <row r="358" ht="15.75" customHeight="1">
      <c r="I358" s="61"/>
    </row>
    <row r="359" ht="15.75" customHeight="1">
      <c r="I359" s="61"/>
    </row>
    <row r="360" ht="15.75" customHeight="1">
      <c r="I360" s="61"/>
    </row>
    <row r="361" ht="15.75" customHeight="1">
      <c r="I361" s="61"/>
    </row>
    <row r="362" ht="15.75" customHeight="1">
      <c r="I362" s="61"/>
    </row>
    <row r="363" ht="15.75" customHeight="1">
      <c r="I363" s="61"/>
    </row>
    <row r="364" ht="15.75" customHeight="1">
      <c r="I364" s="61"/>
    </row>
    <row r="365" ht="15.75" customHeight="1">
      <c r="I365" s="61"/>
    </row>
    <row r="366" ht="15.75" customHeight="1">
      <c r="I366" s="61"/>
    </row>
    <row r="367" ht="15.75" customHeight="1">
      <c r="I367" s="61"/>
    </row>
    <row r="368" ht="15.75" customHeight="1">
      <c r="I368" s="61"/>
    </row>
    <row r="369" ht="15.75" customHeight="1">
      <c r="I369" s="61"/>
    </row>
    <row r="370" ht="15.75" customHeight="1">
      <c r="I370" s="61"/>
    </row>
    <row r="371" ht="15.75" customHeight="1">
      <c r="I371" s="61"/>
    </row>
    <row r="372" ht="15.75" customHeight="1">
      <c r="I372" s="61"/>
    </row>
    <row r="373" ht="15.75" customHeight="1">
      <c r="I373" s="61"/>
    </row>
    <row r="374" ht="15.75" customHeight="1">
      <c r="I374" s="61"/>
    </row>
    <row r="375" ht="15.75" customHeight="1">
      <c r="I375" s="61"/>
    </row>
    <row r="376" ht="15.75" customHeight="1">
      <c r="I376" s="61"/>
    </row>
    <row r="377" ht="15.75" customHeight="1">
      <c r="I377" s="61"/>
    </row>
    <row r="378" ht="15.75" customHeight="1">
      <c r="I378" s="61"/>
    </row>
    <row r="379" ht="15.75" customHeight="1">
      <c r="I379" s="61"/>
    </row>
    <row r="380" ht="15.75" customHeight="1">
      <c r="I380" s="61"/>
    </row>
    <row r="381" ht="15.75" customHeight="1">
      <c r="I381" s="61"/>
    </row>
    <row r="382" ht="15.75" customHeight="1">
      <c r="I382" s="61"/>
    </row>
    <row r="383" ht="15.75" customHeight="1">
      <c r="I383" s="61"/>
    </row>
    <row r="384" ht="15.75" customHeight="1">
      <c r="I384" s="61"/>
    </row>
    <row r="385" ht="15.75" customHeight="1">
      <c r="I385" s="61"/>
    </row>
    <row r="386" ht="15.75" customHeight="1">
      <c r="I386" s="61"/>
    </row>
    <row r="387" ht="15.75" customHeight="1">
      <c r="I387" s="61"/>
    </row>
    <row r="388" ht="15.75" customHeight="1">
      <c r="I388" s="61"/>
    </row>
    <row r="389" ht="15.75" customHeight="1">
      <c r="I389" s="61"/>
    </row>
    <row r="390" ht="15.75" customHeight="1">
      <c r="I390" s="61"/>
    </row>
    <row r="391" ht="15.75" customHeight="1">
      <c r="I391" s="61"/>
    </row>
    <row r="392" ht="15.75" customHeight="1">
      <c r="I392" s="61"/>
    </row>
    <row r="393" ht="15.75" customHeight="1">
      <c r="I393" s="61"/>
    </row>
    <row r="394" ht="15.75" customHeight="1">
      <c r="I394" s="61"/>
    </row>
    <row r="395" ht="15.75" customHeight="1">
      <c r="I395" s="61"/>
    </row>
    <row r="396" ht="15.75" customHeight="1">
      <c r="I396" s="61"/>
    </row>
    <row r="397" ht="15.75" customHeight="1">
      <c r="I397" s="61"/>
    </row>
    <row r="398" ht="15.75" customHeight="1">
      <c r="I398" s="61"/>
    </row>
    <row r="399" ht="15.75" customHeight="1">
      <c r="I399" s="61"/>
    </row>
    <row r="400" ht="15.75" customHeight="1">
      <c r="I400" s="61"/>
    </row>
    <row r="401" ht="15.75" customHeight="1">
      <c r="I401" s="61"/>
    </row>
    <row r="402" ht="15.75" customHeight="1">
      <c r="I402" s="61"/>
    </row>
    <row r="403" ht="15.75" customHeight="1">
      <c r="I403" s="61"/>
    </row>
    <row r="404" ht="15.75" customHeight="1">
      <c r="I404" s="61"/>
    </row>
    <row r="405" ht="15.75" customHeight="1">
      <c r="I405" s="61"/>
    </row>
    <row r="406" ht="15.75" customHeight="1">
      <c r="I406" s="61"/>
    </row>
    <row r="407" ht="15.75" customHeight="1">
      <c r="I407" s="61"/>
    </row>
    <row r="408" ht="15.75" customHeight="1">
      <c r="I408" s="61"/>
    </row>
    <row r="409" ht="15.75" customHeight="1">
      <c r="I409" s="61"/>
    </row>
    <row r="410" ht="15.75" customHeight="1">
      <c r="I410" s="61"/>
    </row>
    <row r="411" ht="15.75" customHeight="1">
      <c r="I411" s="61"/>
    </row>
    <row r="412" ht="15.75" customHeight="1">
      <c r="I412" s="61"/>
    </row>
    <row r="413" ht="15.75" customHeight="1">
      <c r="I413" s="61"/>
    </row>
    <row r="414" ht="15.75" customHeight="1">
      <c r="I414" s="61"/>
    </row>
    <row r="415" ht="15.75" customHeight="1">
      <c r="I415" s="61"/>
    </row>
    <row r="416" ht="15.75" customHeight="1">
      <c r="I416" s="61"/>
    </row>
    <row r="417" ht="15.75" customHeight="1">
      <c r="I417" s="61"/>
    </row>
    <row r="418" ht="15.75" customHeight="1">
      <c r="I418" s="61"/>
    </row>
    <row r="419" ht="15.75" customHeight="1">
      <c r="I419" s="61"/>
    </row>
    <row r="420" ht="15.75" customHeight="1">
      <c r="I420" s="61"/>
    </row>
    <row r="421" ht="15.75" customHeight="1">
      <c r="I421" s="61"/>
    </row>
    <row r="422" ht="15.75" customHeight="1">
      <c r="I422" s="61"/>
    </row>
    <row r="423" ht="15.75" customHeight="1">
      <c r="I423" s="61"/>
    </row>
    <row r="424" ht="15.75" customHeight="1">
      <c r="I424" s="61"/>
    </row>
    <row r="425" ht="15.75" customHeight="1">
      <c r="I425" s="61"/>
    </row>
    <row r="426" ht="15.75" customHeight="1">
      <c r="I426" s="61"/>
    </row>
    <row r="427" ht="15.75" customHeight="1">
      <c r="I427" s="61"/>
    </row>
    <row r="428" ht="15.75" customHeight="1">
      <c r="I428" s="61"/>
    </row>
    <row r="429" ht="15.75" customHeight="1">
      <c r="I429" s="61"/>
    </row>
    <row r="430" ht="15.75" customHeight="1">
      <c r="I430" s="61"/>
    </row>
    <row r="431" ht="15.75" customHeight="1">
      <c r="I431" s="61"/>
    </row>
    <row r="432" ht="15.75" customHeight="1">
      <c r="I432" s="61"/>
    </row>
    <row r="433" ht="15.75" customHeight="1">
      <c r="I433" s="61"/>
    </row>
    <row r="434" ht="15.75" customHeight="1">
      <c r="I434" s="61"/>
    </row>
    <row r="435" ht="15.75" customHeight="1">
      <c r="I435" s="61"/>
    </row>
    <row r="436" ht="15.75" customHeight="1">
      <c r="I436" s="61"/>
    </row>
    <row r="437" ht="15.75" customHeight="1">
      <c r="I437" s="61"/>
    </row>
    <row r="438" ht="15.75" customHeight="1">
      <c r="I438" s="61"/>
    </row>
    <row r="439" ht="15.75" customHeight="1">
      <c r="I439" s="61"/>
    </row>
    <row r="440" ht="15.75" customHeight="1">
      <c r="I440" s="61"/>
    </row>
    <row r="441" ht="15.75" customHeight="1">
      <c r="I441" s="61"/>
    </row>
    <row r="442" ht="15.75" customHeight="1">
      <c r="I442" s="61"/>
    </row>
    <row r="443" ht="15.75" customHeight="1">
      <c r="I443" s="61"/>
    </row>
    <row r="444" ht="15.75" customHeight="1">
      <c r="I444" s="61"/>
    </row>
    <row r="445" ht="15.75" customHeight="1">
      <c r="I445" s="61"/>
    </row>
    <row r="446" ht="15.75" customHeight="1">
      <c r="I446" s="61"/>
    </row>
    <row r="447" ht="15.75" customHeight="1">
      <c r="I447" s="61"/>
    </row>
    <row r="448" ht="15.75" customHeight="1">
      <c r="I448" s="61"/>
    </row>
    <row r="449" ht="15.75" customHeight="1">
      <c r="I449" s="61"/>
    </row>
    <row r="450" ht="15.75" customHeight="1">
      <c r="I450" s="61"/>
    </row>
    <row r="451" ht="15.75" customHeight="1">
      <c r="I451" s="61"/>
    </row>
    <row r="452" ht="15.75" customHeight="1">
      <c r="I452" s="61"/>
    </row>
    <row r="453" ht="15.75" customHeight="1">
      <c r="I453" s="61"/>
    </row>
    <row r="454" ht="15.75" customHeight="1">
      <c r="I454" s="61"/>
    </row>
    <row r="455" ht="15.75" customHeight="1">
      <c r="I455" s="61"/>
    </row>
    <row r="456" ht="15.75" customHeight="1">
      <c r="I456" s="61"/>
    </row>
    <row r="457" ht="15.75" customHeight="1">
      <c r="I457" s="61"/>
    </row>
    <row r="458" ht="15.75" customHeight="1">
      <c r="I458" s="61"/>
    </row>
    <row r="459" ht="15.75" customHeight="1">
      <c r="I459" s="61"/>
    </row>
    <row r="460" ht="15.75" customHeight="1">
      <c r="I460" s="61"/>
    </row>
    <row r="461" ht="15.75" customHeight="1">
      <c r="I461" s="61"/>
    </row>
    <row r="462" ht="15.75" customHeight="1">
      <c r="I462" s="61"/>
    </row>
    <row r="463" ht="15.75" customHeight="1">
      <c r="I463" s="61"/>
    </row>
    <row r="464" ht="15.75" customHeight="1">
      <c r="I464" s="61"/>
    </row>
    <row r="465" ht="15.75" customHeight="1">
      <c r="I465" s="61"/>
    </row>
    <row r="466" ht="15.75" customHeight="1">
      <c r="I466" s="61"/>
    </row>
    <row r="467" ht="15.75" customHeight="1">
      <c r="I467" s="61"/>
    </row>
    <row r="468" ht="15.75" customHeight="1">
      <c r="I468" s="61"/>
    </row>
    <row r="469" ht="15.75" customHeight="1">
      <c r="I469" s="61"/>
    </row>
    <row r="470" ht="15.75" customHeight="1">
      <c r="I470" s="61"/>
    </row>
    <row r="471" ht="15.75" customHeight="1">
      <c r="I471" s="61"/>
    </row>
    <row r="472" ht="15.75" customHeight="1">
      <c r="I472" s="61"/>
    </row>
    <row r="473" ht="15.75" customHeight="1">
      <c r="I473" s="61"/>
    </row>
    <row r="474" ht="15.75" customHeight="1">
      <c r="I474" s="61"/>
    </row>
    <row r="475" ht="15.75" customHeight="1">
      <c r="I475" s="61"/>
    </row>
    <row r="476" ht="15.75" customHeight="1">
      <c r="I476" s="61"/>
    </row>
    <row r="477" ht="15.75" customHeight="1">
      <c r="I477" s="61"/>
    </row>
    <row r="478" ht="15.75" customHeight="1">
      <c r="I478" s="61"/>
    </row>
    <row r="479" ht="15.75" customHeight="1">
      <c r="I479" s="61"/>
    </row>
    <row r="480" ht="15.75" customHeight="1">
      <c r="I480" s="61"/>
    </row>
    <row r="481" ht="15.75" customHeight="1">
      <c r="I481" s="61"/>
    </row>
    <row r="482" ht="15.75" customHeight="1">
      <c r="I482" s="61"/>
    </row>
    <row r="483" ht="15.75" customHeight="1">
      <c r="I483" s="61"/>
    </row>
    <row r="484" ht="15.75" customHeight="1">
      <c r="I484" s="61"/>
    </row>
    <row r="485" ht="15.75" customHeight="1">
      <c r="I485" s="61"/>
    </row>
    <row r="486" ht="15.75" customHeight="1">
      <c r="I486" s="61"/>
    </row>
    <row r="487" ht="15.75" customHeight="1">
      <c r="I487" s="61"/>
    </row>
    <row r="488" ht="15.75" customHeight="1">
      <c r="I488" s="61"/>
    </row>
    <row r="489" ht="15.75" customHeight="1">
      <c r="I489" s="61"/>
    </row>
    <row r="490" ht="15.75" customHeight="1">
      <c r="I490" s="61"/>
    </row>
    <row r="491" ht="15.75" customHeight="1">
      <c r="I491" s="61"/>
    </row>
    <row r="492" ht="15.75" customHeight="1">
      <c r="I492" s="61"/>
    </row>
    <row r="493" ht="15.75" customHeight="1">
      <c r="I493" s="61"/>
    </row>
    <row r="494" ht="15.75" customHeight="1">
      <c r="I494" s="61"/>
    </row>
    <row r="495" ht="15.75" customHeight="1">
      <c r="I495" s="61"/>
    </row>
    <row r="496" ht="15.75" customHeight="1">
      <c r="I496" s="61"/>
    </row>
    <row r="497" ht="15.75" customHeight="1">
      <c r="I497" s="61"/>
    </row>
    <row r="498" ht="15.75" customHeight="1">
      <c r="I498" s="61"/>
    </row>
    <row r="499" ht="15.75" customHeight="1">
      <c r="I499" s="61"/>
    </row>
    <row r="500" ht="15.75" customHeight="1">
      <c r="I500" s="61"/>
    </row>
    <row r="501" ht="15.75" customHeight="1">
      <c r="I501" s="61"/>
    </row>
    <row r="502" ht="15.75" customHeight="1">
      <c r="I502" s="61"/>
    </row>
    <row r="503" ht="15.75" customHeight="1">
      <c r="I503" s="61"/>
    </row>
    <row r="504" ht="15.75" customHeight="1">
      <c r="I504" s="61"/>
    </row>
    <row r="505" ht="15.75" customHeight="1">
      <c r="I505" s="61"/>
    </row>
    <row r="506" ht="15.75" customHeight="1">
      <c r="I506" s="61"/>
    </row>
    <row r="507" ht="15.75" customHeight="1">
      <c r="I507" s="61"/>
    </row>
    <row r="508" ht="15.75" customHeight="1">
      <c r="I508" s="61"/>
    </row>
    <row r="509" ht="15.75" customHeight="1">
      <c r="I509" s="61"/>
    </row>
    <row r="510" ht="15.75" customHeight="1">
      <c r="I510" s="61"/>
    </row>
    <row r="511" ht="15.75" customHeight="1">
      <c r="I511" s="61"/>
    </row>
    <row r="512" ht="15.75" customHeight="1">
      <c r="I512" s="61"/>
    </row>
    <row r="513" ht="15.75" customHeight="1">
      <c r="I513" s="61"/>
    </row>
    <row r="514" ht="15.75" customHeight="1">
      <c r="I514" s="61"/>
    </row>
    <row r="515" ht="15.75" customHeight="1">
      <c r="I515" s="61"/>
    </row>
    <row r="516" ht="15.75" customHeight="1">
      <c r="I516" s="61"/>
    </row>
    <row r="517" ht="15.75" customHeight="1">
      <c r="I517" s="61"/>
    </row>
    <row r="518" ht="15.75" customHeight="1">
      <c r="I518" s="61"/>
    </row>
    <row r="519" ht="15.75" customHeight="1">
      <c r="I519" s="61"/>
    </row>
    <row r="520" ht="15.75" customHeight="1">
      <c r="I520" s="61"/>
    </row>
    <row r="521" ht="15.75" customHeight="1">
      <c r="I521" s="61"/>
    </row>
    <row r="522" ht="15.75" customHeight="1">
      <c r="I522" s="61"/>
    </row>
    <row r="523" ht="15.75" customHeight="1">
      <c r="I523" s="61"/>
    </row>
    <row r="524" ht="15.75" customHeight="1">
      <c r="I524" s="61"/>
    </row>
    <row r="525" ht="15.75" customHeight="1">
      <c r="I525" s="61"/>
    </row>
    <row r="526" ht="15.75" customHeight="1">
      <c r="I526" s="61"/>
    </row>
    <row r="527" ht="15.75" customHeight="1">
      <c r="I527" s="61"/>
    </row>
    <row r="528" ht="15.75" customHeight="1">
      <c r="I528" s="61"/>
    </row>
    <row r="529" ht="15.75" customHeight="1">
      <c r="I529" s="61"/>
    </row>
    <row r="530" ht="15.75" customHeight="1">
      <c r="I530" s="61"/>
    </row>
    <row r="531" ht="15.75" customHeight="1">
      <c r="I531" s="61"/>
    </row>
    <row r="532" ht="15.75" customHeight="1">
      <c r="I532" s="61"/>
    </row>
    <row r="533" ht="15.75" customHeight="1">
      <c r="I533" s="61"/>
    </row>
    <row r="534" ht="15.75" customHeight="1">
      <c r="I534" s="61"/>
    </row>
    <row r="535" ht="15.75" customHeight="1">
      <c r="I535" s="61"/>
    </row>
    <row r="536" ht="15.75" customHeight="1">
      <c r="I536" s="61"/>
    </row>
    <row r="537" ht="15.75" customHeight="1">
      <c r="I537" s="61"/>
    </row>
    <row r="538" ht="15.75" customHeight="1">
      <c r="I538" s="61"/>
    </row>
    <row r="539" ht="15.75" customHeight="1">
      <c r="I539" s="61"/>
    </row>
    <row r="540" ht="15.75" customHeight="1">
      <c r="I540" s="61"/>
    </row>
    <row r="541" ht="15.75" customHeight="1">
      <c r="I541" s="61"/>
    </row>
    <row r="542" ht="15.75" customHeight="1">
      <c r="I542" s="61"/>
    </row>
    <row r="543" ht="15.75" customHeight="1">
      <c r="I543" s="61"/>
    </row>
    <row r="544" ht="15.75" customHeight="1">
      <c r="I544" s="61"/>
    </row>
    <row r="545" ht="15.75" customHeight="1">
      <c r="I545" s="61"/>
    </row>
    <row r="546" ht="15.75" customHeight="1">
      <c r="I546" s="61"/>
    </row>
    <row r="547" ht="15.75" customHeight="1">
      <c r="I547" s="61"/>
    </row>
    <row r="548" ht="15.75" customHeight="1">
      <c r="I548" s="61"/>
    </row>
    <row r="549" ht="15.75" customHeight="1">
      <c r="I549" s="61"/>
    </row>
    <row r="550" ht="15.75" customHeight="1">
      <c r="I550" s="61"/>
    </row>
    <row r="551" ht="15.75" customHeight="1">
      <c r="I551" s="61"/>
    </row>
    <row r="552" ht="15.75" customHeight="1">
      <c r="I552" s="61"/>
    </row>
    <row r="553" ht="15.75" customHeight="1">
      <c r="I553" s="61"/>
    </row>
    <row r="554" ht="15.75" customHeight="1">
      <c r="I554" s="61"/>
    </row>
    <row r="555" ht="15.75" customHeight="1">
      <c r="I555" s="61"/>
    </row>
    <row r="556" ht="15.75" customHeight="1">
      <c r="I556" s="61"/>
    </row>
    <row r="557" ht="15.75" customHeight="1">
      <c r="I557" s="61"/>
    </row>
    <row r="558" ht="15.75" customHeight="1">
      <c r="I558" s="61"/>
    </row>
    <row r="559" ht="15.75" customHeight="1">
      <c r="I559" s="61"/>
    </row>
    <row r="560" ht="15.75" customHeight="1">
      <c r="I560" s="61"/>
    </row>
    <row r="561" ht="15.75" customHeight="1">
      <c r="I561" s="61"/>
    </row>
    <row r="562" ht="15.75" customHeight="1">
      <c r="I562" s="61"/>
    </row>
    <row r="563" ht="15.75" customHeight="1">
      <c r="I563" s="61"/>
    </row>
    <row r="564" ht="15.75" customHeight="1">
      <c r="I564" s="61"/>
    </row>
    <row r="565" ht="15.75" customHeight="1">
      <c r="I565" s="61"/>
    </row>
    <row r="566" ht="15.75" customHeight="1">
      <c r="I566" s="61"/>
    </row>
    <row r="567" ht="15.75" customHeight="1">
      <c r="I567" s="61"/>
    </row>
    <row r="568" ht="15.75" customHeight="1">
      <c r="I568" s="61"/>
    </row>
    <row r="569" ht="15.75" customHeight="1">
      <c r="I569" s="61"/>
    </row>
    <row r="570" ht="15.75" customHeight="1">
      <c r="I570" s="61"/>
    </row>
    <row r="571" ht="15.75" customHeight="1">
      <c r="I571" s="61"/>
    </row>
    <row r="572" ht="15.75" customHeight="1">
      <c r="I572" s="61"/>
    </row>
    <row r="573" ht="15.75" customHeight="1">
      <c r="I573" s="61"/>
    </row>
    <row r="574" ht="15.75" customHeight="1">
      <c r="I574" s="61"/>
    </row>
    <row r="575" ht="15.75" customHeight="1">
      <c r="I575" s="61"/>
    </row>
    <row r="576" ht="15.75" customHeight="1">
      <c r="I576" s="61"/>
    </row>
    <row r="577" ht="15.75" customHeight="1">
      <c r="I577" s="61"/>
    </row>
    <row r="578" ht="15.75" customHeight="1">
      <c r="I578" s="61"/>
    </row>
    <row r="579" ht="15.75" customHeight="1">
      <c r="I579" s="61"/>
    </row>
    <row r="580" ht="15.75" customHeight="1">
      <c r="I580" s="61"/>
    </row>
    <row r="581" ht="15.75" customHeight="1">
      <c r="I581" s="61"/>
    </row>
    <row r="582" ht="15.75" customHeight="1">
      <c r="I582" s="61"/>
    </row>
    <row r="583" ht="15.75" customHeight="1">
      <c r="I583" s="61"/>
    </row>
    <row r="584" ht="15.75" customHeight="1">
      <c r="I584" s="61"/>
    </row>
    <row r="585" ht="15.75" customHeight="1">
      <c r="I585" s="61"/>
    </row>
    <row r="586" ht="15.75" customHeight="1">
      <c r="I586" s="61"/>
    </row>
    <row r="587" ht="15.75" customHeight="1">
      <c r="I587" s="61"/>
    </row>
    <row r="588" ht="15.75" customHeight="1">
      <c r="I588" s="61"/>
    </row>
    <row r="589" ht="15.75" customHeight="1">
      <c r="I589" s="61"/>
    </row>
    <row r="590" ht="15.75" customHeight="1">
      <c r="I590" s="61"/>
    </row>
    <row r="591" ht="15.75" customHeight="1">
      <c r="I591" s="61"/>
    </row>
    <row r="592" ht="15.75" customHeight="1">
      <c r="I592" s="61"/>
    </row>
    <row r="593" ht="15.75" customHeight="1">
      <c r="I593" s="61"/>
    </row>
    <row r="594" ht="15.75" customHeight="1">
      <c r="I594" s="61"/>
    </row>
    <row r="595" ht="15.75" customHeight="1">
      <c r="I595" s="61"/>
    </row>
    <row r="596" ht="15.75" customHeight="1">
      <c r="I596" s="61"/>
    </row>
    <row r="597" ht="15.75" customHeight="1">
      <c r="I597" s="61"/>
    </row>
    <row r="598" ht="15.75" customHeight="1">
      <c r="I598" s="61"/>
    </row>
    <row r="599" ht="15.75" customHeight="1">
      <c r="I599" s="61"/>
    </row>
    <row r="600" ht="15.75" customHeight="1">
      <c r="I600" s="61"/>
    </row>
    <row r="601" ht="15.75" customHeight="1">
      <c r="I601" s="61"/>
    </row>
    <row r="602" ht="15.75" customHeight="1">
      <c r="I602" s="61"/>
    </row>
    <row r="603" ht="15.75" customHeight="1">
      <c r="I603" s="61"/>
    </row>
    <row r="604" ht="15.75" customHeight="1">
      <c r="I604" s="61"/>
    </row>
    <row r="605" ht="15.75" customHeight="1">
      <c r="I605" s="61"/>
    </row>
    <row r="606" ht="15.75" customHeight="1">
      <c r="I606" s="61"/>
    </row>
    <row r="607" ht="15.75" customHeight="1">
      <c r="I607" s="61"/>
    </row>
    <row r="608" ht="15.75" customHeight="1">
      <c r="I608" s="61"/>
    </row>
    <row r="609" ht="15.75" customHeight="1">
      <c r="I609" s="61"/>
    </row>
    <row r="610" ht="15.75" customHeight="1">
      <c r="I610" s="61"/>
    </row>
    <row r="611" ht="15.75" customHeight="1">
      <c r="I611" s="61"/>
    </row>
    <row r="612" ht="15.75" customHeight="1">
      <c r="I612" s="61"/>
    </row>
    <row r="613" ht="15.75" customHeight="1">
      <c r="I613" s="61"/>
    </row>
    <row r="614" ht="15.75" customHeight="1">
      <c r="I614" s="61"/>
    </row>
    <row r="615" ht="15.75" customHeight="1">
      <c r="I615" s="61"/>
    </row>
    <row r="616" ht="15.75" customHeight="1">
      <c r="I616" s="61"/>
    </row>
    <row r="617" ht="15.75" customHeight="1">
      <c r="I617" s="61"/>
    </row>
    <row r="618" ht="15.75" customHeight="1">
      <c r="I618" s="61"/>
    </row>
    <row r="619" ht="15.75" customHeight="1">
      <c r="I619" s="61"/>
    </row>
    <row r="620" ht="15.75" customHeight="1">
      <c r="I620" s="61"/>
    </row>
    <row r="621" ht="15.75" customHeight="1">
      <c r="I621" s="61"/>
    </row>
    <row r="622" ht="15.75" customHeight="1">
      <c r="I622" s="61"/>
    </row>
    <row r="623" ht="15.75" customHeight="1">
      <c r="I623" s="61"/>
    </row>
    <row r="624" ht="15.75" customHeight="1">
      <c r="I624" s="61"/>
    </row>
    <row r="625" ht="15.75" customHeight="1">
      <c r="I625" s="61"/>
    </row>
    <row r="626" ht="15.75" customHeight="1">
      <c r="I626" s="61"/>
    </row>
    <row r="627" ht="15.75" customHeight="1">
      <c r="I627" s="61"/>
    </row>
    <row r="628" ht="15.75" customHeight="1">
      <c r="I628" s="61"/>
    </row>
    <row r="629" ht="15.75" customHeight="1">
      <c r="I629" s="61"/>
    </row>
    <row r="630" ht="15.75" customHeight="1">
      <c r="I630" s="61"/>
    </row>
    <row r="631" ht="15.75" customHeight="1">
      <c r="I631" s="61"/>
    </row>
    <row r="632" ht="15.75" customHeight="1">
      <c r="I632" s="61"/>
    </row>
    <row r="633" ht="15.75" customHeight="1">
      <c r="I633" s="61"/>
    </row>
    <row r="634" ht="15.75" customHeight="1">
      <c r="I634" s="61"/>
    </row>
    <row r="635" ht="15.75" customHeight="1">
      <c r="I635" s="61"/>
    </row>
    <row r="636" ht="15.75" customHeight="1">
      <c r="I636" s="61"/>
    </row>
    <row r="637" ht="15.75" customHeight="1">
      <c r="I637" s="61"/>
    </row>
    <row r="638" ht="15.75" customHeight="1">
      <c r="I638" s="61"/>
    </row>
    <row r="639" ht="15.75" customHeight="1">
      <c r="I639" s="61"/>
    </row>
    <row r="640" ht="15.75" customHeight="1">
      <c r="I640" s="61"/>
    </row>
    <row r="641" ht="15.75" customHeight="1">
      <c r="I641" s="61"/>
    </row>
    <row r="642" ht="15.75" customHeight="1">
      <c r="I642" s="61"/>
    </row>
    <row r="643" ht="15.75" customHeight="1">
      <c r="I643" s="61"/>
    </row>
    <row r="644" ht="15.75" customHeight="1">
      <c r="I644" s="61"/>
    </row>
    <row r="645" ht="15.75" customHeight="1">
      <c r="I645" s="61"/>
    </row>
    <row r="646" ht="15.75" customHeight="1">
      <c r="I646" s="61"/>
    </row>
    <row r="647" ht="15.75" customHeight="1">
      <c r="I647" s="61"/>
    </row>
    <row r="648" ht="15.75" customHeight="1">
      <c r="I648" s="61"/>
    </row>
    <row r="649" ht="15.75" customHeight="1">
      <c r="I649" s="61"/>
    </row>
    <row r="650" ht="15.75" customHeight="1">
      <c r="I650" s="61"/>
    </row>
    <row r="651" ht="15.75" customHeight="1">
      <c r="I651" s="61"/>
    </row>
    <row r="652" ht="15.75" customHeight="1">
      <c r="I652" s="61"/>
    </row>
    <row r="653" ht="15.75" customHeight="1">
      <c r="I653" s="61"/>
    </row>
    <row r="654" ht="15.75" customHeight="1">
      <c r="I654" s="61"/>
    </row>
    <row r="655" ht="15.75" customHeight="1">
      <c r="I655" s="61"/>
    </row>
    <row r="656" ht="15.75" customHeight="1">
      <c r="I656" s="61"/>
    </row>
    <row r="657" ht="15.75" customHeight="1">
      <c r="I657" s="61"/>
    </row>
    <row r="658" ht="15.75" customHeight="1">
      <c r="I658" s="61"/>
    </row>
    <row r="659" ht="15.75" customHeight="1">
      <c r="I659" s="61"/>
    </row>
    <row r="660" ht="15.75" customHeight="1">
      <c r="I660" s="61"/>
    </row>
    <row r="661" ht="15.75" customHeight="1">
      <c r="I661" s="61"/>
    </row>
    <row r="662" ht="15.75" customHeight="1">
      <c r="I662" s="61"/>
    </row>
    <row r="663" ht="15.75" customHeight="1">
      <c r="I663" s="61"/>
    </row>
    <row r="664" ht="15.75" customHeight="1">
      <c r="I664" s="61"/>
    </row>
    <row r="665" ht="15.75" customHeight="1">
      <c r="I665" s="61"/>
    </row>
    <row r="666" ht="15.75" customHeight="1">
      <c r="I666" s="61"/>
    </row>
    <row r="667" ht="15.75" customHeight="1">
      <c r="I667" s="61"/>
    </row>
    <row r="668" ht="15.75" customHeight="1">
      <c r="I668" s="61"/>
    </row>
    <row r="669" ht="15.75" customHeight="1">
      <c r="I669" s="61"/>
    </row>
    <row r="670" ht="15.75" customHeight="1">
      <c r="I670" s="61"/>
    </row>
    <row r="671" ht="15.75" customHeight="1">
      <c r="I671" s="61"/>
    </row>
    <row r="672" ht="15.75" customHeight="1">
      <c r="I672" s="61"/>
    </row>
    <row r="673" ht="15.75" customHeight="1">
      <c r="I673" s="61"/>
    </row>
    <row r="674" ht="15.75" customHeight="1">
      <c r="I674" s="61"/>
    </row>
    <row r="675" ht="15.75" customHeight="1">
      <c r="I675" s="61"/>
    </row>
    <row r="676" ht="15.75" customHeight="1">
      <c r="I676" s="61"/>
    </row>
    <row r="677" ht="15.75" customHeight="1">
      <c r="I677" s="61"/>
    </row>
    <row r="678" ht="15.75" customHeight="1">
      <c r="I678" s="61"/>
    </row>
    <row r="679" ht="15.75" customHeight="1">
      <c r="I679" s="61"/>
    </row>
    <row r="680" ht="15.75" customHeight="1">
      <c r="I680" s="61"/>
    </row>
    <row r="681" ht="15.75" customHeight="1">
      <c r="I681" s="61"/>
    </row>
    <row r="682" ht="15.75" customHeight="1">
      <c r="I682" s="61"/>
    </row>
    <row r="683" ht="15.75" customHeight="1">
      <c r="I683" s="61"/>
    </row>
    <row r="684" ht="15.75" customHeight="1">
      <c r="I684" s="61"/>
    </row>
    <row r="685" ht="15.75" customHeight="1">
      <c r="I685" s="61"/>
    </row>
    <row r="686" ht="15.75" customHeight="1">
      <c r="I686" s="61"/>
    </row>
    <row r="687" ht="15.75" customHeight="1">
      <c r="I687" s="61"/>
    </row>
    <row r="688" ht="15.75" customHeight="1">
      <c r="I688" s="61"/>
    </row>
    <row r="689" ht="15.75" customHeight="1">
      <c r="I689" s="61"/>
    </row>
    <row r="690" ht="15.75" customHeight="1">
      <c r="I690" s="61"/>
    </row>
    <row r="691" ht="15.75" customHeight="1">
      <c r="I691" s="61"/>
    </row>
    <row r="692" ht="15.75" customHeight="1">
      <c r="I692" s="61"/>
    </row>
    <row r="693" ht="15.75" customHeight="1">
      <c r="I693" s="61"/>
    </row>
    <row r="694" ht="15.75" customHeight="1">
      <c r="I694" s="61"/>
    </row>
    <row r="695" ht="15.75" customHeight="1">
      <c r="I695" s="61"/>
    </row>
    <row r="696" ht="15.75" customHeight="1">
      <c r="I696" s="61"/>
    </row>
    <row r="697" ht="15.75" customHeight="1">
      <c r="I697" s="61"/>
    </row>
    <row r="698" ht="15.75" customHeight="1">
      <c r="I698" s="61"/>
    </row>
    <row r="699" ht="15.75" customHeight="1">
      <c r="I699" s="61"/>
    </row>
    <row r="700" ht="15.75" customHeight="1">
      <c r="I700" s="61"/>
    </row>
    <row r="701" ht="15.75" customHeight="1">
      <c r="I701" s="61"/>
    </row>
    <row r="702" ht="15.75" customHeight="1">
      <c r="I702" s="61"/>
    </row>
    <row r="703" ht="15.75" customHeight="1">
      <c r="I703" s="61"/>
    </row>
    <row r="704" ht="15.75" customHeight="1">
      <c r="I704" s="61"/>
    </row>
    <row r="705" ht="15.75" customHeight="1">
      <c r="I705" s="61"/>
    </row>
    <row r="706" ht="15.75" customHeight="1">
      <c r="I706" s="61"/>
    </row>
    <row r="707" ht="15.75" customHeight="1">
      <c r="I707" s="61"/>
    </row>
    <row r="708" ht="15.75" customHeight="1">
      <c r="I708" s="61"/>
    </row>
    <row r="709" ht="15.75" customHeight="1">
      <c r="I709" s="61"/>
    </row>
    <row r="710" ht="15.75" customHeight="1">
      <c r="I710" s="61"/>
    </row>
    <row r="711" ht="15.75" customHeight="1">
      <c r="I711" s="61"/>
    </row>
    <row r="712" ht="15.75" customHeight="1">
      <c r="I712" s="61"/>
    </row>
    <row r="713" ht="15.75" customHeight="1">
      <c r="I713" s="61"/>
    </row>
    <row r="714" ht="15.75" customHeight="1">
      <c r="I714" s="61"/>
    </row>
    <row r="715" ht="15.75" customHeight="1">
      <c r="I715" s="61"/>
    </row>
    <row r="716" ht="15.75" customHeight="1">
      <c r="I716" s="61"/>
    </row>
    <row r="717" ht="15.75" customHeight="1">
      <c r="I717" s="61"/>
    </row>
    <row r="718" ht="15.75" customHeight="1">
      <c r="I718" s="61"/>
    </row>
    <row r="719" ht="15.75" customHeight="1">
      <c r="I719" s="61"/>
    </row>
    <row r="720" ht="15.75" customHeight="1">
      <c r="I720" s="61"/>
    </row>
    <row r="721" ht="15.75" customHeight="1">
      <c r="I721" s="61"/>
    </row>
    <row r="722" ht="15.75" customHeight="1">
      <c r="I722" s="61"/>
    </row>
    <row r="723" ht="15.75" customHeight="1">
      <c r="I723" s="61"/>
    </row>
    <row r="724" ht="15.75" customHeight="1">
      <c r="I724" s="61"/>
    </row>
    <row r="725" ht="15.75" customHeight="1">
      <c r="I725" s="61"/>
    </row>
    <row r="726" ht="15.75" customHeight="1">
      <c r="I726" s="61"/>
    </row>
    <row r="727" ht="15.75" customHeight="1">
      <c r="I727" s="61"/>
    </row>
    <row r="728" ht="15.75" customHeight="1">
      <c r="I728" s="61"/>
    </row>
    <row r="729" ht="15.75" customHeight="1">
      <c r="I729" s="61"/>
    </row>
    <row r="730" ht="15.75" customHeight="1">
      <c r="I730" s="61"/>
    </row>
    <row r="731" ht="15.75" customHeight="1">
      <c r="I731" s="61"/>
    </row>
    <row r="732" ht="15.75" customHeight="1">
      <c r="I732" s="61"/>
    </row>
    <row r="733" ht="15.75" customHeight="1">
      <c r="I733" s="61"/>
    </row>
    <row r="734" ht="15.75" customHeight="1">
      <c r="I734" s="61"/>
    </row>
    <row r="735" ht="15.75" customHeight="1">
      <c r="I735" s="61"/>
    </row>
    <row r="736" ht="15.75" customHeight="1">
      <c r="I736" s="61"/>
    </row>
    <row r="737" ht="15.75" customHeight="1">
      <c r="I737" s="61"/>
    </row>
    <row r="738" ht="15.75" customHeight="1">
      <c r="I738" s="61"/>
    </row>
    <row r="739" ht="15.75" customHeight="1">
      <c r="I739" s="61"/>
    </row>
    <row r="740" ht="15.75" customHeight="1">
      <c r="I740" s="61"/>
    </row>
    <row r="741" ht="15.75" customHeight="1">
      <c r="I741" s="61"/>
    </row>
    <row r="742" ht="15.75" customHeight="1">
      <c r="I742" s="61"/>
    </row>
    <row r="743" ht="15.75" customHeight="1">
      <c r="I743" s="61"/>
    </row>
    <row r="744" ht="15.75" customHeight="1">
      <c r="I744" s="61"/>
    </row>
    <row r="745" ht="15.75" customHeight="1">
      <c r="I745" s="61"/>
    </row>
    <row r="746" ht="15.75" customHeight="1">
      <c r="I746" s="61"/>
    </row>
    <row r="747" ht="15.75" customHeight="1">
      <c r="I747" s="61"/>
    </row>
    <row r="748" ht="15.75" customHeight="1">
      <c r="I748" s="61"/>
    </row>
    <row r="749" ht="15.75" customHeight="1">
      <c r="I749" s="61"/>
    </row>
    <row r="750" ht="15.75" customHeight="1">
      <c r="I750" s="61"/>
    </row>
    <row r="751" ht="15.75" customHeight="1">
      <c r="I751" s="61"/>
    </row>
    <row r="752" ht="15.75" customHeight="1">
      <c r="I752" s="61"/>
    </row>
    <row r="753" ht="15.75" customHeight="1">
      <c r="I753" s="61"/>
    </row>
    <row r="754" ht="15.75" customHeight="1">
      <c r="I754" s="61"/>
    </row>
    <row r="755" ht="15.75" customHeight="1">
      <c r="I755" s="61"/>
    </row>
    <row r="756" ht="15.75" customHeight="1">
      <c r="I756" s="61"/>
    </row>
    <row r="757" ht="15.75" customHeight="1">
      <c r="I757" s="61"/>
    </row>
    <row r="758" ht="15.75" customHeight="1">
      <c r="I758" s="61"/>
    </row>
    <row r="759" ht="15.75" customHeight="1">
      <c r="I759" s="61"/>
    </row>
    <row r="760" ht="15.75" customHeight="1">
      <c r="I760" s="61"/>
    </row>
    <row r="761" ht="15.75" customHeight="1">
      <c r="I761" s="61"/>
    </row>
    <row r="762" ht="15.75" customHeight="1">
      <c r="I762" s="61"/>
    </row>
    <row r="763" ht="15.75" customHeight="1">
      <c r="I763" s="61"/>
    </row>
    <row r="764" ht="15.75" customHeight="1">
      <c r="I764" s="61"/>
    </row>
    <row r="765" ht="15.75" customHeight="1">
      <c r="I765" s="61"/>
    </row>
    <row r="766" ht="15.75" customHeight="1">
      <c r="I766" s="61"/>
    </row>
    <row r="767" ht="15.75" customHeight="1">
      <c r="I767" s="61"/>
    </row>
    <row r="768" ht="15.75" customHeight="1">
      <c r="I768" s="61"/>
    </row>
    <row r="769" ht="15.75" customHeight="1">
      <c r="I769" s="61"/>
    </row>
    <row r="770" ht="15.75" customHeight="1">
      <c r="I770" s="61"/>
    </row>
    <row r="771" ht="15.75" customHeight="1">
      <c r="I771" s="61"/>
    </row>
    <row r="772" ht="15.75" customHeight="1">
      <c r="I772" s="61"/>
    </row>
    <row r="773" ht="15.75" customHeight="1">
      <c r="I773" s="61"/>
    </row>
    <row r="774" ht="15.75" customHeight="1">
      <c r="I774" s="61"/>
    </row>
    <row r="775" ht="15.75" customHeight="1">
      <c r="I775" s="61"/>
    </row>
    <row r="776" ht="15.75" customHeight="1">
      <c r="I776" s="61"/>
    </row>
    <row r="777" ht="15.75" customHeight="1">
      <c r="I777" s="61"/>
    </row>
    <row r="778" ht="15.75" customHeight="1">
      <c r="I778" s="61"/>
    </row>
    <row r="779" ht="15.75" customHeight="1">
      <c r="I779" s="61"/>
    </row>
    <row r="780" ht="15.75" customHeight="1">
      <c r="I780" s="61"/>
    </row>
    <row r="781" ht="15.75" customHeight="1">
      <c r="I781" s="61"/>
    </row>
    <row r="782" ht="15.75" customHeight="1">
      <c r="I782" s="61"/>
    </row>
    <row r="783" ht="15.75" customHeight="1">
      <c r="I783" s="61"/>
    </row>
    <row r="784" ht="15.75" customHeight="1">
      <c r="I784" s="61"/>
    </row>
    <row r="785" ht="15.75" customHeight="1">
      <c r="I785" s="61"/>
    </row>
    <row r="786" ht="15.75" customHeight="1">
      <c r="I786" s="61"/>
    </row>
    <row r="787" ht="15.75" customHeight="1">
      <c r="I787" s="61"/>
    </row>
    <row r="788" ht="15.75" customHeight="1">
      <c r="I788" s="61"/>
    </row>
    <row r="789" ht="15.75" customHeight="1">
      <c r="I789" s="61"/>
    </row>
    <row r="790" ht="15.75" customHeight="1">
      <c r="I790" s="61"/>
    </row>
    <row r="791" ht="15.75" customHeight="1">
      <c r="I791" s="61"/>
    </row>
    <row r="792" ht="15.75" customHeight="1">
      <c r="I792" s="61"/>
    </row>
    <row r="793" ht="15.75" customHeight="1">
      <c r="I793" s="61"/>
    </row>
    <row r="794" ht="15.75" customHeight="1">
      <c r="I794" s="61"/>
    </row>
    <row r="795" ht="15.75" customHeight="1">
      <c r="I795" s="61"/>
    </row>
    <row r="796" ht="15.75" customHeight="1">
      <c r="I796" s="61"/>
    </row>
    <row r="797" ht="15.75" customHeight="1">
      <c r="I797" s="61"/>
    </row>
    <row r="798" ht="15.75" customHeight="1">
      <c r="I798" s="61"/>
    </row>
    <row r="799" ht="15.75" customHeight="1">
      <c r="I799" s="61"/>
    </row>
    <row r="800" ht="15.75" customHeight="1">
      <c r="I800" s="61"/>
    </row>
    <row r="801" ht="15.75" customHeight="1">
      <c r="I801" s="61"/>
    </row>
    <row r="802" ht="15.75" customHeight="1">
      <c r="I802" s="61"/>
    </row>
    <row r="803" ht="15.75" customHeight="1">
      <c r="I803" s="61"/>
    </row>
    <row r="804" ht="15.75" customHeight="1">
      <c r="I804" s="61"/>
    </row>
    <row r="805" ht="15.75" customHeight="1">
      <c r="I805" s="61"/>
    </row>
    <row r="806" ht="15.75" customHeight="1">
      <c r="I806" s="61"/>
    </row>
    <row r="807" ht="15.75" customHeight="1">
      <c r="I807" s="61"/>
    </row>
    <row r="808" ht="15.75" customHeight="1">
      <c r="I808" s="61"/>
    </row>
    <row r="809" ht="15.75" customHeight="1">
      <c r="I809" s="61"/>
    </row>
    <row r="810" ht="15.75" customHeight="1">
      <c r="I810" s="61"/>
    </row>
    <row r="811" ht="15.75" customHeight="1">
      <c r="I811" s="61"/>
    </row>
    <row r="812" ht="15.75" customHeight="1">
      <c r="I812" s="61"/>
    </row>
    <row r="813" ht="15.75" customHeight="1">
      <c r="I813" s="61"/>
    </row>
    <row r="814" ht="15.75" customHeight="1">
      <c r="I814" s="61"/>
    </row>
    <row r="815" ht="15.75" customHeight="1">
      <c r="I815" s="61"/>
    </row>
    <row r="816" ht="15.75" customHeight="1">
      <c r="I816" s="61"/>
    </row>
    <row r="817" ht="15.75" customHeight="1">
      <c r="I817" s="61"/>
    </row>
    <row r="818" ht="15.75" customHeight="1">
      <c r="I818" s="61"/>
    </row>
    <row r="819" ht="15.75" customHeight="1">
      <c r="I819" s="61"/>
    </row>
    <row r="820" ht="15.75" customHeight="1">
      <c r="I820" s="61"/>
    </row>
    <row r="821" ht="15.75" customHeight="1">
      <c r="I821" s="61"/>
    </row>
    <row r="822" ht="15.75" customHeight="1">
      <c r="I822" s="61"/>
    </row>
    <row r="823" ht="15.75" customHeight="1">
      <c r="I823" s="61"/>
    </row>
    <row r="824" ht="15.75" customHeight="1">
      <c r="I824" s="61"/>
    </row>
    <row r="825" ht="15.75" customHeight="1">
      <c r="I825" s="61"/>
    </row>
    <row r="826" ht="15.75" customHeight="1">
      <c r="I826" s="61"/>
    </row>
    <row r="827" ht="15.75" customHeight="1">
      <c r="I827" s="61"/>
    </row>
    <row r="828" ht="15.75" customHeight="1">
      <c r="I828" s="61"/>
    </row>
    <row r="829" ht="15.75" customHeight="1">
      <c r="I829" s="61"/>
    </row>
    <row r="830" ht="15.75" customHeight="1">
      <c r="I830" s="61"/>
    </row>
    <row r="831" ht="15.75" customHeight="1">
      <c r="I831" s="61"/>
    </row>
    <row r="832" ht="15.75" customHeight="1">
      <c r="I832" s="61"/>
    </row>
    <row r="833" ht="15.75" customHeight="1">
      <c r="I833" s="61"/>
    </row>
    <row r="834" ht="15.75" customHeight="1">
      <c r="I834" s="61"/>
    </row>
    <row r="835" ht="15.75" customHeight="1">
      <c r="I835" s="61"/>
    </row>
    <row r="836" ht="15.75" customHeight="1">
      <c r="I836" s="61"/>
    </row>
    <row r="837" ht="15.75" customHeight="1">
      <c r="I837" s="61"/>
    </row>
    <row r="838" ht="15.75" customHeight="1">
      <c r="I838" s="61"/>
    </row>
    <row r="839" ht="15.75" customHeight="1">
      <c r="I839" s="61"/>
    </row>
    <row r="840" ht="15.75" customHeight="1">
      <c r="I840" s="61"/>
    </row>
    <row r="841" ht="15.75" customHeight="1">
      <c r="I841" s="61"/>
    </row>
    <row r="842" ht="15.75" customHeight="1">
      <c r="I842" s="61"/>
    </row>
    <row r="843" ht="15.75" customHeight="1">
      <c r="I843" s="61"/>
    </row>
    <row r="844" ht="15.75" customHeight="1">
      <c r="I844" s="61"/>
    </row>
    <row r="845" ht="15.75" customHeight="1">
      <c r="I845" s="61"/>
    </row>
    <row r="846" ht="15.75" customHeight="1">
      <c r="I846" s="61"/>
    </row>
    <row r="847" ht="15.75" customHeight="1">
      <c r="I847" s="61"/>
    </row>
    <row r="848" ht="15.75" customHeight="1">
      <c r="I848" s="61"/>
    </row>
    <row r="849" ht="15.75" customHeight="1">
      <c r="I849" s="61"/>
    </row>
    <row r="850" ht="15.75" customHeight="1">
      <c r="I850" s="61"/>
    </row>
    <row r="851" ht="15.75" customHeight="1">
      <c r="I851" s="61"/>
    </row>
    <row r="852" ht="15.75" customHeight="1">
      <c r="I852" s="61"/>
    </row>
    <row r="853" ht="15.75" customHeight="1">
      <c r="I853" s="61"/>
    </row>
    <row r="854" ht="15.75" customHeight="1">
      <c r="I854" s="61"/>
    </row>
    <row r="855" ht="15.75" customHeight="1">
      <c r="I855" s="61"/>
    </row>
    <row r="856" ht="15.75" customHeight="1">
      <c r="I856" s="61"/>
    </row>
    <row r="857" ht="15.75" customHeight="1">
      <c r="I857" s="61"/>
    </row>
    <row r="858" ht="15.75" customHeight="1">
      <c r="I858" s="61"/>
    </row>
    <row r="859" ht="15.75" customHeight="1">
      <c r="I859" s="61"/>
    </row>
    <row r="860" ht="15.75" customHeight="1">
      <c r="I860" s="61"/>
    </row>
    <row r="861" ht="15.75" customHeight="1">
      <c r="I861" s="61"/>
    </row>
    <row r="862" ht="15.75" customHeight="1">
      <c r="I862" s="61"/>
    </row>
    <row r="863" ht="15.75" customHeight="1">
      <c r="I863" s="61"/>
    </row>
    <row r="864" ht="15.75" customHeight="1">
      <c r="I864" s="61"/>
    </row>
    <row r="865" ht="15.75" customHeight="1">
      <c r="I865" s="61"/>
    </row>
    <row r="866" ht="15.75" customHeight="1">
      <c r="I866" s="61"/>
    </row>
    <row r="867" ht="15.75" customHeight="1">
      <c r="I867" s="61"/>
    </row>
    <row r="868" ht="15.75" customHeight="1">
      <c r="I868" s="61"/>
    </row>
    <row r="869" ht="15.75" customHeight="1">
      <c r="I869" s="61"/>
    </row>
    <row r="870" ht="15.75" customHeight="1">
      <c r="I870" s="61"/>
    </row>
    <row r="871" ht="15.75" customHeight="1">
      <c r="I871" s="61"/>
    </row>
    <row r="872" ht="15.75" customHeight="1">
      <c r="I872" s="61"/>
    </row>
    <row r="873" ht="15.75" customHeight="1">
      <c r="I873" s="61"/>
    </row>
    <row r="874" ht="15.75" customHeight="1">
      <c r="I874" s="61"/>
    </row>
    <row r="875" ht="15.75" customHeight="1">
      <c r="I875" s="61"/>
    </row>
    <row r="876" ht="15.75" customHeight="1">
      <c r="I876" s="61"/>
    </row>
    <row r="877" ht="15.75" customHeight="1">
      <c r="I877" s="61"/>
    </row>
    <row r="878" ht="15.75" customHeight="1">
      <c r="I878" s="61"/>
    </row>
    <row r="879" ht="15.75" customHeight="1">
      <c r="I879" s="61"/>
    </row>
    <row r="880" ht="15.75" customHeight="1">
      <c r="I880" s="61"/>
    </row>
    <row r="881" ht="15.75" customHeight="1">
      <c r="I881" s="61"/>
    </row>
    <row r="882" ht="15.75" customHeight="1">
      <c r="I882" s="61"/>
    </row>
    <row r="883" ht="15.75" customHeight="1">
      <c r="I883" s="61"/>
    </row>
    <row r="884" ht="15.75" customHeight="1">
      <c r="I884" s="61"/>
    </row>
    <row r="885" ht="15.75" customHeight="1">
      <c r="I885" s="61"/>
    </row>
    <row r="886" ht="15.75" customHeight="1">
      <c r="I886" s="61"/>
    </row>
    <row r="887" ht="15.75" customHeight="1">
      <c r="I887" s="61"/>
    </row>
    <row r="888" ht="15.75" customHeight="1">
      <c r="I888" s="61"/>
    </row>
    <row r="889" ht="15.75" customHeight="1">
      <c r="I889" s="61"/>
    </row>
    <row r="890" ht="15.75" customHeight="1">
      <c r="I890" s="61"/>
    </row>
    <row r="891" ht="15.75" customHeight="1">
      <c r="I891" s="61"/>
    </row>
    <row r="892" ht="15.75" customHeight="1">
      <c r="I892" s="61"/>
    </row>
    <row r="893" ht="15.75" customHeight="1">
      <c r="I893" s="61"/>
    </row>
    <row r="894" ht="15.75" customHeight="1">
      <c r="I894" s="61"/>
    </row>
    <row r="895" ht="15.75" customHeight="1">
      <c r="I895" s="61"/>
    </row>
    <row r="896" ht="15.75" customHeight="1">
      <c r="I896" s="61"/>
    </row>
    <row r="897" ht="15.75" customHeight="1">
      <c r="I897" s="61"/>
    </row>
    <row r="898" ht="15.75" customHeight="1">
      <c r="I898" s="61"/>
    </row>
    <row r="899" ht="15.75" customHeight="1">
      <c r="I899" s="61"/>
    </row>
    <row r="900" ht="15.75" customHeight="1">
      <c r="I900" s="61"/>
    </row>
    <row r="901" ht="15.75" customHeight="1">
      <c r="I901" s="61"/>
    </row>
    <row r="902" ht="15.75" customHeight="1">
      <c r="I902" s="61"/>
    </row>
    <row r="903" ht="15.75" customHeight="1">
      <c r="I903" s="61"/>
    </row>
    <row r="904" ht="15.75" customHeight="1">
      <c r="I904" s="61"/>
    </row>
    <row r="905" ht="15.75" customHeight="1">
      <c r="I905" s="61"/>
    </row>
    <row r="906" ht="15.75" customHeight="1">
      <c r="I906" s="61"/>
    </row>
    <row r="907" ht="15.75" customHeight="1">
      <c r="I907" s="61"/>
    </row>
    <row r="908" ht="15.75" customHeight="1">
      <c r="I908" s="61"/>
    </row>
    <row r="909" ht="15.75" customHeight="1">
      <c r="I909" s="61"/>
    </row>
    <row r="910" ht="15.75" customHeight="1">
      <c r="I910" s="61"/>
    </row>
    <row r="911" ht="15.75" customHeight="1">
      <c r="I911" s="61"/>
    </row>
    <row r="912" ht="15.75" customHeight="1">
      <c r="I912" s="61"/>
    </row>
    <row r="913" ht="15.75" customHeight="1">
      <c r="I913" s="61"/>
    </row>
    <row r="914" ht="15.75" customHeight="1">
      <c r="I914" s="61"/>
    </row>
    <row r="915" ht="15.75" customHeight="1">
      <c r="I915" s="61"/>
    </row>
    <row r="916" ht="15.75" customHeight="1">
      <c r="I916" s="61"/>
    </row>
    <row r="917" ht="15.75" customHeight="1">
      <c r="I917" s="61"/>
    </row>
    <row r="918" ht="15.75" customHeight="1">
      <c r="I918" s="61"/>
    </row>
    <row r="919" ht="15.75" customHeight="1">
      <c r="I919" s="61"/>
    </row>
    <row r="920" ht="15.75" customHeight="1">
      <c r="I920" s="61"/>
    </row>
    <row r="921" ht="15.75" customHeight="1">
      <c r="I921" s="61"/>
    </row>
    <row r="922" ht="15.75" customHeight="1">
      <c r="I922" s="61"/>
    </row>
    <row r="923" ht="15.75" customHeight="1">
      <c r="I923" s="61"/>
    </row>
    <row r="924" ht="15.75" customHeight="1">
      <c r="I924" s="61"/>
    </row>
    <row r="925" ht="15.75" customHeight="1">
      <c r="I925" s="61"/>
    </row>
    <row r="926" ht="15.75" customHeight="1">
      <c r="I926" s="61"/>
    </row>
    <row r="927" ht="15.75" customHeight="1">
      <c r="I927" s="61"/>
    </row>
    <row r="928" ht="15.75" customHeight="1">
      <c r="I928" s="61"/>
    </row>
    <row r="929" ht="15.75" customHeight="1">
      <c r="I929" s="61"/>
    </row>
    <row r="930" ht="15.75" customHeight="1">
      <c r="I930" s="61"/>
    </row>
    <row r="931" ht="15.75" customHeight="1">
      <c r="I931" s="61"/>
    </row>
    <row r="932" ht="15.75" customHeight="1">
      <c r="I932" s="61"/>
    </row>
    <row r="933" ht="15.75" customHeight="1">
      <c r="I933" s="61"/>
    </row>
    <row r="934" ht="15.75" customHeight="1">
      <c r="I934" s="61"/>
    </row>
    <row r="935" ht="15.75" customHeight="1">
      <c r="I935" s="61"/>
    </row>
    <row r="936" ht="15.75" customHeight="1">
      <c r="I936" s="61"/>
    </row>
    <row r="937" ht="15.75" customHeight="1">
      <c r="I937" s="61"/>
    </row>
    <row r="938" ht="15.75" customHeight="1">
      <c r="I938" s="61"/>
    </row>
    <row r="939" ht="15.75" customHeight="1">
      <c r="I939" s="61"/>
    </row>
    <row r="940" ht="15.75" customHeight="1">
      <c r="I940" s="61"/>
    </row>
    <row r="941" ht="15.75" customHeight="1">
      <c r="I941" s="61"/>
    </row>
    <row r="942" ht="15.75" customHeight="1">
      <c r="I942" s="61"/>
    </row>
    <row r="943" ht="15.75" customHeight="1">
      <c r="I943" s="61"/>
    </row>
    <row r="944" ht="15.75" customHeight="1">
      <c r="I944" s="61"/>
    </row>
    <row r="945" ht="15.75" customHeight="1">
      <c r="I945" s="61"/>
    </row>
    <row r="946" ht="15.75" customHeight="1">
      <c r="I946" s="61"/>
    </row>
    <row r="947" ht="15.75" customHeight="1">
      <c r="I947" s="61"/>
    </row>
    <row r="948" ht="15.75" customHeight="1">
      <c r="I948" s="61"/>
    </row>
    <row r="949" ht="15.75" customHeight="1">
      <c r="I949" s="61"/>
    </row>
    <row r="950" ht="15.75" customHeight="1">
      <c r="I950" s="61"/>
    </row>
    <row r="951" ht="15.75" customHeight="1">
      <c r="I951" s="61"/>
    </row>
    <row r="952" ht="15.75" customHeight="1">
      <c r="I952" s="61"/>
    </row>
    <row r="953" ht="15.75" customHeight="1">
      <c r="I953" s="61"/>
    </row>
    <row r="954" ht="15.75" customHeight="1">
      <c r="I954" s="61"/>
    </row>
    <row r="955" ht="15.75" customHeight="1">
      <c r="I955" s="61"/>
    </row>
    <row r="956" ht="15.75" customHeight="1">
      <c r="I956" s="61"/>
    </row>
    <row r="957" ht="15.75" customHeight="1">
      <c r="I957" s="61"/>
    </row>
    <row r="958" ht="15.75" customHeight="1">
      <c r="I958" s="61"/>
    </row>
    <row r="959" ht="15.75" customHeight="1">
      <c r="I959" s="61"/>
    </row>
    <row r="960" ht="15.75" customHeight="1">
      <c r="I960" s="61"/>
    </row>
    <row r="961" ht="15.75" customHeight="1">
      <c r="I961" s="61"/>
    </row>
    <row r="962" ht="15.75" customHeight="1">
      <c r="I962" s="61"/>
    </row>
    <row r="963" ht="15.75" customHeight="1">
      <c r="I963" s="61"/>
    </row>
    <row r="964" ht="15.75" customHeight="1">
      <c r="I964" s="61"/>
    </row>
    <row r="965" ht="15.75" customHeight="1">
      <c r="I965" s="61"/>
    </row>
    <row r="966" ht="15.75" customHeight="1">
      <c r="I966" s="61"/>
    </row>
    <row r="967" ht="15.75" customHeight="1">
      <c r="I967" s="61"/>
    </row>
    <row r="968" ht="15.75" customHeight="1">
      <c r="I968" s="61"/>
    </row>
    <row r="969" ht="15.75" customHeight="1">
      <c r="I969" s="61"/>
    </row>
    <row r="970" ht="15.75" customHeight="1">
      <c r="I970" s="61"/>
    </row>
    <row r="971" ht="15.75" customHeight="1">
      <c r="I971" s="61"/>
    </row>
    <row r="972" ht="15.75" customHeight="1">
      <c r="I972" s="61"/>
    </row>
    <row r="973" ht="15.75" customHeight="1">
      <c r="I973" s="61"/>
    </row>
    <row r="974" ht="15.75" customHeight="1">
      <c r="I974" s="61"/>
    </row>
    <row r="975" ht="15.75" customHeight="1">
      <c r="I975" s="61"/>
    </row>
    <row r="976" ht="15.75" customHeight="1">
      <c r="I976" s="61"/>
    </row>
    <row r="977" ht="15.75" customHeight="1">
      <c r="I977" s="61"/>
    </row>
    <row r="978" ht="15.75" customHeight="1">
      <c r="I978" s="61"/>
    </row>
    <row r="979" ht="15.75" customHeight="1">
      <c r="I979" s="61"/>
    </row>
    <row r="980" ht="15.75" customHeight="1">
      <c r="I980" s="61"/>
    </row>
    <row r="981" ht="15.75" customHeight="1">
      <c r="I981" s="61"/>
    </row>
    <row r="982" ht="15.75" customHeight="1">
      <c r="I982" s="61"/>
    </row>
    <row r="983" ht="15.75" customHeight="1">
      <c r="I983" s="61"/>
    </row>
    <row r="984" ht="15.75" customHeight="1">
      <c r="I984" s="61"/>
    </row>
    <row r="985" ht="15.75" customHeight="1">
      <c r="I985" s="61"/>
    </row>
    <row r="986" ht="15.75" customHeight="1">
      <c r="I986" s="61"/>
    </row>
    <row r="987" ht="15.75" customHeight="1">
      <c r="I987" s="61"/>
    </row>
    <row r="988" ht="15.75" customHeight="1">
      <c r="I988" s="61"/>
    </row>
    <row r="989" ht="15.75" customHeight="1">
      <c r="I989" s="61"/>
    </row>
    <row r="990" ht="15.75" customHeight="1">
      <c r="I990" s="61"/>
    </row>
    <row r="991" ht="15.75" customHeight="1">
      <c r="I991" s="61"/>
    </row>
    <row r="992" ht="15.75" customHeight="1">
      <c r="I992" s="61"/>
    </row>
    <row r="993" ht="15.75" customHeight="1">
      <c r="I993" s="61"/>
    </row>
    <row r="994" ht="15.75" customHeight="1">
      <c r="I994" s="61"/>
    </row>
    <row r="995" ht="15.75" customHeight="1">
      <c r="I995" s="61"/>
    </row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M1000">
    <cfRule type="expression" dxfId="9" priority="1">
      <formula>AND($I2&lt;&gt;"", $I2="自動消込")</formula>
    </cfRule>
  </conditionalFormatting>
  <conditionalFormatting sqref="A2:X1000">
    <cfRule type="expression" dxfId="10" priority="2">
      <formula>AND($I2&lt;&gt;"", $I2="要確認")</formula>
    </cfRule>
  </conditionalFormatting>
  <dataValidations>
    <dataValidation type="custom" allowBlank="1" showDropDown="1" sqref="I2:I995">
      <formula1>OR($I2="未照合",$I2="自動消込",$I2="要確認",)</formula1>
    </dataValidation>
  </dataValidations>
  <hyperlinks>
    <hyperlink r:id="rId2" ref="M2"/>
    <hyperlink r:id="rId3" ref="M3"/>
    <hyperlink r:id="rId4" ref="M4"/>
    <hyperlink r:id="rId5" ref="M5"/>
    <hyperlink r:id="rId6" ref="M6"/>
    <hyperlink r:id="rId7" ref="M7"/>
    <hyperlink r:id="rId8" ref="M8"/>
  </hyperlinks>
  <drawing r:id="rId9"/>
  <legacyDrawing r:id="rId10"/>
</worksheet>
</file>